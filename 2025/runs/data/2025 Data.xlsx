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jim/_mymods/pollock/ebswp_assessment/2025/runs/data/"/>
    </mc:Choice>
  </mc:AlternateContent>
  <xr:revisionPtr revIDLastSave="0" documentId="13_ncr:1_{77718BA9-58FA-4749-8522-0D8F2BAE39FC}" xr6:coauthVersionLast="47" xr6:coauthVersionMax="47" xr10:uidLastSave="{00000000-0000-0000-0000-000000000000}"/>
  <bookViews>
    <workbookView xWindow="0" yWindow="760" windowWidth="34560" windowHeight="21580" activeTab="1" xr2:uid="{89A88725-7FA3-3F4E-8564-196DEE7822FD}"/>
  </bookViews>
  <sheets>
    <sheet name="poll_iss_ag (1)" sheetId="13" r:id="rId1"/>
    <sheet name="pm_25.dat" sheetId="16" r:id="rId2"/>
    <sheet name="Tables" sheetId="14" r:id="rId3"/>
    <sheet name="bsaiatf_data_2024" sheetId="11" r:id="rId4"/>
    <sheet name="CEATTLE" sheetId="10" r:id="rId5"/>
    <sheet name="bts_wt_age biom table" sheetId="6" r:id="rId6"/>
    <sheet name="intro.dat" sheetId="12" r:id="rId7"/>
    <sheet name="pm_24.dat " sheetId="2" r:id="rId8"/>
    <sheet name="Sheet9" sheetId="9" r:id="rId9"/>
    <sheet name="AVO24" sheetId="4" r:id="rId10"/>
    <sheet name="urmy pm_24db" sheetId="15" r:id="rId11"/>
    <sheet name="Pcod" sheetId="8" r:id="rId12"/>
    <sheet name="bts age" sheetId="5" r:id="rId13"/>
    <sheet name="wt24.rep" sheetId="3" r:id="rId14"/>
    <sheet name="ssbwt24.rep" sheetId="7" r:id="rId15"/>
    <sheet name="pm_23.8.dat" sheetId="1" r:id="rId16"/>
  </sheets>
  <externalReferences>
    <externalReference r:id="rId17"/>
    <externalReference r:id="rId18"/>
    <externalReference r:id="rId19"/>
    <externalReference r:id="rId20"/>
  </externalReferences>
  <definedNames>
    <definedName name="M" localSheetId="6">intro.dat!$H$39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1" i="16" l="1"/>
  <c r="A282" i="16" s="1"/>
  <c r="A283" i="16" s="1"/>
  <c r="A284" i="16" s="1"/>
  <c r="A285" i="16" s="1"/>
  <c r="A286" i="16" s="1"/>
  <c r="A287" i="16" s="1"/>
  <c r="A288" i="16" s="1"/>
  <c r="A289" i="16" s="1"/>
  <c r="A290" i="16" s="1"/>
  <c r="A291" i="16" s="1"/>
  <c r="A292" i="16" s="1"/>
  <c r="A293" i="16" s="1"/>
  <c r="A294" i="16" s="1"/>
  <c r="A295" i="16" s="1"/>
  <c r="A296" i="16" s="1"/>
  <c r="A297" i="16" s="1"/>
  <c r="A298" i="16" s="1"/>
  <c r="A299" i="16" s="1"/>
  <c r="A300" i="16" s="1"/>
  <c r="A301" i="16" s="1"/>
  <c r="A302" i="16" s="1"/>
  <c r="A303" i="16" s="1"/>
  <c r="A304" i="16" s="1"/>
  <c r="A305" i="16" s="1"/>
  <c r="A306" i="16" s="1"/>
  <c r="A307" i="16" s="1"/>
  <c r="A308" i="16" s="1"/>
  <c r="A309" i="16" s="1"/>
  <c r="A310" i="16" s="1"/>
  <c r="A311" i="16" s="1"/>
  <c r="A312" i="16" s="1"/>
  <c r="A313" i="16" s="1"/>
  <c r="A314" i="16" s="1"/>
  <c r="A315" i="16" s="1"/>
  <c r="A316" i="16" s="1"/>
  <c r="A317" i="16" s="1"/>
  <c r="A83" i="16"/>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20" i="16"/>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M74" i="4"/>
  <c r="K74" i="4"/>
  <c r="J74" i="4"/>
  <c r="I74" i="4"/>
  <c r="G74" i="4"/>
  <c r="T386" i="2"/>
  <c r="W386" i="2"/>
  <c r="P386" i="2"/>
  <c r="Q386" i="2"/>
  <c r="R386" i="2"/>
  <c r="S386" i="2"/>
  <c r="A319" i="16" l="1"/>
  <c r="A320" i="16" s="1"/>
  <c r="A321" i="16" s="1"/>
  <c r="A322" i="16" s="1"/>
  <c r="I44" i="12"/>
  <c r="H44" i="12"/>
  <c r="I43" i="12"/>
  <c r="H42" i="12"/>
  <c r="I42" i="12" s="1"/>
  <c r="H43" i="12"/>
  <c r="N21" i="12" a="1"/>
  <c r="N21" i="12" s="1"/>
  <c r="M21" i="12" a="1"/>
  <c r="M21" i="12" s="1"/>
  <c r="L21" i="12" a="1"/>
  <c r="L21" i="12" s="1"/>
  <c r="H21" i="12" a="1"/>
  <c r="H21" i="12" s="1"/>
  <c r="G21" i="12" a="1"/>
  <c r="G21" i="12" s="1"/>
  <c r="F21" i="12" a="1"/>
  <c r="F21" i="12" s="1"/>
  <c r="E21" i="12" a="1"/>
  <c r="E21" i="12" s="1"/>
  <c r="C247" i="6" l="1"/>
  <c r="C275" i="6"/>
  <c r="C276" i="6"/>
  <c r="B339" i="6"/>
  <c r="B338" i="6"/>
  <c r="C230" i="6"/>
  <c r="E230" i="6"/>
  <c r="G230" i="6"/>
  <c r="I230" i="6"/>
  <c r="K230" i="6"/>
  <c r="M230" i="6"/>
  <c r="O230" i="6"/>
  <c r="Q230" i="6"/>
  <c r="S230" i="6"/>
  <c r="AA256" i="6"/>
  <c r="AC256" i="6"/>
  <c r="AE256" i="6"/>
  <c r="AG256" i="6"/>
  <c r="AI256" i="6"/>
  <c r="AK256" i="6"/>
  <c r="C231" i="6"/>
  <c r="E231" i="6"/>
  <c r="G231" i="6"/>
  <c r="I231" i="6"/>
  <c r="K231" i="6"/>
  <c r="M231" i="6"/>
  <c r="O231" i="6"/>
  <c r="Q231" i="6"/>
  <c r="S231" i="6"/>
  <c r="AA257" i="6"/>
  <c r="AC257" i="6"/>
  <c r="AE257" i="6"/>
  <c r="AG257" i="6"/>
  <c r="AI257" i="6"/>
  <c r="AK257" i="6"/>
  <c r="C232" i="6"/>
  <c r="E232" i="6"/>
  <c r="G232" i="6"/>
  <c r="I232" i="6"/>
  <c r="K232" i="6"/>
  <c r="M232" i="6"/>
  <c r="O232" i="6"/>
  <c r="Q232" i="6"/>
  <c r="S232" i="6"/>
  <c r="AA258" i="6"/>
  <c r="U232" i="6" s="1"/>
  <c r="AC258" i="6"/>
  <c r="AE258" i="6"/>
  <c r="AG258" i="6"/>
  <c r="AI258" i="6"/>
  <c r="AK258" i="6"/>
  <c r="C233" i="6"/>
  <c r="E233" i="6"/>
  <c r="G233" i="6"/>
  <c r="I233" i="6"/>
  <c r="K233" i="6"/>
  <c r="M233" i="6"/>
  <c r="O233" i="6"/>
  <c r="Q233" i="6"/>
  <c r="S233" i="6"/>
  <c r="AA259" i="6"/>
  <c r="AC259" i="6"/>
  <c r="AE259" i="6"/>
  <c r="AG259" i="6"/>
  <c r="AI259" i="6"/>
  <c r="AK259" i="6"/>
  <c r="C234" i="6"/>
  <c r="E234" i="6"/>
  <c r="G234" i="6"/>
  <c r="I234" i="6"/>
  <c r="K234" i="6"/>
  <c r="M234" i="6"/>
  <c r="O234" i="6"/>
  <c r="Q234" i="6"/>
  <c r="S234" i="6"/>
  <c r="AA260" i="6"/>
  <c r="U234" i="6" s="1"/>
  <c r="AC260" i="6"/>
  <c r="AE260" i="6"/>
  <c r="AG260" i="6"/>
  <c r="AI260" i="6"/>
  <c r="AK260" i="6"/>
  <c r="C235" i="6"/>
  <c r="E235" i="6"/>
  <c r="G235" i="6"/>
  <c r="I235" i="6"/>
  <c r="K235" i="6"/>
  <c r="M235" i="6"/>
  <c r="O235" i="6"/>
  <c r="Q235" i="6"/>
  <c r="S235" i="6"/>
  <c r="AA261" i="6"/>
  <c r="AC261" i="6"/>
  <c r="AE261" i="6"/>
  <c r="AG261" i="6"/>
  <c r="AI261" i="6"/>
  <c r="AK261" i="6"/>
  <c r="C236" i="6"/>
  <c r="E236" i="6"/>
  <c r="G236" i="6"/>
  <c r="I236" i="6"/>
  <c r="K236" i="6"/>
  <c r="M236" i="6"/>
  <c r="O236" i="6"/>
  <c r="Q236" i="6"/>
  <c r="S236" i="6"/>
  <c r="AA262" i="6"/>
  <c r="U236" i="6" s="1"/>
  <c r="AC262" i="6"/>
  <c r="AE262" i="6"/>
  <c r="AG262" i="6"/>
  <c r="AI262" i="6"/>
  <c r="AK262" i="6"/>
  <c r="C237" i="6"/>
  <c r="E237" i="6"/>
  <c r="G237" i="6"/>
  <c r="I237" i="6"/>
  <c r="K237" i="6"/>
  <c r="M237" i="6"/>
  <c r="O237" i="6"/>
  <c r="Q237" i="6"/>
  <c r="S237" i="6"/>
  <c r="AA263" i="6"/>
  <c r="U237" i="6" s="1"/>
  <c r="AC263" i="6"/>
  <c r="AE263" i="6"/>
  <c r="AG263" i="6"/>
  <c r="AI263" i="6"/>
  <c r="AK263" i="6"/>
  <c r="C238" i="6"/>
  <c r="E238" i="6"/>
  <c r="G238" i="6"/>
  <c r="I238" i="6"/>
  <c r="K238" i="6"/>
  <c r="M238" i="6"/>
  <c r="O238" i="6"/>
  <c r="Q238" i="6"/>
  <c r="S238" i="6"/>
  <c r="AA264" i="6"/>
  <c r="U238" i="6" s="1"/>
  <c r="AC264" i="6"/>
  <c r="AE264" i="6"/>
  <c r="AG264" i="6"/>
  <c r="AI264" i="6"/>
  <c r="AK264" i="6"/>
  <c r="C239" i="6"/>
  <c r="E239" i="6"/>
  <c r="G239" i="6"/>
  <c r="I239" i="6"/>
  <c r="K239" i="6"/>
  <c r="M239" i="6"/>
  <c r="O239" i="6"/>
  <c r="Q239" i="6"/>
  <c r="S239" i="6"/>
  <c r="AA265" i="6"/>
  <c r="AC265" i="6"/>
  <c r="AE265" i="6"/>
  <c r="AG265" i="6"/>
  <c r="AI265" i="6"/>
  <c r="AK265" i="6"/>
  <c r="C240" i="6"/>
  <c r="E240" i="6"/>
  <c r="G240" i="6"/>
  <c r="I240" i="6"/>
  <c r="K240" i="6"/>
  <c r="M240" i="6"/>
  <c r="O240" i="6"/>
  <c r="Q240" i="6"/>
  <c r="S240" i="6"/>
  <c r="AA266" i="6"/>
  <c r="AC266" i="6"/>
  <c r="AE266" i="6"/>
  <c r="AG266" i="6"/>
  <c r="AI266" i="6"/>
  <c r="AK266" i="6"/>
  <c r="C241" i="6"/>
  <c r="E241" i="6"/>
  <c r="G241" i="6"/>
  <c r="I241" i="6"/>
  <c r="K241" i="6"/>
  <c r="M241" i="6"/>
  <c r="O241" i="6"/>
  <c r="Q241" i="6"/>
  <c r="S241" i="6"/>
  <c r="AA267" i="6"/>
  <c r="AC267" i="6"/>
  <c r="AE267" i="6"/>
  <c r="AG267" i="6"/>
  <c r="AI267" i="6"/>
  <c r="AK267" i="6"/>
  <c r="C242" i="6"/>
  <c r="E242" i="6"/>
  <c r="G242" i="6"/>
  <c r="I242" i="6"/>
  <c r="K242" i="6"/>
  <c r="M242" i="6"/>
  <c r="O242" i="6"/>
  <c r="Q242" i="6"/>
  <c r="S242" i="6"/>
  <c r="AA268" i="6"/>
  <c r="U242" i="6" s="1"/>
  <c r="AC268" i="6"/>
  <c r="AE268" i="6"/>
  <c r="AG268" i="6"/>
  <c r="AI268" i="6"/>
  <c r="AK268" i="6"/>
  <c r="C243" i="6"/>
  <c r="E243" i="6"/>
  <c r="G243" i="6"/>
  <c r="I243" i="6"/>
  <c r="K243" i="6"/>
  <c r="M243" i="6"/>
  <c r="O243" i="6"/>
  <c r="Q243" i="6"/>
  <c r="S243" i="6"/>
  <c r="AA269" i="6"/>
  <c r="AC269" i="6"/>
  <c r="AE269" i="6"/>
  <c r="AG269" i="6"/>
  <c r="AI269" i="6"/>
  <c r="AK269" i="6"/>
  <c r="C244" i="6"/>
  <c r="E244" i="6"/>
  <c r="G244" i="6"/>
  <c r="I244" i="6"/>
  <c r="K244" i="6"/>
  <c r="M244" i="6"/>
  <c r="O244" i="6"/>
  <c r="Q244" i="6"/>
  <c r="S244" i="6"/>
  <c r="AA270" i="6"/>
  <c r="U244" i="6" s="1"/>
  <c r="AC270" i="6"/>
  <c r="AE270" i="6"/>
  <c r="AG270" i="6"/>
  <c r="AI270" i="6"/>
  <c r="AK270" i="6"/>
  <c r="C245" i="6"/>
  <c r="E245" i="6"/>
  <c r="G245" i="6"/>
  <c r="I245" i="6"/>
  <c r="K245" i="6"/>
  <c r="M245" i="6"/>
  <c r="O245" i="6"/>
  <c r="Q245" i="6"/>
  <c r="S245" i="6"/>
  <c r="AA271" i="6"/>
  <c r="AC271" i="6"/>
  <c r="AE271" i="6"/>
  <c r="AG271" i="6"/>
  <c r="AI271" i="6"/>
  <c r="AK271" i="6"/>
  <c r="C246" i="6"/>
  <c r="E246" i="6"/>
  <c r="G246" i="6"/>
  <c r="I246" i="6"/>
  <c r="K246" i="6"/>
  <c r="M246" i="6"/>
  <c r="O246" i="6"/>
  <c r="Q246" i="6"/>
  <c r="S246" i="6"/>
  <c r="AA272" i="6"/>
  <c r="U246" i="6" s="1"/>
  <c r="AC272" i="6"/>
  <c r="AE272" i="6"/>
  <c r="AG272" i="6"/>
  <c r="AI272" i="6"/>
  <c r="AK272" i="6"/>
  <c r="E247" i="6"/>
  <c r="G247" i="6"/>
  <c r="I247" i="6"/>
  <c r="K247" i="6"/>
  <c r="M247" i="6"/>
  <c r="O247" i="6"/>
  <c r="Q247" i="6"/>
  <c r="S247" i="6"/>
  <c r="AA273" i="6"/>
  <c r="AC273" i="6"/>
  <c r="AE273" i="6"/>
  <c r="AG273" i="6"/>
  <c r="AI273" i="6"/>
  <c r="AK273" i="6"/>
  <c r="E275" i="6"/>
  <c r="G275" i="6"/>
  <c r="I275" i="6"/>
  <c r="K275" i="6"/>
  <c r="M275" i="6"/>
  <c r="O275" i="6"/>
  <c r="Q275" i="6"/>
  <c r="S275" i="6"/>
  <c r="U275" i="6"/>
  <c r="W275" i="6"/>
  <c r="Y275" i="6"/>
  <c r="AA275" i="6"/>
  <c r="AC275" i="6"/>
  <c r="AE275" i="6"/>
  <c r="E276" i="6"/>
  <c r="G276" i="6"/>
  <c r="I276" i="6"/>
  <c r="K276" i="6"/>
  <c r="M276" i="6"/>
  <c r="O276" i="6"/>
  <c r="Q276" i="6"/>
  <c r="S276" i="6"/>
  <c r="U276" i="6"/>
  <c r="W276" i="6"/>
  <c r="Y276" i="6"/>
  <c r="AA276" i="6"/>
  <c r="AC276" i="6"/>
  <c r="AE276" i="6"/>
  <c r="C255" i="6"/>
  <c r="E255" i="6"/>
  <c r="G255" i="6"/>
  <c r="I255" i="6"/>
  <c r="K255" i="6"/>
  <c r="M255" i="6"/>
  <c r="O255" i="6"/>
  <c r="Q255" i="6"/>
  <c r="S255" i="6"/>
  <c r="AA255" i="6"/>
  <c r="AC255" i="6"/>
  <c r="AE255" i="6"/>
  <c r="AG255" i="6"/>
  <c r="AI255" i="6"/>
  <c r="AK255" i="6"/>
  <c r="A209" i="6"/>
  <c r="A210" i="6" s="1"/>
  <c r="A211" i="6" s="1"/>
  <c r="A212" i="6" s="1"/>
  <c r="A171" i="6"/>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E114" i="6"/>
  <c r="AC114" i="6"/>
  <c r="AA114" i="6"/>
  <c r="Y114" i="6"/>
  <c r="W114" i="6"/>
  <c r="U114" i="6"/>
  <c r="S114" i="6"/>
  <c r="Q114" i="6"/>
  <c r="O114" i="6"/>
  <c r="M114" i="6"/>
  <c r="K114" i="6"/>
  <c r="I114" i="6"/>
  <c r="G114" i="6"/>
  <c r="E114" i="6"/>
  <c r="C114" i="6"/>
  <c r="AE113" i="6"/>
  <c r="AC113" i="6"/>
  <c r="AA113" i="6"/>
  <c r="Y113" i="6"/>
  <c r="W113" i="6"/>
  <c r="U113" i="6"/>
  <c r="S113" i="6"/>
  <c r="Q113" i="6"/>
  <c r="O113" i="6"/>
  <c r="M113" i="6"/>
  <c r="K113" i="6"/>
  <c r="I113" i="6"/>
  <c r="G113" i="6"/>
  <c r="E113" i="6"/>
  <c r="C113" i="6"/>
  <c r="AE112" i="6"/>
  <c r="AC112" i="6"/>
  <c r="AA112" i="6"/>
  <c r="Y112" i="6"/>
  <c r="W112" i="6"/>
  <c r="U112" i="6"/>
  <c r="S112" i="6"/>
  <c r="Q112" i="6"/>
  <c r="O112" i="6"/>
  <c r="M112" i="6"/>
  <c r="K112" i="6"/>
  <c r="I112" i="6"/>
  <c r="G112" i="6"/>
  <c r="E112" i="6"/>
  <c r="C112" i="6"/>
  <c r="AE111" i="6"/>
  <c r="AC111" i="6"/>
  <c r="AA111" i="6"/>
  <c r="Y111" i="6"/>
  <c r="W111" i="6"/>
  <c r="U111" i="6"/>
  <c r="S111" i="6"/>
  <c r="Q111" i="6"/>
  <c r="O111" i="6"/>
  <c r="M111" i="6"/>
  <c r="K111" i="6"/>
  <c r="I111" i="6"/>
  <c r="G111" i="6"/>
  <c r="E111" i="6"/>
  <c r="C111" i="6"/>
  <c r="AE109" i="6"/>
  <c r="AC109" i="6"/>
  <c r="AA109" i="6"/>
  <c r="Y109" i="6"/>
  <c r="W109" i="6"/>
  <c r="U109" i="6"/>
  <c r="S109" i="6"/>
  <c r="Q109" i="6"/>
  <c r="O109" i="6"/>
  <c r="M109" i="6"/>
  <c r="K109" i="6"/>
  <c r="I109" i="6"/>
  <c r="G109" i="6"/>
  <c r="E109" i="6"/>
  <c r="C109" i="6"/>
  <c r="AE108" i="6"/>
  <c r="AC108" i="6"/>
  <c r="AA108" i="6"/>
  <c r="Y108" i="6"/>
  <c r="W108" i="6"/>
  <c r="U108" i="6"/>
  <c r="S108" i="6"/>
  <c r="Q108" i="6"/>
  <c r="O108" i="6"/>
  <c r="M108" i="6"/>
  <c r="K108" i="6"/>
  <c r="I108" i="6"/>
  <c r="G108" i="6"/>
  <c r="E108" i="6"/>
  <c r="C108" i="6"/>
  <c r="AE107" i="6"/>
  <c r="AC107" i="6"/>
  <c r="AA107" i="6"/>
  <c r="Y107" i="6"/>
  <c r="W107" i="6"/>
  <c r="U107" i="6"/>
  <c r="S107" i="6"/>
  <c r="Q107" i="6"/>
  <c r="O107" i="6"/>
  <c r="M107" i="6"/>
  <c r="K107" i="6"/>
  <c r="I107" i="6"/>
  <c r="G107" i="6"/>
  <c r="E107" i="6"/>
  <c r="C107" i="6"/>
  <c r="AE106" i="6"/>
  <c r="AC106" i="6"/>
  <c r="AA106" i="6"/>
  <c r="Y106" i="6"/>
  <c r="W106" i="6"/>
  <c r="U106" i="6"/>
  <c r="S106" i="6"/>
  <c r="Q106" i="6"/>
  <c r="O106" i="6"/>
  <c r="M106" i="6"/>
  <c r="K106" i="6"/>
  <c r="I106" i="6"/>
  <c r="G106" i="6"/>
  <c r="E106" i="6"/>
  <c r="C106" i="6"/>
  <c r="AE105" i="6"/>
  <c r="AC105" i="6"/>
  <c r="AA105" i="6"/>
  <c r="Y105" i="6"/>
  <c r="W105" i="6"/>
  <c r="U105" i="6"/>
  <c r="S105" i="6"/>
  <c r="Q105" i="6"/>
  <c r="O105" i="6"/>
  <c r="M105" i="6"/>
  <c r="K105" i="6"/>
  <c r="I105" i="6"/>
  <c r="G105" i="6"/>
  <c r="E105" i="6"/>
  <c r="C105" i="6"/>
  <c r="AE104" i="6"/>
  <c r="AC104" i="6"/>
  <c r="AA104" i="6"/>
  <c r="Y104" i="6"/>
  <c r="W104" i="6"/>
  <c r="U104" i="6"/>
  <c r="S104" i="6"/>
  <c r="Q104" i="6"/>
  <c r="O104" i="6"/>
  <c r="M104" i="6"/>
  <c r="K104" i="6"/>
  <c r="I104" i="6"/>
  <c r="G104" i="6"/>
  <c r="E104" i="6"/>
  <c r="C104" i="6"/>
  <c r="AE103" i="6"/>
  <c r="AC103" i="6"/>
  <c r="AA103" i="6"/>
  <c r="Y103" i="6"/>
  <c r="W103" i="6"/>
  <c r="U103" i="6"/>
  <c r="S103" i="6"/>
  <c r="Q103" i="6"/>
  <c r="O103" i="6"/>
  <c r="M103" i="6"/>
  <c r="K103" i="6"/>
  <c r="I103" i="6"/>
  <c r="G103" i="6"/>
  <c r="E103" i="6"/>
  <c r="C103" i="6"/>
  <c r="AE102" i="6"/>
  <c r="AC102" i="6"/>
  <c r="AA102" i="6"/>
  <c r="Y102" i="6"/>
  <c r="W102" i="6"/>
  <c r="U102" i="6"/>
  <c r="S102" i="6"/>
  <c r="Q102" i="6"/>
  <c r="O102" i="6"/>
  <c r="M102" i="6"/>
  <c r="K102" i="6"/>
  <c r="I102" i="6"/>
  <c r="G102" i="6"/>
  <c r="E102" i="6"/>
  <c r="C102" i="6"/>
  <c r="AE101" i="6"/>
  <c r="AC101" i="6"/>
  <c r="AA101" i="6"/>
  <c r="Y101" i="6"/>
  <c r="W101" i="6"/>
  <c r="U101" i="6"/>
  <c r="S101" i="6"/>
  <c r="Q101" i="6"/>
  <c r="O101" i="6"/>
  <c r="M101" i="6"/>
  <c r="K101" i="6"/>
  <c r="I101" i="6"/>
  <c r="G101" i="6"/>
  <c r="E101" i="6"/>
  <c r="C101" i="6"/>
  <c r="AE100" i="6"/>
  <c r="AC100" i="6"/>
  <c r="AA100" i="6"/>
  <c r="Y100" i="6"/>
  <c r="W100" i="6"/>
  <c r="U100" i="6"/>
  <c r="S100" i="6"/>
  <c r="Q100" i="6"/>
  <c r="O100" i="6"/>
  <c r="M100" i="6"/>
  <c r="K100" i="6"/>
  <c r="I100" i="6"/>
  <c r="G100" i="6"/>
  <c r="E100" i="6"/>
  <c r="C100" i="6"/>
  <c r="AE99" i="6"/>
  <c r="AC99" i="6"/>
  <c r="AA99" i="6"/>
  <c r="Y99" i="6"/>
  <c r="W99" i="6"/>
  <c r="U99" i="6"/>
  <c r="S99" i="6"/>
  <c r="Q99" i="6"/>
  <c r="O99" i="6"/>
  <c r="M99" i="6"/>
  <c r="K99" i="6"/>
  <c r="I99" i="6"/>
  <c r="G99" i="6"/>
  <c r="E99" i="6"/>
  <c r="C99" i="6"/>
  <c r="AE98" i="6"/>
  <c r="AC98" i="6"/>
  <c r="AA98" i="6"/>
  <c r="Y98" i="6"/>
  <c r="W98" i="6"/>
  <c r="U98" i="6"/>
  <c r="S98" i="6"/>
  <c r="Q98" i="6"/>
  <c r="O98" i="6"/>
  <c r="M98" i="6"/>
  <c r="K98" i="6"/>
  <c r="I98" i="6"/>
  <c r="G98" i="6"/>
  <c r="E98" i="6"/>
  <c r="C98" i="6"/>
  <c r="AE97" i="6"/>
  <c r="AC97" i="6"/>
  <c r="AA97" i="6"/>
  <c r="Y97" i="6"/>
  <c r="W97" i="6"/>
  <c r="U97" i="6"/>
  <c r="S97" i="6"/>
  <c r="Q97" i="6"/>
  <c r="O97" i="6"/>
  <c r="M97" i="6"/>
  <c r="K97" i="6"/>
  <c r="I97" i="6"/>
  <c r="G97" i="6"/>
  <c r="E97" i="6"/>
  <c r="C97" i="6"/>
  <c r="AE96" i="6"/>
  <c r="AC96" i="6"/>
  <c r="AA96" i="6"/>
  <c r="Y96" i="6"/>
  <c r="W96" i="6"/>
  <c r="U96" i="6"/>
  <c r="S96" i="6"/>
  <c r="Q96" i="6"/>
  <c r="O96" i="6"/>
  <c r="M96" i="6"/>
  <c r="K96" i="6"/>
  <c r="I96" i="6"/>
  <c r="G96" i="6"/>
  <c r="E96" i="6"/>
  <c r="C96" i="6"/>
  <c r="AE95" i="6"/>
  <c r="AC95" i="6"/>
  <c r="AA95" i="6"/>
  <c r="Y95" i="6"/>
  <c r="W95" i="6"/>
  <c r="U95" i="6"/>
  <c r="S95" i="6"/>
  <c r="Q95" i="6"/>
  <c r="O95" i="6"/>
  <c r="M95" i="6"/>
  <c r="K95" i="6"/>
  <c r="I95" i="6"/>
  <c r="G95" i="6"/>
  <c r="E95" i="6"/>
  <c r="C95" i="6"/>
  <c r="AE94" i="6"/>
  <c r="AC94" i="6"/>
  <c r="AA94" i="6"/>
  <c r="Y94" i="6"/>
  <c r="W94" i="6"/>
  <c r="U94" i="6"/>
  <c r="S94" i="6"/>
  <c r="Q94" i="6"/>
  <c r="O94" i="6"/>
  <c r="M94" i="6"/>
  <c r="K94" i="6"/>
  <c r="I94" i="6"/>
  <c r="G94" i="6"/>
  <c r="E94" i="6"/>
  <c r="C94" i="6"/>
  <c r="AE93" i="6"/>
  <c r="AC93" i="6"/>
  <c r="AA93" i="6"/>
  <c r="Y93" i="6"/>
  <c r="W93" i="6"/>
  <c r="U93" i="6"/>
  <c r="S93" i="6"/>
  <c r="Q93" i="6"/>
  <c r="O93" i="6"/>
  <c r="M93" i="6"/>
  <c r="K93" i="6"/>
  <c r="I93" i="6"/>
  <c r="G93" i="6"/>
  <c r="E93" i="6"/>
  <c r="C93" i="6"/>
  <c r="AE92" i="6"/>
  <c r="AC92" i="6"/>
  <c r="AA92" i="6"/>
  <c r="Y92" i="6"/>
  <c r="W92" i="6"/>
  <c r="U92" i="6"/>
  <c r="S92" i="6"/>
  <c r="Q92" i="6"/>
  <c r="O92" i="6"/>
  <c r="M92" i="6"/>
  <c r="K92" i="6"/>
  <c r="I92" i="6"/>
  <c r="G92" i="6"/>
  <c r="E92" i="6"/>
  <c r="C92" i="6"/>
  <c r="AE91" i="6"/>
  <c r="AC91" i="6"/>
  <c r="AA91" i="6"/>
  <c r="Y91" i="6"/>
  <c r="W91" i="6"/>
  <c r="U91" i="6"/>
  <c r="S91" i="6"/>
  <c r="Q91" i="6"/>
  <c r="O91" i="6"/>
  <c r="M91" i="6"/>
  <c r="K91" i="6"/>
  <c r="I91" i="6"/>
  <c r="G91" i="6"/>
  <c r="E91" i="6"/>
  <c r="C91" i="6"/>
  <c r="AE90" i="6"/>
  <c r="AC90" i="6"/>
  <c r="AA90" i="6"/>
  <c r="Y90" i="6"/>
  <c r="W90" i="6"/>
  <c r="U90" i="6"/>
  <c r="S90" i="6"/>
  <c r="Q90" i="6"/>
  <c r="O90" i="6"/>
  <c r="M90" i="6"/>
  <c r="K90" i="6"/>
  <c r="I90" i="6"/>
  <c r="G90" i="6"/>
  <c r="E90" i="6"/>
  <c r="C90" i="6"/>
  <c r="AE89" i="6"/>
  <c r="AC89" i="6"/>
  <c r="AA89" i="6"/>
  <c r="Y89" i="6"/>
  <c r="W89" i="6"/>
  <c r="U89" i="6"/>
  <c r="S89" i="6"/>
  <c r="Q89" i="6"/>
  <c r="O89" i="6"/>
  <c r="M89" i="6"/>
  <c r="K89" i="6"/>
  <c r="I89" i="6"/>
  <c r="G89" i="6"/>
  <c r="E89" i="6"/>
  <c r="C89" i="6"/>
  <c r="AE88" i="6"/>
  <c r="AC88" i="6"/>
  <c r="AA88" i="6"/>
  <c r="Y88" i="6"/>
  <c r="W88" i="6"/>
  <c r="U88" i="6"/>
  <c r="S88" i="6"/>
  <c r="Q88" i="6"/>
  <c r="O88" i="6"/>
  <c r="M88" i="6"/>
  <c r="K88" i="6"/>
  <c r="I88" i="6"/>
  <c r="G88" i="6"/>
  <c r="E88" i="6"/>
  <c r="C88" i="6"/>
  <c r="AE87" i="6"/>
  <c r="AC87" i="6"/>
  <c r="AA87" i="6"/>
  <c r="Y87" i="6"/>
  <c r="W87" i="6"/>
  <c r="U87" i="6"/>
  <c r="S87" i="6"/>
  <c r="Q87" i="6"/>
  <c r="O87" i="6"/>
  <c r="M87" i="6"/>
  <c r="K87" i="6"/>
  <c r="I87" i="6"/>
  <c r="G87" i="6"/>
  <c r="E87" i="6"/>
  <c r="C87" i="6"/>
  <c r="AE86" i="6"/>
  <c r="AC86" i="6"/>
  <c r="AA86" i="6"/>
  <c r="Y86" i="6"/>
  <c r="W86" i="6"/>
  <c r="U86" i="6"/>
  <c r="S86" i="6"/>
  <c r="Q86" i="6"/>
  <c r="O86" i="6"/>
  <c r="M86" i="6"/>
  <c r="K86" i="6"/>
  <c r="I86" i="6"/>
  <c r="G86" i="6"/>
  <c r="E86" i="6"/>
  <c r="C86" i="6"/>
  <c r="AE85" i="6"/>
  <c r="AC85" i="6"/>
  <c r="AA85" i="6"/>
  <c r="Y85" i="6"/>
  <c r="W85" i="6"/>
  <c r="U85" i="6"/>
  <c r="S85" i="6"/>
  <c r="Q85" i="6"/>
  <c r="O85" i="6"/>
  <c r="M85" i="6"/>
  <c r="K85" i="6"/>
  <c r="I85" i="6"/>
  <c r="G85" i="6"/>
  <c r="E85" i="6"/>
  <c r="C85" i="6"/>
  <c r="AE84" i="6"/>
  <c r="AC84" i="6"/>
  <c r="AA84" i="6"/>
  <c r="Y84" i="6"/>
  <c r="W84" i="6"/>
  <c r="U84" i="6"/>
  <c r="S84" i="6"/>
  <c r="Q84" i="6"/>
  <c r="O84" i="6"/>
  <c r="M84" i="6"/>
  <c r="K84" i="6"/>
  <c r="I84" i="6"/>
  <c r="G84" i="6"/>
  <c r="E84" i="6"/>
  <c r="C84" i="6"/>
  <c r="AE83" i="6"/>
  <c r="AC83" i="6"/>
  <c r="AA83" i="6"/>
  <c r="Y83" i="6"/>
  <c r="W83" i="6"/>
  <c r="U83" i="6"/>
  <c r="S83" i="6"/>
  <c r="Q83" i="6"/>
  <c r="O83" i="6"/>
  <c r="M83" i="6"/>
  <c r="K83" i="6"/>
  <c r="I83" i="6"/>
  <c r="G83" i="6"/>
  <c r="E83" i="6"/>
  <c r="C83" i="6"/>
  <c r="AE82" i="6"/>
  <c r="AC82" i="6"/>
  <c r="AA82" i="6"/>
  <c r="Y82" i="6"/>
  <c r="W82" i="6"/>
  <c r="U82" i="6"/>
  <c r="S82" i="6"/>
  <c r="Q82" i="6"/>
  <c r="O82" i="6"/>
  <c r="M82" i="6"/>
  <c r="K82" i="6"/>
  <c r="I82" i="6"/>
  <c r="G82" i="6"/>
  <c r="E82" i="6"/>
  <c r="C82" i="6"/>
  <c r="AE81" i="6"/>
  <c r="AC81" i="6"/>
  <c r="AA81" i="6"/>
  <c r="Y81" i="6"/>
  <c r="W81" i="6"/>
  <c r="U81" i="6"/>
  <c r="S81" i="6"/>
  <c r="Q81" i="6"/>
  <c r="O81" i="6"/>
  <c r="M81" i="6"/>
  <c r="K81" i="6"/>
  <c r="I81" i="6"/>
  <c r="G81" i="6"/>
  <c r="E81" i="6"/>
  <c r="C81" i="6"/>
  <c r="AE80" i="6"/>
  <c r="AC80" i="6"/>
  <c r="AA80" i="6"/>
  <c r="Y80" i="6"/>
  <c r="W80" i="6"/>
  <c r="U80" i="6"/>
  <c r="S80" i="6"/>
  <c r="Q80" i="6"/>
  <c r="O80" i="6"/>
  <c r="M80" i="6"/>
  <c r="K80" i="6"/>
  <c r="I80" i="6"/>
  <c r="G80" i="6"/>
  <c r="E80" i="6"/>
  <c r="C80" i="6"/>
  <c r="AE79" i="6"/>
  <c r="AC79" i="6"/>
  <c r="AA79" i="6"/>
  <c r="Y79" i="6"/>
  <c r="W79" i="6"/>
  <c r="U79" i="6"/>
  <c r="S79" i="6"/>
  <c r="Q79" i="6"/>
  <c r="O79" i="6"/>
  <c r="M79" i="6"/>
  <c r="K79" i="6"/>
  <c r="I79" i="6"/>
  <c r="G79" i="6"/>
  <c r="E79" i="6"/>
  <c r="C79" i="6"/>
  <c r="AE78" i="6"/>
  <c r="AC78" i="6"/>
  <c r="AA78" i="6"/>
  <c r="Y78" i="6"/>
  <c r="W78" i="6"/>
  <c r="U78" i="6"/>
  <c r="S78" i="6"/>
  <c r="Q78" i="6"/>
  <c r="O78" i="6"/>
  <c r="M78" i="6"/>
  <c r="K78" i="6"/>
  <c r="I78" i="6"/>
  <c r="G78" i="6"/>
  <c r="E78" i="6"/>
  <c r="C78" i="6"/>
  <c r="AE77" i="6"/>
  <c r="AC77" i="6"/>
  <c r="AA77" i="6"/>
  <c r="Y77" i="6"/>
  <c r="W77" i="6"/>
  <c r="U77" i="6"/>
  <c r="S77" i="6"/>
  <c r="Q77" i="6"/>
  <c r="O77" i="6"/>
  <c r="M77" i="6"/>
  <c r="K77" i="6"/>
  <c r="I77" i="6"/>
  <c r="G77" i="6"/>
  <c r="E77" i="6"/>
  <c r="C77" i="6"/>
  <c r="AE76" i="6"/>
  <c r="AC76" i="6"/>
  <c r="AA76" i="6"/>
  <c r="Y76" i="6"/>
  <c r="W76" i="6"/>
  <c r="U76" i="6"/>
  <c r="S76" i="6"/>
  <c r="Q76" i="6"/>
  <c r="O76" i="6"/>
  <c r="M76" i="6"/>
  <c r="K76" i="6"/>
  <c r="I76" i="6"/>
  <c r="G76" i="6"/>
  <c r="E76" i="6"/>
  <c r="C76" i="6"/>
  <c r="AE75" i="6"/>
  <c r="AC75" i="6"/>
  <c r="AA75" i="6"/>
  <c r="Y75" i="6"/>
  <c r="W75" i="6"/>
  <c r="U75" i="6"/>
  <c r="S75" i="6"/>
  <c r="Q75" i="6"/>
  <c r="O75" i="6"/>
  <c r="M75" i="6"/>
  <c r="K75" i="6"/>
  <c r="I75" i="6"/>
  <c r="G75" i="6"/>
  <c r="E75" i="6"/>
  <c r="C75" i="6"/>
  <c r="AE74" i="6"/>
  <c r="AC74" i="6"/>
  <c r="AA74" i="6"/>
  <c r="Y74" i="6"/>
  <c r="W74" i="6"/>
  <c r="U74" i="6"/>
  <c r="S74" i="6"/>
  <c r="Q74" i="6"/>
  <c r="O74" i="6"/>
  <c r="M74" i="6"/>
  <c r="K74" i="6"/>
  <c r="I74" i="6"/>
  <c r="G74" i="6"/>
  <c r="E74" i="6"/>
  <c r="C74" i="6"/>
  <c r="AE73" i="6"/>
  <c r="AC73" i="6"/>
  <c r="AA73" i="6"/>
  <c r="Y73" i="6"/>
  <c r="W73" i="6"/>
  <c r="U73" i="6"/>
  <c r="S73" i="6"/>
  <c r="Q73" i="6"/>
  <c r="O73" i="6"/>
  <c r="M73" i="6"/>
  <c r="K73" i="6"/>
  <c r="I73" i="6"/>
  <c r="G73" i="6"/>
  <c r="E73" i="6"/>
  <c r="C73" i="6"/>
  <c r="AE72" i="6"/>
  <c r="AC72" i="6"/>
  <c r="AA72" i="6"/>
  <c r="Y72" i="6"/>
  <c r="W72" i="6"/>
  <c r="U72" i="6"/>
  <c r="S72" i="6"/>
  <c r="Q72" i="6"/>
  <c r="O72" i="6"/>
  <c r="M72" i="6"/>
  <c r="K72" i="6"/>
  <c r="I72" i="6"/>
  <c r="G72" i="6"/>
  <c r="E72" i="6"/>
  <c r="C72" i="6"/>
  <c r="Z196" i="10"/>
  <c r="Y196" i="10"/>
  <c r="X196" i="10"/>
  <c r="W196" i="10"/>
  <c r="V196" i="10"/>
  <c r="U196" i="10"/>
  <c r="T196" i="10"/>
  <c r="S196" i="10"/>
  <c r="R196" i="10"/>
  <c r="Q196" i="10"/>
  <c r="P196" i="10"/>
  <c r="O196" i="10"/>
  <c r="N196" i="10"/>
  <c r="M196" i="10"/>
  <c r="L196" i="10"/>
  <c r="K196" i="10"/>
  <c r="J196" i="10"/>
  <c r="I196" i="10"/>
  <c r="H196" i="10"/>
  <c r="G196" i="10"/>
  <c r="F196" i="10"/>
  <c r="E196" i="10"/>
  <c r="D196" i="10"/>
  <c r="C196" i="10"/>
  <c r="B196" i="10"/>
  <c r="Z197" i="10"/>
  <c r="Y197" i="10"/>
  <c r="X197" i="10"/>
  <c r="W197" i="10"/>
  <c r="V197" i="10"/>
  <c r="U197" i="10"/>
  <c r="T197" i="10"/>
  <c r="S197" i="10"/>
  <c r="R197" i="10"/>
  <c r="Q197" i="10"/>
  <c r="P197" i="10"/>
  <c r="O197" i="10"/>
  <c r="N197" i="10"/>
  <c r="M197" i="10"/>
  <c r="L197" i="10"/>
  <c r="K197" i="10"/>
  <c r="J197" i="10"/>
  <c r="I197" i="10"/>
  <c r="H197" i="10"/>
  <c r="G197" i="10"/>
  <c r="F197" i="10"/>
  <c r="E197" i="10"/>
  <c r="D197" i="10"/>
  <c r="C197" i="10"/>
  <c r="B197" i="10"/>
  <c r="Z198" i="10"/>
  <c r="Y198" i="10"/>
  <c r="X198" i="10"/>
  <c r="W198" i="10"/>
  <c r="V198" i="10"/>
  <c r="U198" i="10"/>
  <c r="T198" i="10"/>
  <c r="S198" i="10"/>
  <c r="R198" i="10"/>
  <c r="Q198" i="10"/>
  <c r="P198" i="10"/>
  <c r="O198" i="10"/>
  <c r="N198" i="10"/>
  <c r="M198" i="10"/>
  <c r="L198" i="10"/>
  <c r="K198" i="10"/>
  <c r="J198" i="10"/>
  <c r="I198" i="10"/>
  <c r="H198" i="10"/>
  <c r="G198" i="10"/>
  <c r="F198" i="10"/>
  <c r="E198" i="10"/>
  <c r="D198" i="10"/>
  <c r="C198" i="10"/>
  <c r="B198" i="10"/>
  <c r="Z199" i="10"/>
  <c r="Y199" i="10"/>
  <c r="X199" i="10"/>
  <c r="W199" i="10"/>
  <c r="V199" i="10"/>
  <c r="U199" i="10"/>
  <c r="T199" i="10"/>
  <c r="S199" i="10"/>
  <c r="R199" i="10"/>
  <c r="Q199" i="10"/>
  <c r="P199" i="10"/>
  <c r="O199" i="10"/>
  <c r="N199" i="10"/>
  <c r="M199" i="10"/>
  <c r="L199" i="10"/>
  <c r="K199" i="10"/>
  <c r="J199" i="10"/>
  <c r="I199" i="10"/>
  <c r="H199" i="10"/>
  <c r="G199" i="10"/>
  <c r="F199" i="10"/>
  <c r="E199" i="10"/>
  <c r="D199" i="10"/>
  <c r="C199" i="10"/>
  <c r="B199" i="10"/>
  <c r="Z200" i="10"/>
  <c r="Y200" i="10"/>
  <c r="X200" i="10"/>
  <c r="W200" i="10"/>
  <c r="V200" i="10"/>
  <c r="U200" i="10"/>
  <c r="T200" i="10"/>
  <c r="S200" i="10"/>
  <c r="R200" i="10"/>
  <c r="Q200" i="10"/>
  <c r="P200" i="10"/>
  <c r="O200" i="10"/>
  <c r="N200" i="10"/>
  <c r="M200" i="10"/>
  <c r="L200" i="10"/>
  <c r="K200" i="10"/>
  <c r="J200" i="10"/>
  <c r="I200" i="10"/>
  <c r="H200" i="10"/>
  <c r="G200" i="10"/>
  <c r="F200" i="10"/>
  <c r="E200" i="10"/>
  <c r="D200" i="10"/>
  <c r="C200" i="10"/>
  <c r="B200" i="10"/>
  <c r="Z201" i="10"/>
  <c r="Y201" i="10"/>
  <c r="X201" i="10"/>
  <c r="W201" i="10"/>
  <c r="V201" i="10"/>
  <c r="U201" i="10"/>
  <c r="T201" i="10"/>
  <c r="S201" i="10"/>
  <c r="R201" i="10"/>
  <c r="Q201" i="10"/>
  <c r="P201" i="10"/>
  <c r="O201" i="10"/>
  <c r="N201" i="10"/>
  <c r="M201" i="10"/>
  <c r="L201" i="10"/>
  <c r="K201" i="10"/>
  <c r="J201" i="10"/>
  <c r="I201" i="10"/>
  <c r="H201" i="10"/>
  <c r="G201" i="10"/>
  <c r="F201" i="10"/>
  <c r="E201" i="10"/>
  <c r="D201" i="10"/>
  <c r="C201" i="10"/>
  <c r="B201" i="10"/>
  <c r="A686" i="10"/>
  <c r="A687" i="10" s="1"/>
  <c r="A688" i="10" s="1"/>
  <c r="A689" i="10" s="1"/>
  <c r="A690" i="10" s="1"/>
  <c r="A691" i="10" s="1"/>
  <c r="A692" i="10" s="1"/>
  <c r="A693" i="10" s="1"/>
  <c r="A694" i="10" s="1"/>
  <c r="A695" i="10" s="1"/>
  <c r="A696" i="10" s="1"/>
  <c r="A697" i="10" s="1"/>
  <c r="A698" i="10" s="1"/>
  <c r="A699" i="10" s="1"/>
  <c r="A700" i="10" s="1"/>
  <c r="A701" i="10" s="1"/>
  <c r="A702" i="10" s="1"/>
  <c r="A703" i="10" s="1"/>
  <c r="A704" i="10" s="1"/>
  <c r="A705" i="10" s="1"/>
  <c r="A706" i="10" s="1"/>
  <c r="A707" i="10" s="1"/>
  <c r="A708" i="10" s="1"/>
  <c r="A709" i="10" s="1"/>
  <c r="A710" i="10" s="1"/>
  <c r="A711" i="10" s="1"/>
  <c r="A712" i="10" s="1"/>
  <c r="A713" i="10" s="1"/>
  <c r="A714" i="10" s="1"/>
  <c r="A715" i="10" s="1"/>
  <c r="A716" i="10" s="1"/>
  <c r="A717" i="10" s="1"/>
  <c r="A718" i="10" s="1"/>
  <c r="A719" i="10" s="1"/>
  <c r="A720" i="10" s="1"/>
  <c r="A721" i="10" s="1"/>
  <c r="A722" i="10" s="1"/>
  <c r="A723" i="10" s="1"/>
  <c r="A724" i="10" s="1"/>
  <c r="A725" i="10" s="1"/>
  <c r="A726" i="10" s="1"/>
  <c r="A727" i="10" s="1"/>
  <c r="A728" i="10" s="1"/>
  <c r="A729" i="10" s="1"/>
  <c r="A730" i="10" s="1"/>
  <c r="M656" i="10"/>
  <c r="M657" i="10"/>
  <c r="M658" i="10"/>
  <c r="M659" i="10"/>
  <c r="M660" i="10"/>
  <c r="M661" i="10"/>
  <c r="M662" i="10"/>
  <c r="M663" i="10"/>
  <c r="M664" i="10"/>
  <c r="M665" i="10"/>
  <c r="M666" i="10"/>
  <c r="M667" i="10"/>
  <c r="M668" i="10"/>
  <c r="M669" i="10"/>
  <c r="M670" i="10"/>
  <c r="M671" i="10"/>
  <c r="M672" i="10"/>
  <c r="M655" i="10"/>
  <c r="B656" i="10"/>
  <c r="C656" i="10"/>
  <c r="D656" i="10"/>
  <c r="E656" i="10"/>
  <c r="F656" i="10"/>
  <c r="G656" i="10"/>
  <c r="H656" i="10"/>
  <c r="I656" i="10"/>
  <c r="J656" i="10"/>
  <c r="K656" i="10"/>
  <c r="L656" i="10"/>
  <c r="B657" i="10"/>
  <c r="C657" i="10"/>
  <c r="D657" i="10"/>
  <c r="E657" i="10"/>
  <c r="F657" i="10"/>
  <c r="G657" i="10"/>
  <c r="H657" i="10"/>
  <c r="I657" i="10"/>
  <c r="J657" i="10"/>
  <c r="K657" i="10"/>
  <c r="L657" i="10"/>
  <c r="B658" i="10"/>
  <c r="C658" i="10"/>
  <c r="D658" i="10"/>
  <c r="E658" i="10"/>
  <c r="F658" i="10"/>
  <c r="G658" i="10"/>
  <c r="H658" i="10"/>
  <c r="I658" i="10"/>
  <c r="J658" i="10"/>
  <c r="K658" i="10"/>
  <c r="L658" i="10"/>
  <c r="B659" i="10"/>
  <c r="C659" i="10"/>
  <c r="D659" i="10"/>
  <c r="E659" i="10"/>
  <c r="F659" i="10"/>
  <c r="G659" i="10"/>
  <c r="H659" i="10"/>
  <c r="I659" i="10"/>
  <c r="J659" i="10"/>
  <c r="K659" i="10"/>
  <c r="L659" i="10"/>
  <c r="B660" i="10"/>
  <c r="C660" i="10"/>
  <c r="D660" i="10"/>
  <c r="E660" i="10"/>
  <c r="F660" i="10"/>
  <c r="G660" i="10"/>
  <c r="H660" i="10"/>
  <c r="I660" i="10"/>
  <c r="J660" i="10"/>
  <c r="K660" i="10"/>
  <c r="L660" i="10"/>
  <c r="B661" i="10"/>
  <c r="C661" i="10"/>
  <c r="D661" i="10"/>
  <c r="E661" i="10"/>
  <c r="F661" i="10"/>
  <c r="G661" i="10"/>
  <c r="H661" i="10"/>
  <c r="I661" i="10"/>
  <c r="J661" i="10"/>
  <c r="K661" i="10"/>
  <c r="L661" i="10"/>
  <c r="B662" i="10"/>
  <c r="C662" i="10"/>
  <c r="D662" i="10"/>
  <c r="E662" i="10"/>
  <c r="F662" i="10"/>
  <c r="G662" i="10"/>
  <c r="H662" i="10"/>
  <c r="I662" i="10"/>
  <c r="J662" i="10"/>
  <c r="K662" i="10"/>
  <c r="L662" i="10"/>
  <c r="B663" i="10"/>
  <c r="C663" i="10"/>
  <c r="D663" i="10"/>
  <c r="E663" i="10"/>
  <c r="F663" i="10"/>
  <c r="G663" i="10"/>
  <c r="H663" i="10"/>
  <c r="I663" i="10"/>
  <c r="J663" i="10"/>
  <c r="K663" i="10"/>
  <c r="L663" i="10"/>
  <c r="B664" i="10"/>
  <c r="C664" i="10"/>
  <c r="D664" i="10"/>
  <c r="E664" i="10"/>
  <c r="F664" i="10"/>
  <c r="G664" i="10"/>
  <c r="H664" i="10"/>
  <c r="I664" i="10"/>
  <c r="J664" i="10"/>
  <c r="K664" i="10"/>
  <c r="L664" i="10"/>
  <c r="B665" i="10"/>
  <c r="C665" i="10"/>
  <c r="D665" i="10"/>
  <c r="E665" i="10"/>
  <c r="F665" i="10"/>
  <c r="G665" i="10"/>
  <c r="H665" i="10"/>
  <c r="I665" i="10"/>
  <c r="J665" i="10"/>
  <c r="K665" i="10"/>
  <c r="L665" i="10"/>
  <c r="B666" i="10"/>
  <c r="C666" i="10"/>
  <c r="D666" i="10"/>
  <c r="E666" i="10"/>
  <c r="F666" i="10"/>
  <c r="G666" i="10"/>
  <c r="H666" i="10"/>
  <c r="I666" i="10"/>
  <c r="J666" i="10"/>
  <c r="K666" i="10"/>
  <c r="L666" i="10"/>
  <c r="B667" i="10"/>
  <c r="C667" i="10"/>
  <c r="D667" i="10"/>
  <c r="E667" i="10"/>
  <c r="F667" i="10"/>
  <c r="G667" i="10"/>
  <c r="H667" i="10"/>
  <c r="I667" i="10"/>
  <c r="J667" i="10"/>
  <c r="K667" i="10"/>
  <c r="L667" i="10"/>
  <c r="B668" i="10"/>
  <c r="C668" i="10"/>
  <c r="D668" i="10"/>
  <c r="E668" i="10"/>
  <c r="F668" i="10"/>
  <c r="G668" i="10"/>
  <c r="H668" i="10"/>
  <c r="I668" i="10"/>
  <c r="J668" i="10"/>
  <c r="K668" i="10"/>
  <c r="L668" i="10"/>
  <c r="B669" i="10"/>
  <c r="C669" i="10"/>
  <c r="D669" i="10"/>
  <c r="E669" i="10"/>
  <c r="F669" i="10"/>
  <c r="G669" i="10"/>
  <c r="H669" i="10"/>
  <c r="I669" i="10"/>
  <c r="J669" i="10"/>
  <c r="K669" i="10"/>
  <c r="L669" i="10"/>
  <c r="B670" i="10"/>
  <c r="C670" i="10"/>
  <c r="D670" i="10"/>
  <c r="E670" i="10"/>
  <c r="F670" i="10"/>
  <c r="G670" i="10"/>
  <c r="H670" i="10"/>
  <c r="I670" i="10"/>
  <c r="J670" i="10"/>
  <c r="K670" i="10"/>
  <c r="L670" i="10"/>
  <c r="B671" i="10"/>
  <c r="C671" i="10"/>
  <c r="D671" i="10"/>
  <c r="E671" i="10"/>
  <c r="F671" i="10"/>
  <c r="G671" i="10"/>
  <c r="H671" i="10"/>
  <c r="I671" i="10"/>
  <c r="J671" i="10"/>
  <c r="K671" i="10"/>
  <c r="L671" i="10"/>
  <c r="B672" i="10"/>
  <c r="C672" i="10"/>
  <c r="D672" i="10"/>
  <c r="E672" i="10"/>
  <c r="F672" i="10"/>
  <c r="G672" i="10"/>
  <c r="H672" i="10"/>
  <c r="I672" i="10"/>
  <c r="J672" i="10"/>
  <c r="K672" i="10"/>
  <c r="L672" i="10"/>
  <c r="L655" i="10"/>
  <c r="K655" i="10"/>
  <c r="J655" i="10"/>
  <c r="I655" i="10"/>
  <c r="H655" i="10"/>
  <c r="G655" i="10"/>
  <c r="F655" i="10"/>
  <c r="E655" i="10"/>
  <c r="D655" i="10"/>
  <c r="C655" i="10"/>
  <c r="B655" i="10"/>
  <c r="B651" i="10"/>
  <c r="C651" i="10"/>
  <c r="D651" i="10"/>
  <c r="E651" i="10"/>
  <c r="F651" i="10"/>
  <c r="G651" i="10"/>
  <c r="H651" i="10"/>
  <c r="I651" i="10"/>
  <c r="J651" i="10"/>
  <c r="K651" i="10"/>
  <c r="L651" i="10"/>
  <c r="M651" i="10"/>
  <c r="N651" i="10"/>
  <c r="O651" i="10"/>
  <c r="P651" i="10"/>
  <c r="Q651" i="10"/>
  <c r="R651" i="10"/>
  <c r="S651" i="10"/>
  <c r="T651" i="10"/>
  <c r="A645" i="10"/>
  <c r="A595" i="10"/>
  <c r="E649" i="10"/>
  <c r="F649" i="10"/>
  <c r="G649" i="10"/>
  <c r="H649" i="10"/>
  <c r="I649" i="10"/>
  <c r="J649" i="10"/>
  <c r="K649" i="10"/>
  <c r="L649" i="10"/>
  <c r="M649" i="10"/>
  <c r="N649" i="10"/>
  <c r="O649" i="10"/>
  <c r="P649" i="10"/>
  <c r="Q649" i="10"/>
  <c r="R649" i="10"/>
  <c r="S649" i="10"/>
  <c r="D649" i="10"/>
  <c r="C649" i="10"/>
  <c r="B649" i="10"/>
  <c r="A413" i="10"/>
  <c r="A412" i="10"/>
  <c r="AQ413" i="10"/>
  <c r="AP413" i="10"/>
  <c r="AO413" i="10"/>
  <c r="AN413" i="10"/>
  <c r="AM413" i="10"/>
  <c r="AL413" i="10"/>
  <c r="AK413" i="10"/>
  <c r="AJ413" i="10"/>
  <c r="AI413" i="10"/>
  <c r="AH413" i="10"/>
  <c r="AG413" i="10"/>
  <c r="AF413" i="10"/>
  <c r="AE413" i="10"/>
  <c r="AD413" i="10"/>
  <c r="AC413" i="10"/>
  <c r="AB413" i="10"/>
  <c r="AA413" i="10"/>
  <c r="Z413" i="10"/>
  <c r="Y413" i="10"/>
  <c r="X413" i="10"/>
  <c r="W413" i="10"/>
  <c r="V413" i="10"/>
  <c r="U413" i="10"/>
  <c r="T413" i="10"/>
  <c r="S413" i="10"/>
  <c r="R413" i="10"/>
  <c r="Q413" i="10"/>
  <c r="P413" i="10"/>
  <c r="O413" i="10"/>
  <c r="N413" i="10"/>
  <c r="M413" i="10"/>
  <c r="L413" i="10"/>
  <c r="AQ407" i="10"/>
  <c r="AP407" i="10"/>
  <c r="AO407" i="10"/>
  <c r="AN407" i="10"/>
  <c r="AM407" i="10"/>
  <c r="AL407" i="10"/>
  <c r="AK407" i="10"/>
  <c r="AJ407" i="10"/>
  <c r="AI407" i="10"/>
  <c r="AH407" i="10"/>
  <c r="AG407" i="10"/>
  <c r="AF407" i="10"/>
  <c r="AE407" i="10"/>
  <c r="AD407" i="10"/>
  <c r="AC407" i="10"/>
  <c r="AB407" i="10"/>
  <c r="AA407" i="10"/>
  <c r="Z407" i="10"/>
  <c r="Y407" i="10"/>
  <c r="X407" i="10"/>
  <c r="W407" i="10"/>
  <c r="V407" i="10"/>
  <c r="U407" i="10"/>
  <c r="T407" i="10"/>
  <c r="S407" i="10"/>
  <c r="R407" i="10"/>
  <c r="Q407" i="10"/>
  <c r="P407" i="10"/>
  <c r="O407" i="10"/>
  <c r="N407" i="10"/>
  <c r="A407" i="10" s="1"/>
  <c r="M407" i="10"/>
  <c r="L407" i="10"/>
  <c r="A406" i="10"/>
  <c r="A399" i="10"/>
  <c r="A400" i="10"/>
  <c r="A401" i="10"/>
  <c r="A46" i="10"/>
  <c r="A45" i="10"/>
  <c r="A44" i="10"/>
  <c r="AC154" i="10"/>
  <c r="AB154" i="10"/>
  <c r="AC199" i="10"/>
  <c r="AB199" i="10"/>
  <c r="AC198" i="10"/>
  <c r="AB198" i="10"/>
  <c r="P268" i="10"/>
  <c r="O268" i="10"/>
  <c r="P316" i="10"/>
  <c r="O316"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1" i="2"/>
  <c r="B273" i="2"/>
  <c r="Z569" i="10"/>
  <c r="Y569" i="10"/>
  <c r="X569" i="10"/>
  <c r="W569" i="10"/>
  <c r="V569" i="10"/>
  <c r="U569" i="10"/>
  <c r="T569" i="10"/>
  <c r="S569" i="10"/>
  <c r="R569" i="10"/>
  <c r="Q569" i="10"/>
  <c r="P569" i="10"/>
  <c r="O569" i="10"/>
  <c r="N569" i="10"/>
  <c r="M569" i="10"/>
  <c r="L569" i="10"/>
  <c r="K569" i="10"/>
  <c r="J569" i="10"/>
  <c r="I569" i="10"/>
  <c r="H569" i="10"/>
  <c r="G569" i="10"/>
  <c r="F569" i="10"/>
  <c r="E569" i="10"/>
  <c r="D569" i="10"/>
  <c r="C569" i="10"/>
  <c r="B569"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B570"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I35" i="10"/>
  <c r="AJ35" i="10"/>
  <c r="AK35" i="10"/>
  <c r="AL35" i="10"/>
  <c r="AM35" i="10"/>
  <c r="AN35" i="10"/>
  <c r="AO35" i="10"/>
  <c r="AP35" i="10"/>
  <c r="AQ35" i="10"/>
  <c r="AR35" i="10"/>
  <c r="AS35" i="10"/>
  <c r="AT35" i="10"/>
  <c r="AU35" i="10"/>
  <c r="W244" i="6" l="1"/>
  <c r="Y244" i="6" s="1"/>
  <c r="W234" i="6"/>
  <c r="Y234" i="6" s="1"/>
  <c r="C249" i="6"/>
  <c r="S250" i="6"/>
  <c r="G249" i="6"/>
  <c r="Q250" i="6"/>
  <c r="U255" i="6"/>
  <c r="AM255" i="6" s="1"/>
  <c r="W241" i="6"/>
  <c r="Y241" i="6" s="1"/>
  <c r="W239" i="6"/>
  <c r="Y239" i="6" s="1"/>
  <c r="W237" i="6"/>
  <c r="Y237" i="6" s="1"/>
  <c r="E250" i="6"/>
  <c r="O250" i="6"/>
  <c r="U241" i="6"/>
  <c r="U239" i="6"/>
  <c r="U233" i="6"/>
  <c r="W233" i="6" s="1"/>
  <c r="Y233" i="6" s="1"/>
  <c r="U231" i="6"/>
  <c r="M250" i="6"/>
  <c r="U245" i="6"/>
  <c r="W245" i="6" s="1"/>
  <c r="Y245" i="6" s="1"/>
  <c r="U243" i="6"/>
  <c r="W243" i="6" s="1"/>
  <c r="Y243" i="6" s="1"/>
  <c r="U235" i="6"/>
  <c r="K250" i="6"/>
  <c r="U247" i="6"/>
  <c r="U240" i="6"/>
  <c r="U230" i="6"/>
  <c r="I250" i="6"/>
  <c r="K249" i="6"/>
  <c r="AG276" i="6"/>
  <c r="G250" i="6"/>
  <c r="O249" i="6"/>
  <c r="W235" i="6"/>
  <c r="Y235" i="6" s="1"/>
  <c r="W247" i="6"/>
  <c r="Y247" i="6" s="1"/>
  <c r="W246" i="6"/>
  <c r="Y246" i="6" s="1"/>
  <c r="W240" i="6"/>
  <c r="Y240" i="6" s="1"/>
  <c r="W238" i="6"/>
  <c r="Y238" i="6" s="1"/>
  <c r="W236" i="6"/>
  <c r="Y236" i="6" s="1"/>
  <c r="U249" i="6"/>
  <c r="W242" i="6"/>
  <c r="Y242" i="6" s="1"/>
  <c r="W232" i="6"/>
  <c r="Y232" i="6" s="1"/>
  <c r="AM266" i="6"/>
  <c r="I249" i="6"/>
  <c r="AM257" i="6"/>
  <c r="W230" i="6"/>
  <c r="A651" i="10"/>
  <c r="M249" i="6"/>
  <c r="AM256" i="6"/>
  <c r="Q249" i="6"/>
  <c r="AM269" i="6"/>
  <c r="S249" i="6"/>
  <c r="AG275" i="6"/>
  <c r="C250" i="6"/>
  <c r="W231" i="6"/>
  <c r="Y231" i="6" s="1"/>
  <c r="E249" i="6"/>
  <c r="AM262" i="6"/>
  <c r="AM273" i="6"/>
  <c r="AM268" i="6"/>
  <c r="AM258" i="6"/>
  <c r="AM263" i="6"/>
  <c r="AM264" i="6"/>
  <c r="AM261" i="6"/>
  <c r="AM260" i="6"/>
  <c r="AM259" i="6"/>
  <c r="AM272" i="6"/>
  <c r="AM270" i="6"/>
  <c r="AM271" i="6"/>
  <c r="AM267" i="6"/>
  <c r="AM265" i="6"/>
  <c r="AG72" i="6"/>
  <c r="AG76" i="6"/>
  <c r="AG78" i="6"/>
  <c r="AG84" i="6"/>
  <c r="AG86" i="6"/>
  <c r="AG88" i="6"/>
  <c r="AG92" i="6"/>
  <c r="AG96" i="6"/>
  <c r="AG98" i="6"/>
  <c r="AG102" i="6"/>
  <c r="AG104" i="6"/>
  <c r="AG108" i="6"/>
  <c r="AG113" i="6"/>
  <c r="AG79" i="6"/>
  <c r="AG80" i="6"/>
  <c r="AG91" i="6"/>
  <c r="AG97" i="6"/>
  <c r="AG101" i="6"/>
  <c r="AG103" i="6"/>
  <c r="AG105" i="6"/>
  <c r="AG73" i="6"/>
  <c r="AG94" i="6"/>
  <c r="AG77" i="6"/>
  <c r="AG81" i="6"/>
  <c r="AG87" i="6"/>
  <c r="AG99" i="6"/>
  <c r="AG82" i="6"/>
  <c r="AG83" i="6"/>
  <c r="AG89" i="6"/>
  <c r="AG93" i="6"/>
  <c r="AG74" i="6"/>
  <c r="AG90" i="6"/>
  <c r="AG75" i="6"/>
  <c r="AG85" i="6"/>
  <c r="AG95" i="6"/>
  <c r="AG100" i="6"/>
  <c r="AG106" i="6"/>
  <c r="AG107" i="6"/>
  <c r="AG112" i="6"/>
  <c r="AG109" i="6"/>
  <c r="AG111" i="6"/>
  <c r="AG114" i="6"/>
  <c r="M484" i="10"/>
  <c r="M483" i="10"/>
  <c r="M482" i="10"/>
  <c r="M481" i="10"/>
  <c r="M480" i="10"/>
  <c r="M479" i="10"/>
  <c r="M478" i="10"/>
  <c r="M477" i="10"/>
  <c r="M476" i="10"/>
  <c r="M475" i="10"/>
  <c r="M474" i="10"/>
  <c r="M473" i="10"/>
  <c r="M472" i="10"/>
  <c r="M471" i="10"/>
  <c r="M470" i="10"/>
  <c r="M469" i="10"/>
  <c r="M468" i="10"/>
  <c r="M467" i="10"/>
  <c r="M466" i="10"/>
  <c r="M465" i="10"/>
  <c r="M464" i="10"/>
  <c r="M463" i="10"/>
  <c r="M462" i="10"/>
  <c r="M461" i="10"/>
  <c r="M460" i="10"/>
  <c r="M459" i="10"/>
  <c r="M458" i="10"/>
  <c r="M457" i="10"/>
  <c r="M456" i="10"/>
  <c r="M455" i="10"/>
  <c r="M454" i="10"/>
  <c r="M453" i="10"/>
  <c r="M452" i="10"/>
  <c r="M451" i="10"/>
  <c r="M450" i="10"/>
  <c r="M449" i="10"/>
  <c r="M448" i="10"/>
  <c r="M447" i="10"/>
  <c r="M446" i="10"/>
  <c r="M445" i="10"/>
  <c r="M444" i="10"/>
  <c r="M443" i="10"/>
  <c r="B443" i="10"/>
  <c r="C443" i="10"/>
  <c r="D443" i="10"/>
  <c r="E443" i="10"/>
  <c r="F443" i="10"/>
  <c r="G443" i="10"/>
  <c r="H443" i="10"/>
  <c r="I443" i="10"/>
  <c r="J443" i="10"/>
  <c r="K443" i="10"/>
  <c r="L443" i="10"/>
  <c r="B444" i="10"/>
  <c r="C444" i="10"/>
  <c r="D444" i="10"/>
  <c r="E444" i="10"/>
  <c r="F444" i="10"/>
  <c r="G444" i="10"/>
  <c r="H444" i="10"/>
  <c r="I444" i="10"/>
  <c r="J444" i="10"/>
  <c r="K444" i="10"/>
  <c r="L444" i="10"/>
  <c r="B445" i="10"/>
  <c r="C445" i="10"/>
  <c r="D445" i="10"/>
  <c r="E445" i="10"/>
  <c r="F445" i="10"/>
  <c r="G445" i="10"/>
  <c r="H445" i="10"/>
  <c r="I445" i="10"/>
  <c r="J445" i="10"/>
  <c r="K445" i="10"/>
  <c r="L445" i="10"/>
  <c r="B446" i="10"/>
  <c r="C446" i="10"/>
  <c r="D446" i="10"/>
  <c r="E446" i="10"/>
  <c r="F446" i="10"/>
  <c r="G446" i="10"/>
  <c r="H446" i="10"/>
  <c r="I446" i="10"/>
  <c r="J446" i="10"/>
  <c r="K446" i="10"/>
  <c r="L446" i="10"/>
  <c r="B447" i="10"/>
  <c r="C447" i="10"/>
  <c r="D447" i="10"/>
  <c r="E447" i="10"/>
  <c r="F447" i="10"/>
  <c r="G447" i="10"/>
  <c r="H447" i="10"/>
  <c r="I447" i="10"/>
  <c r="J447" i="10"/>
  <c r="K447" i="10"/>
  <c r="L447" i="10"/>
  <c r="B448" i="10"/>
  <c r="C448" i="10"/>
  <c r="D448" i="10"/>
  <c r="E448" i="10"/>
  <c r="F448" i="10"/>
  <c r="G448" i="10"/>
  <c r="H448" i="10"/>
  <c r="I448" i="10"/>
  <c r="J448" i="10"/>
  <c r="K448" i="10"/>
  <c r="L448" i="10"/>
  <c r="B449" i="10"/>
  <c r="C449" i="10"/>
  <c r="D449" i="10"/>
  <c r="E449" i="10"/>
  <c r="F449" i="10"/>
  <c r="G449" i="10"/>
  <c r="H449" i="10"/>
  <c r="I449" i="10"/>
  <c r="J449" i="10"/>
  <c r="K449" i="10"/>
  <c r="L449" i="10"/>
  <c r="B450" i="10"/>
  <c r="C450" i="10"/>
  <c r="D450" i="10"/>
  <c r="E450" i="10"/>
  <c r="F450" i="10"/>
  <c r="G450" i="10"/>
  <c r="H450" i="10"/>
  <c r="I450" i="10"/>
  <c r="J450" i="10"/>
  <c r="K450" i="10"/>
  <c r="L450" i="10"/>
  <c r="B451" i="10"/>
  <c r="C451" i="10"/>
  <c r="D451" i="10"/>
  <c r="E451" i="10"/>
  <c r="F451" i="10"/>
  <c r="G451" i="10"/>
  <c r="H451" i="10"/>
  <c r="I451" i="10"/>
  <c r="J451" i="10"/>
  <c r="K451" i="10"/>
  <c r="L451" i="10"/>
  <c r="B452" i="10"/>
  <c r="C452" i="10"/>
  <c r="D452" i="10"/>
  <c r="E452" i="10"/>
  <c r="F452" i="10"/>
  <c r="G452" i="10"/>
  <c r="H452" i="10"/>
  <c r="I452" i="10"/>
  <c r="J452" i="10"/>
  <c r="K452" i="10"/>
  <c r="L452" i="10"/>
  <c r="B453" i="10"/>
  <c r="C453" i="10"/>
  <c r="D453" i="10"/>
  <c r="E453" i="10"/>
  <c r="F453" i="10"/>
  <c r="G453" i="10"/>
  <c r="H453" i="10"/>
  <c r="I453" i="10"/>
  <c r="J453" i="10"/>
  <c r="K453" i="10"/>
  <c r="L453" i="10"/>
  <c r="B454" i="10"/>
  <c r="C454" i="10"/>
  <c r="D454" i="10"/>
  <c r="E454" i="10"/>
  <c r="F454" i="10"/>
  <c r="G454" i="10"/>
  <c r="H454" i="10"/>
  <c r="I454" i="10"/>
  <c r="J454" i="10"/>
  <c r="K454" i="10"/>
  <c r="L454" i="10"/>
  <c r="B455" i="10"/>
  <c r="C455" i="10"/>
  <c r="D455" i="10"/>
  <c r="E455" i="10"/>
  <c r="F455" i="10"/>
  <c r="G455" i="10"/>
  <c r="H455" i="10"/>
  <c r="I455" i="10"/>
  <c r="J455" i="10"/>
  <c r="K455" i="10"/>
  <c r="L455" i="10"/>
  <c r="B456" i="10"/>
  <c r="C456" i="10"/>
  <c r="D456" i="10"/>
  <c r="E456" i="10"/>
  <c r="F456" i="10"/>
  <c r="G456" i="10"/>
  <c r="H456" i="10"/>
  <c r="I456" i="10"/>
  <c r="J456" i="10"/>
  <c r="K456" i="10"/>
  <c r="L456" i="10"/>
  <c r="B457" i="10"/>
  <c r="C457" i="10"/>
  <c r="D457" i="10"/>
  <c r="E457" i="10"/>
  <c r="F457" i="10"/>
  <c r="G457" i="10"/>
  <c r="H457" i="10"/>
  <c r="I457" i="10"/>
  <c r="J457" i="10"/>
  <c r="K457" i="10"/>
  <c r="L457" i="10"/>
  <c r="B458" i="10"/>
  <c r="C458" i="10"/>
  <c r="D458" i="10"/>
  <c r="E458" i="10"/>
  <c r="F458" i="10"/>
  <c r="G458" i="10"/>
  <c r="H458" i="10"/>
  <c r="I458" i="10"/>
  <c r="J458" i="10"/>
  <c r="K458" i="10"/>
  <c r="L458" i="10"/>
  <c r="B459" i="10"/>
  <c r="C459" i="10"/>
  <c r="D459" i="10"/>
  <c r="E459" i="10"/>
  <c r="F459" i="10"/>
  <c r="G459" i="10"/>
  <c r="H459" i="10"/>
  <c r="I459" i="10"/>
  <c r="J459" i="10"/>
  <c r="K459" i="10"/>
  <c r="L459" i="10"/>
  <c r="B460" i="10"/>
  <c r="C460" i="10"/>
  <c r="D460" i="10"/>
  <c r="E460" i="10"/>
  <c r="F460" i="10"/>
  <c r="G460" i="10"/>
  <c r="H460" i="10"/>
  <c r="I460" i="10"/>
  <c r="J460" i="10"/>
  <c r="K460" i="10"/>
  <c r="L460" i="10"/>
  <c r="B461" i="10"/>
  <c r="C461" i="10"/>
  <c r="D461" i="10"/>
  <c r="E461" i="10"/>
  <c r="F461" i="10"/>
  <c r="G461" i="10"/>
  <c r="H461" i="10"/>
  <c r="I461" i="10"/>
  <c r="J461" i="10"/>
  <c r="K461" i="10"/>
  <c r="L461" i="10"/>
  <c r="B462" i="10"/>
  <c r="C462" i="10"/>
  <c r="D462" i="10"/>
  <c r="E462" i="10"/>
  <c r="F462" i="10"/>
  <c r="G462" i="10"/>
  <c r="H462" i="10"/>
  <c r="I462" i="10"/>
  <c r="J462" i="10"/>
  <c r="K462" i="10"/>
  <c r="L462" i="10"/>
  <c r="B463" i="10"/>
  <c r="C463" i="10"/>
  <c r="D463" i="10"/>
  <c r="E463" i="10"/>
  <c r="F463" i="10"/>
  <c r="G463" i="10"/>
  <c r="H463" i="10"/>
  <c r="I463" i="10"/>
  <c r="J463" i="10"/>
  <c r="K463" i="10"/>
  <c r="L463" i="10"/>
  <c r="B464" i="10"/>
  <c r="C464" i="10"/>
  <c r="D464" i="10"/>
  <c r="E464" i="10"/>
  <c r="F464" i="10"/>
  <c r="G464" i="10"/>
  <c r="H464" i="10"/>
  <c r="I464" i="10"/>
  <c r="J464" i="10"/>
  <c r="K464" i="10"/>
  <c r="L464" i="10"/>
  <c r="B465" i="10"/>
  <c r="C465" i="10"/>
  <c r="D465" i="10"/>
  <c r="E465" i="10"/>
  <c r="F465" i="10"/>
  <c r="G465" i="10"/>
  <c r="H465" i="10"/>
  <c r="I465" i="10"/>
  <c r="J465" i="10"/>
  <c r="K465" i="10"/>
  <c r="L465" i="10"/>
  <c r="B466" i="10"/>
  <c r="C466" i="10"/>
  <c r="D466" i="10"/>
  <c r="E466" i="10"/>
  <c r="F466" i="10"/>
  <c r="G466" i="10"/>
  <c r="H466" i="10"/>
  <c r="I466" i="10"/>
  <c r="J466" i="10"/>
  <c r="K466" i="10"/>
  <c r="L466" i="10"/>
  <c r="B467" i="10"/>
  <c r="C467" i="10"/>
  <c r="D467" i="10"/>
  <c r="E467" i="10"/>
  <c r="F467" i="10"/>
  <c r="G467" i="10"/>
  <c r="H467" i="10"/>
  <c r="I467" i="10"/>
  <c r="J467" i="10"/>
  <c r="K467" i="10"/>
  <c r="L467" i="10"/>
  <c r="B468" i="10"/>
  <c r="C468" i="10"/>
  <c r="D468" i="10"/>
  <c r="E468" i="10"/>
  <c r="F468" i="10"/>
  <c r="G468" i="10"/>
  <c r="H468" i="10"/>
  <c r="I468" i="10"/>
  <c r="J468" i="10"/>
  <c r="K468" i="10"/>
  <c r="L468" i="10"/>
  <c r="B469" i="10"/>
  <c r="C469" i="10"/>
  <c r="D469" i="10"/>
  <c r="E469" i="10"/>
  <c r="F469" i="10"/>
  <c r="G469" i="10"/>
  <c r="H469" i="10"/>
  <c r="I469" i="10"/>
  <c r="J469" i="10"/>
  <c r="K469" i="10"/>
  <c r="L469" i="10"/>
  <c r="B470" i="10"/>
  <c r="C470" i="10"/>
  <c r="D470" i="10"/>
  <c r="E470" i="10"/>
  <c r="F470" i="10"/>
  <c r="G470" i="10"/>
  <c r="H470" i="10"/>
  <c r="I470" i="10"/>
  <c r="J470" i="10"/>
  <c r="K470" i="10"/>
  <c r="L470" i="10"/>
  <c r="B471" i="10"/>
  <c r="C471" i="10"/>
  <c r="D471" i="10"/>
  <c r="E471" i="10"/>
  <c r="F471" i="10"/>
  <c r="G471" i="10"/>
  <c r="H471" i="10"/>
  <c r="I471" i="10"/>
  <c r="J471" i="10"/>
  <c r="K471" i="10"/>
  <c r="L471" i="10"/>
  <c r="B472" i="10"/>
  <c r="C472" i="10"/>
  <c r="D472" i="10"/>
  <c r="E472" i="10"/>
  <c r="F472" i="10"/>
  <c r="G472" i="10"/>
  <c r="H472" i="10"/>
  <c r="I472" i="10"/>
  <c r="J472" i="10"/>
  <c r="K472" i="10"/>
  <c r="L472" i="10"/>
  <c r="B473" i="10"/>
  <c r="C473" i="10"/>
  <c r="D473" i="10"/>
  <c r="E473" i="10"/>
  <c r="F473" i="10"/>
  <c r="G473" i="10"/>
  <c r="H473" i="10"/>
  <c r="I473" i="10"/>
  <c r="J473" i="10"/>
  <c r="K473" i="10"/>
  <c r="L473" i="10"/>
  <c r="B474" i="10"/>
  <c r="C474" i="10"/>
  <c r="D474" i="10"/>
  <c r="E474" i="10"/>
  <c r="F474" i="10"/>
  <c r="G474" i="10"/>
  <c r="H474" i="10"/>
  <c r="I474" i="10"/>
  <c r="J474" i="10"/>
  <c r="K474" i="10"/>
  <c r="L474" i="10"/>
  <c r="B475" i="10"/>
  <c r="C475" i="10"/>
  <c r="D475" i="10"/>
  <c r="E475" i="10"/>
  <c r="F475" i="10"/>
  <c r="G475" i="10"/>
  <c r="H475" i="10"/>
  <c r="I475" i="10"/>
  <c r="J475" i="10"/>
  <c r="K475" i="10"/>
  <c r="L475" i="10"/>
  <c r="B476" i="10"/>
  <c r="C476" i="10"/>
  <c r="D476" i="10"/>
  <c r="E476" i="10"/>
  <c r="F476" i="10"/>
  <c r="G476" i="10"/>
  <c r="H476" i="10"/>
  <c r="I476" i="10"/>
  <c r="J476" i="10"/>
  <c r="K476" i="10"/>
  <c r="L476" i="10"/>
  <c r="B477" i="10"/>
  <c r="C477" i="10"/>
  <c r="D477" i="10"/>
  <c r="E477" i="10"/>
  <c r="F477" i="10"/>
  <c r="G477" i="10"/>
  <c r="H477" i="10"/>
  <c r="I477" i="10"/>
  <c r="J477" i="10"/>
  <c r="K477" i="10"/>
  <c r="L477" i="10"/>
  <c r="B478" i="10"/>
  <c r="C478" i="10"/>
  <c r="D478" i="10"/>
  <c r="E478" i="10"/>
  <c r="F478" i="10"/>
  <c r="G478" i="10"/>
  <c r="H478" i="10"/>
  <c r="I478" i="10"/>
  <c r="J478" i="10"/>
  <c r="K478" i="10"/>
  <c r="L478" i="10"/>
  <c r="B479" i="10"/>
  <c r="C479" i="10"/>
  <c r="D479" i="10"/>
  <c r="E479" i="10"/>
  <c r="F479" i="10"/>
  <c r="G479" i="10"/>
  <c r="H479" i="10"/>
  <c r="I479" i="10"/>
  <c r="J479" i="10"/>
  <c r="K479" i="10"/>
  <c r="L479" i="10"/>
  <c r="B480" i="10"/>
  <c r="C480" i="10"/>
  <c r="D480" i="10"/>
  <c r="E480" i="10"/>
  <c r="F480" i="10"/>
  <c r="G480" i="10"/>
  <c r="H480" i="10"/>
  <c r="I480" i="10"/>
  <c r="J480" i="10"/>
  <c r="K480" i="10"/>
  <c r="L480" i="10"/>
  <c r="B481" i="10"/>
  <c r="C481" i="10"/>
  <c r="D481" i="10"/>
  <c r="E481" i="10"/>
  <c r="F481" i="10"/>
  <c r="G481" i="10"/>
  <c r="H481" i="10"/>
  <c r="I481" i="10"/>
  <c r="J481" i="10"/>
  <c r="K481" i="10"/>
  <c r="L481" i="10"/>
  <c r="B482" i="10"/>
  <c r="C482" i="10"/>
  <c r="D482" i="10"/>
  <c r="E482" i="10"/>
  <c r="F482" i="10"/>
  <c r="G482" i="10"/>
  <c r="H482" i="10"/>
  <c r="I482" i="10"/>
  <c r="J482" i="10"/>
  <c r="K482" i="10"/>
  <c r="L482" i="10"/>
  <c r="B483" i="10"/>
  <c r="C483" i="10"/>
  <c r="D483" i="10"/>
  <c r="E483" i="10"/>
  <c r="F483" i="10"/>
  <c r="G483" i="10"/>
  <c r="H483" i="10"/>
  <c r="I483" i="10"/>
  <c r="J483" i="10"/>
  <c r="K483" i="10"/>
  <c r="L483" i="10"/>
  <c r="B484" i="10"/>
  <c r="C484" i="10"/>
  <c r="D484" i="10"/>
  <c r="E484" i="10"/>
  <c r="F484" i="10"/>
  <c r="G484" i="10"/>
  <c r="H484" i="10"/>
  <c r="I484" i="10"/>
  <c r="J484" i="10"/>
  <c r="K484" i="10"/>
  <c r="L484"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439" i="10"/>
  <c r="A438" i="10"/>
  <c r="A437" i="10"/>
  <c r="A429" i="10"/>
  <c r="A428" i="10"/>
  <c r="A427" i="10"/>
  <c r="AQ406" i="10"/>
  <c r="AQ411" i="10"/>
  <c r="A411" i="10" s="1"/>
  <c r="AQ405" i="10"/>
  <c r="AP405" i="10"/>
  <c r="AO405" i="10"/>
  <c r="AN405" i="10"/>
  <c r="AM405" i="10"/>
  <c r="AL405" i="10"/>
  <c r="AK405" i="10"/>
  <c r="AJ405" i="10"/>
  <c r="AI405" i="10"/>
  <c r="AH405" i="10"/>
  <c r="AG405" i="10"/>
  <c r="AF405" i="10"/>
  <c r="AE405" i="10"/>
  <c r="AD405" i="10"/>
  <c r="AC405" i="10"/>
  <c r="AB405" i="10"/>
  <c r="AA405" i="10"/>
  <c r="Z405" i="10"/>
  <c r="Y405" i="10"/>
  <c r="X405" i="10"/>
  <c r="W405" i="10"/>
  <c r="V405" i="10"/>
  <c r="U405" i="10"/>
  <c r="T405" i="10"/>
  <c r="S405" i="10"/>
  <c r="R405" i="10"/>
  <c r="Q405" i="10"/>
  <c r="P405" i="10"/>
  <c r="O405" i="10"/>
  <c r="N405" i="10"/>
  <c r="M405" i="10"/>
  <c r="L405" i="10"/>
  <c r="K405" i="10"/>
  <c r="J405" i="10"/>
  <c r="I405" i="10"/>
  <c r="H405" i="10"/>
  <c r="G405" i="10"/>
  <c r="F405" i="10"/>
  <c r="E405" i="10"/>
  <c r="D405" i="10"/>
  <c r="C405" i="10"/>
  <c r="B405" i="10"/>
  <c r="U250" i="6" l="1"/>
  <c r="Y230" i="6"/>
  <c r="W250" i="6"/>
  <c r="W249" i="6"/>
  <c r="A405"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L106" i="10"/>
  <c r="K106" i="10"/>
  <c r="J106" i="10"/>
  <c r="I106" i="10"/>
  <c r="H106" i="10"/>
  <c r="G106" i="10"/>
  <c r="F106" i="10"/>
  <c r="E106" i="10"/>
  <c r="D106" i="10"/>
  <c r="C106" i="10"/>
  <c r="B106" i="10"/>
  <c r="L105" i="10"/>
  <c r="K105" i="10"/>
  <c r="J105" i="10"/>
  <c r="I105" i="10"/>
  <c r="H105" i="10"/>
  <c r="G105" i="10"/>
  <c r="F105" i="10"/>
  <c r="E105" i="10"/>
  <c r="D105" i="10"/>
  <c r="C105" i="10"/>
  <c r="B105" i="10"/>
  <c r="L104" i="10"/>
  <c r="K104" i="10"/>
  <c r="J104" i="10"/>
  <c r="I104" i="10"/>
  <c r="H104" i="10"/>
  <c r="G104" i="10"/>
  <c r="F104" i="10"/>
  <c r="E104" i="10"/>
  <c r="D104" i="10"/>
  <c r="C104" i="10"/>
  <c r="B104" i="10"/>
  <c r="L103" i="10"/>
  <c r="K103" i="10"/>
  <c r="J103" i="10"/>
  <c r="I103" i="10"/>
  <c r="H103" i="10"/>
  <c r="G103" i="10"/>
  <c r="F103" i="10"/>
  <c r="E103" i="10"/>
  <c r="D103" i="10"/>
  <c r="C103" i="10"/>
  <c r="B103" i="10"/>
  <c r="L102" i="10"/>
  <c r="K102" i="10"/>
  <c r="J102" i="10"/>
  <c r="I102" i="10"/>
  <c r="H102" i="10"/>
  <c r="G102" i="10"/>
  <c r="F102" i="10"/>
  <c r="E102" i="10"/>
  <c r="D102" i="10"/>
  <c r="C102" i="10"/>
  <c r="B102" i="10"/>
  <c r="L101" i="10"/>
  <c r="K101" i="10"/>
  <c r="J101" i="10"/>
  <c r="I101" i="10"/>
  <c r="H101" i="10"/>
  <c r="G101" i="10"/>
  <c r="F101" i="10"/>
  <c r="E101" i="10"/>
  <c r="D101" i="10"/>
  <c r="C101" i="10"/>
  <c r="B101" i="10"/>
  <c r="L100" i="10"/>
  <c r="K100" i="10"/>
  <c r="J100" i="10"/>
  <c r="I100" i="10"/>
  <c r="H100" i="10"/>
  <c r="G100" i="10"/>
  <c r="F100" i="10"/>
  <c r="E100" i="10"/>
  <c r="D100" i="10"/>
  <c r="C100" i="10"/>
  <c r="B100" i="10"/>
  <c r="L99" i="10"/>
  <c r="K99" i="10"/>
  <c r="J99" i="10"/>
  <c r="I99" i="10"/>
  <c r="H99" i="10"/>
  <c r="G99" i="10"/>
  <c r="F99" i="10"/>
  <c r="E99" i="10"/>
  <c r="D99" i="10"/>
  <c r="C99" i="10"/>
  <c r="B99" i="10"/>
  <c r="L98" i="10"/>
  <c r="K98" i="10"/>
  <c r="J98" i="10"/>
  <c r="I98" i="10"/>
  <c r="H98" i="10"/>
  <c r="G98" i="10"/>
  <c r="F98" i="10"/>
  <c r="E98" i="10"/>
  <c r="D98" i="10"/>
  <c r="C98" i="10"/>
  <c r="B98" i="10"/>
  <c r="L97" i="10"/>
  <c r="K97" i="10"/>
  <c r="J97" i="10"/>
  <c r="I97" i="10"/>
  <c r="H97" i="10"/>
  <c r="G97" i="10"/>
  <c r="F97" i="10"/>
  <c r="E97" i="10"/>
  <c r="D97" i="10"/>
  <c r="C97" i="10"/>
  <c r="B97" i="10"/>
  <c r="L96" i="10"/>
  <c r="K96" i="10"/>
  <c r="J96" i="10"/>
  <c r="I96" i="10"/>
  <c r="H96" i="10"/>
  <c r="G96" i="10"/>
  <c r="F96" i="10"/>
  <c r="E96" i="10"/>
  <c r="D96" i="10"/>
  <c r="C96" i="10"/>
  <c r="B96" i="10"/>
  <c r="L95" i="10"/>
  <c r="K95" i="10"/>
  <c r="J95" i="10"/>
  <c r="I95" i="10"/>
  <c r="H95" i="10"/>
  <c r="G95" i="10"/>
  <c r="F95" i="10"/>
  <c r="E95" i="10"/>
  <c r="D95" i="10"/>
  <c r="C95" i="10"/>
  <c r="B95" i="10"/>
  <c r="L94" i="10"/>
  <c r="K94" i="10"/>
  <c r="J94" i="10"/>
  <c r="I94" i="10"/>
  <c r="H94" i="10"/>
  <c r="G94" i="10"/>
  <c r="F94" i="10"/>
  <c r="E94" i="10"/>
  <c r="D94" i="10"/>
  <c r="C94" i="10"/>
  <c r="B94" i="10"/>
  <c r="L93" i="10"/>
  <c r="K93" i="10"/>
  <c r="J93" i="10"/>
  <c r="I93" i="10"/>
  <c r="H93" i="10"/>
  <c r="G93" i="10"/>
  <c r="F93" i="10"/>
  <c r="E93" i="10"/>
  <c r="D93" i="10"/>
  <c r="C93" i="10"/>
  <c r="B93" i="10"/>
  <c r="L92" i="10"/>
  <c r="K92" i="10"/>
  <c r="J92" i="10"/>
  <c r="I92" i="10"/>
  <c r="H92" i="10"/>
  <c r="G92" i="10"/>
  <c r="F92" i="10"/>
  <c r="E92" i="10"/>
  <c r="D92" i="10"/>
  <c r="C92" i="10"/>
  <c r="B92" i="10"/>
  <c r="L91" i="10"/>
  <c r="K91" i="10"/>
  <c r="J91" i="10"/>
  <c r="I91" i="10"/>
  <c r="H91" i="10"/>
  <c r="G91" i="10"/>
  <c r="F91" i="10"/>
  <c r="E91" i="10"/>
  <c r="D91" i="10"/>
  <c r="C91" i="10"/>
  <c r="B91" i="10"/>
  <c r="L90" i="10"/>
  <c r="K90" i="10"/>
  <c r="J90" i="10"/>
  <c r="I90" i="10"/>
  <c r="H90" i="10"/>
  <c r="G90" i="10"/>
  <c r="F90" i="10"/>
  <c r="E90" i="10"/>
  <c r="D90" i="10"/>
  <c r="C90" i="10"/>
  <c r="B90" i="10"/>
  <c r="L89" i="10"/>
  <c r="K89" i="10"/>
  <c r="J89" i="10"/>
  <c r="I89" i="10"/>
  <c r="H89" i="10"/>
  <c r="G89" i="10"/>
  <c r="F89" i="10"/>
  <c r="E89" i="10"/>
  <c r="D89" i="10"/>
  <c r="C89" i="10"/>
  <c r="B89" i="10"/>
  <c r="L88" i="10"/>
  <c r="K88" i="10"/>
  <c r="J88" i="10"/>
  <c r="I88" i="10"/>
  <c r="H88" i="10"/>
  <c r="G88" i="10"/>
  <c r="F88" i="10"/>
  <c r="E88" i="10"/>
  <c r="D88" i="10"/>
  <c r="C88" i="10"/>
  <c r="B88" i="10"/>
  <c r="L87" i="10"/>
  <c r="K87" i="10"/>
  <c r="J87" i="10"/>
  <c r="I87" i="10"/>
  <c r="H87" i="10"/>
  <c r="G87" i="10"/>
  <c r="F87" i="10"/>
  <c r="E87" i="10"/>
  <c r="D87" i="10"/>
  <c r="C87" i="10"/>
  <c r="B87" i="10"/>
  <c r="L86" i="10"/>
  <c r="K86" i="10"/>
  <c r="J86" i="10"/>
  <c r="I86" i="10"/>
  <c r="H86" i="10"/>
  <c r="G86" i="10"/>
  <c r="F86" i="10"/>
  <c r="E86" i="10"/>
  <c r="D86" i="10"/>
  <c r="C86" i="10"/>
  <c r="B86" i="10"/>
  <c r="L85" i="10"/>
  <c r="K85" i="10"/>
  <c r="J85" i="10"/>
  <c r="I85" i="10"/>
  <c r="H85" i="10"/>
  <c r="G85" i="10"/>
  <c r="F85" i="10"/>
  <c r="E85" i="10"/>
  <c r="D85" i="10"/>
  <c r="C85" i="10"/>
  <c r="B85" i="10"/>
  <c r="L84" i="10"/>
  <c r="K84" i="10"/>
  <c r="J84" i="10"/>
  <c r="I84" i="10"/>
  <c r="H84" i="10"/>
  <c r="G84" i="10"/>
  <c r="F84" i="10"/>
  <c r="E84" i="10"/>
  <c r="D84" i="10"/>
  <c r="C84" i="10"/>
  <c r="B84" i="10"/>
  <c r="L83" i="10"/>
  <c r="K83" i="10"/>
  <c r="J83" i="10"/>
  <c r="I83" i="10"/>
  <c r="H83" i="10"/>
  <c r="G83" i="10"/>
  <c r="F83" i="10"/>
  <c r="E83" i="10"/>
  <c r="D83" i="10"/>
  <c r="C83" i="10"/>
  <c r="B83" i="10"/>
  <c r="L82" i="10"/>
  <c r="K82" i="10"/>
  <c r="J82" i="10"/>
  <c r="I82" i="10"/>
  <c r="H82" i="10"/>
  <c r="G82" i="10"/>
  <c r="F82" i="10"/>
  <c r="E82" i="10"/>
  <c r="D82" i="10"/>
  <c r="C82" i="10"/>
  <c r="B82" i="10"/>
  <c r="L81" i="10"/>
  <c r="K81" i="10"/>
  <c r="J81" i="10"/>
  <c r="I81" i="10"/>
  <c r="H81" i="10"/>
  <c r="G81" i="10"/>
  <c r="F81" i="10"/>
  <c r="E81" i="10"/>
  <c r="D81" i="10"/>
  <c r="C81" i="10"/>
  <c r="B81" i="10"/>
  <c r="L80" i="10"/>
  <c r="K80" i="10"/>
  <c r="J80" i="10"/>
  <c r="I80" i="10"/>
  <c r="H80" i="10"/>
  <c r="G80" i="10"/>
  <c r="F80" i="10"/>
  <c r="E80" i="10"/>
  <c r="D80" i="10"/>
  <c r="C80" i="10"/>
  <c r="B80" i="10"/>
  <c r="L79" i="10"/>
  <c r="K79" i="10"/>
  <c r="J79" i="10"/>
  <c r="I79" i="10"/>
  <c r="H79" i="10"/>
  <c r="G79" i="10"/>
  <c r="F79" i="10"/>
  <c r="E79" i="10"/>
  <c r="D79" i="10"/>
  <c r="C79" i="10"/>
  <c r="B79" i="10"/>
  <c r="L78" i="10"/>
  <c r="K78" i="10"/>
  <c r="J78" i="10"/>
  <c r="I78" i="10"/>
  <c r="H78" i="10"/>
  <c r="G78" i="10"/>
  <c r="F78" i="10"/>
  <c r="E78" i="10"/>
  <c r="D78" i="10"/>
  <c r="C78" i="10"/>
  <c r="B78" i="10"/>
  <c r="L77" i="10"/>
  <c r="K77" i="10"/>
  <c r="J77" i="10"/>
  <c r="I77" i="10"/>
  <c r="H77" i="10"/>
  <c r="G77" i="10"/>
  <c r="F77" i="10"/>
  <c r="E77" i="10"/>
  <c r="D77" i="10"/>
  <c r="C77" i="10"/>
  <c r="B77" i="10"/>
  <c r="L76" i="10"/>
  <c r="K76" i="10"/>
  <c r="J76" i="10"/>
  <c r="I76" i="10"/>
  <c r="H76" i="10"/>
  <c r="G76" i="10"/>
  <c r="F76" i="10"/>
  <c r="E76" i="10"/>
  <c r="D76" i="10"/>
  <c r="C76" i="10"/>
  <c r="B76" i="10"/>
  <c r="L75" i="10"/>
  <c r="K75" i="10"/>
  <c r="J75" i="10"/>
  <c r="I75" i="10"/>
  <c r="H75" i="10"/>
  <c r="G75" i="10"/>
  <c r="F75" i="10"/>
  <c r="E75" i="10"/>
  <c r="D75" i="10"/>
  <c r="C75" i="10"/>
  <c r="B75" i="10"/>
  <c r="L74" i="10"/>
  <c r="K74" i="10"/>
  <c r="J74" i="10"/>
  <c r="I74" i="10"/>
  <c r="H74" i="10"/>
  <c r="G74" i="10"/>
  <c r="F74" i="10"/>
  <c r="E74" i="10"/>
  <c r="D74" i="10"/>
  <c r="C74" i="10"/>
  <c r="B74" i="10"/>
  <c r="B40" i="10"/>
  <c r="A35" i="10"/>
  <c r="A33" i="10"/>
  <c r="B31" i="10"/>
  <c r="E142" i="2"/>
  <c r="F142" i="2" s="1"/>
  <c r="G142" i="2" s="1"/>
  <c r="H142" i="2" s="1"/>
  <c r="I142" i="2" s="1"/>
  <c r="J142" i="2" s="1"/>
  <c r="K142" i="2" s="1"/>
  <c r="L142" i="2" s="1"/>
  <c r="M142" i="2" s="1"/>
  <c r="N142" i="2" s="1"/>
  <c r="O142" i="2" s="1"/>
  <c r="P142" i="2" s="1"/>
  <c r="Q142" i="2" s="1"/>
  <c r="R142" i="2" s="1"/>
  <c r="S142" i="2" s="1"/>
  <c r="T142" i="2" s="1"/>
  <c r="U142" i="2" s="1"/>
  <c r="V142" i="2" s="1"/>
  <c r="W142" i="2" s="1"/>
  <c r="X142" i="2" s="1"/>
  <c r="Y142" i="2" s="1"/>
  <c r="Z142" i="2" s="1"/>
  <c r="AA142" i="2" s="1"/>
  <c r="AB142" i="2" s="1"/>
  <c r="AC142" i="2" s="1"/>
  <c r="AD142" i="2" s="1"/>
  <c r="AE142" i="2" s="1"/>
  <c r="AF142" i="2" s="1"/>
  <c r="AG142" i="2" s="1"/>
  <c r="AH142" i="2" s="1"/>
  <c r="AI142" i="2" s="1"/>
  <c r="AJ142" i="2" s="1"/>
  <c r="AK142" i="2" s="1"/>
  <c r="AL142" i="2" s="1"/>
  <c r="AM142" i="2" s="1"/>
  <c r="AN142" i="2" s="1"/>
  <c r="AO142" i="2" s="1"/>
  <c r="AP142" i="2" s="1"/>
  <c r="AQ142" i="2" s="1"/>
  <c r="AR142" i="2" s="1"/>
  <c r="AS142" i="2" s="1"/>
  <c r="AT142" i="2" s="1"/>
  <c r="AU142" i="2" s="1"/>
  <c r="AV142" i="2" s="1"/>
  <c r="AW142" i="2" s="1"/>
  <c r="AX142" i="2" s="1"/>
  <c r="AY142" i="2" s="1"/>
  <c r="AZ142" i="2" s="1"/>
  <c r="BA142" i="2" s="1"/>
  <c r="BB142" i="2" s="1"/>
  <c r="BC142" i="2" s="1"/>
  <c r="BD142" i="2" s="1"/>
  <c r="BE142" i="2" s="1"/>
  <c r="BF142" i="2" s="1"/>
  <c r="BG142" i="2" s="1"/>
  <c r="BH142" i="2" s="1"/>
  <c r="BI142" i="2" s="1"/>
  <c r="BJ142" i="2" s="1"/>
  <c r="D142" i="2"/>
  <c r="AS31" i="10"/>
  <c r="AR31" i="10"/>
  <c r="AQ31" i="10"/>
  <c r="AP31"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AU31" i="10"/>
  <c r="A366" i="2"/>
  <c r="A367" i="2"/>
  <c r="A368" i="2"/>
  <c r="A369" i="2"/>
  <c r="A370" i="2"/>
  <c r="A371" i="2"/>
  <c r="A372" i="2"/>
  <c r="A373" i="2"/>
  <c r="A374" i="2"/>
  <c r="A375" i="2"/>
  <c r="A376" i="2"/>
  <c r="A377" i="2"/>
  <c r="A378" i="2"/>
  <c r="A379" i="2"/>
  <c r="A380" i="2"/>
  <c r="A381" i="2"/>
  <c r="A382" i="2"/>
  <c r="A365" i="2"/>
  <c r="B318" i="2" a="1"/>
  <c r="B318" i="2" s="1"/>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20" i="2"/>
  <c r="AF5" i="9"/>
  <c r="AF6" i="9"/>
  <c r="AF7" i="9"/>
  <c r="AF8" i="9"/>
  <c r="AF9" i="9"/>
  <c r="AF10" i="9"/>
  <c r="AF11" i="9"/>
  <c r="AF12" i="9"/>
  <c r="AF13" i="9"/>
  <c r="AF14" i="9"/>
  <c r="AF15" i="9"/>
  <c r="AF4" i="9"/>
  <c r="Y250" i="6" l="1"/>
  <c r="Y249" i="6"/>
  <c r="B16" i="8"/>
  <c r="BI143" i="2" s="1"/>
  <c r="AT31" i="10" s="1"/>
  <c r="A31" i="10" s="1"/>
  <c r="P137" i="2"/>
  <c r="O137" i="2"/>
  <c r="N137" i="2"/>
  <c r="M137" i="2"/>
  <c r="L137" i="2"/>
  <c r="K137" i="2"/>
  <c r="J137" i="2"/>
  <c r="I137" i="2"/>
  <c r="H137" i="2"/>
  <c r="G137" i="2"/>
  <c r="F137" i="2"/>
  <c r="E137" i="2"/>
  <c r="D137" i="2"/>
  <c r="P136" i="2"/>
  <c r="O136" i="2"/>
  <c r="N136" i="2"/>
  <c r="M136" i="2"/>
  <c r="L136" i="2"/>
  <c r="K136" i="2"/>
  <c r="J136" i="2"/>
  <c r="I136" i="2"/>
  <c r="H136" i="2"/>
  <c r="G136" i="2"/>
  <c r="F136" i="2"/>
  <c r="E136" i="2"/>
  <c r="D136" i="2"/>
  <c r="P135" i="2"/>
  <c r="O135" i="2"/>
  <c r="N135" i="2"/>
  <c r="M135" i="2"/>
  <c r="L135" i="2"/>
  <c r="K135" i="2"/>
  <c r="J135" i="2"/>
  <c r="I135" i="2"/>
  <c r="H135" i="2"/>
  <c r="G135" i="2"/>
  <c r="F135" i="2"/>
  <c r="E135" i="2"/>
  <c r="D135" i="2"/>
  <c r="P134" i="2"/>
  <c r="O134" i="2"/>
  <c r="N134" i="2"/>
  <c r="M134" i="2"/>
  <c r="L134" i="2"/>
  <c r="K134" i="2"/>
  <c r="J134" i="2"/>
  <c r="I134" i="2"/>
  <c r="H134" i="2"/>
  <c r="G134" i="2"/>
  <c r="F134" i="2"/>
  <c r="E134" i="2"/>
  <c r="D134" i="2"/>
  <c r="P133" i="2"/>
  <c r="O133" i="2"/>
  <c r="N133" i="2"/>
  <c r="M133" i="2"/>
  <c r="L133" i="2"/>
  <c r="K133" i="2"/>
  <c r="J133" i="2"/>
  <c r="I133" i="2"/>
  <c r="H133" i="2"/>
  <c r="G133" i="2"/>
  <c r="F133" i="2"/>
  <c r="E133" i="2"/>
  <c r="D133" i="2"/>
  <c r="P132" i="2"/>
  <c r="O132" i="2"/>
  <c r="N132" i="2"/>
  <c r="M132" i="2"/>
  <c r="L132" i="2"/>
  <c r="K132" i="2"/>
  <c r="J132" i="2"/>
  <c r="I132" i="2"/>
  <c r="H132" i="2"/>
  <c r="G132" i="2"/>
  <c r="F132" i="2"/>
  <c r="E132" i="2"/>
  <c r="D132" i="2"/>
  <c r="P131" i="2"/>
  <c r="O131" i="2"/>
  <c r="N131" i="2"/>
  <c r="M131" i="2"/>
  <c r="L131" i="2"/>
  <c r="K131" i="2"/>
  <c r="J131" i="2"/>
  <c r="I131" i="2"/>
  <c r="H131" i="2"/>
  <c r="G131" i="2"/>
  <c r="F131" i="2"/>
  <c r="E131" i="2"/>
  <c r="D131" i="2"/>
  <c r="P130" i="2"/>
  <c r="O130" i="2"/>
  <c r="N130" i="2"/>
  <c r="M130" i="2"/>
  <c r="L130" i="2"/>
  <c r="K130" i="2"/>
  <c r="J130" i="2"/>
  <c r="I130" i="2"/>
  <c r="H130" i="2"/>
  <c r="G130" i="2"/>
  <c r="F130" i="2"/>
  <c r="E130" i="2"/>
  <c r="D130" i="2"/>
  <c r="P129" i="2"/>
  <c r="O129" i="2"/>
  <c r="N129" i="2"/>
  <c r="M129" i="2"/>
  <c r="L129" i="2"/>
  <c r="K129" i="2"/>
  <c r="J129" i="2"/>
  <c r="I129" i="2"/>
  <c r="H129" i="2"/>
  <c r="G129" i="2"/>
  <c r="F129" i="2"/>
  <c r="E129" i="2"/>
  <c r="D129" i="2"/>
  <c r="P128" i="2"/>
  <c r="O128" i="2"/>
  <c r="N128" i="2"/>
  <c r="M128" i="2"/>
  <c r="L128" i="2"/>
  <c r="K128" i="2"/>
  <c r="J128" i="2"/>
  <c r="I128" i="2"/>
  <c r="H128" i="2"/>
  <c r="G128" i="2"/>
  <c r="F128" i="2"/>
  <c r="E128" i="2"/>
  <c r="D128" i="2"/>
  <c r="P127" i="2"/>
  <c r="O127" i="2"/>
  <c r="N127" i="2"/>
  <c r="M127" i="2"/>
  <c r="L127" i="2"/>
  <c r="K127" i="2"/>
  <c r="J127" i="2"/>
  <c r="I127" i="2"/>
  <c r="H127" i="2"/>
  <c r="G127" i="2"/>
  <c r="F127" i="2"/>
  <c r="E127" i="2"/>
  <c r="D127" i="2"/>
  <c r="P126" i="2"/>
  <c r="O126" i="2"/>
  <c r="N126" i="2"/>
  <c r="M126" i="2"/>
  <c r="L126" i="2"/>
  <c r="K126" i="2"/>
  <c r="J126" i="2"/>
  <c r="I126" i="2"/>
  <c r="H126" i="2"/>
  <c r="G126" i="2"/>
  <c r="F126" i="2"/>
  <c r="E126" i="2"/>
  <c r="D126" i="2"/>
  <c r="P125" i="2"/>
  <c r="O125" i="2"/>
  <c r="N125" i="2"/>
  <c r="M125" i="2"/>
  <c r="L125" i="2"/>
  <c r="K125" i="2"/>
  <c r="J125" i="2"/>
  <c r="I125" i="2"/>
  <c r="H125" i="2"/>
  <c r="G125" i="2"/>
  <c r="F125" i="2"/>
  <c r="E125" i="2"/>
  <c r="D125" i="2"/>
  <c r="P124" i="2"/>
  <c r="O124" i="2"/>
  <c r="N124" i="2"/>
  <c r="M124" i="2"/>
  <c r="L124" i="2"/>
  <c r="K124" i="2"/>
  <c r="J124" i="2"/>
  <c r="I124" i="2"/>
  <c r="H124" i="2"/>
  <c r="G124" i="2"/>
  <c r="F124" i="2"/>
  <c r="E124" i="2"/>
  <c r="D124" i="2"/>
  <c r="P123" i="2"/>
  <c r="O123" i="2"/>
  <c r="N123" i="2"/>
  <c r="M123" i="2"/>
  <c r="L123" i="2"/>
  <c r="K123" i="2"/>
  <c r="J123" i="2"/>
  <c r="I123" i="2"/>
  <c r="H123" i="2"/>
  <c r="G123" i="2"/>
  <c r="F123" i="2"/>
  <c r="E123" i="2"/>
  <c r="D123" i="2"/>
  <c r="P122" i="2"/>
  <c r="O122" i="2"/>
  <c r="N122" i="2"/>
  <c r="M122" i="2"/>
  <c r="L122" i="2"/>
  <c r="K122" i="2"/>
  <c r="J122" i="2"/>
  <c r="I122" i="2"/>
  <c r="H122" i="2"/>
  <c r="G122" i="2"/>
  <c r="F122" i="2"/>
  <c r="E122" i="2"/>
  <c r="D122" i="2"/>
  <c r="P121" i="2"/>
  <c r="O121" i="2"/>
  <c r="N121" i="2"/>
  <c r="M121" i="2"/>
  <c r="L121" i="2"/>
  <c r="K121" i="2"/>
  <c r="J121" i="2"/>
  <c r="I121" i="2"/>
  <c r="H121" i="2"/>
  <c r="G121" i="2"/>
  <c r="F121" i="2"/>
  <c r="E121" i="2"/>
  <c r="D121" i="2"/>
  <c r="P120" i="2"/>
  <c r="O120" i="2"/>
  <c r="N120" i="2"/>
  <c r="M120" i="2"/>
  <c r="L120" i="2"/>
  <c r="K120" i="2"/>
  <c r="J120" i="2"/>
  <c r="I120" i="2"/>
  <c r="H120" i="2"/>
  <c r="G120" i="2"/>
  <c r="F120" i="2"/>
  <c r="E120" i="2"/>
  <c r="D120" i="2"/>
  <c r="P119" i="2"/>
  <c r="O119" i="2"/>
  <c r="N119" i="2"/>
  <c r="M119" i="2"/>
  <c r="L119" i="2"/>
  <c r="K119" i="2"/>
  <c r="J119" i="2"/>
  <c r="I119" i="2"/>
  <c r="H119" i="2"/>
  <c r="G119" i="2"/>
  <c r="F119" i="2"/>
  <c r="E119" i="2"/>
  <c r="D119" i="2"/>
  <c r="P118" i="2"/>
  <c r="O118" i="2"/>
  <c r="N118" i="2"/>
  <c r="M118" i="2"/>
  <c r="L118" i="2"/>
  <c r="K118" i="2"/>
  <c r="J118" i="2"/>
  <c r="I118" i="2"/>
  <c r="H118" i="2"/>
  <c r="G118" i="2"/>
  <c r="F118" i="2"/>
  <c r="E118" i="2"/>
  <c r="D118" i="2"/>
  <c r="P117" i="2"/>
  <c r="O117" i="2"/>
  <c r="N117" i="2"/>
  <c r="M117" i="2"/>
  <c r="L117" i="2"/>
  <c r="K117" i="2"/>
  <c r="J117" i="2"/>
  <c r="I117" i="2"/>
  <c r="H117" i="2"/>
  <c r="G117" i="2"/>
  <c r="F117" i="2"/>
  <c r="E117" i="2"/>
  <c r="D117" i="2"/>
  <c r="P116" i="2"/>
  <c r="O116" i="2"/>
  <c r="N116" i="2"/>
  <c r="M116" i="2"/>
  <c r="L116" i="2"/>
  <c r="K116" i="2"/>
  <c r="J116" i="2"/>
  <c r="I116" i="2"/>
  <c r="H116" i="2"/>
  <c r="G116" i="2"/>
  <c r="F116" i="2"/>
  <c r="E116" i="2"/>
  <c r="D116" i="2"/>
  <c r="P115" i="2"/>
  <c r="O115" i="2"/>
  <c r="N115" i="2"/>
  <c r="M115" i="2"/>
  <c r="L115" i="2"/>
  <c r="K115" i="2"/>
  <c r="J115" i="2"/>
  <c r="I115" i="2"/>
  <c r="H115" i="2"/>
  <c r="G115" i="2"/>
  <c r="F115" i="2"/>
  <c r="E115" i="2"/>
  <c r="D115" i="2"/>
  <c r="P114" i="2"/>
  <c r="O114" i="2"/>
  <c r="N114" i="2"/>
  <c r="M114" i="2"/>
  <c r="L114" i="2"/>
  <c r="K114" i="2"/>
  <c r="J114" i="2"/>
  <c r="I114" i="2"/>
  <c r="H114" i="2"/>
  <c r="G114" i="2"/>
  <c r="F114" i="2"/>
  <c r="E114" i="2"/>
  <c r="D114" i="2"/>
  <c r="P113" i="2"/>
  <c r="O113" i="2"/>
  <c r="N113" i="2"/>
  <c r="M113" i="2"/>
  <c r="L113" i="2"/>
  <c r="K113" i="2"/>
  <c r="J113" i="2"/>
  <c r="I113" i="2"/>
  <c r="H113" i="2"/>
  <c r="G113" i="2"/>
  <c r="F113" i="2"/>
  <c r="E113" i="2"/>
  <c r="D113" i="2"/>
  <c r="P112" i="2"/>
  <c r="O112" i="2"/>
  <c r="N112" i="2"/>
  <c r="M112" i="2"/>
  <c r="L112" i="2"/>
  <c r="K112" i="2"/>
  <c r="J112" i="2"/>
  <c r="I112" i="2"/>
  <c r="H112" i="2"/>
  <c r="G112" i="2"/>
  <c r="F112" i="2"/>
  <c r="E112" i="2"/>
  <c r="D112" i="2"/>
  <c r="P111" i="2"/>
  <c r="O111" i="2"/>
  <c r="N111" i="2"/>
  <c r="M111" i="2"/>
  <c r="L111" i="2"/>
  <c r="K111" i="2"/>
  <c r="J111" i="2"/>
  <c r="I111" i="2"/>
  <c r="H111" i="2"/>
  <c r="G111" i="2"/>
  <c r="F111" i="2"/>
  <c r="E111" i="2"/>
  <c r="D111" i="2"/>
  <c r="P110" i="2"/>
  <c r="O110" i="2"/>
  <c r="N110" i="2"/>
  <c r="M110" i="2"/>
  <c r="L110" i="2"/>
  <c r="K110" i="2"/>
  <c r="J110" i="2"/>
  <c r="I110" i="2"/>
  <c r="H110" i="2"/>
  <c r="G110" i="2"/>
  <c r="F110" i="2"/>
  <c r="E110" i="2"/>
  <c r="D110" i="2"/>
  <c r="P109" i="2"/>
  <c r="O109" i="2"/>
  <c r="N109" i="2"/>
  <c r="M109" i="2"/>
  <c r="L109" i="2"/>
  <c r="K109" i="2"/>
  <c r="J109" i="2"/>
  <c r="I109" i="2"/>
  <c r="H109" i="2"/>
  <c r="G109" i="2"/>
  <c r="F109" i="2"/>
  <c r="E109" i="2"/>
  <c r="D109" i="2"/>
  <c r="P108" i="2"/>
  <c r="O108" i="2"/>
  <c r="N108" i="2"/>
  <c r="M108" i="2"/>
  <c r="L108" i="2"/>
  <c r="K108" i="2"/>
  <c r="J108" i="2"/>
  <c r="I108" i="2"/>
  <c r="H108" i="2"/>
  <c r="G108" i="2"/>
  <c r="F108" i="2"/>
  <c r="E108" i="2"/>
  <c r="D108" i="2"/>
  <c r="P138" i="2"/>
  <c r="O138" i="2"/>
  <c r="N138" i="2"/>
  <c r="M138" i="2"/>
  <c r="L138" i="2"/>
  <c r="K138" i="2"/>
  <c r="J138" i="2"/>
  <c r="I138" i="2"/>
  <c r="H138" i="2"/>
  <c r="G138" i="2"/>
  <c r="F138" i="2"/>
  <c r="E138" i="2"/>
  <c r="D138" i="2"/>
  <c r="P139" i="2"/>
  <c r="O139" i="2"/>
  <c r="N139" i="2"/>
  <c r="M139" i="2"/>
  <c r="L139" i="2"/>
  <c r="K139" i="2"/>
  <c r="J139" i="2"/>
  <c r="I139" i="2"/>
  <c r="H139" i="2"/>
  <c r="G139" i="2"/>
  <c r="F139" i="2"/>
  <c r="E139" i="2"/>
  <c r="D139" i="2"/>
  <c r="P140" i="2"/>
  <c r="O140" i="2"/>
  <c r="N140" i="2"/>
  <c r="M140" i="2"/>
  <c r="L140" i="2"/>
  <c r="K140" i="2"/>
  <c r="J140" i="2"/>
  <c r="I140" i="2"/>
  <c r="H140" i="2"/>
  <c r="G140" i="2"/>
  <c r="F140" i="2"/>
  <c r="E140" i="2"/>
  <c r="D140" i="2"/>
  <c r="A82" i="2"/>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5" i="7"/>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P141" i="2"/>
  <c r="O141" i="2"/>
  <c r="N141" i="2"/>
  <c r="M141" i="2"/>
  <c r="L141" i="2"/>
  <c r="K141" i="2"/>
  <c r="J141" i="2"/>
  <c r="I141" i="2"/>
  <c r="H141" i="2"/>
  <c r="G141" i="2"/>
  <c r="F141" i="2"/>
  <c r="E141" i="2"/>
  <c r="D141" i="2"/>
  <c r="D180" i="2"/>
  <c r="D407" i="2" s="1"/>
  <c r="T202" i="2"/>
  <c r="D16" i="9"/>
  <c r="C237" i="2"/>
  <c r="F16" i="9" s="1"/>
  <c r="D237" i="2"/>
  <c r="H16" i="9" s="1"/>
  <c r="E237" i="2"/>
  <c r="J16" i="9" s="1"/>
  <c r="F237" i="2"/>
  <c r="L16" i="9" s="1"/>
  <c r="G237" i="2"/>
  <c r="N16" i="9" s="1"/>
  <c r="H237" i="2"/>
  <c r="P16" i="9" s="1"/>
  <c r="I237" i="2"/>
  <c r="R16" i="9" s="1"/>
  <c r="J237" i="2"/>
  <c r="T16" i="9" s="1"/>
  <c r="K237" i="2"/>
  <c r="V16" i="9" s="1"/>
  <c r="L237" i="2"/>
  <c r="X16" i="9" s="1"/>
  <c r="M237" i="2"/>
  <c r="Z16" i="9" s="1"/>
  <c r="N237" i="2"/>
  <c r="AB16" i="9" s="1"/>
  <c r="O237" i="2"/>
  <c r="AD16" i="9" s="1"/>
  <c r="P237" i="2"/>
  <c r="D17" i="9"/>
  <c r="C238" i="2"/>
  <c r="F17" i="9" s="1"/>
  <c r="D238" i="2"/>
  <c r="H17" i="9" s="1"/>
  <c r="E238" i="2"/>
  <c r="J17" i="9" s="1"/>
  <c r="F238" i="2"/>
  <c r="L17" i="9" s="1"/>
  <c r="G238" i="2"/>
  <c r="N17" i="9" s="1"/>
  <c r="H238" i="2"/>
  <c r="P17" i="9" s="1"/>
  <c r="I238" i="2"/>
  <c r="R17" i="9" s="1"/>
  <c r="J238" i="2"/>
  <c r="T17" i="9" s="1"/>
  <c r="K238" i="2"/>
  <c r="V17" i="9" s="1"/>
  <c r="L238" i="2"/>
  <c r="X17" i="9" s="1"/>
  <c r="M238" i="2"/>
  <c r="Z17" i="9" s="1"/>
  <c r="N238" i="2"/>
  <c r="AB17" i="9" s="1"/>
  <c r="O238" i="2"/>
  <c r="AD17" i="9" s="1"/>
  <c r="P238" i="2"/>
  <c r="D18" i="9"/>
  <c r="C239" i="2"/>
  <c r="F18" i="9" s="1"/>
  <c r="D239" i="2"/>
  <c r="H18" i="9" s="1"/>
  <c r="E239" i="2"/>
  <c r="J18" i="9" s="1"/>
  <c r="F239" i="2"/>
  <c r="L18" i="9" s="1"/>
  <c r="G239" i="2"/>
  <c r="N18" i="9" s="1"/>
  <c r="H239" i="2"/>
  <c r="P18" i="9" s="1"/>
  <c r="I239" i="2"/>
  <c r="R18" i="9" s="1"/>
  <c r="J239" i="2"/>
  <c r="T18" i="9" s="1"/>
  <c r="K239" i="2"/>
  <c r="V18" i="9" s="1"/>
  <c r="L239" i="2"/>
  <c r="X18" i="9" s="1"/>
  <c r="M239" i="2"/>
  <c r="Z18" i="9" s="1"/>
  <c r="N239" i="2"/>
  <c r="AB18" i="9" s="1"/>
  <c r="O239" i="2"/>
  <c r="AD18" i="9" s="1"/>
  <c r="P239" i="2"/>
  <c r="D19" i="9"/>
  <c r="C240" i="2"/>
  <c r="F19" i="9" s="1"/>
  <c r="D240" i="2"/>
  <c r="H19" i="9" s="1"/>
  <c r="E240" i="2"/>
  <c r="J19" i="9" s="1"/>
  <c r="F240" i="2"/>
  <c r="L19" i="9" s="1"/>
  <c r="G240" i="2"/>
  <c r="N19" i="9" s="1"/>
  <c r="H240" i="2"/>
  <c r="P19" i="9" s="1"/>
  <c r="I240" i="2"/>
  <c r="R19" i="9" s="1"/>
  <c r="J240" i="2"/>
  <c r="T19" i="9" s="1"/>
  <c r="K240" i="2"/>
  <c r="V19" i="9" s="1"/>
  <c r="L240" i="2"/>
  <c r="X19" i="9" s="1"/>
  <c r="M240" i="2"/>
  <c r="Z19" i="9" s="1"/>
  <c r="N240" i="2"/>
  <c r="AB19" i="9" s="1"/>
  <c r="O240" i="2"/>
  <c r="AD19" i="9" s="1"/>
  <c r="P240" i="2"/>
  <c r="D20" i="9"/>
  <c r="C241" i="2"/>
  <c r="F20" i="9" s="1"/>
  <c r="D241" i="2"/>
  <c r="H20" i="9" s="1"/>
  <c r="E241" i="2"/>
  <c r="J20" i="9" s="1"/>
  <c r="F241" i="2"/>
  <c r="L20" i="9" s="1"/>
  <c r="G241" i="2"/>
  <c r="N20" i="9" s="1"/>
  <c r="H241" i="2"/>
  <c r="P20" i="9" s="1"/>
  <c r="I241" i="2"/>
  <c r="R20" i="9" s="1"/>
  <c r="J241" i="2"/>
  <c r="T20" i="9" s="1"/>
  <c r="K241" i="2"/>
  <c r="V20" i="9" s="1"/>
  <c r="L241" i="2"/>
  <c r="X20" i="9" s="1"/>
  <c r="M241" i="2"/>
  <c r="Z20" i="9" s="1"/>
  <c r="N241" i="2"/>
  <c r="AB20" i="9" s="1"/>
  <c r="O241" i="2"/>
  <c r="AD20" i="9" s="1"/>
  <c r="P241" i="2"/>
  <c r="D21" i="9"/>
  <c r="C242" i="2"/>
  <c r="F21" i="9" s="1"/>
  <c r="D242" i="2"/>
  <c r="H21" i="9" s="1"/>
  <c r="E242" i="2"/>
  <c r="J21" i="9" s="1"/>
  <c r="F242" i="2"/>
  <c r="L21" i="9" s="1"/>
  <c r="G242" i="2"/>
  <c r="N21" i="9" s="1"/>
  <c r="H242" i="2"/>
  <c r="P21" i="9" s="1"/>
  <c r="I242" i="2"/>
  <c r="R21" i="9" s="1"/>
  <c r="J242" i="2"/>
  <c r="T21" i="9" s="1"/>
  <c r="K242" i="2"/>
  <c r="V21" i="9" s="1"/>
  <c r="L242" i="2"/>
  <c r="X21" i="9" s="1"/>
  <c r="M242" i="2"/>
  <c r="Z21" i="9" s="1"/>
  <c r="N242" i="2"/>
  <c r="AB21" i="9" s="1"/>
  <c r="O242" i="2"/>
  <c r="AD21" i="9" s="1"/>
  <c r="P242" i="2"/>
  <c r="D22" i="9"/>
  <c r="C243" i="2"/>
  <c r="F22" i="9" s="1"/>
  <c r="D243" i="2"/>
  <c r="H22" i="9" s="1"/>
  <c r="E243" i="2"/>
  <c r="J22" i="9" s="1"/>
  <c r="F243" i="2"/>
  <c r="L22" i="9" s="1"/>
  <c r="G243" i="2"/>
  <c r="N22" i="9" s="1"/>
  <c r="H243" i="2"/>
  <c r="P22" i="9" s="1"/>
  <c r="I243" i="2"/>
  <c r="R22" i="9" s="1"/>
  <c r="J243" i="2"/>
  <c r="T22" i="9" s="1"/>
  <c r="K243" i="2"/>
  <c r="V22" i="9" s="1"/>
  <c r="L243" i="2"/>
  <c r="X22" i="9" s="1"/>
  <c r="M243" i="2"/>
  <c r="Z22" i="9" s="1"/>
  <c r="N243" i="2"/>
  <c r="AB22" i="9" s="1"/>
  <c r="O243" i="2"/>
  <c r="AD22" i="9" s="1"/>
  <c r="P243" i="2"/>
  <c r="D23" i="9"/>
  <c r="C244" i="2"/>
  <c r="F23" i="9" s="1"/>
  <c r="D244" i="2"/>
  <c r="H23" i="9" s="1"/>
  <c r="E244" i="2"/>
  <c r="J23" i="9" s="1"/>
  <c r="F244" i="2"/>
  <c r="L23" i="9" s="1"/>
  <c r="G244" i="2"/>
  <c r="N23" i="9" s="1"/>
  <c r="H244" i="2"/>
  <c r="P23" i="9" s="1"/>
  <c r="I244" i="2"/>
  <c r="R23" i="9" s="1"/>
  <c r="J244" i="2"/>
  <c r="T23" i="9" s="1"/>
  <c r="K244" i="2"/>
  <c r="V23" i="9" s="1"/>
  <c r="L244" i="2"/>
  <c r="X23" i="9" s="1"/>
  <c r="M244" i="2"/>
  <c r="Z23" i="9" s="1"/>
  <c r="N244" i="2"/>
  <c r="AB23" i="9" s="1"/>
  <c r="O244" i="2"/>
  <c r="AD23" i="9" s="1"/>
  <c r="P244" i="2"/>
  <c r="D24" i="9"/>
  <c r="C245" i="2"/>
  <c r="F24" i="9" s="1"/>
  <c r="D245" i="2"/>
  <c r="H24" i="9" s="1"/>
  <c r="E245" i="2"/>
  <c r="J24" i="9" s="1"/>
  <c r="F245" i="2"/>
  <c r="L24" i="9" s="1"/>
  <c r="G245" i="2"/>
  <c r="N24" i="9" s="1"/>
  <c r="H245" i="2"/>
  <c r="P24" i="9" s="1"/>
  <c r="I245" i="2"/>
  <c r="R24" i="9" s="1"/>
  <c r="J245" i="2"/>
  <c r="T24" i="9" s="1"/>
  <c r="K245" i="2"/>
  <c r="V24" i="9" s="1"/>
  <c r="L245" i="2"/>
  <c r="X24" i="9" s="1"/>
  <c r="M245" i="2"/>
  <c r="Z24" i="9" s="1"/>
  <c r="N245" i="2"/>
  <c r="AB24" i="9" s="1"/>
  <c r="O245" i="2"/>
  <c r="AD24" i="9" s="1"/>
  <c r="P245" i="2"/>
  <c r="D25" i="9"/>
  <c r="C246" i="2"/>
  <c r="F25" i="9" s="1"/>
  <c r="D246" i="2"/>
  <c r="H25" i="9" s="1"/>
  <c r="E246" i="2"/>
  <c r="J25" i="9" s="1"/>
  <c r="F246" i="2"/>
  <c r="L25" i="9" s="1"/>
  <c r="G246" i="2"/>
  <c r="N25" i="9" s="1"/>
  <c r="H246" i="2"/>
  <c r="P25" i="9" s="1"/>
  <c r="I246" i="2"/>
  <c r="R25" i="9" s="1"/>
  <c r="J246" i="2"/>
  <c r="T25" i="9" s="1"/>
  <c r="K246" i="2"/>
  <c r="V25" i="9" s="1"/>
  <c r="L246" i="2"/>
  <c r="X25" i="9" s="1"/>
  <c r="M246" i="2"/>
  <c r="Z25" i="9" s="1"/>
  <c r="N246" i="2"/>
  <c r="AB25" i="9" s="1"/>
  <c r="O246" i="2"/>
  <c r="AD25" i="9" s="1"/>
  <c r="P246" i="2"/>
  <c r="D26" i="9"/>
  <c r="C247" i="2"/>
  <c r="F26" i="9" s="1"/>
  <c r="D247" i="2"/>
  <c r="H26" i="9" s="1"/>
  <c r="E247" i="2"/>
  <c r="J26" i="9" s="1"/>
  <c r="F247" i="2"/>
  <c r="L26" i="9" s="1"/>
  <c r="G247" i="2"/>
  <c r="N26" i="9" s="1"/>
  <c r="H247" i="2"/>
  <c r="P26" i="9" s="1"/>
  <c r="I247" i="2"/>
  <c r="R26" i="9" s="1"/>
  <c r="J247" i="2"/>
  <c r="T26" i="9" s="1"/>
  <c r="K247" i="2"/>
  <c r="V26" i="9" s="1"/>
  <c r="L247" i="2"/>
  <c r="X26" i="9" s="1"/>
  <c r="M247" i="2"/>
  <c r="Z26" i="9" s="1"/>
  <c r="N247" i="2"/>
  <c r="AB26" i="9" s="1"/>
  <c r="O247" i="2"/>
  <c r="AD26" i="9" s="1"/>
  <c r="P247" i="2"/>
  <c r="D27" i="9"/>
  <c r="C248" i="2"/>
  <c r="F27" i="9" s="1"/>
  <c r="D248" i="2"/>
  <c r="H27" i="9" s="1"/>
  <c r="E248" i="2"/>
  <c r="J27" i="9" s="1"/>
  <c r="F248" i="2"/>
  <c r="L27" i="9" s="1"/>
  <c r="G248" i="2"/>
  <c r="N27" i="9" s="1"/>
  <c r="H248" i="2"/>
  <c r="P27" i="9" s="1"/>
  <c r="I248" i="2"/>
  <c r="R27" i="9" s="1"/>
  <c r="J248" i="2"/>
  <c r="T27" i="9" s="1"/>
  <c r="K248" i="2"/>
  <c r="V27" i="9" s="1"/>
  <c r="L248" i="2"/>
  <c r="X27" i="9" s="1"/>
  <c r="M248" i="2"/>
  <c r="Z27" i="9" s="1"/>
  <c r="N248" i="2"/>
  <c r="AB27" i="9" s="1"/>
  <c r="O248" i="2"/>
  <c r="AD27" i="9" s="1"/>
  <c r="P248" i="2"/>
  <c r="D28" i="9"/>
  <c r="C249" i="2"/>
  <c r="F28" i="9" s="1"/>
  <c r="D249" i="2"/>
  <c r="H28" i="9" s="1"/>
  <c r="E249" i="2"/>
  <c r="J28" i="9" s="1"/>
  <c r="F249" i="2"/>
  <c r="L28" i="9" s="1"/>
  <c r="G249" i="2"/>
  <c r="N28" i="9" s="1"/>
  <c r="H249" i="2"/>
  <c r="P28" i="9" s="1"/>
  <c r="I249" i="2"/>
  <c r="R28" i="9" s="1"/>
  <c r="J249" i="2"/>
  <c r="T28" i="9" s="1"/>
  <c r="K249" i="2"/>
  <c r="V28" i="9" s="1"/>
  <c r="L249" i="2"/>
  <c r="X28" i="9" s="1"/>
  <c r="M249" i="2"/>
  <c r="Z28" i="9" s="1"/>
  <c r="N249" i="2"/>
  <c r="AB28" i="9" s="1"/>
  <c r="O249" i="2"/>
  <c r="AD28" i="9" s="1"/>
  <c r="P249" i="2"/>
  <c r="D29" i="9"/>
  <c r="C250" i="2"/>
  <c r="F29" i="9" s="1"/>
  <c r="D250" i="2"/>
  <c r="H29" i="9" s="1"/>
  <c r="E250" i="2"/>
  <c r="J29" i="9" s="1"/>
  <c r="F250" i="2"/>
  <c r="L29" i="9" s="1"/>
  <c r="G250" i="2"/>
  <c r="N29" i="9" s="1"/>
  <c r="H250" i="2"/>
  <c r="P29" i="9" s="1"/>
  <c r="I250" i="2"/>
  <c r="R29" i="9" s="1"/>
  <c r="J250" i="2"/>
  <c r="T29" i="9" s="1"/>
  <c r="K250" i="2"/>
  <c r="V29" i="9" s="1"/>
  <c r="L250" i="2"/>
  <c r="X29" i="9" s="1"/>
  <c r="M250" i="2"/>
  <c r="Z29" i="9" s="1"/>
  <c r="N250" i="2"/>
  <c r="AB29" i="9" s="1"/>
  <c r="O250" i="2"/>
  <c r="AD29" i="9" s="1"/>
  <c r="P250" i="2"/>
  <c r="D30" i="9"/>
  <c r="C251" i="2"/>
  <c r="F30" i="9" s="1"/>
  <c r="D251" i="2"/>
  <c r="H30" i="9" s="1"/>
  <c r="E251" i="2"/>
  <c r="J30" i="9" s="1"/>
  <c r="F251" i="2"/>
  <c r="L30" i="9" s="1"/>
  <c r="G251" i="2"/>
  <c r="N30" i="9" s="1"/>
  <c r="H251" i="2"/>
  <c r="P30" i="9" s="1"/>
  <c r="I251" i="2"/>
  <c r="R30" i="9" s="1"/>
  <c r="J251" i="2"/>
  <c r="T30" i="9" s="1"/>
  <c r="K251" i="2"/>
  <c r="V30" i="9" s="1"/>
  <c r="L251" i="2"/>
  <c r="X30" i="9" s="1"/>
  <c r="M251" i="2"/>
  <c r="Z30" i="9" s="1"/>
  <c r="N251" i="2"/>
  <c r="AB30" i="9" s="1"/>
  <c r="O251" i="2"/>
  <c r="AD30" i="9" s="1"/>
  <c r="P251" i="2"/>
  <c r="D31" i="9"/>
  <c r="C252" i="2"/>
  <c r="F31" i="9" s="1"/>
  <c r="D252" i="2"/>
  <c r="H31" i="9" s="1"/>
  <c r="E252" i="2"/>
  <c r="J31" i="9" s="1"/>
  <c r="F252" i="2"/>
  <c r="L31" i="9" s="1"/>
  <c r="G252" i="2"/>
  <c r="N31" i="9" s="1"/>
  <c r="H252" i="2"/>
  <c r="P31" i="9" s="1"/>
  <c r="I252" i="2"/>
  <c r="R31" i="9" s="1"/>
  <c r="J252" i="2"/>
  <c r="T31" i="9" s="1"/>
  <c r="K252" i="2"/>
  <c r="V31" i="9" s="1"/>
  <c r="L252" i="2"/>
  <c r="X31" i="9" s="1"/>
  <c r="M252" i="2"/>
  <c r="Z31" i="9" s="1"/>
  <c r="N252" i="2"/>
  <c r="AB31" i="9" s="1"/>
  <c r="O252" i="2"/>
  <c r="AD31" i="9" s="1"/>
  <c r="P252" i="2"/>
  <c r="D32" i="9"/>
  <c r="C253" i="2"/>
  <c r="F32" i="9" s="1"/>
  <c r="D253" i="2"/>
  <c r="H32" i="9" s="1"/>
  <c r="E253" i="2"/>
  <c r="J32" i="9" s="1"/>
  <c r="F253" i="2"/>
  <c r="L32" i="9" s="1"/>
  <c r="G253" i="2"/>
  <c r="N32" i="9" s="1"/>
  <c r="H253" i="2"/>
  <c r="P32" i="9" s="1"/>
  <c r="I253" i="2"/>
  <c r="R32" i="9" s="1"/>
  <c r="J253" i="2"/>
  <c r="T32" i="9" s="1"/>
  <c r="K253" i="2"/>
  <c r="V32" i="9" s="1"/>
  <c r="L253" i="2"/>
  <c r="X32" i="9" s="1"/>
  <c r="M253" i="2"/>
  <c r="Z32" i="9" s="1"/>
  <c r="N253" i="2"/>
  <c r="AB32" i="9" s="1"/>
  <c r="O253" i="2"/>
  <c r="AD32" i="9" s="1"/>
  <c r="P253" i="2"/>
  <c r="D33" i="9"/>
  <c r="C254" i="2"/>
  <c r="F33" i="9" s="1"/>
  <c r="D254" i="2"/>
  <c r="H33" i="9" s="1"/>
  <c r="E254" i="2"/>
  <c r="J33" i="9" s="1"/>
  <c r="F254" i="2"/>
  <c r="L33" i="9" s="1"/>
  <c r="G254" i="2"/>
  <c r="N33" i="9" s="1"/>
  <c r="H254" i="2"/>
  <c r="P33" i="9" s="1"/>
  <c r="I254" i="2"/>
  <c r="R33" i="9" s="1"/>
  <c r="J254" i="2"/>
  <c r="T33" i="9" s="1"/>
  <c r="K254" i="2"/>
  <c r="V33" i="9" s="1"/>
  <c r="L254" i="2"/>
  <c r="X33" i="9" s="1"/>
  <c r="M254" i="2"/>
  <c r="Z33" i="9" s="1"/>
  <c r="N254" i="2"/>
  <c r="AB33" i="9" s="1"/>
  <c r="O254" i="2"/>
  <c r="AD33" i="9" s="1"/>
  <c r="P254" i="2"/>
  <c r="D34" i="9"/>
  <c r="C255" i="2"/>
  <c r="F34" i="9" s="1"/>
  <c r="D255" i="2"/>
  <c r="H34" i="9" s="1"/>
  <c r="E255" i="2"/>
  <c r="J34" i="9" s="1"/>
  <c r="F255" i="2"/>
  <c r="L34" i="9" s="1"/>
  <c r="G255" i="2"/>
  <c r="N34" i="9" s="1"/>
  <c r="H255" i="2"/>
  <c r="P34" i="9" s="1"/>
  <c r="I255" i="2"/>
  <c r="R34" i="9" s="1"/>
  <c r="J255" i="2"/>
  <c r="T34" i="9" s="1"/>
  <c r="K255" i="2"/>
  <c r="V34" i="9" s="1"/>
  <c r="L255" i="2"/>
  <c r="X34" i="9" s="1"/>
  <c r="M255" i="2"/>
  <c r="Z34" i="9" s="1"/>
  <c r="N255" i="2"/>
  <c r="AB34" i="9" s="1"/>
  <c r="O255" i="2"/>
  <c r="AD34" i="9" s="1"/>
  <c r="P255" i="2"/>
  <c r="D35" i="9"/>
  <c r="C256" i="2"/>
  <c r="F35" i="9" s="1"/>
  <c r="D256" i="2"/>
  <c r="H35" i="9" s="1"/>
  <c r="E256" i="2"/>
  <c r="J35" i="9" s="1"/>
  <c r="F256" i="2"/>
  <c r="L35" i="9" s="1"/>
  <c r="G256" i="2"/>
  <c r="N35" i="9" s="1"/>
  <c r="H256" i="2"/>
  <c r="P35" i="9" s="1"/>
  <c r="I256" i="2"/>
  <c r="R35" i="9" s="1"/>
  <c r="J256" i="2"/>
  <c r="T35" i="9" s="1"/>
  <c r="K256" i="2"/>
  <c r="V35" i="9" s="1"/>
  <c r="L256" i="2"/>
  <c r="X35" i="9" s="1"/>
  <c r="M256" i="2"/>
  <c r="Z35" i="9" s="1"/>
  <c r="N256" i="2"/>
  <c r="AB35" i="9" s="1"/>
  <c r="O256" i="2"/>
  <c r="AD35" i="9" s="1"/>
  <c r="P256" i="2"/>
  <c r="D36" i="9"/>
  <c r="C257" i="2"/>
  <c r="F36" i="9" s="1"/>
  <c r="D257" i="2"/>
  <c r="H36" i="9" s="1"/>
  <c r="E257" i="2"/>
  <c r="J36" i="9" s="1"/>
  <c r="F257" i="2"/>
  <c r="L36" i="9" s="1"/>
  <c r="G257" i="2"/>
  <c r="N36" i="9" s="1"/>
  <c r="H257" i="2"/>
  <c r="P36" i="9" s="1"/>
  <c r="I257" i="2"/>
  <c r="R36" i="9" s="1"/>
  <c r="J257" i="2"/>
  <c r="T36" i="9" s="1"/>
  <c r="K257" i="2"/>
  <c r="V36" i="9" s="1"/>
  <c r="L257" i="2"/>
  <c r="X36" i="9" s="1"/>
  <c r="M257" i="2"/>
  <c r="Z36" i="9" s="1"/>
  <c r="N257" i="2"/>
  <c r="AB36" i="9" s="1"/>
  <c r="O257" i="2"/>
  <c r="AD36" i="9" s="1"/>
  <c r="P257" i="2"/>
  <c r="D37" i="9"/>
  <c r="C258" i="2"/>
  <c r="F37" i="9" s="1"/>
  <c r="D258" i="2"/>
  <c r="H37" i="9" s="1"/>
  <c r="E258" i="2"/>
  <c r="J37" i="9" s="1"/>
  <c r="F258" i="2"/>
  <c r="L37" i="9" s="1"/>
  <c r="G258" i="2"/>
  <c r="N37" i="9" s="1"/>
  <c r="H258" i="2"/>
  <c r="P37" i="9" s="1"/>
  <c r="I258" i="2"/>
  <c r="R37" i="9" s="1"/>
  <c r="J258" i="2"/>
  <c r="T37" i="9" s="1"/>
  <c r="K258" i="2"/>
  <c r="V37" i="9" s="1"/>
  <c r="L258" i="2"/>
  <c r="X37" i="9" s="1"/>
  <c r="M258" i="2"/>
  <c r="Z37" i="9" s="1"/>
  <c r="N258" i="2"/>
  <c r="AB37" i="9" s="1"/>
  <c r="O258" i="2"/>
  <c r="AD37" i="9" s="1"/>
  <c r="P258" i="2"/>
  <c r="D38" i="9"/>
  <c r="C259" i="2"/>
  <c r="F38" i="9" s="1"/>
  <c r="D259" i="2"/>
  <c r="H38" i="9" s="1"/>
  <c r="E259" i="2"/>
  <c r="J38" i="9" s="1"/>
  <c r="F259" i="2"/>
  <c r="L38" i="9" s="1"/>
  <c r="G259" i="2"/>
  <c r="N38" i="9" s="1"/>
  <c r="H259" i="2"/>
  <c r="P38" i="9" s="1"/>
  <c r="I259" i="2"/>
  <c r="R38" i="9" s="1"/>
  <c r="J259" i="2"/>
  <c r="T38" i="9" s="1"/>
  <c r="K259" i="2"/>
  <c r="V38" i="9" s="1"/>
  <c r="L259" i="2"/>
  <c r="X38" i="9" s="1"/>
  <c r="M259" i="2"/>
  <c r="Z38" i="9" s="1"/>
  <c r="N259" i="2"/>
  <c r="AB38" i="9" s="1"/>
  <c r="O259" i="2"/>
  <c r="AD38" i="9" s="1"/>
  <c r="P259" i="2"/>
  <c r="D39" i="9"/>
  <c r="C260" i="2"/>
  <c r="F39" i="9" s="1"/>
  <c r="D260" i="2"/>
  <c r="H39" i="9" s="1"/>
  <c r="E260" i="2"/>
  <c r="J39" i="9" s="1"/>
  <c r="F260" i="2"/>
  <c r="L39" i="9" s="1"/>
  <c r="G260" i="2"/>
  <c r="N39" i="9" s="1"/>
  <c r="H260" i="2"/>
  <c r="P39" i="9" s="1"/>
  <c r="I260" i="2"/>
  <c r="R39" i="9" s="1"/>
  <c r="J260" i="2"/>
  <c r="T39" i="9" s="1"/>
  <c r="K260" i="2"/>
  <c r="V39" i="9" s="1"/>
  <c r="L260" i="2"/>
  <c r="X39" i="9" s="1"/>
  <c r="M260" i="2"/>
  <c r="Z39" i="9" s="1"/>
  <c r="N260" i="2"/>
  <c r="AB39" i="9" s="1"/>
  <c r="O260" i="2"/>
  <c r="AD39" i="9" s="1"/>
  <c r="P260" i="2"/>
  <c r="D40" i="9"/>
  <c r="C261" i="2"/>
  <c r="F40" i="9" s="1"/>
  <c r="D261" i="2"/>
  <c r="H40" i="9" s="1"/>
  <c r="E261" i="2"/>
  <c r="J40" i="9" s="1"/>
  <c r="F261" i="2"/>
  <c r="L40" i="9" s="1"/>
  <c r="G261" i="2"/>
  <c r="N40" i="9" s="1"/>
  <c r="H261" i="2"/>
  <c r="P40" i="9" s="1"/>
  <c r="I261" i="2"/>
  <c r="R40" i="9" s="1"/>
  <c r="J261" i="2"/>
  <c r="T40" i="9" s="1"/>
  <c r="K261" i="2"/>
  <c r="V40" i="9" s="1"/>
  <c r="L261" i="2"/>
  <c r="X40" i="9" s="1"/>
  <c r="M261" i="2"/>
  <c r="Z40" i="9" s="1"/>
  <c r="N261" i="2"/>
  <c r="AB40" i="9" s="1"/>
  <c r="O261" i="2"/>
  <c r="AD40" i="9" s="1"/>
  <c r="P261" i="2"/>
  <c r="D41" i="9"/>
  <c r="C262" i="2"/>
  <c r="F41" i="9" s="1"/>
  <c r="D262" i="2"/>
  <c r="H41" i="9" s="1"/>
  <c r="E262" i="2"/>
  <c r="J41" i="9" s="1"/>
  <c r="F262" i="2"/>
  <c r="L41" i="9" s="1"/>
  <c r="G262" i="2"/>
  <c r="N41" i="9" s="1"/>
  <c r="H262" i="2"/>
  <c r="P41" i="9" s="1"/>
  <c r="I262" i="2"/>
  <c r="R41" i="9" s="1"/>
  <c r="J262" i="2"/>
  <c r="T41" i="9" s="1"/>
  <c r="K262" i="2"/>
  <c r="V41" i="9" s="1"/>
  <c r="L262" i="2"/>
  <c r="X41" i="9" s="1"/>
  <c r="M262" i="2"/>
  <c r="Z41" i="9" s="1"/>
  <c r="N262" i="2"/>
  <c r="AB41" i="9" s="1"/>
  <c r="O262" i="2"/>
  <c r="AD41" i="9" s="1"/>
  <c r="P262" i="2"/>
  <c r="D42" i="9"/>
  <c r="C263" i="2"/>
  <c r="F42" i="9" s="1"/>
  <c r="D263" i="2"/>
  <c r="H42" i="9" s="1"/>
  <c r="E263" i="2"/>
  <c r="J42" i="9" s="1"/>
  <c r="F263" i="2"/>
  <c r="L42" i="9" s="1"/>
  <c r="G263" i="2"/>
  <c r="N42" i="9" s="1"/>
  <c r="H263" i="2"/>
  <c r="P42" i="9" s="1"/>
  <c r="I263" i="2"/>
  <c r="R42" i="9" s="1"/>
  <c r="J263" i="2"/>
  <c r="T42" i="9" s="1"/>
  <c r="K263" i="2"/>
  <c r="V42" i="9" s="1"/>
  <c r="L263" i="2"/>
  <c r="X42" i="9" s="1"/>
  <c r="M263" i="2"/>
  <c r="Z42" i="9" s="1"/>
  <c r="N263" i="2"/>
  <c r="AB42" i="9" s="1"/>
  <c r="O263" i="2"/>
  <c r="AD42" i="9" s="1"/>
  <c r="P263" i="2"/>
  <c r="D43" i="9"/>
  <c r="C264" i="2"/>
  <c r="F43" i="9" s="1"/>
  <c r="D264" i="2"/>
  <c r="H43" i="9" s="1"/>
  <c r="E264" i="2"/>
  <c r="J43" i="9" s="1"/>
  <c r="F264" i="2"/>
  <c r="L43" i="9" s="1"/>
  <c r="G264" i="2"/>
  <c r="N43" i="9" s="1"/>
  <c r="H264" i="2"/>
  <c r="P43" i="9" s="1"/>
  <c r="I264" i="2"/>
  <c r="R43" i="9" s="1"/>
  <c r="J264" i="2"/>
  <c r="T43" i="9" s="1"/>
  <c r="K264" i="2"/>
  <c r="V43" i="9" s="1"/>
  <c r="L264" i="2"/>
  <c r="X43" i="9" s="1"/>
  <c r="M264" i="2"/>
  <c r="Z43" i="9" s="1"/>
  <c r="N264" i="2"/>
  <c r="AB43" i="9" s="1"/>
  <c r="O264" i="2"/>
  <c r="AD43" i="9" s="1"/>
  <c r="P264" i="2"/>
  <c r="D44" i="9"/>
  <c r="C265" i="2"/>
  <c r="F44" i="9" s="1"/>
  <c r="D265" i="2"/>
  <c r="H44" i="9" s="1"/>
  <c r="E265" i="2"/>
  <c r="J44" i="9" s="1"/>
  <c r="F265" i="2"/>
  <c r="L44" i="9" s="1"/>
  <c r="G265" i="2"/>
  <c r="N44" i="9" s="1"/>
  <c r="H265" i="2"/>
  <c r="P44" i="9" s="1"/>
  <c r="I265" i="2"/>
  <c r="R44" i="9" s="1"/>
  <c r="J265" i="2"/>
  <c r="T44" i="9" s="1"/>
  <c r="K265" i="2"/>
  <c r="V44" i="9" s="1"/>
  <c r="L265" i="2"/>
  <c r="X44" i="9" s="1"/>
  <c r="M265" i="2"/>
  <c r="Z44" i="9" s="1"/>
  <c r="N265" i="2"/>
  <c r="AB44" i="9" s="1"/>
  <c r="O265" i="2"/>
  <c r="AD44" i="9" s="1"/>
  <c r="P265" i="2"/>
  <c r="D45" i="9"/>
  <c r="C266" i="2"/>
  <c r="F45" i="9" s="1"/>
  <c r="D266" i="2"/>
  <c r="H45" i="9" s="1"/>
  <c r="E266" i="2"/>
  <c r="J45" i="9" s="1"/>
  <c r="F266" i="2"/>
  <c r="L45" i="9" s="1"/>
  <c r="G266" i="2"/>
  <c r="N45" i="9" s="1"/>
  <c r="H266" i="2"/>
  <c r="P45" i="9" s="1"/>
  <c r="I266" i="2"/>
  <c r="R45" i="9" s="1"/>
  <c r="J266" i="2"/>
  <c r="T45" i="9" s="1"/>
  <c r="K266" i="2"/>
  <c r="V45" i="9" s="1"/>
  <c r="L266" i="2"/>
  <c r="X45" i="9" s="1"/>
  <c r="M266" i="2"/>
  <c r="Z45" i="9" s="1"/>
  <c r="N266" i="2"/>
  <c r="AB45" i="9" s="1"/>
  <c r="O266" i="2"/>
  <c r="AD45" i="9" s="1"/>
  <c r="P266" i="2"/>
  <c r="D46" i="9"/>
  <c r="C267" i="2"/>
  <c r="F46" i="9" s="1"/>
  <c r="D267" i="2"/>
  <c r="H46" i="9" s="1"/>
  <c r="E267" i="2"/>
  <c r="J46" i="9" s="1"/>
  <c r="F267" i="2"/>
  <c r="L46" i="9" s="1"/>
  <c r="G267" i="2"/>
  <c r="N46" i="9" s="1"/>
  <c r="H267" i="2"/>
  <c r="P46" i="9" s="1"/>
  <c r="I267" i="2"/>
  <c r="R46" i="9" s="1"/>
  <c r="J267" i="2"/>
  <c r="T46" i="9" s="1"/>
  <c r="K267" i="2"/>
  <c r="V46" i="9" s="1"/>
  <c r="L267" i="2"/>
  <c r="X46" i="9" s="1"/>
  <c r="M267" i="2"/>
  <c r="Z46" i="9" s="1"/>
  <c r="N267" i="2"/>
  <c r="AB46" i="9" s="1"/>
  <c r="O267" i="2"/>
  <c r="AD46" i="9" s="1"/>
  <c r="P267" i="2"/>
  <c r="D47" i="9"/>
  <c r="C268" i="2"/>
  <c r="F47" i="9" s="1"/>
  <c r="D268" i="2"/>
  <c r="H47" i="9" s="1"/>
  <c r="E268" i="2"/>
  <c r="J47" i="9" s="1"/>
  <c r="F268" i="2"/>
  <c r="L47" i="9" s="1"/>
  <c r="G268" i="2"/>
  <c r="N47" i="9" s="1"/>
  <c r="H268" i="2"/>
  <c r="P47" i="9" s="1"/>
  <c r="I268" i="2"/>
  <c r="R47" i="9" s="1"/>
  <c r="J268" i="2"/>
  <c r="T47" i="9" s="1"/>
  <c r="K268" i="2"/>
  <c r="V47" i="9" s="1"/>
  <c r="L268" i="2"/>
  <c r="X47" i="9" s="1"/>
  <c r="M268" i="2"/>
  <c r="Z47" i="9" s="1"/>
  <c r="N268" i="2"/>
  <c r="AB47" i="9" s="1"/>
  <c r="O268" i="2"/>
  <c r="AD47" i="9" s="1"/>
  <c r="P268" i="2"/>
  <c r="D48" i="9"/>
  <c r="C269" i="2"/>
  <c r="F48" i="9" s="1"/>
  <c r="D269" i="2"/>
  <c r="H48" i="9" s="1"/>
  <c r="E269" i="2"/>
  <c r="J48" i="9" s="1"/>
  <c r="F269" i="2"/>
  <c r="L48" i="9" s="1"/>
  <c r="G269" i="2"/>
  <c r="N48" i="9" s="1"/>
  <c r="H269" i="2"/>
  <c r="P48" i="9" s="1"/>
  <c r="I269" i="2"/>
  <c r="R48" i="9" s="1"/>
  <c r="J269" i="2"/>
  <c r="T48" i="9" s="1"/>
  <c r="K269" i="2"/>
  <c r="V48" i="9" s="1"/>
  <c r="L269" i="2"/>
  <c r="X48" i="9" s="1"/>
  <c r="M269" i="2"/>
  <c r="Z48" i="9" s="1"/>
  <c r="N269" i="2"/>
  <c r="AB48" i="9" s="1"/>
  <c r="O269" i="2"/>
  <c r="AD48" i="9" s="1"/>
  <c r="P269" i="2"/>
  <c r="A211" i="2"/>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AQ271" i="2"/>
  <c r="AP271" i="2"/>
  <c r="D271" i="2"/>
  <c r="E271" i="2"/>
  <c r="F271" i="2"/>
  <c r="G271" i="2"/>
  <c r="H271" i="2"/>
  <c r="I271" i="2"/>
  <c r="J271" i="2"/>
  <c r="K271" i="2"/>
  <c r="L271" i="2"/>
  <c r="M271" i="2"/>
  <c r="N271" i="2"/>
  <c r="O271" i="2"/>
  <c r="P271" i="2"/>
  <c r="Q271" i="2"/>
  <c r="R271" i="2"/>
  <c r="S271" i="2"/>
  <c r="T271" i="2"/>
  <c r="U271" i="2"/>
  <c r="V271" i="2"/>
  <c r="W271" i="2"/>
  <c r="X271" i="2"/>
  <c r="Y271" i="2"/>
  <c r="Z271" i="2"/>
  <c r="AA271" i="2"/>
  <c r="AB271" i="2"/>
  <c r="AC271" i="2"/>
  <c r="AD271" i="2"/>
  <c r="AE271" i="2"/>
  <c r="AF271" i="2"/>
  <c r="AG271" i="2"/>
  <c r="AH271" i="2"/>
  <c r="AI271" i="2"/>
  <c r="AJ271" i="2"/>
  <c r="AK271" i="2"/>
  <c r="AL271" i="2"/>
  <c r="AM271" i="2"/>
  <c r="AN271" i="2"/>
  <c r="AO271" i="2"/>
  <c r="C271" i="2"/>
  <c r="P360" i="2"/>
  <c r="O360" i="2"/>
  <c r="N360" i="2"/>
  <c r="M360" i="2"/>
  <c r="L360" i="2"/>
  <c r="K360" i="2"/>
  <c r="J360" i="2"/>
  <c r="I360" i="2"/>
  <c r="H360" i="2"/>
  <c r="G360" i="2"/>
  <c r="F360" i="2"/>
  <c r="E360" i="2"/>
  <c r="D360" i="2"/>
  <c r="C360" i="2"/>
  <c r="B360" i="2"/>
  <c r="P359" i="2"/>
  <c r="O359" i="2"/>
  <c r="N359" i="2"/>
  <c r="M359" i="2"/>
  <c r="L359" i="2"/>
  <c r="K359" i="2"/>
  <c r="J359" i="2"/>
  <c r="I359" i="2"/>
  <c r="H359" i="2"/>
  <c r="G359" i="2"/>
  <c r="F359" i="2"/>
  <c r="E359" i="2"/>
  <c r="D359" i="2"/>
  <c r="C359" i="2"/>
  <c r="B359" i="2"/>
  <c r="P358" i="2"/>
  <c r="O358" i="2"/>
  <c r="N358" i="2"/>
  <c r="M358" i="2"/>
  <c r="L358" i="2"/>
  <c r="K358" i="2"/>
  <c r="J358" i="2"/>
  <c r="I358" i="2"/>
  <c r="H358" i="2"/>
  <c r="G358" i="2"/>
  <c r="F358" i="2"/>
  <c r="E358" i="2"/>
  <c r="D358" i="2"/>
  <c r="C358" i="2"/>
  <c r="B358" i="2"/>
  <c r="P357" i="2"/>
  <c r="O357" i="2"/>
  <c r="N357" i="2"/>
  <c r="M357" i="2"/>
  <c r="L357" i="2"/>
  <c r="K357" i="2"/>
  <c r="J357" i="2"/>
  <c r="I357" i="2"/>
  <c r="H357" i="2"/>
  <c r="G357" i="2"/>
  <c r="F357" i="2"/>
  <c r="E357" i="2"/>
  <c r="D357" i="2"/>
  <c r="C357" i="2"/>
  <c r="B357" i="2"/>
  <c r="P356" i="2"/>
  <c r="O356" i="2"/>
  <c r="N356" i="2"/>
  <c r="M356" i="2"/>
  <c r="L356" i="2"/>
  <c r="K356" i="2"/>
  <c r="J356" i="2"/>
  <c r="I356" i="2"/>
  <c r="H356" i="2"/>
  <c r="G356" i="2"/>
  <c r="F356" i="2"/>
  <c r="E356" i="2"/>
  <c r="D356" i="2"/>
  <c r="C356" i="2"/>
  <c r="B356" i="2"/>
  <c r="P355" i="2"/>
  <c r="O355" i="2"/>
  <c r="N355" i="2"/>
  <c r="M355" i="2"/>
  <c r="L355" i="2"/>
  <c r="K355" i="2"/>
  <c r="J355" i="2"/>
  <c r="I355" i="2"/>
  <c r="H355" i="2"/>
  <c r="G355" i="2"/>
  <c r="F355" i="2"/>
  <c r="E355" i="2"/>
  <c r="D355" i="2"/>
  <c r="C355" i="2"/>
  <c r="B355" i="2"/>
  <c r="P354" i="2"/>
  <c r="O354" i="2"/>
  <c r="N354" i="2"/>
  <c r="M354" i="2"/>
  <c r="L354" i="2"/>
  <c r="K354" i="2"/>
  <c r="J354" i="2"/>
  <c r="I354" i="2"/>
  <c r="H354" i="2"/>
  <c r="G354" i="2"/>
  <c r="F354" i="2"/>
  <c r="E354" i="2"/>
  <c r="D354" i="2"/>
  <c r="C354" i="2"/>
  <c r="B354" i="2"/>
  <c r="P353" i="2"/>
  <c r="O353" i="2"/>
  <c r="N353" i="2"/>
  <c r="M353" i="2"/>
  <c r="L353" i="2"/>
  <c r="K353" i="2"/>
  <c r="J353" i="2"/>
  <c r="I353" i="2"/>
  <c r="H353" i="2"/>
  <c r="G353" i="2"/>
  <c r="F353" i="2"/>
  <c r="E353" i="2"/>
  <c r="D353" i="2"/>
  <c r="C353" i="2"/>
  <c r="B353" i="2"/>
  <c r="P352" i="2"/>
  <c r="O352" i="2"/>
  <c r="N352" i="2"/>
  <c r="M352" i="2"/>
  <c r="L352" i="2"/>
  <c r="K352" i="2"/>
  <c r="J352" i="2"/>
  <c r="I352" i="2"/>
  <c r="H352" i="2"/>
  <c r="G352" i="2"/>
  <c r="F352" i="2"/>
  <c r="E352" i="2"/>
  <c r="D352" i="2"/>
  <c r="C352" i="2"/>
  <c r="B352" i="2"/>
  <c r="P351" i="2"/>
  <c r="O351" i="2"/>
  <c r="N351" i="2"/>
  <c r="M351" i="2"/>
  <c r="L351" i="2"/>
  <c r="K351" i="2"/>
  <c r="J351" i="2"/>
  <c r="I351" i="2"/>
  <c r="H351" i="2"/>
  <c r="G351" i="2"/>
  <c r="F351" i="2"/>
  <c r="E351" i="2"/>
  <c r="D351" i="2"/>
  <c r="C351" i="2"/>
  <c r="B351" i="2"/>
  <c r="P350" i="2"/>
  <c r="O350" i="2"/>
  <c r="N350" i="2"/>
  <c r="M350" i="2"/>
  <c r="L350" i="2"/>
  <c r="K350" i="2"/>
  <c r="J350" i="2"/>
  <c r="I350" i="2"/>
  <c r="H350" i="2"/>
  <c r="G350" i="2"/>
  <c r="F350" i="2"/>
  <c r="E350" i="2"/>
  <c r="D350" i="2"/>
  <c r="C350" i="2"/>
  <c r="B350" i="2"/>
  <c r="P349" i="2"/>
  <c r="O349" i="2"/>
  <c r="N349" i="2"/>
  <c r="M349" i="2"/>
  <c r="L349" i="2"/>
  <c r="K349" i="2"/>
  <c r="J349" i="2"/>
  <c r="I349" i="2"/>
  <c r="H349" i="2"/>
  <c r="G349" i="2"/>
  <c r="F349" i="2"/>
  <c r="E349" i="2"/>
  <c r="D349" i="2"/>
  <c r="C349" i="2"/>
  <c r="B349" i="2"/>
  <c r="P348" i="2"/>
  <c r="O348" i="2"/>
  <c r="N348" i="2"/>
  <c r="M348" i="2"/>
  <c r="L348" i="2"/>
  <c r="K348" i="2"/>
  <c r="J348" i="2"/>
  <c r="I348" i="2"/>
  <c r="H348" i="2"/>
  <c r="G348" i="2"/>
  <c r="F348" i="2"/>
  <c r="E348" i="2"/>
  <c r="D348" i="2"/>
  <c r="C348" i="2"/>
  <c r="B348" i="2"/>
  <c r="P347" i="2"/>
  <c r="O347" i="2"/>
  <c r="N347" i="2"/>
  <c r="M347" i="2"/>
  <c r="L347" i="2"/>
  <c r="K347" i="2"/>
  <c r="J347" i="2"/>
  <c r="I347" i="2"/>
  <c r="H347" i="2"/>
  <c r="G347" i="2"/>
  <c r="F347" i="2"/>
  <c r="E347" i="2"/>
  <c r="D347" i="2"/>
  <c r="C347" i="2"/>
  <c r="B347" i="2"/>
  <c r="P346" i="2"/>
  <c r="O346" i="2"/>
  <c r="N346" i="2"/>
  <c r="M346" i="2"/>
  <c r="L346" i="2"/>
  <c r="K346" i="2"/>
  <c r="J346" i="2"/>
  <c r="I346" i="2"/>
  <c r="H346" i="2"/>
  <c r="G346" i="2"/>
  <c r="F346" i="2"/>
  <c r="E346" i="2"/>
  <c r="D346" i="2"/>
  <c r="C346" i="2"/>
  <c r="B346" i="2"/>
  <c r="P345" i="2"/>
  <c r="O345" i="2"/>
  <c r="N345" i="2"/>
  <c r="M345" i="2"/>
  <c r="L345" i="2"/>
  <c r="K345" i="2"/>
  <c r="J345" i="2"/>
  <c r="I345" i="2"/>
  <c r="H345" i="2"/>
  <c r="G345" i="2"/>
  <c r="F345" i="2"/>
  <c r="E345" i="2"/>
  <c r="D345" i="2"/>
  <c r="C345" i="2"/>
  <c r="B345" i="2"/>
  <c r="P344" i="2"/>
  <c r="O344" i="2"/>
  <c r="N344" i="2"/>
  <c r="M344" i="2"/>
  <c r="L344" i="2"/>
  <c r="K344" i="2"/>
  <c r="J344" i="2"/>
  <c r="I344" i="2"/>
  <c r="H344" i="2"/>
  <c r="G344" i="2"/>
  <c r="F344" i="2"/>
  <c r="E344" i="2"/>
  <c r="D344" i="2"/>
  <c r="C344" i="2"/>
  <c r="B344" i="2"/>
  <c r="P343" i="2"/>
  <c r="O343" i="2"/>
  <c r="N343" i="2"/>
  <c r="M343" i="2"/>
  <c r="L343" i="2"/>
  <c r="K343" i="2"/>
  <c r="J343" i="2"/>
  <c r="I343" i="2"/>
  <c r="H343" i="2"/>
  <c r="G343" i="2"/>
  <c r="F343" i="2"/>
  <c r="E343" i="2"/>
  <c r="D343" i="2"/>
  <c r="C343" i="2"/>
  <c r="B343" i="2"/>
  <c r="P342" i="2"/>
  <c r="O342" i="2"/>
  <c r="N342" i="2"/>
  <c r="M342" i="2"/>
  <c r="L342" i="2"/>
  <c r="K342" i="2"/>
  <c r="J342" i="2"/>
  <c r="I342" i="2"/>
  <c r="H342" i="2"/>
  <c r="G342" i="2"/>
  <c r="F342" i="2"/>
  <c r="E342" i="2"/>
  <c r="D342" i="2"/>
  <c r="C342" i="2"/>
  <c r="B342" i="2"/>
  <c r="P341" i="2"/>
  <c r="O341" i="2"/>
  <c r="N341" i="2"/>
  <c r="M341" i="2"/>
  <c r="L341" i="2"/>
  <c r="K341" i="2"/>
  <c r="J341" i="2"/>
  <c r="I341" i="2"/>
  <c r="H341" i="2"/>
  <c r="G341" i="2"/>
  <c r="F341" i="2"/>
  <c r="E341" i="2"/>
  <c r="D341" i="2"/>
  <c r="C341" i="2"/>
  <c r="B341" i="2"/>
  <c r="P340" i="2"/>
  <c r="O340" i="2"/>
  <c r="N340" i="2"/>
  <c r="M340" i="2"/>
  <c r="L340" i="2"/>
  <c r="K340" i="2"/>
  <c r="J340" i="2"/>
  <c r="I340" i="2"/>
  <c r="H340" i="2"/>
  <c r="G340" i="2"/>
  <c r="F340" i="2"/>
  <c r="E340" i="2"/>
  <c r="D340" i="2"/>
  <c r="C340" i="2"/>
  <c r="B340" i="2"/>
  <c r="P339" i="2"/>
  <c r="O339" i="2"/>
  <c r="N339" i="2"/>
  <c r="M339" i="2"/>
  <c r="L339" i="2"/>
  <c r="K339" i="2"/>
  <c r="J339" i="2"/>
  <c r="I339" i="2"/>
  <c r="H339" i="2"/>
  <c r="G339" i="2"/>
  <c r="F339" i="2"/>
  <c r="E339" i="2"/>
  <c r="D339" i="2"/>
  <c r="C339" i="2"/>
  <c r="B339" i="2"/>
  <c r="P338" i="2"/>
  <c r="O338" i="2"/>
  <c r="N338" i="2"/>
  <c r="M338" i="2"/>
  <c r="L338" i="2"/>
  <c r="K338" i="2"/>
  <c r="J338" i="2"/>
  <c r="I338" i="2"/>
  <c r="H338" i="2"/>
  <c r="G338" i="2"/>
  <c r="F338" i="2"/>
  <c r="E338" i="2"/>
  <c r="D338" i="2"/>
  <c r="C338" i="2"/>
  <c r="B338" i="2"/>
  <c r="P337" i="2"/>
  <c r="O337" i="2"/>
  <c r="N337" i="2"/>
  <c r="M337" i="2"/>
  <c r="L337" i="2"/>
  <c r="K337" i="2"/>
  <c r="J337" i="2"/>
  <c r="I337" i="2"/>
  <c r="H337" i="2"/>
  <c r="G337" i="2"/>
  <c r="F337" i="2"/>
  <c r="E337" i="2"/>
  <c r="D337" i="2"/>
  <c r="C337" i="2"/>
  <c r="B337" i="2"/>
  <c r="P336" i="2"/>
  <c r="O336" i="2"/>
  <c r="N336" i="2"/>
  <c r="M336" i="2"/>
  <c r="L336" i="2"/>
  <c r="K336" i="2"/>
  <c r="J336" i="2"/>
  <c r="I336" i="2"/>
  <c r="H336" i="2"/>
  <c r="G336" i="2"/>
  <c r="F336" i="2"/>
  <c r="E336" i="2"/>
  <c r="D336" i="2"/>
  <c r="C336" i="2"/>
  <c r="B336" i="2"/>
  <c r="P335" i="2"/>
  <c r="O335" i="2"/>
  <c r="N335" i="2"/>
  <c r="M335" i="2"/>
  <c r="L335" i="2"/>
  <c r="K335" i="2"/>
  <c r="J335" i="2"/>
  <c r="I335" i="2"/>
  <c r="H335" i="2"/>
  <c r="G335" i="2"/>
  <c r="F335" i="2"/>
  <c r="E335" i="2"/>
  <c r="D335" i="2"/>
  <c r="C335" i="2"/>
  <c r="B335" i="2"/>
  <c r="P334" i="2"/>
  <c r="O334" i="2"/>
  <c r="N334" i="2"/>
  <c r="M334" i="2"/>
  <c r="L334" i="2"/>
  <c r="K334" i="2"/>
  <c r="J334" i="2"/>
  <c r="I334" i="2"/>
  <c r="H334" i="2"/>
  <c r="G334" i="2"/>
  <c r="F334" i="2"/>
  <c r="E334" i="2"/>
  <c r="D334" i="2"/>
  <c r="C334" i="2"/>
  <c r="B334" i="2"/>
  <c r="P333" i="2"/>
  <c r="O333" i="2"/>
  <c r="N333" i="2"/>
  <c r="M333" i="2"/>
  <c r="L333" i="2"/>
  <c r="K333" i="2"/>
  <c r="J333" i="2"/>
  <c r="I333" i="2"/>
  <c r="H333" i="2"/>
  <c r="G333" i="2"/>
  <c r="F333" i="2"/>
  <c r="E333" i="2"/>
  <c r="D333" i="2"/>
  <c r="C333" i="2"/>
  <c r="B333" i="2"/>
  <c r="P332" i="2"/>
  <c r="O332" i="2"/>
  <c r="N332" i="2"/>
  <c r="M332" i="2"/>
  <c r="L332" i="2"/>
  <c r="K332" i="2"/>
  <c r="J332" i="2"/>
  <c r="I332" i="2"/>
  <c r="H332" i="2"/>
  <c r="G332" i="2"/>
  <c r="F332" i="2"/>
  <c r="E332" i="2"/>
  <c r="D332" i="2"/>
  <c r="C332" i="2"/>
  <c r="B332" i="2"/>
  <c r="P331" i="2"/>
  <c r="O331" i="2"/>
  <c r="N331" i="2"/>
  <c r="M331" i="2"/>
  <c r="L331" i="2"/>
  <c r="K331" i="2"/>
  <c r="J331" i="2"/>
  <c r="I331" i="2"/>
  <c r="H331" i="2"/>
  <c r="G331" i="2"/>
  <c r="F331" i="2"/>
  <c r="E331" i="2"/>
  <c r="D331" i="2"/>
  <c r="C331" i="2"/>
  <c r="B331" i="2"/>
  <c r="P330" i="2"/>
  <c r="O330" i="2"/>
  <c r="N330" i="2"/>
  <c r="M330" i="2"/>
  <c r="L330" i="2"/>
  <c r="K330" i="2"/>
  <c r="J330" i="2"/>
  <c r="I330" i="2"/>
  <c r="H330" i="2"/>
  <c r="G330" i="2"/>
  <c r="F330" i="2"/>
  <c r="E330" i="2"/>
  <c r="D330" i="2"/>
  <c r="C330" i="2"/>
  <c r="B330" i="2"/>
  <c r="P329" i="2"/>
  <c r="O329" i="2"/>
  <c r="N329" i="2"/>
  <c r="M329" i="2"/>
  <c r="L329" i="2"/>
  <c r="K329" i="2"/>
  <c r="J329" i="2"/>
  <c r="I329" i="2"/>
  <c r="H329" i="2"/>
  <c r="G329" i="2"/>
  <c r="F329" i="2"/>
  <c r="E329" i="2"/>
  <c r="D329" i="2"/>
  <c r="C329" i="2"/>
  <c r="B329" i="2"/>
  <c r="P328" i="2"/>
  <c r="O328" i="2"/>
  <c r="N328" i="2"/>
  <c r="M328" i="2"/>
  <c r="L328" i="2"/>
  <c r="K328" i="2"/>
  <c r="J328" i="2"/>
  <c r="I328" i="2"/>
  <c r="H328" i="2"/>
  <c r="G328" i="2"/>
  <c r="F328" i="2"/>
  <c r="E328" i="2"/>
  <c r="D328" i="2"/>
  <c r="C328" i="2"/>
  <c r="B328" i="2"/>
  <c r="P327" i="2"/>
  <c r="O327" i="2"/>
  <c r="N327" i="2"/>
  <c r="M327" i="2"/>
  <c r="L327" i="2"/>
  <c r="K327" i="2"/>
  <c r="J327" i="2"/>
  <c r="I327" i="2"/>
  <c r="H327" i="2"/>
  <c r="G327" i="2"/>
  <c r="F327" i="2"/>
  <c r="E327" i="2"/>
  <c r="D327" i="2"/>
  <c r="C327" i="2"/>
  <c r="B327" i="2"/>
  <c r="P326" i="2"/>
  <c r="O326" i="2"/>
  <c r="N326" i="2"/>
  <c r="M326" i="2"/>
  <c r="L326" i="2"/>
  <c r="K326" i="2"/>
  <c r="J326" i="2"/>
  <c r="I326" i="2"/>
  <c r="H326" i="2"/>
  <c r="G326" i="2"/>
  <c r="F326" i="2"/>
  <c r="E326" i="2"/>
  <c r="D326" i="2"/>
  <c r="C326" i="2"/>
  <c r="B326" i="2"/>
  <c r="P325" i="2"/>
  <c r="O325" i="2"/>
  <c r="N325" i="2"/>
  <c r="M325" i="2"/>
  <c r="L325" i="2"/>
  <c r="K325" i="2"/>
  <c r="J325" i="2"/>
  <c r="I325" i="2"/>
  <c r="H325" i="2"/>
  <c r="G325" i="2"/>
  <c r="F325" i="2"/>
  <c r="E325" i="2"/>
  <c r="D325" i="2"/>
  <c r="C325" i="2"/>
  <c r="B325" i="2"/>
  <c r="P324" i="2"/>
  <c r="O324" i="2"/>
  <c r="N324" i="2"/>
  <c r="M324" i="2"/>
  <c r="L324" i="2"/>
  <c r="K324" i="2"/>
  <c r="J324" i="2"/>
  <c r="I324" i="2"/>
  <c r="H324" i="2"/>
  <c r="G324" i="2"/>
  <c r="F324" i="2"/>
  <c r="E324" i="2"/>
  <c r="D324" i="2"/>
  <c r="C324" i="2"/>
  <c r="B324" i="2"/>
  <c r="P323" i="2"/>
  <c r="O323" i="2"/>
  <c r="N323" i="2"/>
  <c r="M323" i="2"/>
  <c r="L323" i="2"/>
  <c r="K323" i="2"/>
  <c r="J323" i="2"/>
  <c r="I323" i="2"/>
  <c r="H323" i="2"/>
  <c r="G323" i="2"/>
  <c r="F323" i="2"/>
  <c r="E323" i="2"/>
  <c r="D323" i="2"/>
  <c r="C323" i="2"/>
  <c r="B323" i="2"/>
  <c r="P322" i="2"/>
  <c r="O322" i="2"/>
  <c r="N322" i="2"/>
  <c r="M322" i="2"/>
  <c r="L322" i="2"/>
  <c r="K322" i="2"/>
  <c r="J322" i="2"/>
  <c r="I322" i="2"/>
  <c r="H322" i="2"/>
  <c r="G322" i="2"/>
  <c r="F322" i="2"/>
  <c r="E322" i="2"/>
  <c r="D322" i="2"/>
  <c r="C322" i="2"/>
  <c r="B322" i="2"/>
  <c r="P321" i="2"/>
  <c r="O321" i="2"/>
  <c r="N321" i="2"/>
  <c r="M321" i="2"/>
  <c r="L321" i="2"/>
  <c r="K321" i="2"/>
  <c r="J321" i="2"/>
  <c r="I321" i="2"/>
  <c r="H321" i="2"/>
  <c r="G321" i="2"/>
  <c r="F321" i="2"/>
  <c r="E321" i="2"/>
  <c r="D321" i="2"/>
  <c r="C321" i="2"/>
  <c r="B321" i="2"/>
  <c r="P320" i="2"/>
  <c r="O320" i="2"/>
  <c r="N320" i="2"/>
  <c r="M320" i="2"/>
  <c r="L320" i="2"/>
  <c r="K320" i="2"/>
  <c r="J320" i="2"/>
  <c r="I320" i="2"/>
  <c r="H320" i="2"/>
  <c r="G320" i="2"/>
  <c r="F320" i="2"/>
  <c r="E320" i="2"/>
  <c r="D320" i="2"/>
  <c r="C320" i="2"/>
  <c r="B320" i="2"/>
  <c r="B361" i="2"/>
  <c r="C361" i="2"/>
  <c r="D361" i="2"/>
  <c r="E361" i="2"/>
  <c r="F361" i="2"/>
  <c r="G361" i="2"/>
  <c r="H361" i="2"/>
  <c r="I361" i="2"/>
  <c r="J361" i="2"/>
  <c r="K361" i="2"/>
  <c r="L361" i="2"/>
  <c r="M361" i="2"/>
  <c r="N361" i="2"/>
  <c r="O361" i="2"/>
  <c r="P361" i="2"/>
  <c r="A275" i="2" a="1"/>
  <c r="A275" i="2" s="1"/>
  <c r="A21" i="6" a="1"/>
  <c r="P310" i="2" s="1"/>
  <c r="AE205" i="6" s="1"/>
  <c r="T385" i="2"/>
  <c r="B383" i="2"/>
  <c r="C383" i="2"/>
  <c r="C673" i="10" s="1"/>
  <c r="D383" i="2"/>
  <c r="D673" i="10" s="1"/>
  <c r="E383" i="2"/>
  <c r="E673" i="10" s="1"/>
  <c r="F383" i="2"/>
  <c r="F673" i="10" s="1"/>
  <c r="G383" i="2"/>
  <c r="G673" i="10" s="1"/>
  <c r="H383" i="2"/>
  <c r="H673" i="10" s="1"/>
  <c r="I383" i="2"/>
  <c r="I673" i="10" s="1"/>
  <c r="J383" i="2"/>
  <c r="J673" i="10" s="1"/>
  <c r="K383" i="2"/>
  <c r="K673" i="10" s="1"/>
  <c r="L383" i="2"/>
  <c r="L673" i="10" s="1"/>
  <c r="M383" i="2"/>
  <c r="M673" i="10" s="1"/>
  <c r="N383" i="2"/>
  <c r="O383" i="2"/>
  <c r="P383" i="2"/>
  <c r="P407" i="2"/>
  <c r="B180" i="2"/>
  <c r="B407" i="2" s="1"/>
  <c r="C180" i="2"/>
  <c r="C407" i="2" s="1"/>
  <c r="E180" i="2"/>
  <c r="E407" i="2" s="1"/>
  <c r="F180" i="2"/>
  <c r="F407" i="2" s="1"/>
  <c r="G180" i="2"/>
  <c r="G407" i="2" s="1"/>
  <c r="H180" i="2"/>
  <c r="H407" i="2" s="1"/>
  <c r="I180" i="2"/>
  <c r="I407" i="2" s="1"/>
  <c r="J180" i="2"/>
  <c r="J407" i="2" s="1"/>
  <c r="K180" i="2"/>
  <c r="K407" i="2" s="1"/>
  <c r="L180" i="2"/>
  <c r="L407" i="2" s="1"/>
  <c r="M180" i="2"/>
  <c r="M407" i="2" s="1"/>
  <c r="N180" i="2"/>
  <c r="N407" i="2" s="1"/>
  <c r="O180" i="2"/>
  <c r="O407" i="2" s="1"/>
  <c r="P180" i="2"/>
  <c r="A153" i="2"/>
  <c r="A152" i="2"/>
  <c r="A151" i="2"/>
  <c r="E46" i="4" a="1"/>
  <c r="E46" i="4" s="1"/>
  <c r="B157" i="2" s="1"/>
  <c r="J18" i="4"/>
  <c r="F42" i="4" s="1"/>
  <c r="J16" i="4"/>
  <c r="J17" i="4"/>
  <c r="E42" i="4"/>
  <c r="M32" i="4"/>
  <c r="M34" i="4"/>
  <c r="M35" i="4"/>
  <c r="M37" i="4"/>
  <c r="J34" i="4"/>
  <c r="J35" i="4"/>
  <c r="J36" i="4"/>
  <c r="J37" i="4"/>
  <c r="J38" i="4"/>
  <c r="J39" i="4"/>
  <c r="J40" i="4"/>
  <c r="J41" i="4"/>
  <c r="J42" i="4"/>
  <c r="J33" i="4"/>
  <c r="J31" i="4"/>
  <c r="J29" i="4"/>
  <c r="J28" i="4"/>
  <c r="H23" i="4"/>
  <c r="H33" i="4" s="1"/>
  <c r="L42" i="4"/>
  <c r="L41" i="4"/>
  <c r="L40" i="4"/>
  <c r="L39" i="4"/>
  <c r="L38" i="4"/>
  <c r="L37" i="4"/>
  <c r="L36" i="4"/>
  <c r="L35" i="4"/>
  <c r="L34" i="4"/>
  <c r="L33" i="4"/>
  <c r="L31" i="4"/>
  <c r="L29" i="4"/>
  <c r="L28" i="4"/>
  <c r="L26" i="4"/>
  <c r="L27" i="4"/>
  <c r="L25" i="4"/>
  <c r="I26" i="4"/>
  <c r="M26" i="4" s="1"/>
  <c r="I27" i="4"/>
  <c r="M27" i="4" s="1"/>
  <c r="I28" i="4"/>
  <c r="M28" i="4" s="1"/>
  <c r="I29" i="4"/>
  <c r="M29" i="4" s="1"/>
  <c r="I30" i="4"/>
  <c r="M30" i="4" s="1"/>
  <c r="I31" i="4"/>
  <c r="M31" i="4" s="1"/>
  <c r="I32" i="4"/>
  <c r="I33" i="4"/>
  <c r="M33" i="4" s="1"/>
  <c r="I34" i="4"/>
  <c r="I35" i="4"/>
  <c r="I36" i="4"/>
  <c r="M36" i="4" s="1"/>
  <c r="I37" i="4"/>
  <c r="I38" i="4"/>
  <c r="M38" i="4" s="1"/>
  <c r="I39" i="4"/>
  <c r="M39" i="4" s="1"/>
  <c r="I40" i="4"/>
  <c r="M40" i="4" s="1"/>
  <c r="I41" i="4"/>
  <c r="M41" i="4" s="1"/>
  <c r="I25" i="4"/>
  <c r="M25" i="4" s="1"/>
  <c r="E5" i="4"/>
  <c r="H5" i="4"/>
  <c r="E6" i="4"/>
  <c r="H6" i="4"/>
  <c r="E7" i="4"/>
  <c r="H7" i="4"/>
  <c r="E8" i="4"/>
  <c r="H8" i="4"/>
  <c r="E9" i="4"/>
  <c r="H9" i="4"/>
  <c r="E10" i="4"/>
  <c r="H10" i="4"/>
  <c r="E11" i="4"/>
  <c r="H11" i="4"/>
  <c r="E12" i="4"/>
  <c r="H12" i="4"/>
  <c r="E13" i="4"/>
  <c r="H13" i="4"/>
  <c r="E14" i="4"/>
  <c r="H14" i="4"/>
  <c r="E15" i="4"/>
  <c r="H15" i="4"/>
  <c r="E16" i="4"/>
  <c r="H16" i="4"/>
  <c r="E17" i="4"/>
  <c r="H17" i="4"/>
  <c r="E48" i="4" l="1" a="1"/>
  <c r="K157" i="2"/>
  <c r="L157" i="2"/>
  <c r="N157" i="2"/>
  <c r="O157" i="2"/>
  <c r="Q157" i="2"/>
  <c r="R157" i="2"/>
  <c r="C157" i="2"/>
  <c r="E157" i="2"/>
  <c r="S157" i="2"/>
  <c r="G157" i="2"/>
  <c r="H157" i="2"/>
  <c r="I157" i="2"/>
  <c r="AF45" i="9"/>
  <c r="AF43" i="9"/>
  <c r="H312" i="2"/>
  <c r="O207" i="6" s="1"/>
  <c r="F282" i="2"/>
  <c r="K177" i="6" s="1"/>
  <c r="L290" i="2"/>
  <c r="W185" i="6" s="1"/>
  <c r="P298" i="2"/>
  <c r="AE193" i="6" s="1"/>
  <c r="G307" i="2"/>
  <c r="M202" i="6" s="1"/>
  <c r="G311" i="2"/>
  <c r="M206" i="6" s="1"/>
  <c r="D283" i="2"/>
  <c r="G178" i="6" s="1"/>
  <c r="I291" i="2"/>
  <c r="Q186" i="6" s="1"/>
  <c r="N299" i="2"/>
  <c r="AA194" i="6" s="1"/>
  <c r="D308" i="2"/>
  <c r="G203" i="6" s="1"/>
  <c r="F292" i="2"/>
  <c r="K187" i="6" s="1"/>
  <c r="B294" i="2"/>
  <c r="C189" i="6" s="1"/>
  <c r="N284" i="2"/>
  <c r="AA179" i="6" s="1"/>
  <c r="I301" i="2"/>
  <c r="Q196" i="6" s="1"/>
  <c r="F302" i="2"/>
  <c r="K197" i="6" s="1"/>
  <c r="M316" i="2"/>
  <c r="Y212" i="6" s="1"/>
  <c r="N277" i="2"/>
  <c r="AA172" i="6" s="1"/>
  <c r="I286" i="2"/>
  <c r="Q181" i="6" s="1"/>
  <c r="N294" i="2"/>
  <c r="AA189" i="6" s="1"/>
  <c r="D303" i="2"/>
  <c r="G198" i="6" s="1"/>
  <c r="L300" i="2"/>
  <c r="W195" i="6" s="1"/>
  <c r="P276" i="2"/>
  <c r="AE171" i="6" s="1"/>
  <c r="C315" i="2"/>
  <c r="E211" i="6" s="1"/>
  <c r="B304" i="2"/>
  <c r="C199" i="6" s="1"/>
  <c r="F275" i="2"/>
  <c r="K170" i="6" s="1"/>
  <c r="N304" i="2"/>
  <c r="AA199" i="6" s="1"/>
  <c r="K305" i="2"/>
  <c r="U200" i="6" s="1"/>
  <c r="B284" i="2"/>
  <c r="C179" i="6" s="1"/>
  <c r="P308" i="2"/>
  <c r="AE203" i="6" s="1"/>
  <c r="D276" i="2"/>
  <c r="G171" i="6" s="1"/>
  <c r="D293" i="2"/>
  <c r="G188" i="6" s="1"/>
  <c r="N309" i="2"/>
  <c r="AA204" i="6" s="1"/>
  <c r="K285" i="2"/>
  <c r="U180" i="6" s="1"/>
  <c r="L310" i="2"/>
  <c r="W205" i="6" s="1"/>
  <c r="M278" i="2"/>
  <c r="Y173" i="6" s="1"/>
  <c r="G287" i="2"/>
  <c r="M182" i="6" s="1"/>
  <c r="K295" i="2"/>
  <c r="U190" i="6" s="1"/>
  <c r="P315" i="2"/>
  <c r="AE211" i="6" s="1"/>
  <c r="J279" i="2"/>
  <c r="S174" i="6" s="1"/>
  <c r="D288" i="2"/>
  <c r="G183" i="6" s="1"/>
  <c r="I296" i="2"/>
  <c r="Q191" i="6" s="1"/>
  <c r="N313" i="2"/>
  <c r="AA209" i="6" s="1"/>
  <c r="J280" i="2"/>
  <c r="S175" i="6" s="1"/>
  <c r="P288" i="2"/>
  <c r="AE183" i="6" s="1"/>
  <c r="G297" i="2"/>
  <c r="M192" i="6" s="1"/>
  <c r="K314" i="2"/>
  <c r="U210" i="6" s="1"/>
  <c r="I281" i="2"/>
  <c r="Q176" i="6" s="1"/>
  <c r="N289" i="2"/>
  <c r="AA184" i="6" s="1"/>
  <c r="D298" i="2"/>
  <c r="G193" i="6" s="1"/>
  <c r="I306" i="2"/>
  <c r="Q201" i="6" s="1"/>
  <c r="O313" i="2"/>
  <c r="AC209" i="6" s="1"/>
  <c r="G275" i="2"/>
  <c r="M170" i="6" s="1"/>
  <c r="E276" i="2"/>
  <c r="I171" i="6" s="1"/>
  <c r="P277" i="2"/>
  <c r="AE172" i="6" s="1"/>
  <c r="L280" i="2"/>
  <c r="W175" i="6" s="1"/>
  <c r="J281" i="2"/>
  <c r="S176" i="6" s="1"/>
  <c r="G282" i="2"/>
  <c r="M177" i="6" s="1"/>
  <c r="E283" i="2"/>
  <c r="I178" i="6" s="1"/>
  <c r="C284" i="2"/>
  <c r="E179" i="6" s="1"/>
  <c r="O284" i="2"/>
  <c r="AC179" i="6" s="1"/>
  <c r="L285" i="2"/>
  <c r="W180" i="6" s="1"/>
  <c r="J286" i="2"/>
  <c r="S181" i="6" s="1"/>
  <c r="H287" i="2"/>
  <c r="O182" i="6" s="1"/>
  <c r="E288" i="2"/>
  <c r="I183" i="6" s="1"/>
  <c r="B289" i="2"/>
  <c r="C184" i="6" s="1"/>
  <c r="O289" i="2"/>
  <c r="AC184" i="6" s="1"/>
  <c r="M290" i="2"/>
  <c r="Y185" i="6" s="1"/>
  <c r="J291" i="2"/>
  <c r="S186" i="6" s="1"/>
  <c r="G292" i="2"/>
  <c r="M187" i="6" s="1"/>
  <c r="E293" i="2"/>
  <c r="I188" i="6" s="1"/>
  <c r="C294" i="2"/>
  <c r="E189" i="6" s="1"/>
  <c r="O294" i="2"/>
  <c r="AC189" i="6" s="1"/>
  <c r="L295" i="2"/>
  <c r="W190" i="6" s="1"/>
  <c r="J296" i="2"/>
  <c r="S191" i="6" s="1"/>
  <c r="H297" i="2"/>
  <c r="O192" i="6" s="1"/>
  <c r="E298" i="2"/>
  <c r="I193" i="6" s="1"/>
  <c r="B299" i="2"/>
  <c r="C194" i="6" s="1"/>
  <c r="O299" i="2"/>
  <c r="AC194" i="6" s="1"/>
  <c r="M300" i="2"/>
  <c r="Y195" i="6" s="1"/>
  <c r="J301" i="2"/>
  <c r="S196" i="6" s="1"/>
  <c r="G302" i="2"/>
  <c r="M197" i="6" s="1"/>
  <c r="E303" i="2"/>
  <c r="I198" i="6" s="1"/>
  <c r="C304" i="2"/>
  <c r="E199" i="6" s="1"/>
  <c r="O304" i="2"/>
  <c r="AC199" i="6" s="1"/>
  <c r="L305" i="2"/>
  <c r="W200" i="6" s="1"/>
  <c r="J306" i="2"/>
  <c r="S201" i="6" s="1"/>
  <c r="H307" i="2"/>
  <c r="O202" i="6" s="1"/>
  <c r="E308" i="2"/>
  <c r="I203" i="6" s="1"/>
  <c r="B309" i="2"/>
  <c r="C204" i="6" s="1"/>
  <c r="O309" i="2"/>
  <c r="AC204" i="6" s="1"/>
  <c r="M310" i="2"/>
  <c r="Y205" i="6" s="1"/>
  <c r="B313" i="2"/>
  <c r="C209" i="6" s="1"/>
  <c r="H311" i="2"/>
  <c r="O206" i="6" s="1"/>
  <c r="C277" i="2"/>
  <c r="E172" i="6" s="1"/>
  <c r="K316" i="2"/>
  <c r="U212" i="6" s="1"/>
  <c r="F315" i="2"/>
  <c r="K211" i="6" s="1"/>
  <c r="M314" i="2"/>
  <c r="Y210" i="6" s="1"/>
  <c r="K312" i="2"/>
  <c r="U207" i="6" s="1"/>
  <c r="J311" i="2"/>
  <c r="S206" i="6" s="1"/>
  <c r="H275" i="2"/>
  <c r="O170" i="6" s="1"/>
  <c r="F276" i="2"/>
  <c r="K171" i="6" s="1"/>
  <c r="D277" i="2"/>
  <c r="G172" i="6" s="1"/>
  <c r="C278" i="2"/>
  <c r="E173" i="6" s="1"/>
  <c r="O278" i="2"/>
  <c r="AC173" i="6" s="1"/>
  <c r="M279" i="2"/>
  <c r="Y174" i="6" s="1"/>
  <c r="M280" i="2"/>
  <c r="Y175" i="6" s="1"/>
  <c r="K281" i="2"/>
  <c r="U176" i="6" s="1"/>
  <c r="I282" i="2"/>
  <c r="Q177" i="6" s="1"/>
  <c r="G283" i="2"/>
  <c r="M178" i="6" s="1"/>
  <c r="D284" i="2"/>
  <c r="G179" i="6" s="1"/>
  <c r="P284" i="2"/>
  <c r="AE179" i="6" s="1"/>
  <c r="N285" i="2"/>
  <c r="AA180" i="6" s="1"/>
  <c r="L286" i="2"/>
  <c r="W181" i="6" s="1"/>
  <c r="I287" i="2"/>
  <c r="Q182" i="6" s="1"/>
  <c r="F288" i="2"/>
  <c r="K183" i="6" s="1"/>
  <c r="D289" i="2"/>
  <c r="G184" i="6" s="1"/>
  <c r="B290" i="2"/>
  <c r="C185" i="6" s="1"/>
  <c r="N290" i="2"/>
  <c r="AA185" i="6" s="1"/>
  <c r="K291" i="2"/>
  <c r="U186" i="6" s="1"/>
  <c r="I292" i="2"/>
  <c r="Q187" i="6" s="1"/>
  <c r="G293" i="2"/>
  <c r="M188" i="6" s="1"/>
  <c r="D294" i="2"/>
  <c r="G189" i="6" s="1"/>
  <c r="P294" i="2"/>
  <c r="AE189" i="6" s="1"/>
  <c r="N295" i="2"/>
  <c r="AA190" i="6" s="1"/>
  <c r="L296" i="2"/>
  <c r="W191" i="6" s="1"/>
  <c r="I297" i="2"/>
  <c r="Q192" i="6" s="1"/>
  <c r="F298" i="2"/>
  <c r="K193" i="6" s="1"/>
  <c r="D299" i="2"/>
  <c r="G194" i="6" s="1"/>
  <c r="B300" i="2"/>
  <c r="C195" i="6" s="1"/>
  <c r="N300" i="2"/>
  <c r="AA195" i="6" s="1"/>
  <c r="K301" i="2"/>
  <c r="U196" i="6" s="1"/>
  <c r="I302" i="2"/>
  <c r="Q197" i="6" s="1"/>
  <c r="G303" i="2"/>
  <c r="M198" i="6" s="1"/>
  <c r="D304" i="2"/>
  <c r="G199" i="6" s="1"/>
  <c r="P304" i="2"/>
  <c r="AE199" i="6" s="1"/>
  <c r="N305" i="2"/>
  <c r="AA200" i="6" s="1"/>
  <c r="L306" i="2"/>
  <c r="W201" i="6" s="1"/>
  <c r="I307" i="2"/>
  <c r="Q202" i="6" s="1"/>
  <c r="F308" i="2"/>
  <c r="K203" i="6" s="1"/>
  <c r="D309" i="2"/>
  <c r="G204" i="6" s="1"/>
  <c r="B310" i="2"/>
  <c r="C205" i="6" s="1"/>
  <c r="N310" i="2"/>
  <c r="AA205" i="6" s="1"/>
  <c r="D315" i="2"/>
  <c r="G211" i="6" s="1"/>
  <c r="I312" i="2"/>
  <c r="Q207" i="6" s="1"/>
  <c r="N278" i="2"/>
  <c r="AA173" i="6" s="1"/>
  <c r="P313" i="2"/>
  <c r="AE209" i="6" s="1"/>
  <c r="J316" i="2"/>
  <c r="S212" i="6" s="1"/>
  <c r="G315" i="2"/>
  <c r="M211" i="6" s="1"/>
  <c r="E313" i="2"/>
  <c r="I209" i="6" s="1"/>
  <c r="B314" i="2"/>
  <c r="C210" i="6" s="1"/>
  <c r="N314" i="2"/>
  <c r="AA210" i="6" s="1"/>
  <c r="L312" i="2"/>
  <c r="W207" i="6" s="1"/>
  <c r="K311" i="2"/>
  <c r="U206" i="6" s="1"/>
  <c r="I275" i="2"/>
  <c r="Q170" i="6" s="1"/>
  <c r="H276" i="2"/>
  <c r="O171" i="6" s="1"/>
  <c r="F277" i="2"/>
  <c r="K172" i="6" s="1"/>
  <c r="D278" i="2"/>
  <c r="G173" i="6" s="1"/>
  <c r="P278" i="2"/>
  <c r="AE173" i="6" s="1"/>
  <c r="N279" i="2"/>
  <c r="AA174" i="6" s="1"/>
  <c r="N280" i="2"/>
  <c r="AA175" i="6" s="1"/>
  <c r="L281" i="2"/>
  <c r="W176" i="6" s="1"/>
  <c r="J282" i="2"/>
  <c r="S177" i="6" s="1"/>
  <c r="H283" i="2"/>
  <c r="O178" i="6" s="1"/>
  <c r="E284" i="2"/>
  <c r="I179" i="6" s="1"/>
  <c r="B285" i="2"/>
  <c r="C180" i="6" s="1"/>
  <c r="O285" i="2"/>
  <c r="AC180" i="6" s="1"/>
  <c r="M286" i="2"/>
  <c r="Y181" i="6" s="1"/>
  <c r="J287" i="2"/>
  <c r="S182" i="6" s="1"/>
  <c r="G288" i="2"/>
  <c r="M183" i="6" s="1"/>
  <c r="E289" i="2"/>
  <c r="I184" i="6" s="1"/>
  <c r="C290" i="2"/>
  <c r="E185" i="6" s="1"/>
  <c r="O290" i="2"/>
  <c r="AC185" i="6" s="1"/>
  <c r="L291" i="2"/>
  <c r="W186" i="6" s="1"/>
  <c r="J292" i="2"/>
  <c r="S187" i="6" s="1"/>
  <c r="H293" i="2"/>
  <c r="O188" i="6" s="1"/>
  <c r="E294" i="2"/>
  <c r="I189" i="6" s="1"/>
  <c r="B295" i="2"/>
  <c r="C190" i="6" s="1"/>
  <c r="O295" i="2"/>
  <c r="AC190" i="6" s="1"/>
  <c r="M296" i="2"/>
  <c r="Y191" i="6" s="1"/>
  <c r="J297" i="2"/>
  <c r="S192" i="6" s="1"/>
  <c r="G298" i="2"/>
  <c r="M193" i="6" s="1"/>
  <c r="E299" i="2"/>
  <c r="I194" i="6" s="1"/>
  <c r="C300" i="2"/>
  <c r="E195" i="6" s="1"/>
  <c r="O300" i="2"/>
  <c r="AC195" i="6" s="1"/>
  <c r="L301" i="2"/>
  <c r="W196" i="6" s="1"/>
  <c r="J302" i="2"/>
  <c r="S197" i="6" s="1"/>
  <c r="H303" i="2"/>
  <c r="O198" i="6" s="1"/>
  <c r="E304" i="2"/>
  <c r="I199" i="6" s="1"/>
  <c r="B305" i="2"/>
  <c r="C200" i="6" s="1"/>
  <c r="O305" i="2"/>
  <c r="AC200" i="6" s="1"/>
  <c r="M306" i="2"/>
  <c r="Y201" i="6" s="1"/>
  <c r="J307" i="2"/>
  <c r="S202" i="6" s="1"/>
  <c r="G308" i="2"/>
  <c r="M203" i="6" s="1"/>
  <c r="E309" i="2"/>
  <c r="I204" i="6" s="1"/>
  <c r="C310" i="2"/>
  <c r="E205" i="6" s="1"/>
  <c r="O310" i="2"/>
  <c r="AC205" i="6" s="1"/>
  <c r="L316" i="2"/>
  <c r="W212" i="6" s="1"/>
  <c r="L314" i="2"/>
  <c r="W210" i="6" s="1"/>
  <c r="K279" i="2"/>
  <c r="U174" i="6" s="1"/>
  <c r="D313" i="2"/>
  <c r="G209" i="6" s="1"/>
  <c r="H316" i="2"/>
  <c r="O212" i="6" s="1"/>
  <c r="I315" i="2"/>
  <c r="Q211" i="6" s="1"/>
  <c r="F313" i="2"/>
  <c r="K209" i="6" s="1"/>
  <c r="C314" i="2"/>
  <c r="E210" i="6" s="1"/>
  <c r="P314" i="2"/>
  <c r="AE210" i="6" s="1"/>
  <c r="N312" i="2"/>
  <c r="AA207" i="6" s="1"/>
  <c r="L311" i="2"/>
  <c r="W206" i="6" s="1"/>
  <c r="J275" i="2"/>
  <c r="S170" i="6" s="1"/>
  <c r="I276" i="2"/>
  <c r="Q171" i="6" s="1"/>
  <c r="G277" i="2"/>
  <c r="M172" i="6" s="1"/>
  <c r="E278" i="2"/>
  <c r="I173" i="6" s="1"/>
  <c r="C279" i="2"/>
  <c r="E174" i="6" s="1"/>
  <c r="C280" i="2"/>
  <c r="E175" i="6" s="1"/>
  <c r="O280" i="2"/>
  <c r="AC175" i="6" s="1"/>
  <c r="N281" i="2"/>
  <c r="AA176" i="6" s="1"/>
  <c r="L282" i="2"/>
  <c r="W177" i="6" s="1"/>
  <c r="I283" i="2"/>
  <c r="Q178" i="6" s="1"/>
  <c r="F284" i="2"/>
  <c r="K179" i="6" s="1"/>
  <c r="D285" i="2"/>
  <c r="G180" i="6" s="1"/>
  <c r="B286" i="2"/>
  <c r="C181" i="6" s="1"/>
  <c r="N286" i="2"/>
  <c r="AA181" i="6" s="1"/>
  <c r="K287" i="2"/>
  <c r="U182" i="6" s="1"/>
  <c r="I288" i="2"/>
  <c r="Q183" i="6" s="1"/>
  <c r="G289" i="2"/>
  <c r="M184" i="6" s="1"/>
  <c r="D290" i="2"/>
  <c r="G185" i="6" s="1"/>
  <c r="P290" i="2"/>
  <c r="AE185" i="6" s="1"/>
  <c r="N291" i="2"/>
  <c r="AA186" i="6" s="1"/>
  <c r="L292" i="2"/>
  <c r="W187" i="6" s="1"/>
  <c r="I293" i="2"/>
  <c r="Q188" i="6" s="1"/>
  <c r="F294" i="2"/>
  <c r="K189" i="6" s="1"/>
  <c r="D295" i="2"/>
  <c r="G190" i="6" s="1"/>
  <c r="B296" i="2"/>
  <c r="C191" i="6" s="1"/>
  <c r="N296" i="2"/>
  <c r="AA191" i="6" s="1"/>
  <c r="K297" i="2"/>
  <c r="U192" i="6" s="1"/>
  <c r="I298" i="2"/>
  <c r="Q193" i="6" s="1"/>
  <c r="G299" i="2"/>
  <c r="M194" i="6" s="1"/>
  <c r="D300" i="2"/>
  <c r="G195" i="6" s="1"/>
  <c r="P300" i="2"/>
  <c r="AE195" i="6" s="1"/>
  <c r="N301" i="2"/>
  <c r="AA196" i="6" s="1"/>
  <c r="L302" i="2"/>
  <c r="W197" i="6" s="1"/>
  <c r="I303" i="2"/>
  <c r="Q198" i="6" s="1"/>
  <c r="F304" i="2"/>
  <c r="K199" i="6" s="1"/>
  <c r="D305" i="2"/>
  <c r="G200" i="6" s="1"/>
  <c r="B306" i="2"/>
  <c r="C201" i="6" s="1"/>
  <c r="N306" i="2"/>
  <c r="AA201" i="6" s="1"/>
  <c r="K307" i="2"/>
  <c r="U202" i="6" s="1"/>
  <c r="I308" i="2"/>
  <c r="Q203" i="6" s="1"/>
  <c r="G309" i="2"/>
  <c r="M204" i="6" s="1"/>
  <c r="D310" i="2"/>
  <c r="G205" i="6" s="1"/>
  <c r="A21" i="6"/>
  <c r="B279" i="2"/>
  <c r="C174" i="6" s="1"/>
  <c r="B280" i="2"/>
  <c r="C175" i="6" s="1"/>
  <c r="B281" i="2"/>
  <c r="C176" i="6" s="1"/>
  <c r="B275" i="2"/>
  <c r="C170" i="6" s="1"/>
  <c r="B276" i="2"/>
  <c r="C171" i="6" s="1"/>
  <c r="B277" i="2"/>
  <c r="C172" i="6" s="1"/>
  <c r="B278" i="2"/>
  <c r="C173" i="6" s="1"/>
  <c r="G316" i="2"/>
  <c r="M212" i="6" s="1"/>
  <c r="J315" i="2"/>
  <c r="S211" i="6" s="1"/>
  <c r="G313" i="2"/>
  <c r="M209" i="6" s="1"/>
  <c r="D314" i="2"/>
  <c r="G210" i="6" s="1"/>
  <c r="B312" i="2"/>
  <c r="C207" i="6" s="1"/>
  <c r="O312" i="2"/>
  <c r="M311" i="2"/>
  <c r="Y206" i="6" s="1"/>
  <c r="K275" i="2"/>
  <c r="U170" i="6" s="1"/>
  <c r="K276" i="2"/>
  <c r="U171" i="6" s="1"/>
  <c r="H277" i="2"/>
  <c r="O172" i="6" s="1"/>
  <c r="F278" i="2"/>
  <c r="K173" i="6" s="1"/>
  <c r="D279" i="2"/>
  <c r="G174" i="6" s="1"/>
  <c r="D280" i="2"/>
  <c r="G175" i="6" s="1"/>
  <c r="P280" i="2"/>
  <c r="AE175" i="6" s="1"/>
  <c r="O281" i="2"/>
  <c r="AC176" i="6" s="1"/>
  <c r="M282" i="2"/>
  <c r="Y177" i="6" s="1"/>
  <c r="J283" i="2"/>
  <c r="S178" i="6" s="1"/>
  <c r="G284" i="2"/>
  <c r="M179" i="6" s="1"/>
  <c r="E285" i="2"/>
  <c r="I180" i="6" s="1"/>
  <c r="C286" i="2"/>
  <c r="E181" i="6" s="1"/>
  <c r="O286" i="2"/>
  <c r="AC181" i="6" s="1"/>
  <c r="L287" i="2"/>
  <c r="W182" i="6" s="1"/>
  <c r="J288" i="2"/>
  <c r="S183" i="6" s="1"/>
  <c r="H289" i="2"/>
  <c r="O184" i="6" s="1"/>
  <c r="E290" i="2"/>
  <c r="I185" i="6" s="1"/>
  <c r="B291" i="2"/>
  <c r="C186" i="6" s="1"/>
  <c r="O291" i="2"/>
  <c r="AC186" i="6" s="1"/>
  <c r="M292" i="2"/>
  <c r="Y187" i="6" s="1"/>
  <c r="J293" i="2"/>
  <c r="S188" i="6" s="1"/>
  <c r="G294" i="2"/>
  <c r="M189" i="6" s="1"/>
  <c r="E295" i="2"/>
  <c r="I190" i="6" s="1"/>
  <c r="C296" i="2"/>
  <c r="E191" i="6" s="1"/>
  <c r="O296" i="2"/>
  <c r="AC191" i="6" s="1"/>
  <c r="L297" i="2"/>
  <c r="W192" i="6" s="1"/>
  <c r="J298" i="2"/>
  <c r="S193" i="6" s="1"/>
  <c r="H299" i="2"/>
  <c r="O194" i="6" s="1"/>
  <c r="E300" i="2"/>
  <c r="I195" i="6" s="1"/>
  <c r="B301" i="2"/>
  <c r="C196" i="6" s="1"/>
  <c r="O301" i="2"/>
  <c r="AC196" i="6" s="1"/>
  <c r="M302" i="2"/>
  <c r="Y197" i="6" s="1"/>
  <c r="J303" i="2"/>
  <c r="S198" i="6" s="1"/>
  <c r="G304" i="2"/>
  <c r="M199" i="6" s="1"/>
  <c r="E305" i="2"/>
  <c r="I200" i="6" s="1"/>
  <c r="C306" i="2"/>
  <c r="E201" i="6" s="1"/>
  <c r="O306" i="2"/>
  <c r="AC201" i="6" s="1"/>
  <c r="L307" i="2"/>
  <c r="W202" i="6" s="1"/>
  <c r="J308" i="2"/>
  <c r="S203" i="6" s="1"/>
  <c r="H309" i="2"/>
  <c r="O204" i="6" s="1"/>
  <c r="E310" i="2"/>
  <c r="I205" i="6" s="1"/>
  <c r="F310" i="2"/>
  <c r="K205" i="6" s="1"/>
  <c r="K315" i="2"/>
  <c r="U211" i="6" s="1"/>
  <c r="B311" i="2"/>
  <c r="C206" i="6" s="1"/>
  <c r="L276" i="2"/>
  <c r="W171" i="6" s="1"/>
  <c r="F279" i="2"/>
  <c r="K174" i="6" s="1"/>
  <c r="B282" i="2"/>
  <c r="C177" i="6" s="1"/>
  <c r="I284" i="2"/>
  <c r="Q179" i="6" s="1"/>
  <c r="P286" i="2"/>
  <c r="AE181" i="6" s="1"/>
  <c r="I289" i="2"/>
  <c r="Q184" i="6" s="1"/>
  <c r="B292" i="2"/>
  <c r="C187" i="6" s="1"/>
  <c r="I294" i="2"/>
  <c r="Q189" i="6" s="1"/>
  <c r="P296" i="2"/>
  <c r="AE191" i="6" s="1"/>
  <c r="I299" i="2"/>
  <c r="Q194" i="6" s="1"/>
  <c r="B302" i="2"/>
  <c r="C197" i="6" s="1"/>
  <c r="I304" i="2"/>
  <c r="Q199" i="6" s="1"/>
  <c r="P306" i="2"/>
  <c r="AE201" i="6" s="1"/>
  <c r="N307" i="2"/>
  <c r="AA202" i="6" s="1"/>
  <c r="D316" i="2"/>
  <c r="G212" i="6" s="1"/>
  <c r="L315" i="2"/>
  <c r="W211" i="6" s="1"/>
  <c r="I313" i="2"/>
  <c r="Q209" i="6" s="1"/>
  <c r="G314" i="2"/>
  <c r="M210" i="6" s="1"/>
  <c r="E312" i="2"/>
  <c r="I207" i="6" s="1"/>
  <c r="C311" i="2"/>
  <c r="E206" i="6" s="1"/>
  <c r="P311" i="2"/>
  <c r="N275" i="2"/>
  <c r="AA170" i="6" s="1"/>
  <c r="M276" i="2"/>
  <c r="Y171" i="6" s="1"/>
  <c r="J277" i="2"/>
  <c r="S172" i="6" s="1"/>
  <c r="I278" i="2"/>
  <c r="Q173" i="6" s="1"/>
  <c r="G279" i="2"/>
  <c r="M174" i="6" s="1"/>
  <c r="F280" i="2"/>
  <c r="K175" i="6" s="1"/>
  <c r="E281" i="2"/>
  <c r="I176" i="6" s="1"/>
  <c r="C282" i="2"/>
  <c r="E177" i="6" s="1"/>
  <c r="O282" i="2"/>
  <c r="AC177" i="6" s="1"/>
  <c r="L283" i="2"/>
  <c r="W178" i="6" s="1"/>
  <c r="J284" i="2"/>
  <c r="S179" i="6" s="1"/>
  <c r="H285" i="2"/>
  <c r="O180" i="6" s="1"/>
  <c r="E286" i="2"/>
  <c r="I181" i="6" s="1"/>
  <c r="B287" i="2"/>
  <c r="C182" i="6" s="1"/>
  <c r="O287" i="2"/>
  <c r="AC182" i="6" s="1"/>
  <c r="M288" i="2"/>
  <c r="Y183" i="6" s="1"/>
  <c r="J289" i="2"/>
  <c r="S184" i="6" s="1"/>
  <c r="G290" i="2"/>
  <c r="M185" i="6" s="1"/>
  <c r="E291" i="2"/>
  <c r="I186" i="6" s="1"/>
  <c r="C292" i="2"/>
  <c r="E187" i="6" s="1"/>
  <c r="O292" i="2"/>
  <c r="AC187" i="6" s="1"/>
  <c r="L293" i="2"/>
  <c r="W188" i="6" s="1"/>
  <c r="J294" i="2"/>
  <c r="S189" i="6" s="1"/>
  <c r="H295" i="2"/>
  <c r="O190" i="6" s="1"/>
  <c r="E296" i="2"/>
  <c r="I191" i="6" s="1"/>
  <c r="B297" i="2"/>
  <c r="C192" i="6" s="1"/>
  <c r="O297" i="2"/>
  <c r="AC192" i="6" s="1"/>
  <c r="M298" i="2"/>
  <c r="Y193" i="6" s="1"/>
  <c r="J299" i="2"/>
  <c r="S194" i="6" s="1"/>
  <c r="G300" i="2"/>
  <c r="M195" i="6" s="1"/>
  <c r="E301" i="2"/>
  <c r="I196" i="6" s="1"/>
  <c r="C302" i="2"/>
  <c r="E197" i="6" s="1"/>
  <c r="O302" i="2"/>
  <c r="AC197" i="6" s="1"/>
  <c r="L303" i="2"/>
  <c r="W198" i="6" s="1"/>
  <c r="J304" i="2"/>
  <c r="S199" i="6" s="1"/>
  <c r="H305" i="2"/>
  <c r="O200" i="6" s="1"/>
  <c r="E306" i="2"/>
  <c r="I201" i="6" s="1"/>
  <c r="B307" i="2"/>
  <c r="C202" i="6" s="1"/>
  <c r="O307" i="2"/>
  <c r="AC202" i="6" s="1"/>
  <c r="M308" i="2"/>
  <c r="Y203" i="6" s="1"/>
  <c r="J309" i="2"/>
  <c r="S204" i="6" s="1"/>
  <c r="G310" i="2"/>
  <c r="M205" i="6" s="1"/>
  <c r="E316" i="2"/>
  <c r="I212" i="6" s="1"/>
  <c r="F314" i="2"/>
  <c r="K210" i="6" s="1"/>
  <c r="N311" i="2"/>
  <c r="AA206" i="6" s="1"/>
  <c r="I277" i="2"/>
  <c r="Q172" i="6" s="1"/>
  <c r="E280" i="2"/>
  <c r="I175" i="6" s="1"/>
  <c r="N282" i="2"/>
  <c r="AA177" i="6" s="1"/>
  <c r="G285" i="2"/>
  <c r="M180" i="6" s="1"/>
  <c r="L288" i="2"/>
  <c r="W183" i="6" s="1"/>
  <c r="D291" i="2"/>
  <c r="G186" i="6" s="1"/>
  <c r="K293" i="2"/>
  <c r="U188" i="6" s="1"/>
  <c r="D296" i="2"/>
  <c r="G191" i="6" s="1"/>
  <c r="L298" i="2"/>
  <c r="W193" i="6" s="1"/>
  <c r="D301" i="2"/>
  <c r="G196" i="6" s="1"/>
  <c r="K303" i="2"/>
  <c r="U198" i="6" s="1"/>
  <c r="D306" i="2"/>
  <c r="G201" i="6" s="1"/>
  <c r="L308" i="2"/>
  <c r="W203" i="6" s="1"/>
  <c r="C316" i="2"/>
  <c r="E212" i="6" s="1"/>
  <c r="I314" i="2"/>
  <c r="Q210" i="6" s="1"/>
  <c r="D311" i="2"/>
  <c r="G206" i="6" s="1"/>
  <c r="P275" i="2"/>
  <c r="AE170" i="6" s="1"/>
  <c r="N276" i="2"/>
  <c r="AA171" i="6" s="1"/>
  <c r="K278" i="2"/>
  <c r="U173" i="6" s="1"/>
  <c r="G280" i="2"/>
  <c r="M175" i="6" s="1"/>
  <c r="D282" i="2"/>
  <c r="G177" i="6" s="1"/>
  <c r="N283" i="2"/>
  <c r="AA178" i="6" s="1"/>
  <c r="I285" i="2"/>
  <c r="Q180" i="6" s="1"/>
  <c r="D287" i="2"/>
  <c r="G182" i="6" s="1"/>
  <c r="N288" i="2"/>
  <c r="AA183" i="6" s="1"/>
  <c r="I290" i="2"/>
  <c r="Q185" i="6" s="1"/>
  <c r="D292" i="2"/>
  <c r="G187" i="6" s="1"/>
  <c r="N293" i="2"/>
  <c r="AA188" i="6" s="1"/>
  <c r="L294" i="2"/>
  <c r="W189" i="6" s="1"/>
  <c r="I295" i="2"/>
  <c r="Q190" i="6" s="1"/>
  <c r="D297" i="2"/>
  <c r="G192" i="6" s="1"/>
  <c r="B298" i="2"/>
  <c r="C193" i="6" s="1"/>
  <c r="K299" i="2"/>
  <c r="U194" i="6" s="1"/>
  <c r="I300" i="2"/>
  <c r="Q195" i="6" s="1"/>
  <c r="G301" i="2"/>
  <c r="M196" i="6" s="1"/>
  <c r="D302" i="2"/>
  <c r="G197" i="6" s="1"/>
  <c r="P302" i="2"/>
  <c r="AE197" i="6" s="1"/>
  <c r="N303" i="2"/>
  <c r="AA198" i="6" s="1"/>
  <c r="I305" i="2"/>
  <c r="Q200" i="6" s="1"/>
  <c r="F306" i="2"/>
  <c r="K201" i="6" s="1"/>
  <c r="D307" i="2"/>
  <c r="G202" i="6" s="1"/>
  <c r="B308" i="2"/>
  <c r="C203" i="6" s="1"/>
  <c r="N308" i="2"/>
  <c r="AA203" i="6" s="1"/>
  <c r="K309" i="2"/>
  <c r="U204" i="6" s="1"/>
  <c r="I310" i="2"/>
  <c r="Q205" i="6" s="1"/>
  <c r="H313" i="2"/>
  <c r="O209" i="6" s="1"/>
  <c r="D312" i="2"/>
  <c r="G207" i="6" s="1"/>
  <c r="M275" i="2"/>
  <c r="Y170" i="6" s="1"/>
  <c r="H278" i="2"/>
  <c r="O173" i="6" s="1"/>
  <c r="D281" i="2"/>
  <c r="G176" i="6" s="1"/>
  <c r="K283" i="2"/>
  <c r="U178" i="6" s="1"/>
  <c r="D286" i="2"/>
  <c r="G181" i="6" s="1"/>
  <c r="N287" i="2"/>
  <c r="AA182" i="6" s="1"/>
  <c r="F290" i="2"/>
  <c r="K185" i="6" s="1"/>
  <c r="N292" i="2"/>
  <c r="AA187" i="6" s="1"/>
  <c r="G295" i="2"/>
  <c r="M190" i="6" s="1"/>
  <c r="N297" i="2"/>
  <c r="AA192" i="6" s="1"/>
  <c r="F300" i="2"/>
  <c r="K195" i="6" s="1"/>
  <c r="N302" i="2"/>
  <c r="AA197" i="6" s="1"/>
  <c r="G305" i="2"/>
  <c r="M200" i="6" s="1"/>
  <c r="I309" i="2"/>
  <c r="Q204" i="6" s="1"/>
  <c r="B316" i="2"/>
  <c r="C212" i="6" s="1"/>
  <c r="O316" i="2"/>
  <c r="AC212" i="6" s="1"/>
  <c r="M315" i="2"/>
  <c r="Y211" i="6" s="1"/>
  <c r="K313" i="2"/>
  <c r="U209" i="6" s="1"/>
  <c r="F312" i="2"/>
  <c r="K207" i="6" s="1"/>
  <c r="C275" i="2"/>
  <c r="E170" i="6" s="1"/>
  <c r="K277" i="2"/>
  <c r="U172" i="6" s="1"/>
  <c r="H279" i="2"/>
  <c r="O174" i="6" s="1"/>
  <c r="G281" i="2"/>
  <c r="M176" i="6" s="1"/>
  <c r="P282" i="2"/>
  <c r="AE177" i="6" s="1"/>
  <c r="L284" i="2"/>
  <c r="W179" i="6" s="1"/>
  <c r="F286" i="2"/>
  <c r="K181" i="6" s="1"/>
  <c r="B288" i="2"/>
  <c r="C183" i="6" s="1"/>
  <c r="K289" i="2"/>
  <c r="U184" i="6" s="1"/>
  <c r="G291" i="2"/>
  <c r="M186" i="6" s="1"/>
  <c r="P292" i="2"/>
  <c r="AE187" i="6" s="1"/>
  <c r="F296" i="2"/>
  <c r="K191" i="6" s="1"/>
  <c r="N298" i="2"/>
  <c r="AA193" i="6" s="1"/>
  <c r="L304" i="2"/>
  <c r="W199" i="6" s="1"/>
  <c r="N316" i="2"/>
  <c r="AA212" i="6" s="1"/>
  <c r="B315" i="2"/>
  <c r="C211" i="6" s="1"/>
  <c r="N315" i="2"/>
  <c r="AA211" i="6" s="1"/>
  <c r="L313" i="2"/>
  <c r="W209" i="6" s="1"/>
  <c r="J314" i="2"/>
  <c r="S210" i="6" s="1"/>
  <c r="G312" i="2"/>
  <c r="M207" i="6" s="1"/>
  <c r="E311" i="2"/>
  <c r="I206" i="6" s="1"/>
  <c r="D275" i="2"/>
  <c r="G170" i="6" s="1"/>
  <c r="C276" i="2"/>
  <c r="E171" i="6" s="1"/>
  <c r="O276" i="2"/>
  <c r="AC171" i="6" s="1"/>
  <c r="M277" i="2"/>
  <c r="Y172" i="6" s="1"/>
  <c r="L278" i="2"/>
  <c r="W173" i="6" s="1"/>
  <c r="I279" i="2"/>
  <c r="Q174" i="6" s="1"/>
  <c r="I280" i="2"/>
  <c r="Q175" i="6" s="1"/>
  <c r="H281" i="2"/>
  <c r="O176" i="6" s="1"/>
  <c r="E282" i="2"/>
  <c r="I177" i="6" s="1"/>
  <c r="B283" i="2"/>
  <c r="C178" i="6" s="1"/>
  <c r="O283" i="2"/>
  <c r="AC178" i="6" s="1"/>
  <c r="M284" i="2"/>
  <c r="Y179" i="6" s="1"/>
  <c r="J285" i="2"/>
  <c r="S180" i="6" s="1"/>
  <c r="G286" i="2"/>
  <c r="M181" i="6" s="1"/>
  <c r="E287" i="2"/>
  <c r="I182" i="6" s="1"/>
  <c r="C288" i="2"/>
  <c r="E183" i="6" s="1"/>
  <c r="O288" i="2"/>
  <c r="AC183" i="6" s="1"/>
  <c r="L289" i="2"/>
  <c r="W184" i="6" s="1"/>
  <c r="J290" i="2"/>
  <c r="S185" i="6" s="1"/>
  <c r="H291" i="2"/>
  <c r="O186" i="6" s="1"/>
  <c r="E292" i="2"/>
  <c r="I187" i="6" s="1"/>
  <c r="B293" i="2"/>
  <c r="C188" i="6" s="1"/>
  <c r="O293" i="2"/>
  <c r="AC188" i="6" s="1"/>
  <c r="M294" i="2"/>
  <c r="Y189" i="6" s="1"/>
  <c r="J295" i="2"/>
  <c r="S190" i="6" s="1"/>
  <c r="G296" i="2"/>
  <c r="M191" i="6" s="1"/>
  <c r="E297" i="2"/>
  <c r="I192" i="6" s="1"/>
  <c r="C298" i="2"/>
  <c r="E193" i="6" s="1"/>
  <c r="O298" i="2"/>
  <c r="AC193" i="6" s="1"/>
  <c r="L299" i="2"/>
  <c r="W194" i="6" s="1"/>
  <c r="J300" i="2"/>
  <c r="S195" i="6" s="1"/>
  <c r="H301" i="2"/>
  <c r="O196" i="6" s="1"/>
  <c r="E302" i="2"/>
  <c r="I197" i="6" s="1"/>
  <c r="B303" i="2"/>
  <c r="C198" i="6" s="1"/>
  <c r="O303" i="2"/>
  <c r="AC198" i="6" s="1"/>
  <c r="M304" i="2"/>
  <c r="Y199" i="6" s="1"/>
  <c r="J305" i="2"/>
  <c r="S200" i="6" s="1"/>
  <c r="G306" i="2"/>
  <c r="M201" i="6" s="1"/>
  <c r="E307" i="2"/>
  <c r="I202" i="6" s="1"/>
  <c r="C308" i="2"/>
  <c r="E203" i="6" s="1"/>
  <c r="O308" i="2"/>
  <c r="AC203" i="6" s="1"/>
  <c r="L309" i="2"/>
  <c r="W204" i="6" s="1"/>
  <c r="J310" i="2"/>
  <c r="S205" i="6" s="1"/>
  <c r="B673" i="10"/>
  <c r="A383" i="2"/>
  <c r="B363" i="2" s="1" a="1"/>
  <c r="B363" i="2" s="1"/>
  <c r="T649" i="10"/>
  <c r="A649" i="10" s="1"/>
  <c r="E48" i="4"/>
  <c r="B159" i="2" s="1"/>
  <c r="J159" i="2"/>
  <c r="S159" i="2"/>
  <c r="I159" i="2"/>
  <c r="R159" i="2"/>
  <c r="H159" i="2"/>
  <c r="O159" i="2"/>
  <c r="E159" i="2"/>
  <c r="Q159" i="2"/>
  <c r="G159" i="2"/>
  <c r="P159" i="2"/>
  <c r="F159" i="2"/>
  <c r="K159" i="2"/>
  <c r="N159" i="2"/>
  <c r="C159" i="2"/>
  <c r="M159" i="2"/>
  <c r="L159" i="2"/>
  <c r="D159" i="2"/>
  <c r="AF39" i="9"/>
  <c r="AF37" i="9"/>
  <c r="AF35" i="9"/>
  <c r="AF33" i="9"/>
  <c r="AF31" i="9"/>
  <c r="AF29" i="9"/>
  <c r="AF27" i="9"/>
  <c r="AF25" i="9"/>
  <c r="AF23" i="9"/>
  <c r="AF21" i="9"/>
  <c r="AF19" i="9"/>
  <c r="AF17" i="9"/>
  <c r="N50" i="9"/>
  <c r="AF47" i="9"/>
  <c r="L50" i="9"/>
  <c r="D157" i="2"/>
  <c r="AF41" i="9"/>
  <c r="F157" i="2"/>
  <c r="P157" i="2"/>
  <c r="AD50" i="9"/>
  <c r="J50" i="9"/>
  <c r="AB50" i="9"/>
  <c r="H50" i="9"/>
  <c r="Z50" i="9"/>
  <c r="F50" i="9"/>
  <c r="AF48" i="9"/>
  <c r="AF46" i="9"/>
  <c r="AF44" i="9"/>
  <c r="AF34" i="9"/>
  <c r="AF32" i="9"/>
  <c r="AF30" i="9"/>
  <c r="AF28" i="9"/>
  <c r="AF26" i="9"/>
  <c r="AF24" i="9"/>
  <c r="AF22" i="9"/>
  <c r="AF20" i="9"/>
  <c r="AF18" i="9"/>
  <c r="X50" i="9"/>
  <c r="D50" i="9"/>
  <c r="AF16" i="9"/>
  <c r="AF42" i="9"/>
  <c r="AF40" i="9"/>
  <c r="AF38" i="9"/>
  <c r="AF36" i="9"/>
  <c r="J157" i="2"/>
  <c r="I316" i="2"/>
  <c r="Q212" i="6" s="1"/>
  <c r="E315" i="2"/>
  <c r="I211" i="6" s="1"/>
  <c r="O315" i="2"/>
  <c r="AC211" i="6" s="1"/>
  <c r="J313" i="2"/>
  <c r="S209" i="6" s="1"/>
  <c r="E314" i="2"/>
  <c r="I210" i="6" s="1"/>
  <c r="O314" i="2"/>
  <c r="AC210" i="6" s="1"/>
  <c r="J312" i="2"/>
  <c r="S207" i="6" s="1"/>
  <c r="F311" i="2"/>
  <c r="K206" i="6" s="1"/>
  <c r="L275" i="2"/>
  <c r="W170" i="6" s="1"/>
  <c r="G276" i="2"/>
  <c r="M171" i="6" s="1"/>
  <c r="L277" i="2"/>
  <c r="W172" i="6" s="1"/>
  <c r="G278" i="2"/>
  <c r="M173" i="6" s="1"/>
  <c r="L279" i="2"/>
  <c r="W174" i="6" s="1"/>
  <c r="H280" i="2"/>
  <c r="O175" i="6" s="1"/>
  <c r="C281" i="2"/>
  <c r="E176" i="6" s="1"/>
  <c r="M281" i="2"/>
  <c r="Y176" i="6" s="1"/>
  <c r="H282" i="2"/>
  <c r="O177" i="6" s="1"/>
  <c r="C283" i="2"/>
  <c r="E178" i="6" s="1"/>
  <c r="M283" i="2"/>
  <c r="Y178" i="6" s="1"/>
  <c r="H284" i="2"/>
  <c r="O179" i="6" s="1"/>
  <c r="C285" i="2"/>
  <c r="E180" i="6" s="1"/>
  <c r="M285" i="2"/>
  <c r="Y180" i="6" s="1"/>
  <c r="H286" i="2"/>
  <c r="O181" i="6" s="1"/>
  <c r="C287" i="2"/>
  <c r="E182" i="6" s="1"/>
  <c r="M287" i="2"/>
  <c r="Y182" i="6" s="1"/>
  <c r="H288" i="2"/>
  <c r="O183" i="6" s="1"/>
  <c r="C289" i="2"/>
  <c r="E184" i="6" s="1"/>
  <c r="M289" i="2"/>
  <c r="Y184" i="6" s="1"/>
  <c r="H290" i="2"/>
  <c r="O185" i="6" s="1"/>
  <c r="C291" i="2"/>
  <c r="E186" i="6" s="1"/>
  <c r="M291" i="2"/>
  <c r="Y186" i="6" s="1"/>
  <c r="H292" i="2"/>
  <c r="O187" i="6" s="1"/>
  <c r="C293" i="2"/>
  <c r="E188" i="6" s="1"/>
  <c r="M293" i="2"/>
  <c r="Y188" i="6" s="1"/>
  <c r="H294" i="2"/>
  <c r="O189" i="6" s="1"/>
  <c r="C295" i="2"/>
  <c r="E190" i="6" s="1"/>
  <c r="M295" i="2"/>
  <c r="Y190" i="6" s="1"/>
  <c r="H296" i="2"/>
  <c r="O191" i="6" s="1"/>
  <c r="C297" i="2"/>
  <c r="E192" i="6" s="1"/>
  <c r="M297" i="2"/>
  <c r="Y192" i="6" s="1"/>
  <c r="H298" i="2"/>
  <c r="O193" i="6" s="1"/>
  <c r="C299" i="2"/>
  <c r="E194" i="6" s="1"/>
  <c r="M299" i="2"/>
  <c r="Y194" i="6" s="1"/>
  <c r="H300" i="2"/>
  <c r="O195" i="6" s="1"/>
  <c r="C301" i="2"/>
  <c r="E196" i="6" s="1"/>
  <c r="M301" i="2"/>
  <c r="Y196" i="6" s="1"/>
  <c r="H302" i="2"/>
  <c r="O197" i="6" s="1"/>
  <c r="C303" i="2"/>
  <c r="E198" i="6" s="1"/>
  <c r="M303" i="2"/>
  <c r="Y198" i="6" s="1"/>
  <c r="H304" i="2"/>
  <c r="O199" i="6" s="1"/>
  <c r="C305" i="2"/>
  <c r="E200" i="6" s="1"/>
  <c r="M305" i="2"/>
  <c r="Y200" i="6" s="1"/>
  <c r="H306" i="2"/>
  <c r="O201" i="6" s="1"/>
  <c r="C307" i="2"/>
  <c r="E202" i="6" s="1"/>
  <c r="M307" i="2"/>
  <c r="Y202" i="6" s="1"/>
  <c r="H308" i="2"/>
  <c r="O203" i="6" s="1"/>
  <c r="C309" i="2"/>
  <c r="E204" i="6" s="1"/>
  <c r="M309" i="2"/>
  <c r="Y204" i="6" s="1"/>
  <c r="H310" i="2"/>
  <c r="O205" i="6" s="1"/>
  <c r="V50" i="9"/>
  <c r="I42" i="4"/>
  <c r="M42" i="4" s="1"/>
  <c r="E50" i="4" s="1" a="1"/>
  <c r="T50" i="9"/>
  <c r="H31" i="4"/>
  <c r="R50" i="9"/>
  <c r="M157" i="2"/>
  <c r="P316" i="2"/>
  <c r="AE212" i="6" s="1"/>
  <c r="F316" i="2"/>
  <c r="K212" i="6" s="1"/>
  <c r="H315" i="2"/>
  <c r="O211" i="6" s="1"/>
  <c r="C313" i="2"/>
  <c r="E209" i="6" s="1"/>
  <c r="M313" i="2"/>
  <c r="Y209" i="6" s="1"/>
  <c r="H314" i="2"/>
  <c r="O210" i="6" s="1"/>
  <c r="C312" i="2"/>
  <c r="E207" i="6" s="1"/>
  <c r="M312" i="2"/>
  <c r="Y207" i="6" s="1"/>
  <c r="I311" i="2"/>
  <c r="Q206" i="6" s="1"/>
  <c r="E275" i="2"/>
  <c r="I170" i="6" s="1"/>
  <c r="O275" i="2"/>
  <c r="AC170" i="6" s="1"/>
  <c r="J276" i="2"/>
  <c r="S171" i="6" s="1"/>
  <c r="E277" i="2"/>
  <c r="I172" i="6" s="1"/>
  <c r="O277" i="2"/>
  <c r="AC172" i="6" s="1"/>
  <c r="J278" i="2"/>
  <c r="S173" i="6" s="1"/>
  <c r="E279" i="2"/>
  <c r="I174" i="6" s="1"/>
  <c r="O279" i="2"/>
  <c r="AC174" i="6" s="1"/>
  <c r="K280" i="2"/>
  <c r="U175" i="6" s="1"/>
  <c r="F281" i="2"/>
  <c r="K176" i="6" s="1"/>
  <c r="P281" i="2"/>
  <c r="AE176" i="6" s="1"/>
  <c r="K282" i="2"/>
  <c r="U177" i="6" s="1"/>
  <c r="F283" i="2"/>
  <c r="K178" i="6" s="1"/>
  <c r="P283" i="2"/>
  <c r="AE178" i="6" s="1"/>
  <c r="K284" i="2"/>
  <c r="U179" i="6" s="1"/>
  <c r="F285" i="2"/>
  <c r="K180" i="6" s="1"/>
  <c r="P285" i="2"/>
  <c r="AE180" i="6" s="1"/>
  <c r="K286" i="2"/>
  <c r="U181" i="6" s="1"/>
  <c r="F287" i="2"/>
  <c r="K182" i="6" s="1"/>
  <c r="P287" i="2"/>
  <c r="AE182" i="6" s="1"/>
  <c r="K288" i="2"/>
  <c r="U183" i="6" s="1"/>
  <c r="F289" i="2"/>
  <c r="K184" i="6" s="1"/>
  <c r="P289" i="2"/>
  <c r="AE184" i="6" s="1"/>
  <c r="K290" i="2"/>
  <c r="U185" i="6" s="1"/>
  <c r="F291" i="2"/>
  <c r="K186" i="6" s="1"/>
  <c r="P291" i="2"/>
  <c r="AE186" i="6" s="1"/>
  <c r="K292" i="2"/>
  <c r="U187" i="6" s="1"/>
  <c r="F293" i="2"/>
  <c r="K188" i="6" s="1"/>
  <c r="P293" i="2"/>
  <c r="AE188" i="6" s="1"/>
  <c r="K294" i="2"/>
  <c r="U189" i="6" s="1"/>
  <c r="F295" i="2"/>
  <c r="K190" i="6" s="1"/>
  <c r="P295" i="2"/>
  <c r="AE190" i="6" s="1"/>
  <c r="K296" i="2"/>
  <c r="U191" i="6" s="1"/>
  <c r="F297" i="2"/>
  <c r="K192" i="6" s="1"/>
  <c r="P297" i="2"/>
  <c r="AE192" i="6" s="1"/>
  <c r="K298" i="2"/>
  <c r="U193" i="6" s="1"/>
  <c r="F299" i="2"/>
  <c r="K194" i="6" s="1"/>
  <c r="P299" i="2"/>
  <c r="AE194" i="6" s="1"/>
  <c r="K300" i="2"/>
  <c r="U195" i="6" s="1"/>
  <c r="F301" i="2"/>
  <c r="K196" i="6" s="1"/>
  <c r="P301" i="2"/>
  <c r="AE196" i="6" s="1"/>
  <c r="K302" i="2"/>
  <c r="U197" i="6" s="1"/>
  <c r="F303" i="2"/>
  <c r="K198" i="6" s="1"/>
  <c r="P303" i="2"/>
  <c r="AE198" i="6" s="1"/>
  <c r="K304" i="2"/>
  <c r="U199" i="6" s="1"/>
  <c r="F305" i="2"/>
  <c r="K200" i="6" s="1"/>
  <c r="P305" i="2"/>
  <c r="AE200" i="6" s="1"/>
  <c r="K306" i="2"/>
  <c r="U201" i="6" s="1"/>
  <c r="F307" i="2"/>
  <c r="K202" i="6" s="1"/>
  <c r="P307" i="2"/>
  <c r="AE202" i="6" s="1"/>
  <c r="K308" i="2"/>
  <c r="U203" i="6" s="1"/>
  <c r="F309" i="2"/>
  <c r="K204" i="6" s="1"/>
  <c r="P309" i="2"/>
  <c r="AE204" i="6" s="1"/>
  <c r="K310" i="2"/>
  <c r="U205" i="6" s="1"/>
  <c r="P50" i="9"/>
  <c r="H39" i="4"/>
  <c r="H41" i="4"/>
  <c r="H34" i="4"/>
  <c r="H35" i="4"/>
  <c r="H36" i="4"/>
  <c r="H37" i="4"/>
  <c r="H38" i="4"/>
  <c r="H28" i="4"/>
  <c r="H40" i="4"/>
  <c r="H29" i="4"/>
  <c r="H42" i="4"/>
  <c r="D79" i="2"/>
  <c r="E79" i="2"/>
  <c r="F79" i="2"/>
  <c r="G79" i="2"/>
  <c r="H79" i="2"/>
  <c r="I79" i="2"/>
  <c r="J79" i="2"/>
  <c r="K79" i="2"/>
  <c r="L79" i="2"/>
  <c r="M79" i="2"/>
  <c r="N79" i="2"/>
  <c r="O79" i="2"/>
  <c r="P79" i="2"/>
  <c r="A15" i="3"/>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09" i="2"/>
  <c r="A385" i="2"/>
  <c r="A363" i="2"/>
  <c r="A318" i="2"/>
  <c r="A273" i="2"/>
  <c r="A271" i="2"/>
  <c r="A208" i="2"/>
  <c r="A192" i="2"/>
  <c r="A194" i="2"/>
  <c r="A196" i="2"/>
  <c r="A198" i="2"/>
  <c r="A200" i="2"/>
  <c r="A202" i="2"/>
  <c r="A204" i="2"/>
  <c r="A206" i="2"/>
  <c r="A20" i="2"/>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157" i="2" l="1"/>
  <c r="B155" i="2" s="1"/>
  <c r="I214" i="6"/>
  <c r="W214" i="6"/>
  <c r="O214" i="6"/>
  <c r="S214" i="6"/>
  <c r="U214" i="6"/>
  <c r="K214" i="6"/>
  <c r="C214" i="6"/>
  <c r="Q214" i="6"/>
  <c r="G214" i="6"/>
  <c r="Y214" i="6"/>
  <c r="E214" i="6"/>
  <c r="M214" i="6"/>
  <c r="AA214" i="6"/>
  <c r="P312" i="2"/>
  <c r="AE207" i="6" s="1"/>
  <c r="AE206" i="6"/>
  <c r="O311" i="2"/>
  <c r="AC206" i="6" s="1"/>
  <c r="AC207" i="6"/>
  <c r="P279" i="2"/>
  <c r="AE174" i="6" s="1"/>
  <c r="E50" i="4"/>
  <c r="B161" i="2" s="1"/>
  <c r="D161" i="2"/>
  <c r="E161" i="2"/>
  <c r="O161" i="2"/>
  <c r="F161" i="2"/>
  <c r="P161" i="2"/>
  <c r="J161" i="2"/>
  <c r="G161" i="2"/>
  <c r="Q161" i="2"/>
  <c r="H161" i="2"/>
  <c r="R161" i="2"/>
  <c r="I161" i="2"/>
  <c r="S161" i="2"/>
  <c r="C161" i="2"/>
  <c r="K161" i="2"/>
  <c r="N161" i="2"/>
  <c r="L161" i="2"/>
  <c r="M161" i="2"/>
  <c r="AF50" i="9"/>
  <c r="A159" i="2"/>
  <c r="AC214" i="6" l="1"/>
  <c r="AE214" i="6"/>
  <c r="A161" i="2"/>
  <c r="AG116" i="6" l="1"/>
  <c r="W116" i="6"/>
  <c r="AE116" i="6"/>
  <c r="AA116" i="6"/>
  <c r="K116" i="6"/>
  <c r="AC116" i="6"/>
  <c r="Y116" i="6"/>
  <c r="G116" i="6"/>
  <c r="U116" i="6"/>
  <c r="Q116" i="6"/>
  <c r="C116" i="6"/>
  <c r="S116" i="6"/>
  <c r="O116" i="6"/>
  <c r="E116" i="6"/>
  <c r="M116" i="6"/>
  <c r="I116"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<sst xmlns="http://schemas.openxmlformats.org/spreadsheetml/2006/main" count="6171" uniqueCount="724">
  <si>
    <t>#styr</t>
  </si>
  <si>
    <t>#styr_bts</t>
  </si>
  <si>
    <t>#styr_ats</t>
  </si>
  <si>
    <t>#endyr</t>
  </si>
  <si>
    <t>#recage</t>
  </si>
  <si>
    <t>#nages</t>
  </si>
  <si>
    <t>#p_mature</t>
  </si>
  <si>
    <t>#ew_ind</t>
  </si>
  <si>
    <t>#wt_fsh</t>
  </si>
  <si>
    <t>#wt_ssb</t>
  </si>
  <si>
    <t>#obs_catch</t>
  </si>
  <si>
    <t>#obs_effort</t>
  </si>
  <si>
    <t>#n_cpue</t>
  </si>
  <si>
    <t>#yrs_cpue</t>
  </si>
  <si>
    <t>#obs_cpue</t>
  </si>
  <si>
    <t>#obs_cpue_std</t>
  </si>
  <si>
    <t>#n_avo</t>
  </si>
  <si>
    <t>#yrs_avo</t>
  </si>
  <si>
    <t>#ob_avo</t>
  </si>
  <si>
    <t>#ob_avo_std</t>
  </si>
  <si>
    <t xml:space="preserve">0.407974331012764 0.795438239601419 0.292865176659236 0.390095687644021 0.579193250959401 0.447677778090839 0.371938445492411 0.390115994808685 0.5802458703618 0.40625738752985 0.379092753078342 0.317389245040044 0.25496050188299 0.63539505959713 0.529928783609978 0.454780316103912 0.335349192348874 </t>
  </si>
  <si>
    <t>#wt_avo</t>
  </si>
  <si>
    <t>#ngears</t>
  </si>
  <si>
    <t>#minind</t>
  </si>
  <si>
    <t>#n_fsh</t>
  </si>
  <si>
    <t>#n_bts</t>
  </si>
  <si>
    <t>#n_ats</t>
  </si>
  <si>
    <t>#yrs_fsh_data</t>
  </si>
  <si>
    <t>#yrs_bts_data</t>
  </si>
  <si>
    <t>2022 2023</t>
  </si>
  <si>
    <t>#yrs_ats_data</t>
  </si>
  <si>
    <t>#sam_fsh</t>
  </si>
  <si>
    <t>#sam_bts</t>
  </si>
  <si>
    <t>77.14159282 23.71274053 111.9711693 30.77251638 72.78365596 70.68743816 61.96613714 95.43097002 82.80494524 65.19617496 40.8449972 43.04360311 52.30577378 39.56155597 110.5916879 42.21163607 100.0250261 91.28286263 80.00260101 109.7252974 116.7592429 80.42658372 88.60936074 94.13164493 138.9188712 77.55875717 106.4428185 67.28603627 86.72151507 117.705801 125.6331243 149.0396494 148.2306857 202.8320846 173.9589826 233.6591903 99.32659701 150.7993167 128.8253935 163.3977944 147.6741682</t>
  </si>
  <si>
    <t>#sam_ats</t>
  </si>
  <si>
    <t>#err_fsh</t>
  </si>
  <si>
    <t>#err_bts</t>
  </si>
  <si>
    <t>1 1</t>
  </si>
  <si>
    <t>#err_ats</t>
  </si>
  <si>
    <t>#oac_fsh_data</t>
  </si>
  <si>
    <t>#ob_bts</t>
  </si>
  <si>
    <t>#ob_bts_std</t>
  </si>
  <si>
    <t>#wt_bts</t>
  </si>
  <si>
    <t xml:space="preserve">0.020477267 0.104115459 0.3152439 0.4181467 0.5299616 0.6417799 0.7841579 0.9245612 0.9791068 1.023728 1.165844 1.1374 1.44525 1.845182 1.428 </t>
  </si>
  <si>
    <t>#ot_bts</t>
  </si>
  <si>
    <t>#oac_bts</t>
  </si>
  <si>
    <t>#ot_ats_std</t>
  </si>
  <si>
    <t>#oac_ats</t>
  </si>
  <si>
    <t>#ob_ats</t>
  </si>
  <si>
    <t>#ob_ats_std</t>
  </si>
  <si>
    <t>#wt_ats</t>
  </si>
  <si>
    <t>#bottom_temp</t>
  </si>
  <si>
    <t>0.4 0.4</t>
  </si>
  <si>
    <t>#n_age_err</t>
  </si>
  <si>
    <t>#age_err</t>
  </si>
  <si>
    <t>#nlbins</t>
  </si>
  <si>
    <t>#olc_fsh</t>
  </si>
  <si>
    <t>#age_len</t>
  </si>
  <si>
    <t>#test</t>
  </si>
  <si>
    <t>Mean .2</t>
  </si>
  <si>
    <t>lof1</t>
  </si>
  <si>
    <t>lof2</t>
  </si>
  <si>
    <t>lof3</t>
  </si>
  <si>
    <t>endyr</t>
  </si>
  <si>
    <t>retro</t>
  </si>
  <si>
    <t>cur_yr</t>
  </si>
  <si>
    <t>data</t>
  </si>
  <si>
    <t>yr</t>
  </si>
  <si>
    <t>wt_pre</t>
  </si>
  <si>
    <t>residuals_1</t>
  </si>
  <si>
    <t>residuals_2</t>
  </si>
  <si>
    <t>sigma_yr</t>
  </si>
  <si>
    <t>yr_eff</t>
  </si>
  <si>
    <t>sigma_coh</t>
  </si>
  <si>
    <t>cohort</t>
  </si>
  <si>
    <t>coh_eff</t>
  </si>
  <si>
    <t>ages</t>
  </si>
  <si>
    <t>mnwt</t>
  </si>
  <si>
    <t>K</t>
  </si>
  <si>
    <t>L1</t>
  </si>
  <si>
    <t>L2</t>
  </si>
  <si>
    <t>(million m^2)</t>
  </si>
  <si>
    <r>
      <t>Relative estimation error (CV</t>
    </r>
    <r>
      <rPr>
        <b/>
        <vertAlign val="subscript"/>
        <sz val="11"/>
        <color rgb="FF000000"/>
        <rFont val="Aptos Narrow"/>
        <family val="2"/>
        <scheme val="minor"/>
      </rPr>
      <t>AVO</t>
    </r>
    <r>
      <rPr>
        <b/>
        <sz val="11"/>
        <color rgb="FF000000"/>
        <rFont val="Aptos Narrow"/>
        <family val="2"/>
        <scheme val="minor"/>
      </rPr>
      <t>)</t>
    </r>
  </si>
  <si>
    <t>95% CI</t>
  </si>
  <si>
    <t>Total backscatter</t>
  </si>
  <si>
    <t>Year</t>
  </si>
  <si>
    <t>Final series used for 2024</t>
  </si>
  <si>
    <t>last year</t>
  </si>
  <si>
    <t>NA</t>
  </si>
  <si>
    <t>data/age2023.dat</t>
  </si>
  <si>
    <t>data/len2023.dat</t>
  </si>
  <si>
    <t>results/Est_2023.dat</t>
  </si>
  <si>
    <t>&amp;</t>
  </si>
  <si>
    <t>\\</t>
  </si>
  <si>
    <t>-</t>
  </si>
  <si>
    <t>\hline</t>
  </si>
  <si>
    <t>Mean</t>
  </si>
  <si>
    <t>Sum</t>
  </si>
  <si>
    <t>#================================================================================</t>
  </si>
  <si>
    <t>#</t>
  </si>
  <si>
    <t>##__________________________________________________________</t>
  </si>
  <si>
    <t>#==============================================================================</t>
  </si>
  <si>
    <t>DATA</t>
  </si>
  <si>
    <t>BELOW</t>
  </si>
  <si>
    <t>for</t>
  </si>
  <si>
    <t>runs</t>
  </si>
  <si>
    <t>:</t>
  </si>
  <si>
    <t>number</t>
  </si>
  <si>
    <t>of</t>
  </si>
  <si>
    <t>age</t>
  </si>
  <si>
    <t>groups</t>
  </si>
  <si>
    <t>UPDATED</t>
  </si>
  <si>
    <t>##&lt;&lt;&lt;&lt;&lt;&lt;&lt;&lt;------------</t>
  </si>
  <si>
    <t>CATCH</t>
  </si>
  <si>
    <t>-----------------&gt;&gt;&gt;&gt;&gt;&gt;&gt;&gt;</t>
  </si>
  <si>
    <t>#nyrs_tc_biom</t>
  </si>
  <si>
    <t>catch</t>
  </si>
  <si>
    <t>biomass</t>
  </si>
  <si>
    <t>index</t>
  </si>
  <si>
    <t>years</t>
  </si>
  <si>
    <t>#yrs_tc_biom</t>
  </si>
  <si>
    <t>#tcb_biom_obs</t>
  </si>
  <si>
    <t>Catch</t>
  </si>
  <si>
    <t>Pollock</t>
  </si>
  <si>
    <t>Cod</t>
  </si>
  <si>
    <t>ATF</t>
  </si>
  <si>
    <t>#INGRID'snote(51)</t>
  </si>
  <si>
    <t>fishery</t>
  </si>
  <si>
    <t>1979-2014</t>
  </si>
  <si>
    <t>(with</t>
  </si>
  <si>
    <t>Kamchatka</t>
  </si>
  <si>
    <t>subtracted)</t>
  </si>
  <si>
    <t>(updated</t>
  </si>
  <si>
    <t>yrs</t>
  </si>
  <si>
    <t>back</t>
  </si>
  <si>
    <t>thru</t>
  </si>
  <si>
    <t>Oct</t>
  </si>
  <si>
    <t>used</t>
  </si>
  <si>
    <t>last</t>
  </si>
  <si>
    <t>catchfor</t>
  </si>
  <si>
    <t>this</t>
  </si>
  <si>
    <t>estimate)</t>
  </si>
  <si>
    <t>put</t>
  </si>
  <si>
    <t>in</t>
  </si>
  <si>
    <t>new</t>
  </si>
  <si>
    <t>from</t>
  </si>
  <si>
    <t>Table6.1</t>
  </si>
  <si>
    <t>#nyrs_fsh_comp</t>
  </si>
  <si>
    <t>N</t>
  </si>
  <si>
    <t>age/size</t>
  </si>
  <si>
    <t>observations</t>
  </si>
  <si>
    <t>by</t>
  </si>
  <si>
    <t>spp</t>
  </si>
  <si>
    <t>#yrs_fsh_comp</t>
  </si>
  <si>
    <t>Yrs</t>
  </si>
  <si>
    <t>obs</t>
  </si>
  <si>
    <t>spp:</t>
  </si>
  <si>
    <t>(0j0</t>
  </si>
  <si>
    <t>placeholder-</t>
  </si>
  <si>
    <t>needs</t>
  </si>
  <si>
    <t>to</t>
  </si>
  <si>
    <t>be</t>
  </si>
  <si>
    <t>filled</t>
  </si>
  <si>
    <t>with</t>
  </si>
  <si>
    <t>correct</t>
  </si>
  <si>
    <t>values)</t>
  </si>
  <si>
    <t>#fsh_age_type</t>
  </si>
  <si>
    <t>Type</t>
  </si>
  <si>
    <t>observation</t>
  </si>
  <si>
    <t>(age=1,</t>
  </si>
  <si>
    <t>lengths=2)</t>
  </si>
  <si>
    <t>#fsh_age_bins</t>
  </si>
  <si>
    <t>bins</t>
  </si>
  <si>
    <t>composition</t>
  </si>
  <si>
    <t>Observed</t>
  </si>
  <si>
    <t>(N)</t>
  </si>
  <si>
    <t>#2022</t>
  </si>
  <si>
    <t>#9</t>
  </si>
  <si>
    <t>Pcod</t>
  </si>
  <si>
    <t>length</t>
  </si>
  <si>
    <t>#ATF</t>
  </si>
  <si>
    <t>(no</t>
  </si>
  <si>
    <t>1989)</t>
  </si>
  <si>
    <t>fsh_comp_kir:</t>
  </si>
  <si>
    <t>compiled</t>
  </si>
  <si>
    <t>shelf</t>
  </si>
  <si>
    <t>and</t>
  </si>
  <si>
    <t>slope</t>
  </si>
  <si>
    <t>dat</t>
  </si>
  <si>
    <t>file</t>
  </si>
  <si>
    <t>missing</t>
  </si>
  <si>
    <t>years,</t>
  </si>
  <si>
    <t>samples&lt;100</t>
  </si>
  <si>
    <t>removed</t>
  </si>
  <si>
    <t>WEIGHT</t>
  </si>
  <si>
    <t>AT</t>
  </si>
  <si>
    <t>AGE</t>
  </si>
  <si>
    <t>#nyrs_wt_at_age</t>
  </si>
  <si>
    <t>weight</t>
  </si>
  <si>
    <t>at</t>
  </si>
  <si>
    <t>#yrs_wt_at_age</t>
  </si>
  <si>
    <t>#wt</t>
  </si>
  <si>
    <t>mean</t>
  </si>
  <si>
    <t>wt</t>
  </si>
  <si>
    <t>survey</t>
  </si>
  <si>
    <t>nat</t>
  </si>
  <si>
    <t>mort</t>
  </si>
  <si>
    <t>calculations</t>
  </si>
  <si>
    <t>WALLEYE</t>
  </si>
  <si>
    <t>POLLOCK</t>
  </si>
  <si>
    <t>PACIFIC</t>
  </si>
  <si>
    <t>COD</t>
  </si>
  <si>
    <t>ARROWTOOTH</t>
  </si>
  <si>
    <t>FLOUNDR</t>
  </si>
  <si>
    <t>OTHER</t>
  </si>
  <si>
    <t>#pmature</t>
  </si>
  <si>
    <t>Proportion</t>
  </si>
  <si>
    <t>mature</t>
  </si>
  <si>
    <t>#M1_base</t>
  </si>
  <si>
    <t>residual</t>
  </si>
  <si>
    <t>mortality,</t>
  </si>
  <si>
    <t>M1_base(1nspp1nages)</t>
  </si>
  <si>
    <t>SURVEY</t>
  </si>
  <si>
    <t>BIOMASS</t>
  </si>
  <si>
    <t>#nyrs_srv_biom</t>
  </si>
  <si>
    <t>Number</t>
  </si>
  <si>
    <t>(by</t>
  </si>
  <si>
    <t>species...)</t>
  </si>
  <si>
    <t>#yrs_srv_biom</t>
  </si>
  <si>
    <t>Years</t>
  </si>
  <si>
    <t>spp)</t>
  </si>
  <si>
    <t>#srv_biom</t>
  </si>
  <si>
    <t>Survey</t>
  </si>
  <si>
    <t>x1000</t>
  </si>
  <si>
    <t>#srv_biom_se</t>
  </si>
  <si>
    <t>#nyrs_srv_age</t>
  </si>
  <si>
    <t>#srv_age_type</t>
  </si>
  <si>
    <t>data:</t>
  </si>
  <si>
    <t>=</t>
  </si>
  <si>
    <t>data,</t>
  </si>
  <si>
    <t>2=length</t>
  </si>
  <si>
    <t>#yrs_srv_age</t>
  </si>
  <si>
    <t>#srv_age_bins</t>
  </si>
  <si>
    <t>Length-bin</t>
  </si>
  <si>
    <t>dimensions</t>
  </si>
  <si>
    <t>pollock</t>
  </si>
  <si>
    <t>Pacific</t>
  </si>
  <si>
    <t>cod</t>
  </si>
  <si>
    <t>#srv_age_n</t>
  </si>
  <si>
    <t>Sample</t>
  </si>
  <si>
    <t>sizes</t>
  </si>
  <si>
    <t>#srv_age_obs</t>
  </si>
  <si>
    <t>Age</t>
  </si>
  <si>
    <t>comp</t>
  </si>
  <si>
    <t>surveys</t>
  </si>
  <si>
    <t>Row</t>
  </si>
  <si>
    <t>Labels</t>
  </si>
  <si>
    <t>atf</t>
  </si>
  <si>
    <t>size</t>
  </si>
  <si>
    <t>file:</t>
  </si>
  <si>
    <t>transition</t>
  </si>
  <si>
    <t>matrix</t>
  </si>
  <si>
    <t>certain</t>
  </si>
  <si>
    <t>based</t>
  </si>
  <si>
    <t>Ingrids</t>
  </si>
  <si>
    <t>A2L</t>
  </si>
  <si>
    <t>matrix.</t>
  </si>
  <si>
    <t>1982-1986?</t>
  </si>
  <si>
    <t>jim</t>
  </si>
  <si>
    <t>#srv_age_sizes</t>
  </si>
  <si>
    <t>lengths</t>
  </si>
  <si>
    <t>each</t>
  </si>
  <si>
    <t>the</t>
  </si>
  <si>
    <t>conversion</t>
  </si>
  <si>
    <t>Kir</t>
  </si>
  <si>
    <t>collated</t>
  </si>
  <si>
    <t>assessment</t>
  </si>
  <si>
    <t>same</t>
  </si>
  <si>
    <t>as</t>
  </si>
  <si>
    <t>#age_trans_matrix</t>
  </si>
  <si>
    <t>is</t>
  </si>
  <si>
    <t>values</t>
  </si>
  <si>
    <t>vonB</t>
  </si>
  <si>
    <t>fit</t>
  </si>
  <si>
    <t>updated</t>
  </si>
  <si>
    <t>ACOUSTIC</t>
  </si>
  <si>
    <t>TRAWL</t>
  </si>
  <si>
    <t>#n_eit</t>
  </si>
  <si>
    <t>EIT</t>
  </si>
  <si>
    <t>n</t>
  </si>
  <si>
    <t>#yrs_eit</t>
  </si>
  <si>
    <t>#obs_eit</t>
  </si>
  <si>
    <t>:observed</t>
  </si>
  <si>
    <t>eit</t>
  </si>
  <si>
    <t>#eit_age_n</t>
  </si>
  <si>
    <t>Hauls</t>
  </si>
  <si>
    <t>#obs_eit_age</t>
  </si>
  <si>
    <t>:EIT</t>
  </si>
  <si>
    <t>#nyrs_eit_sel</t>
  </si>
  <si>
    <t>#yrs_eit_sel</t>
  </si>
  <si>
    <t>#eit_sel</t>
  </si>
  <si>
    <t>selectivity</t>
  </si>
  <si>
    <t>VON</t>
  </si>
  <si>
    <t>BERT</t>
  </si>
  <si>
    <t>other</t>
  </si>
  <si>
    <t>##_________________________________________________________</t>
  </si>
  <si>
    <t>#Results</t>
  </si>
  <si>
    <t>Weight</t>
  </si>
  <si>
    <t>models</t>
  </si>
  <si>
    <t>spp.</t>
  </si>
  <si>
    <t>May</t>
  </si>
  <si>
    <t>mf_type</t>
  </si>
  <si>
    <t>both,</t>
  </si>
  <si>
    <t>seperate</t>
  </si>
  <si>
    <t>sex</t>
  </si>
  <si>
    <t>propMorF</t>
  </si>
  <si>
    <t>3darray</t>
  </si>
  <si>
    <t>(1,nspp,1,mf_type,1,nages)</t>
  </si>
  <si>
    <t>proportion</t>
  </si>
  <si>
    <t>that</t>
  </si>
  <si>
    <t>male</t>
  </si>
  <si>
    <t>or</t>
  </si>
  <si>
    <t>female</t>
  </si>
  <si>
    <t>#0.7046881</t>
  </si>
  <si>
    <t>#0.8187308</t>
  </si>
  <si>
    <t>t0</t>
  </si>
  <si>
    <t>log_mean_d</t>
  </si>
  <si>
    <t>logK</t>
  </si>
  <si>
    <t>logH</t>
  </si>
  <si>
    <t>Tcoef</t>
  </si>
  <si>
    <t>Pcoef</t>
  </si>
  <si>
    <t>#test_read</t>
  </si>
  <si>
    <t>Successul</t>
  </si>
  <si>
    <t>read</t>
  </si>
  <si>
    <t>#V3.30</t>
  </si>
  <si>
    <t>#C</t>
  </si>
  <si>
    <t>created</t>
  </si>
  <si>
    <t>using</t>
  </si>
  <si>
    <t>SS_writedat</t>
  </si>
  <si>
    <t>function</t>
  </si>
  <si>
    <t>R</t>
  </si>
  <si>
    <t>package</t>
  </si>
  <si>
    <t>r4ss</t>
  </si>
  <si>
    <t>write</t>
  </si>
  <si>
    <t>time:</t>
  </si>
  <si>
    <t>#_styr</t>
  </si>
  <si>
    <t>#_endyr</t>
  </si>
  <si>
    <t>#_nseas</t>
  </si>
  <si>
    <t>#_months_per_seas</t>
  </si>
  <si>
    <t>#_Nsubseasons</t>
  </si>
  <si>
    <t>#_spawn_month</t>
  </si>
  <si>
    <t>#_Nsexes</t>
  </si>
  <si>
    <t>#_Nages</t>
  </si>
  <si>
    <t>#_N_areas</t>
  </si>
  <si>
    <t>#_Nfleets</t>
  </si>
  <si>
    <t>#_fleetinfo</t>
  </si>
  <si>
    <t>#_type</t>
  </si>
  <si>
    <t>surveytiming</t>
  </si>
  <si>
    <t>area</t>
  </si>
  <si>
    <t>units</t>
  </si>
  <si>
    <t>ned_catch_mult</t>
  </si>
  <si>
    <t>fleetname</t>
  </si>
  <si>
    <t>#_1</t>
  </si>
  <si>
    <t>#_2</t>
  </si>
  <si>
    <t>#_Catch</t>
  </si>
  <si>
    <t>#_year</t>
  </si>
  <si>
    <t>season</t>
  </si>
  <si>
    <t>fleet</t>
  </si>
  <si>
    <t>catch_se</t>
  </si>
  <si>
    <t>#_3</t>
  </si>
  <si>
    <t>#_4</t>
  </si>
  <si>
    <t>#_5</t>
  </si>
  <si>
    <t>#_6</t>
  </si>
  <si>
    <t>#_7</t>
  </si>
  <si>
    <t>#_8</t>
  </si>
  <si>
    <t>#_9</t>
  </si>
  <si>
    <t>#_10</t>
  </si>
  <si>
    <t>#_11</t>
  </si>
  <si>
    <t>#_12</t>
  </si>
  <si>
    <t>#_13</t>
  </si>
  <si>
    <t>#_14</t>
  </si>
  <si>
    <t>#_15</t>
  </si>
  <si>
    <t>#_16</t>
  </si>
  <si>
    <t>#_17</t>
  </si>
  <si>
    <t>#_18</t>
  </si>
  <si>
    <t>#_19</t>
  </si>
  <si>
    <t>#_20</t>
  </si>
  <si>
    <t>#_21</t>
  </si>
  <si>
    <t>#_22</t>
  </si>
  <si>
    <t>#_23</t>
  </si>
  <si>
    <t>#_24</t>
  </si>
  <si>
    <t>#_25</t>
  </si>
  <si>
    <t>#_26</t>
  </si>
  <si>
    <t>#_27</t>
  </si>
  <si>
    <t>#_28</t>
  </si>
  <si>
    <t>#_29</t>
  </si>
  <si>
    <t>#_30</t>
  </si>
  <si>
    <t>#_31</t>
  </si>
  <si>
    <t>#_32</t>
  </si>
  <si>
    <t>#_33</t>
  </si>
  <si>
    <t>#_34</t>
  </si>
  <si>
    <t>#_35</t>
  </si>
  <si>
    <t>#_36</t>
  </si>
  <si>
    <t>#_37</t>
  </si>
  <si>
    <t>#_38</t>
  </si>
  <si>
    <t>#_39</t>
  </si>
  <si>
    <t>#_40</t>
  </si>
  <si>
    <t>#_41</t>
  </si>
  <si>
    <t>#_42</t>
  </si>
  <si>
    <t>#_43</t>
  </si>
  <si>
    <t>#_44</t>
  </si>
  <si>
    <t>#_45</t>
  </si>
  <si>
    <t>#_46</t>
  </si>
  <si>
    <t>#_47</t>
  </si>
  <si>
    <t>#_48</t>
  </si>
  <si>
    <t>#_49</t>
  </si>
  <si>
    <t>#_terminator</t>
  </si>
  <si>
    <t>#_CPUE_and_surveyabundance_observations</t>
  </si>
  <si>
    <t>#_Units:</t>
  </si>
  <si>
    <t>0=numbers;</t>
  </si>
  <si>
    <t>1=biomass;</t>
  </si>
  <si>
    <t>2=F;</t>
  </si>
  <si>
    <t>&gt;=30</t>
  </si>
  <si>
    <t>special</t>
  </si>
  <si>
    <t>types</t>
  </si>
  <si>
    <t>#_Errtype:</t>
  </si>
  <si>
    <t>-1=normal;</t>
  </si>
  <si>
    <t>0=lognormal;</t>
  </si>
  <si>
    <t>&gt;0=T</t>
  </si>
  <si>
    <t>#_SD_Report:</t>
  </si>
  <si>
    <t>0=no</t>
  </si>
  <si>
    <t>sdreport;</t>
  </si>
  <si>
    <t>1=enable</t>
  </si>
  <si>
    <t>sdreport</t>
  </si>
  <si>
    <t>#_Fleet</t>
  </si>
  <si>
    <t>Units</t>
  </si>
  <si>
    <t>Errtype</t>
  </si>
  <si>
    <t>SD_Report</t>
  </si>
  <si>
    <t>#_fishery</t>
  </si>
  <si>
    <t>#_survey</t>
  </si>
  <si>
    <t>#_CPUE_data</t>
  </si>
  <si>
    <t>seas</t>
  </si>
  <si>
    <t>se_log</t>
  </si>
  <si>
    <t>#_N_discard_fleets</t>
  </si>
  <si>
    <t>#_discard_units</t>
  </si>
  <si>
    <t>(1=same_as_catchunits(bio/num);</t>
  </si>
  <si>
    <t>2=fraction;</t>
  </si>
  <si>
    <t>3=numbers)</t>
  </si>
  <si>
    <t>#_discard_errtype:</t>
  </si>
  <si>
    <t>&gt;0</t>
  </si>
  <si>
    <t>DF</t>
  </si>
  <si>
    <t>T-dist(read</t>
  </si>
  <si>
    <t>CV</t>
  </si>
  <si>
    <t>below);</t>
  </si>
  <si>
    <t>normal</t>
  </si>
  <si>
    <t>CV;</t>
  </si>
  <si>
    <t>se;</t>
  </si>
  <si>
    <t>lognormal</t>
  </si>
  <si>
    <t>#_discard_fleet_info</t>
  </si>
  <si>
    <t>#_discard_data</t>
  </si>
  <si>
    <t>#_meanbodywt</t>
  </si>
  <si>
    <t>#_use_meanbodywt</t>
  </si>
  <si>
    <t>#_DF_for_meanbodywt_T-distribution_like</t>
  </si>
  <si>
    <t>#_population_length_bins</t>
  </si>
  <si>
    <t>bin</t>
  </si>
  <si>
    <t>method:</t>
  </si>
  <si>
    <t>1=use</t>
  </si>
  <si>
    <t>databins;</t>
  </si>
  <si>
    <t>2=generate</t>
  </si>
  <si>
    <t>binwidth,min,max</t>
  </si>
  <si>
    <t>below;</t>
  </si>
  <si>
    <t>3=read</t>
  </si>
  <si>
    <t>vector</t>
  </si>
  <si>
    <t>#_N_lbinspop</t>
  </si>
  <si>
    <t>#_lbin_vector_pop</t>
  </si>
  <si>
    <t>#_use_lencomp</t>
  </si>
  <si>
    <t>#_len_info</t>
  </si>
  <si>
    <t>#_names</t>
  </si>
  <si>
    <t>mintailcomp</t>
  </si>
  <si>
    <t>addtocomp</t>
  </si>
  <si>
    <t>combine_M_F</t>
  </si>
  <si>
    <t>CompressBins</t>
  </si>
  <si>
    <t>CompError</t>
  </si>
  <si>
    <t>ParmSelect</t>
  </si>
  <si>
    <t>minsamplesize</t>
  </si>
  <si>
    <t>#_N_lbins</t>
  </si>
  <si>
    <t>#_lbin_vector</t>
  </si>
  <si>
    <t>#_50</t>
  </si>
  <si>
    <t>#_51</t>
  </si>
  <si>
    <t>#_52</t>
  </si>
  <si>
    <t>#_53</t>
  </si>
  <si>
    <t>#_54</t>
  </si>
  <si>
    <t>#_55</t>
  </si>
  <si>
    <t>#_56</t>
  </si>
  <si>
    <t>#_57</t>
  </si>
  <si>
    <t>#_58</t>
  </si>
  <si>
    <t>#_59</t>
  </si>
  <si>
    <t>#_60</t>
  </si>
  <si>
    <t>#_61</t>
  </si>
  <si>
    <t>#_62</t>
  </si>
  <si>
    <t>#_63</t>
  </si>
  <si>
    <t>#_64</t>
  </si>
  <si>
    <t>#_65</t>
  </si>
  <si>
    <t>#_66</t>
  </si>
  <si>
    <t>#_67</t>
  </si>
  <si>
    <t>#_68</t>
  </si>
  <si>
    <t>#_69</t>
  </si>
  <si>
    <t>#_70</t>
  </si>
  <si>
    <t>#_71</t>
  </si>
  <si>
    <t>#_72</t>
  </si>
  <si>
    <t>#_73</t>
  </si>
  <si>
    <t>#_74</t>
  </si>
  <si>
    <t>#_75</t>
  </si>
  <si>
    <t>#_76</t>
  </si>
  <si>
    <t>#_77</t>
  </si>
  <si>
    <t>#_78</t>
  </si>
  <si>
    <t>#_79</t>
  </si>
  <si>
    <t>#_80</t>
  </si>
  <si>
    <t>#_81</t>
  </si>
  <si>
    <t>#_82</t>
  </si>
  <si>
    <t>#_83</t>
  </si>
  <si>
    <t>#_84</t>
  </si>
  <si>
    <t>#_85</t>
  </si>
  <si>
    <t>#_86</t>
  </si>
  <si>
    <t>#_87</t>
  </si>
  <si>
    <t>#_88</t>
  </si>
  <si>
    <t>#_89</t>
  </si>
  <si>
    <t>#_90</t>
  </si>
  <si>
    <t>#_N_agebins</t>
  </si>
  <si>
    <t>#_agebin_vector</t>
  </si>
  <si>
    <t>#13</t>
  </si>
  <si>
    <t>#_ageing_error</t>
  </si>
  <si>
    <t>#_N_ageerror_definitions</t>
  </si>
  <si>
    <t>#_X1</t>
  </si>
  <si>
    <t>X2</t>
  </si>
  <si>
    <t>X3</t>
  </si>
  <si>
    <t>X4</t>
  </si>
  <si>
    <t>X5</t>
  </si>
  <si>
    <t>X6</t>
  </si>
  <si>
    <t>X7</t>
  </si>
  <si>
    <t>X8</t>
  </si>
  <si>
    <t>X9</t>
  </si>
  <si>
    <t>X10</t>
  </si>
  <si>
    <t>X11</t>
  </si>
  <si>
    <t>X12</t>
  </si>
  <si>
    <t>X13</t>
  </si>
  <si>
    <t>X14</t>
  </si>
  <si>
    <t>X15</t>
  </si>
  <si>
    <t>X16</t>
  </si>
  <si>
    <t>X17</t>
  </si>
  <si>
    <t>X18</t>
  </si>
  <si>
    <t>X19</t>
  </si>
  <si>
    <t>X20</t>
  </si>
  <si>
    <t>X21</t>
  </si>
  <si>
    <t>#_age_info</t>
  </si>
  <si>
    <t>#mintailcomp</t>
  </si>
  <si>
    <t>#_Lbin_method:</t>
  </si>
  <si>
    <t>1=poplenbins;</t>
  </si>
  <si>
    <t>2=datalenbins;</t>
  </si>
  <si>
    <t>3=lengths</t>
  </si>
  <si>
    <t>#_combine</t>
  </si>
  <si>
    <t>males</t>
  </si>
  <si>
    <t>into</t>
  </si>
  <si>
    <t>females</t>
  </si>
  <si>
    <t>below</t>
  </si>
  <si>
    <t>#_YEAR</t>
  </si>
  <si>
    <t>Seas</t>
  </si>
  <si>
    <t>FltSvy</t>
  </si>
  <si>
    <t>Gender</t>
  </si>
  <si>
    <t>Part</t>
  </si>
  <si>
    <t>Ageerr</t>
  </si>
  <si>
    <t>Lgin_lo</t>
  </si>
  <si>
    <t>Lgin_hi</t>
  </si>
  <si>
    <t>Nsamp</t>
  </si>
  <si>
    <t>F0</t>
  </si>
  <si>
    <t>F1</t>
  </si>
  <si>
    <t>F2</t>
  </si>
  <si>
    <t>F3</t>
  </si>
  <si>
    <t>F4</t>
  </si>
  <si>
    <t>F5</t>
  </si>
  <si>
    <t>F6</t>
  </si>
  <si>
    <t>F7</t>
  </si>
  <si>
    <t>F8</t>
  </si>
  <si>
    <t>F9</t>
  </si>
  <si>
    <t>F10</t>
  </si>
  <si>
    <t>F11</t>
  </si>
  <si>
    <t>F12</t>
  </si>
  <si>
    <t>#_MeanSize_at_Age_obs</t>
  </si>
  <si>
    <t>#_use_MeanSize_at_Age_obs</t>
  </si>
  <si>
    <t>#_</t>
  </si>
  <si>
    <t>#1984</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</si>
  <si>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</si>
  <si>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</si>
  <si>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</si>
  <si>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</si>
  <si>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</si>
  <si>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</si>
  <si>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</si>
  <si>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</si>
  <si>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</si>
  <si>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</si>
  <si>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</si>
  <si>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</si>
  <si>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</si>
  <si>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</si>
  <si>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</si>
  <si>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</si>
  <si>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</si>
  <si>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</si>
  <si>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</si>
  <si>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</si>
  <si>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</si>
  <si>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</si>
  <si>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</si>
  <si>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</si>
  <si>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</si>
  <si>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</si>
  <si>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</si>
  <si>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</si>
  <si>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</si>
  <si>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</si>
  <si>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</si>
  <si>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</si>
  <si>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#2021</t>
  </si>
  <si>
    <t>#2023</t>
  </si>
  <si>
    <t>#-9999</t>
  </si>
  <si>
    <t>#_N_environ_variables</t>
  </si>
  <si>
    <t>#_N_sizefreq_methods</t>
  </si>
  <si>
    <t>#_do_tags</t>
  </si>
  <si>
    <t>#_morphcomp_data</t>
  </si>
  <si>
    <t>#_use_selectivity_priors</t>
  </si>
  <si>
    <t>G</t>
  </si>
  <si>
    <t>Gear</t>
  </si>
  <si>
    <t>Item</t>
  </si>
  <si>
    <t>fishery size compositions</t>
  </si>
  <si>
    <t>projected catch</t>
  </si>
  <si>
    <t>catch as of august 31 2024</t>
  </si>
  <si>
    <t>ebs slope bottom trawl survey size compositions</t>
  </si>
  <si>
    <t>ai bottom trawl survey size compositions</t>
  </si>
  <si>
    <t>ebs shelf bottom trawl survey size compositions</t>
  </si>
  <si>
    <t>size bins</t>
  </si>
  <si>
    <t>ai bottom trawl survey age compositions</t>
  </si>
  <si>
    <t>ebs shelf bottom trawl survey age compositions</t>
  </si>
  <si>
    <t>21+</t>
  </si>
  <si>
    <t>age bins</t>
  </si>
  <si>
    <t>biomass_var</t>
  </si>
  <si>
    <t>biomass_mt</t>
  </si>
  <si>
    <t>year</t>
  </si>
  <si>
    <t>ebs slope bottom trawl survey</t>
  </si>
  <si>
    <t>ai bottom trawl survey</t>
  </si>
  <si>
    <t>ebs shelf bottom trawl survey</t>
  </si>
  <si>
    <t>Data for BSAI Arrowtooth Flounder</t>
  </si>
  <si>
    <t>age or len</t>
  </si>
  <si>
    <t>--</t>
  </si>
  <si>
    <t>Avg</t>
  </si>
  <si>
    <t>10+</t>
  </si>
  <si>
    <t>2+</t>
  </si>
  <si>
    <t>Total</t>
  </si>
  <si>
    <t>Median</t>
  </si>
  <si>
    <t>Quantity</t>
  </si>
  <si>
    <t>M</t>
  </si>
  <si>
    <t>(natural</t>
  </si>
  <si>
    <t>mortality</t>
  </si>
  <si>
    <t>rate,</t>
  </si>
  <si>
    <t>3+)</t>
  </si>
  <si>
    <t>Tier</t>
  </si>
  <si>
    <t>1a</t>
  </si>
  <si>
    <t>Projected</t>
  </si>
  <si>
    <t>t</t>
  </si>
  <si>
    <t>spawning</t>
  </si>
  <si>
    <t>𝐵0</t>
  </si>
  <si>
    <t>𝐵𝑚𝑠𝑦</t>
  </si>
  <si>
    <t>𝐹𝑂𝐹</t>
  </si>
  <si>
    <t>𝐿</t>
  </si>
  <si>
    <t>𝑚𝑎𝑥𝐹𝐴𝐵𝐶</t>
  </si>
  <si>
    <t>𝐹𝐴𝐵𝐶</t>
  </si>
  <si>
    <t>𝑂𝐹</t>
  </si>
  <si>
    <t>𝑚𝑎𝑥𝐴𝐵𝐶</t>
  </si>
  <si>
    <t>𝐴𝐵𝐶</t>
  </si>
  <si>
    <t>Status</t>
  </si>
  <si>
    <t>Overfishing</t>
  </si>
  <si>
    <t>No</t>
  </si>
  <si>
    <t>n/a</t>
  </si>
  <si>
    <t>Overfished</t>
  </si>
  <si>
    <t>Approaching</t>
  </si>
  <si>
    <t>overfished</t>
  </si>
  <si>
    <t>Age3plus</t>
  </si>
  <si>
    <t>SSB</t>
  </si>
  <si>
    <t>B0</t>
  </si>
  <si>
    <t>Bmsy</t>
  </si>
  <si>
    <t>Fofl</t>
  </si>
  <si>
    <t>MaxF</t>
  </si>
  <si>
    <t>Fabc</t>
  </si>
  <si>
    <t>OFL</t>
  </si>
  <si>
    <t>MaxABC</t>
  </si>
  <si>
    <t>ABC</t>
  </si>
  <si>
    <t>lastyr_this</t>
  </si>
  <si>
    <t>lastyr_next</t>
  </si>
  <si>
    <t>total_post</t>
  </si>
  <si>
    <t>nhls</t>
  </si>
  <si>
    <t>nss</t>
  </si>
  <si>
    <t>iss</t>
  </si>
  <si>
    <t>sex_desc</t>
  </si>
  <si>
    <t>species_code</t>
  </si>
  <si>
    <t>Last year</t>
  </si>
  <si>
    <t>age_iss</t>
  </si>
  <si>
    <t>This year</t>
  </si>
  <si>
    <t>Bairdi&amp;</t>
  </si>
  <si>
    <t>Chinook&amp;</t>
  </si>
  <si>
    <t>Halib</t>
  </si>
  <si>
    <t>Halib.M&amp;</t>
  </si>
  <si>
    <t>Herring</t>
  </si>
  <si>
    <t>NonChin&amp;</t>
  </si>
  <si>
    <t>Snow</t>
  </si>
  <si>
    <t>Crab</t>
  </si>
  <si>
    <t>Red</t>
  </si>
  <si>
    <t>King</t>
  </si>
  <si>
    <t>Blue</t>
  </si>
  <si>
    <t>King&amp;</t>
  </si>
  <si>
    <t>Goldn</t>
  </si>
  <si>
    <t>King\\</t>
  </si>
  <si>
    <t>$-no\,</t>
  </si>
  <si>
    <t>survey-$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</si>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</sst>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0"/>
    <numFmt numFmtId="165" formatCode="0.0"/>
    <numFmt numFmtId="166" formatCode="#,##0.0"/>
    <numFmt numFmtId="167" formatCode="0.000"/>
    <numFmt numFmtId="168" formatCode="_(* #,##0_);_(* \(#,##0\);_(* &quot;-&quot;??_);_(@_)"/>
  </numFmts>
  <fonts count="13" x14ac:knownFonts="1">
    <font>
      <sz val="12"/>
      <color theme="1"/>
      <name val="Aptos Narrow"/>
      <family val="2"/>
      <scheme val="minor"/>
    </font>
    <font>
      <sz val="11"/>
      <color theme="1"/>
      <name val="Aptos Narrow"/>
      <family val="2"/>
      <scheme val="minor"/>
    </font>
    <font>
      <sz val="11"/>
      <color rgb="FF000000"/>
      <name val="Calibri"/>
      <family val="2"/>
    </font>
    <font>
      <b/>
      <sz val="11"/>
      <color theme="1"/>
      <name val="Aptos Narrow"/>
      <family val="2"/>
      <scheme val="minor"/>
    </font>
    <font>
      <b/>
      <sz val="11"/>
      <color rgb="FF000000"/>
      <name val="Aptos Narrow"/>
      <family val="2"/>
      <scheme val="minor"/>
    </font>
    <font>
      <b/>
      <vertAlign val="subscript"/>
      <sz val="11"/>
      <color rgb="FF000000"/>
      <name val="Aptos Narrow"/>
      <family val="2"/>
      <scheme val="minor"/>
    </font>
    <font>
      <b/>
      <sz val="12"/>
      <color theme="1"/>
      <name val="Aptos Narrow"/>
      <scheme val="minor"/>
    </font>
    <font>
      <sz val="12"/>
      <color theme="1"/>
      <name val="Aptos Narrow"/>
      <family val="2"/>
      <scheme val="minor"/>
    </font>
    <font>
      <sz val="11"/>
      <color theme="1"/>
      <name val="Helvetica"/>
      <family val="2"/>
    </font>
    <font>
      <sz val="11"/>
      <color theme="1"/>
      <name val="Times New Roman"/>
      <family val="1"/>
    </font>
    <font>
      <sz val="11"/>
      <color rgb="FF000000"/>
      <name val="Times New Roman"/>
      <family val="1"/>
    </font>
    <font>
      <sz val="12"/>
      <color theme="1"/>
      <name val="Aptos Narrow"/>
      <scheme val="minor"/>
    </font>
    <font>
      <sz val="12"/>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7">
    <border>
      <left/>
      <right/>
      <top/>
      <bottom/>
      <diagonal/>
    </border>
    <border>
      <left/>
      <right style="thin">
        <color indexed="64"/>
      </right>
      <top/>
      <bottom/>
      <diagonal/>
    </border>
    <border>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0" fontId="1" fillId="0" borderId="0"/>
    <xf numFmtId="43" fontId="7" fillId="0" borderId="0" applyFont="0" applyFill="0" applyBorder="0" applyAlignment="0" applyProtection="0"/>
  </cellStyleXfs>
  <cellXfs count="38">
    <xf numFmtId="0" fontId="0" fillId="0" borderId="0" xfId="0"/>
    <xf numFmtId="11" fontId="0" fillId="0" borderId="0" xfId="0" applyNumberFormat="1"/>
    <xf numFmtId="0" fontId="0" fillId="2" borderId="0" xfId="0" applyFill="1"/>
    <xf numFmtId="0" fontId="0" fillId="0" borderId="1" xfId="0" applyBorder="1"/>
    <xf numFmtId="0" fontId="0" fillId="3" borderId="1" xfId="0" applyFill="1" applyBorder="1"/>
    <xf numFmtId="0" fontId="0" fillId="3" borderId="0" xfId="0" applyFill="1"/>
    <xf numFmtId="0" fontId="1" fillId="0" borderId="0" xfId="1"/>
    <xf numFmtId="164" fontId="1" fillId="0" borderId="0" xfId="1" applyNumberFormat="1"/>
    <xf numFmtId="0" fontId="2" fillId="0" borderId="0" xfId="1" applyFont="1" applyAlignment="1">
      <alignment horizontal="center" vertical="center"/>
    </xf>
    <xf numFmtId="0" fontId="3" fillId="0" borderId="2" xfId="1" applyFont="1" applyBorder="1"/>
    <xf numFmtId="0" fontId="4" fillId="0" borderId="0" xfId="1" applyFont="1"/>
    <xf numFmtId="0" fontId="3" fillId="0" borderId="0" xfId="1" applyFont="1"/>
    <xf numFmtId="3" fontId="0" fillId="0" borderId="0" xfId="0" applyNumberFormat="1"/>
    <xf numFmtId="4" fontId="0" fillId="0" borderId="0" xfId="0" applyNumberFormat="1"/>
    <xf numFmtId="165" fontId="0" fillId="0" borderId="0" xfId="0" applyNumberFormat="1"/>
    <xf numFmtId="166" fontId="0" fillId="0" borderId="0" xfId="0" applyNumberFormat="1"/>
    <xf numFmtId="9" fontId="0" fillId="0" borderId="0" xfId="0" applyNumberFormat="1"/>
    <xf numFmtId="0" fontId="0" fillId="2" borderId="1" xfId="0" applyFill="1" applyBorder="1"/>
    <xf numFmtId="14" fontId="0" fillId="0" borderId="0" xfId="0" applyNumberFormat="1"/>
    <xf numFmtId="21" fontId="0" fillId="0" borderId="0" xfId="0" applyNumberFormat="1"/>
    <xf numFmtId="0" fontId="6" fillId="0" borderId="0" xfId="0" applyFont="1"/>
    <xf numFmtId="167" fontId="0" fillId="0" borderId="0" xfId="0" applyNumberFormat="1"/>
    <xf numFmtId="1" fontId="0" fillId="0" borderId="0" xfId="0" applyNumberFormat="1"/>
    <xf numFmtId="168" fontId="0" fillId="0" borderId="0" xfId="2" applyNumberFormat="1" applyFont="1"/>
    <xf numFmtId="168" fontId="0" fillId="0" borderId="0" xfId="0" applyNumberFormat="1"/>
    <xf numFmtId="0" fontId="8" fillId="0" borderId="0" xfId="0" applyFont="1"/>
    <xf numFmtId="0" fontId="9" fillId="0" borderId="3" xfId="0" applyFont="1" applyBorder="1" applyAlignment="1">
      <alignment horizontal="right" vertical="center" wrapText="1" indent="1"/>
    </xf>
    <xf numFmtId="0" fontId="9" fillId="0" borderId="4" xfId="0" applyFont="1" applyBorder="1" applyAlignment="1">
      <alignment horizontal="right" vertical="center" wrapText="1" indent="1"/>
    </xf>
    <xf numFmtId="0" fontId="9" fillId="0" borderId="5" xfId="0" applyFont="1" applyBorder="1" applyAlignment="1">
      <alignment horizontal="right" vertical="center" wrapText="1" indent="1"/>
    </xf>
    <xf numFmtId="0" fontId="9" fillId="0" borderId="6" xfId="0" applyFont="1" applyBorder="1" applyAlignment="1">
      <alignment horizontal="right" vertical="center" wrapText="1" indent="1"/>
    </xf>
    <xf numFmtId="3" fontId="9" fillId="0" borderId="5" xfId="0" applyNumberFormat="1" applyFont="1" applyBorder="1" applyAlignment="1">
      <alignment horizontal="right" vertical="center" wrapText="1" indent="1"/>
    </xf>
    <xf numFmtId="3" fontId="9" fillId="0" borderId="6" xfId="0" applyNumberFormat="1" applyFont="1" applyBorder="1" applyAlignment="1">
      <alignment horizontal="right" vertical="center" wrapText="1" indent="1"/>
    </xf>
    <xf numFmtId="3" fontId="10" fillId="0" borderId="5" xfId="0" applyNumberFormat="1" applyFont="1" applyBorder="1" applyAlignment="1">
      <alignment horizontal="right" vertical="center" wrapText="1" indent="1"/>
    </xf>
    <xf numFmtId="3" fontId="10" fillId="0" borderId="6" xfId="0" applyNumberFormat="1" applyFont="1" applyBorder="1" applyAlignment="1">
      <alignment horizontal="right" vertical="center" wrapText="1" indent="1"/>
    </xf>
    <xf numFmtId="3" fontId="10" fillId="0" borderId="3" xfId="0" applyNumberFormat="1" applyFont="1" applyBorder="1" applyAlignment="1">
      <alignment horizontal="right" vertical="center" wrapText="1" indent="1"/>
    </xf>
    <xf numFmtId="3" fontId="10" fillId="0" borderId="4" xfId="0" applyNumberFormat="1" applyFont="1" applyBorder="1" applyAlignment="1">
      <alignment horizontal="right" vertical="center" wrapText="1" indent="1"/>
    </xf>
    <xf numFmtId="0" fontId="11" fillId="0" borderId="0" xfId="0" applyFont="1"/>
    <xf numFmtId="0" fontId="12" fillId="0" borderId="1" xfId="0" applyFont="1" applyBorder="1"/>
  </cellXfs>
  <cellStyles count="3">
    <cellStyle name="Comma" xfId="2" builtinId="3"/>
    <cellStyle name="Normal" xfId="0" builtinId="0"/>
    <cellStyle name="Normal 2" xfId="1" xr:uid="{B7DA077E-1487-D144-BD85-FADCEB3B5A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'poll_iss_ag (1)'!$L$2:$L$42</c:f>
              <c:numCache>
                <c:formatCode>General</c:formatCode>
                <c:ptCount val="41"/>
                <c:pt idx="0">
                  <c:v>77.14159282</c:v>
                </c:pt>
                <c:pt idx="1">
                  <c:v>23.712740530000001</c:v>
                </c:pt>
                <c:pt idx="2">
                  <c:v>111.9711693</c:v>
                </c:pt>
                <c:pt idx="3">
                  <c:v>30.772516379999999</c:v>
                </c:pt>
                <c:pt idx="4">
                  <c:v>72.783655960000004</c:v>
                </c:pt>
                <c:pt idx="5">
                  <c:v>70.687438159999999</c:v>
                </c:pt>
                <c:pt idx="6">
                  <c:v>61.966137140000001</c:v>
                </c:pt>
                <c:pt idx="7">
                  <c:v>95.430970020000004</c:v>
                </c:pt>
                <c:pt idx="8">
                  <c:v>82.804945239999995</c:v>
                </c:pt>
                <c:pt idx="9">
                  <c:v>65.196174959999993</c:v>
                </c:pt>
                <c:pt idx="10">
                  <c:v>40.844997200000002</c:v>
                </c:pt>
                <c:pt idx="11">
                  <c:v>43.043603109999999</c:v>
                </c:pt>
                <c:pt idx="12">
                  <c:v>52.305773780000003</c:v>
                </c:pt>
                <c:pt idx="13">
                  <c:v>39.561555970000001</c:v>
                </c:pt>
                <c:pt idx="14">
                  <c:v>110.5916879</c:v>
                </c:pt>
                <c:pt idx="15">
                  <c:v>42.211636069999997</c:v>
                </c:pt>
                <c:pt idx="16">
                  <c:v>100.02502610000001</c:v>
                </c:pt>
                <c:pt idx="17">
                  <c:v>91.282862629999997</c:v>
                </c:pt>
                <c:pt idx="18">
                  <c:v>80.002601010000006</c:v>
                </c:pt>
                <c:pt idx="19">
                  <c:v>109.7252974</c:v>
                </c:pt>
                <c:pt idx="20">
                  <c:v>116.7592429</c:v>
                </c:pt>
                <c:pt idx="21">
                  <c:v>80.426583719999996</c:v>
                </c:pt>
                <c:pt idx="22">
                  <c:v>88.60936074</c:v>
                </c:pt>
                <c:pt idx="23">
                  <c:v>94.131644929999993</c:v>
                </c:pt>
                <c:pt idx="24">
                  <c:v>138.91887120000001</c:v>
                </c:pt>
                <c:pt idx="25">
                  <c:v>77.558757170000007</c:v>
                </c:pt>
                <c:pt idx="26">
                  <c:v>106.4428185</c:v>
                </c:pt>
                <c:pt idx="27">
                  <c:v>67.286036269999997</c:v>
                </c:pt>
                <c:pt idx="28">
                  <c:v>86.721515069999995</c:v>
                </c:pt>
                <c:pt idx="29">
                  <c:v>117.70580099999999</c:v>
                </c:pt>
                <c:pt idx="30">
                  <c:v>125.63312430000001</c:v>
                </c:pt>
                <c:pt idx="31">
                  <c:v>149.0396494</c:v>
                </c:pt>
                <c:pt idx="32">
                  <c:v>148.23068570000001</c:v>
                </c:pt>
                <c:pt idx="33">
                  <c:v>202.8320846</c:v>
                </c:pt>
                <c:pt idx="34">
                  <c:v>173.95898260000001</c:v>
                </c:pt>
                <c:pt idx="35">
                  <c:v>233.65919030000001</c:v>
                </c:pt>
                <c:pt idx="36">
                  <c:v>99.32659701</c:v>
                </c:pt>
                <c:pt idx="37">
                  <c:v>150.79931669999999</c:v>
                </c:pt>
                <c:pt idx="38">
                  <c:v>128.82539349999999</c:v>
                </c:pt>
                <c:pt idx="39">
                  <c:v>163.39779440000001</c:v>
                </c:pt>
                <c:pt idx="40">
                  <c:v>147.6741682</c:v>
                </c:pt>
              </c:numCache>
            </c:numRef>
          </c:xVal>
          <c:yVal>
            <c:numRef>
              <c:f>'poll_iss_ag (1)'!$M$2:$M$42</c:f>
              <c:numCache>
                <c:formatCode>General</c:formatCode>
                <c:ptCount val="41"/>
                <c:pt idx="0">
                  <c:v>213.66323080000001</c:v>
                </c:pt>
                <c:pt idx="1">
                  <c:v>65.678456550000007</c:v>
                </c:pt>
                <c:pt idx="2">
                  <c:v>310.13258760000002</c:v>
                </c:pt>
                <c:pt idx="3">
                  <c:v>85.232298549999996</c:v>
                </c:pt>
                <c:pt idx="4">
                  <c:v>201.59281799999999</c:v>
                </c:pt>
                <c:pt idx="5">
                  <c:v>195.7868105</c:v>
                </c:pt>
                <c:pt idx="6">
                  <c:v>171.6309526</c:v>
                </c:pt>
                <c:pt idx="7">
                  <c:v>264.3203054</c:v>
                </c:pt>
                <c:pt idx="8">
                  <c:v>229.3493235</c:v>
                </c:pt>
                <c:pt idx="9">
                  <c:v>180.57736259999999</c:v>
                </c:pt>
                <c:pt idx="10">
                  <c:v>113.13059199999999</c:v>
                </c:pt>
                <c:pt idx="11">
                  <c:v>119.2201894</c:v>
                </c:pt>
                <c:pt idx="12">
                  <c:v>144.87412309999999</c:v>
                </c:pt>
                <c:pt idx="13">
                  <c:v>109.5757756</c:v>
                </c:pt>
                <c:pt idx="14">
                  <c:v>306.31176360000001</c:v>
                </c:pt>
                <c:pt idx="15">
                  <c:v>116.91584539999999</c:v>
                </c:pt>
                <c:pt idx="16">
                  <c:v>277.04471030000002</c:v>
                </c:pt>
                <c:pt idx="17">
                  <c:v>252.83106860000001</c:v>
                </c:pt>
                <c:pt idx="18">
                  <c:v>221.58751950000001</c:v>
                </c:pt>
                <c:pt idx="19">
                  <c:v>303.91207500000002</c:v>
                </c:pt>
                <c:pt idx="20">
                  <c:v>323.39437320000002</c:v>
                </c:pt>
                <c:pt idx="21">
                  <c:v>222.7618473</c:v>
                </c:pt>
                <c:pt idx="22">
                  <c:v>245.4261262</c:v>
                </c:pt>
                <c:pt idx="23">
                  <c:v>260.72149460000003</c:v>
                </c:pt>
                <c:pt idx="24">
                  <c:v>384.77109100000001</c:v>
                </c:pt>
                <c:pt idx="25">
                  <c:v>214.81867339999999</c:v>
                </c:pt>
                <c:pt idx="26">
                  <c:v>294.82041609999999</c:v>
                </c:pt>
                <c:pt idx="27">
                  <c:v>186.3657642</c:v>
                </c:pt>
                <c:pt idx="28">
                  <c:v>240.19725819999999</c:v>
                </c:pt>
                <c:pt idx="29">
                  <c:v>326.01610629999999</c:v>
                </c:pt>
                <c:pt idx="30">
                  <c:v>347.97284139999999</c:v>
                </c:pt>
                <c:pt idx="31">
                  <c:v>412.8031565</c:v>
                </c:pt>
                <c:pt idx="32">
                  <c:v>410.56252599999999</c:v>
                </c:pt>
                <c:pt idx="33">
                  <c:v>561.79496600000004</c:v>
                </c:pt>
                <c:pt idx="34">
                  <c:v>481.82357769999999</c:v>
                </c:pt>
                <c:pt idx="35">
                  <c:v>647.17846350000002</c:v>
                </c:pt>
                <c:pt idx="36">
                  <c:v>275.11023360000002</c:v>
                </c:pt>
                <c:pt idx="37">
                  <c:v>417.67700189999999</c:v>
                </c:pt>
                <c:pt idx="38">
                  <c:v>356.81464149999999</c:v>
                </c:pt>
                <c:pt idx="39">
                  <c:v>452.57168510000002</c:v>
                </c:pt>
              </c:numCache>
            </c:numRef>
          </c:yVal>
          <c:smooth val="0"/>
          <c:extLst>
            <c:ext xmlns:c16="http://schemas.microsoft.com/office/drawing/2014/chart" uri="{C3380CC4-5D6E-409C-BE32-E72D297353CC}">
              <c16:uniqueId val="{00000000-F692-FF49-B8F4-2F8FBE5FE78B}"/>
            </c:ext>
          </c:extLst>
        </c:ser>
        <c:dLbls>
          <c:showLegendKey val="0"/>
          <c:showVal val="0"/>
          <c:showCatName val="0"/>
          <c:showSerName val="0"/>
          <c:showPercent val="0"/>
          <c:showBubbleSize val="0"/>
        </c:dLbls>
        <c:axId val="354559647"/>
        <c:axId val="2112721312"/>
      </c:scatterChart>
      <c:valAx>
        <c:axId val="354559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21312"/>
        <c:crosses val="autoZero"/>
        <c:crossBetween val="midCat"/>
      </c:valAx>
      <c:valAx>
        <c:axId val="211272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559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'poll_iss_ag (1)'!$M$1</c:f>
              <c:strCache>
                <c:ptCount val="1"/>
                <c:pt idx="0">
                  <c:v>Last year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'poll_iss_ag (1)'!$A$2:$A$43</c:f>
              <c:numCache>
                <c:formatCode>General</c:formatCode>
                <c:ptCount val="42"/>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2021</c:v>
                </c:pt>
                <c:pt idx="39">
                  <c:v>2022</c:v>
                </c:pt>
                <c:pt idx="40">
                  <c:v>2023</c:v>
                </c:pt>
                <c:pt idx="41">
                  <c:v>2024</c:v>
                </c:pt>
              </c:numCache>
            </c:numRef>
          </c:xVal>
          <c:yVal>
            <c:numRef>
              <c:f>'poll_iss_ag (1)'!$M$2:$M$43</c:f>
              <c:numCache>
                <c:formatCode>General</c:formatCode>
                <c:ptCount val="42"/>
                <c:pt idx="0">
                  <c:v>213.66323080000001</c:v>
                </c:pt>
                <c:pt idx="1">
                  <c:v>65.678456550000007</c:v>
                </c:pt>
                <c:pt idx="2">
                  <c:v>310.13258760000002</c:v>
                </c:pt>
                <c:pt idx="3">
                  <c:v>85.232298549999996</c:v>
                </c:pt>
                <c:pt idx="4">
                  <c:v>201.59281799999999</c:v>
                </c:pt>
                <c:pt idx="5">
                  <c:v>195.7868105</c:v>
                </c:pt>
                <c:pt idx="6">
                  <c:v>171.6309526</c:v>
                </c:pt>
                <c:pt idx="7">
                  <c:v>264.3203054</c:v>
                </c:pt>
                <c:pt idx="8">
                  <c:v>229.3493235</c:v>
                </c:pt>
                <c:pt idx="9">
                  <c:v>180.57736259999999</c:v>
                </c:pt>
                <c:pt idx="10">
                  <c:v>113.13059199999999</c:v>
                </c:pt>
                <c:pt idx="11">
                  <c:v>119.2201894</c:v>
                </c:pt>
                <c:pt idx="12">
                  <c:v>144.87412309999999</c:v>
                </c:pt>
                <c:pt idx="13">
                  <c:v>109.5757756</c:v>
                </c:pt>
                <c:pt idx="14">
                  <c:v>306.31176360000001</c:v>
                </c:pt>
                <c:pt idx="15">
                  <c:v>116.91584539999999</c:v>
                </c:pt>
                <c:pt idx="16">
                  <c:v>277.04471030000002</c:v>
                </c:pt>
                <c:pt idx="17">
                  <c:v>252.83106860000001</c:v>
                </c:pt>
                <c:pt idx="18">
                  <c:v>221.58751950000001</c:v>
                </c:pt>
                <c:pt idx="19">
                  <c:v>303.91207500000002</c:v>
                </c:pt>
                <c:pt idx="20">
                  <c:v>323.39437320000002</c:v>
                </c:pt>
                <c:pt idx="21">
                  <c:v>222.7618473</c:v>
                </c:pt>
                <c:pt idx="22">
                  <c:v>245.4261262</c:v>
                </c:pt>
                <c:pt idx="23">
                  <c:v>260.72149460000003</c:v>
                </c:pt>
                <c:pt idx="24">
                  <c:v>384.77109100000001</c:v>
                </c:pt>
                <c:pt idx="25">
                  <c:v>214.81867339999999</c:v>
                </c:pt>
                <c:pt idx="26">
                  <c:v>294.82041609999999</c:v>
                </c:pt>
                <c:pt idx="27">
                  <c:v>186.3657642</c:v>
                </c:pt>
                <c:pt idx="28">
                  <c:v>240.19725819999999</c:v>
                </c:pt>
                <c:pt idx="29">
                  <c:v>326.01610629999999</c:v>
                </c:pt>
                <c:pt idx="30">
                  <c:v>347.97284139999999</c:v>
                </c:pt>
                <c:pt idx="31">
                  <c:v>412.8031565</c:v>
                </c:pt>
                <c:pt idx="32">
                  <c:v>410.56252599999999</c:v>
                </c:pt>
                <c:pt idx="33">
                  <c:v>561.79496600000004</c:v>
                </c:pt>
                <c:pt idx="34">
                  <c:v>481.82357769999999</c:v>
                </c:pt>
                <c:pt idx="35">
                  <c:v>647.17846350000002</c:v>
                </c:pt>
                <c:pt idx="36">
                  <c:v>275.11023360000002</c:v>
                </c:pt>
                <c:pt idx="37">
                  <c:v>417.67700189999999</c:v>
                </c:pt>
                <c:pt idx="38">
                  <c:v>356.81464149999999</c:v>
                </c:pt>
                <c:pt idx="39">
                  <c:v>452.57168510000002</c:v>
                </c:pt>
              </c:numCache>
            </c:numRef>
          </c:yVal>
          <c:smooth val="0"/>
          <c:extLst>
            <c:ext xmlns:c16="http://schemas.microsoft.com/office/drawing/2014/chart" uri="{C3380CC4-5D6E-409C-BE32-E72D297353CC}">
              <c16:uniqueId val="{00000000-F2EC-4045-936A-081ADC3EE2DA}"/>
            </c:ext>
          </c:extLst>
        </c:ser>
        <c:ser>
          <c:idx val="1"/>
          <c:order val="1"/>
          <c:tx>
            <c:strRef>
              <c:f>'poll_iss_ag (1)'!$N$1</c:f>
              <c:strCache>
                <c:ptCount val="1"/>
                <c:pt idx="0">
                  <c:v>This 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'poll_iss_ag (1)'!$A$2:$A$43</c:f>
              <c:numCache>
                <c:formatCode>General</c:formatCode>
                <c:ptCount val="42"/>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pt idx="36">
                  <c:v>2018</c:v>
                </c:pt>
                <c:pt idx="37">
                  <c:v>2019</c:v>
                </c:pt>
                <c:pt idx="38">
                  <c:v>2021</c:v>
                </c:pt>
                <c:pt idx="39">
                  <c:v>2022</c:v>
                </c:pt>
                <c:pt idx="40">
                  <c:v>2023</c:v>
                </c:pt>
                <c:pt idx="41">
                  <c:v>2024</c:v>
                </c:pt>
              </c:numCache>
            </c:numRef>
          </c:xVal>
          <c:yVal>
            <c:numRef>
              <c:f>'poll_iss_ag (1)'!$N$2:$N$43</c:f>
              <c:numCache>
                <c:formatCode>0</c:formatCode>
                <c:ptCount val="42"/>
                <c:pt idx="0">
                  <c:v>162.0393239</c:v>
                </c:pt>
                <c:pt idx="1">
                  <c:v>130.70066270000001</c:v>
                </c:pt>
                <c:pt idx="2">
                  <c:v>63.273125280000002</c:v>
                </c:pt>
                <c:pt idx="3">
                  <c:v>73.535708060000005</c:v>
                </c:pt>
                <c:pt idx="4">
                  <c:v>151.9481692</c:v>
                </c:pt>
                <c:pt idx="5">
                  <c:v>61.214699510000003</c:v>
                </c:pt>
                <c:pt idx="6">
                  <c:v>82.232543699999994</c:v>
                </c:pt>
                <c:pt idx="7">
                  <c:v>53.191369819999998</c:v>
                </c:pt>
                <c:pt idx="8">
                  <c:v>48.26632231</c:v>
                </c:pt>
                <c:pt idx="9">
                  <c:v>79.424271750000003</c:v>
                </c:pt>
                <c:pt idx="10">
                  <c:v>85.220463620000004</c:v>
                </c:pt>
                <c:pt idx="11">
                  <c:v>91.983613980000001</c:v>
                </c:pt>
                <c:pt idx="12">
                  <c:v>86.851384019999998</c:v>
                </c:pt>
                <c:pt idx="13">
                  <c:v>104.8977063</c:v>
                </c:pt>
                <c:pt idx="14">
                  <c:v>226.4696079</c:v>
                </c:pt>
                <c:pt idx="15">
                  <c:v>73.384804239999994</c:v>
                </c:pt>
                <c:pt idx="16">
                  <c:v>65.188310139999999</c:v>
                </c:pt>
                <c:pt idx="17">
                  <c:v>95.428970410000005</c:v>
                </c:pt>
                <c:pt idx="18">
                  <c:v>90.693427020000001</c:v>
                </c:pt>
                <c:pt idx="19">
                  <c:v>183.0103987</c:v>
                </c:pt>
                <c:pt idx="20">
                  <c:v>186.32525670000001</c:v>
                </c:pt>
                <c:pt idx="21">
                  <c:v>125.65945429999999</c:v>
                </c:pt>
                <c:pt idx="22">
                  <c:v>188.6575824</c:v>
                </c:pt>
                <c:pt idx="23">
                  <c:v>194.4902529</c:v>
                </c:pt>
                <c:pt idx="24">
                  <c:v>329.6148551</c:v>
                </c:pt>
                <c:pt idx="25">
                  <c:v>192.69521510000001</c:v>
                </c:pt>
                <c:pt idx="26">
                  <c:v>235.40601810000001</c:v>
                </c:pt>
                <c:pt idx="27">
                  <c:v>144.7225262</c:v>
                </c:pt>
                <c:pt idx="28">
                  <c:v>107.88944069999999</c:v>
                </c:pt>
                <c:pt idx="29">
                  <c:v>165.26886630000001</c:v>
                </c:pt>
                <c:pt idx="30">
                  <c:v>107.1237964</c:v>
                </c:pt>
                <c:pt idx="31">
                  <c:v>66.526541449999996</c:v>
                </c:pt>
                <c:pt idx="32">
                  <c:v>117.66416890000001</c:v>
                </c:pt>
                <c:pt idx="33">
                  <c:v>103.6700104</c:v>
                </c:pt>
                <c:pt idx="34">
                  <c:v>122.8399641</c:v>
                </c:pt>
                <c:pt idx="35">
                  <c:v>234.588978</c:v>
                </c:pt>
                <c:pt idx="36">
                  <c:v>158.32033670000001</c:v>
                </c:pt>
                <c:pt idx="37">
                  <c:v>120.6785752</c:v>
                </c:pt>
                <c:pt idx="38">
                  <c:v>149.47929600000001</c:v>
                </c:pt>
                <c:pt idx="39">
                  <c:v>172.83410019999999</c:v>
                </c:pt>
                <c:pt idx="40">
                  <c:v>126.77730939999999</c:v>
                </c:pt>
                <c:pt idx="41">
                  <c:v>64.214082270000006</c:v>
                </c:pt>
              </c:numCache>
            </c:numRef>
          </c:yVal>
          <c:smooth val="0"/>
          <c:extLst>
            <c:ext xmlns:c16="http://schemas.microsoft.com/office/drawing/2014/chart" uri="{C3380CC4-5D6E-409C-BE32-E72D297353CC}">
              <c16:uniqueId val="{00000001-F2EC-4045-936A-081ADC3EE2DA}"/>
            </c:ext>
          </c:extLst>
        </c:ser>
        <c:dLbls>
          <c:showLegendKey val="0"/>
          <c:showVal val="0"/>
          <c:showCatName val="0"/>
          <c:showSerName val="0"/>
          <c:showPercent val="0"/>
          <c:showBubbleSize val="0"/>
        </c:dLbls>
        <c:axId val="1943206336"/>
        <c:axId val="817761103"/>
      </c:scatterChart>
      <c:valAx>
        <c:axId val="1943206336"/>
        <c:scaling>
          <c:orientation val="minMax"/>
          <c:max val="2025"/>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1103"/>
        <c:crosses val="autoZero"/>
        <c:crossBetween val="midCat"/>
      </c:valAx>
      <c:valAx>
        <c:axId val="8177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2063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259336</xdr:colOff>
      <xdr:row>15</xdr:row>
      <xdr:rowOff>58484</xdr:rowOff>
    </xdr:from>
    <xdr:to>
      <xdr:col>16</xdr:col>
      <xdr:colOff>722513</xdr:colOff>
      <xdr:row>28</xdr:row>
      <xdr:rowOff>165634</xdr:rowOff>
    </xdr:to>
    <xdr:graphicFrame macro="">
      <xdr:nvGraphicFramePr>
        <xdr:cNvPr id="6" name="Chart 5">
          <a:extLst>
            <a:ext uri="{FF2B5EF4-FFF2-40B4-BE49-F238E27FC236}">
              <a16:creationId xmlns:a16="http://schemas.microsoft.com/office/drawing/2014/main" id="{43545011-6FD0-A0F4-1C19-67BD2FB23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270008</xdr:colOff>
      <xdr:row>15</xdr:row>
      <xdr:rowOff>58484</xdr:rowOff>
    </xdr:from>
    <xdr:to>
      <xdr:col>11</xdr:col>
      <xdr:colOff>733184</xdr:colOff>
      <xdr:row>28</xdr:row>
      <xdr:rowOff>165634</xdr:rowOff>
    </xdr:to>
    <xdr:graphicFrame macro="">
      <xdr:nvGraphicFramePr>
        <xdr:cNvPr id="7" name="Chart 6">
          <a:extLst>
            <a:ext uri="{FF2B5EF4-FFF2-40B4-BE49-F238E27FC236}">
              <a16:creationId xmlns:a16="http://schemas.microsoft.com/office/drawing/2014/main" id="{0724A6D3-1263-28D7-C936-D375530D4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olsman/RECAST%20PCODE.xlsx" TargetMode="External"/><Relationship Id="rId2" Type="http://schemas.openxmlformats.org/officeDocument/2006/relationships/externalLinkPath" Target="/Users/jim/_mymods/holsman/RECAST%20PCODE.xlsx" TargetMode="External"/><Relationship Id="rId1" Type="http://schemas.openxmlformats.org/officeDocument/2006/relationships/externalLinkPath" Target="/Users/jim/_mymods/holsman/RECAST%20PCOD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bs_main/data/ATS/MACE_2024/ATS_2024_age%20comp%20ALK.xlsx" TargetMode="External"/><Relationship Id="rId2" Type="http://schemas.openxmlformats.org/officeDocument/2006/relationships/externalLinkPath" Target="/Users/jim/_mymods/ebs_main/data/ATS/MACE_2024/ATS_2024_age%20comp%20ALK.xlsx" TargetMode="External"/><Relationship Id="rId1" Type="http://schemas.openxmlformats.org/officeDocument/2006/relationships/externalLinkPath" Target="/Users/jim/_mymods/ebs_main/data/ATS/MACE_2024/ATS_2024_age%20comp%20ALK.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ampler/cases/ebswpSAM/catage%20effN.xlsx" TargetMode="External"/><Relationship Id="rId2" Type="http://schemas.openxmlformats.org/officeDocument/2006/relationships/externalLinkPath" Target="/Users/jim/_mymods/sampler/cases/ebswpSAM/catage%20effN.xlsx" TargetMode="External"/><Relationship Id="rId1" Type="http://schemas.openxmlformats.org/officeDocument/2006/relationships/externalLinkPath" Target="/Users/jim/_mymods/sampler/cases/ebswpSAM/catage%20effN.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noaa-afsc/EBS_pollock/runs/data/BTS_Index.xlsx" TargetMode="External"/><Relationship Id="rId2" Type="http://schemas.openxmlformats.org/officeDocument/2006/relationships/externalLinkPath" Target="/Users/jim/_mymods/afsc-assessments/ebs_pollock_safe/2024/runs/data/BTS_Index.xlsx" TargetMode="External"/><Relationship Id="rId1" Type="http://schemas.openxmlformats.org/officeDocument/2006/relationships/externalLinkPath" Target="/Users/jim/_mymods/noaa-afsc/EBS_pollock/runs/data/BTS_Ind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it"/>
      <sheetName val="Sheet2"/>
    </sheetNames>
    <sheetDataSet>
      <sheetData sheetId="0">
        <row r="97">
          <cell r="L97">
            <v>0</v>
          </cell>
          <cell r="M97">
            <v>0</v>
          </cell>
          <cell r="N97">
            <v>0</v>
          </cell>
          <cell r="O97">
            <v>0</v>
          </cell>
          <cell r="P97">
            <v>0</v>
          </cell>
          <cell r="Q97">
            <v>1.64069E-4</v>
          </cell>
          <cell r="R97">
            <v>1.07643E-3</v>
          </cell>
          <cell r="S97">
            <v>2.5452030000000002E-3</v>
          </cell>
          <cell r="T97">
            <v>4.8432300000000005E-3</v>
          </cell>
          <cell r="U97">
            <v>1.6237269999999998E-2</v>
          </cell>
          <cell r="V97">
            <v>5.5158100000000002E-2</v>
          </cell>
          <cell r="W97">
            <v>7.43061E-2</v>
          </cell>
          <cell r="X97">
            <v>0.16428610000000002</v>
          </cell>
          <cell r="Y97">
            <v>0.12391283</v>
          </cell>
          <cell r="Z97">
            <v>0.11408820000000001</v>
          </cell>
          <cell r="AA97">
            <v>0.19457039999999998</v>
          </cell>
          <cell r="AB97">
            <v>0.16021960000000002</v>
          </cell>
          <cell r="AC97">
            <v>6.3686039999999999E-2</v>
          </cell>
          <cell r="AD97">
            <v>1.7763737000000002E-2</v>
          </cell>
          <cell r="AE97">
            <v>5.7254849999999998E-3</v>
          </cell>
          <cell r="AF97">
            <v>5.746429999999999E-4</v>
          </cell>
          <cell r="AG97">
            <v>2.7729999999999996E-4</v>
          </cell>
          <cell r="AH97">
            <v>1.1294E-4</v>
          </cell>
          <cell r="AI97">
            <v>4.34325E-4</v>
          </cell>
          <cell r="AJ97">
            <v>1.8E-5</v>
          </cell>
        </row>
        <row r="98">
          <cell r="L98">
            <v>0</v>
          </cell>
          <cell r="M98">
            <v>0</v>
          </cell>
          <cell r="N98">
            <v>0</v>
          </cell>
          <cell r="O98">
            <v>0</v>
          </cell>
          <cell r="P98">
            <v>0</v>
          </cell>
          <cell r="Q98">
            <v>1.2500000000000001E-5</v>
          </cell>
          <cell r="R98">
            <v>3.214466E-3</v>
          </cell>
          <cell r="S98">
            <v>1.148916E-2</v>
          </cell>
          <cell r="T98">
            <v>3.6359700000000002E-2</v>
          </cell>
          <cell r="U98">
            <v>7.3167800000000005E-2</v>
          </cell>
          <cell r="V98">
            <v>0.13105439999999999</v>
          </cell>
          <cell r="W98">
            <v>0.13089110000000001</v>
          </cell>
          <cell r="X98">
            <v>0.17547200000000002</v>
          </cell>
          <cell r="Y98">
            <v>0.1253078</v>
          </cell>
          <cell r="Z98">
            <v>9.4154899999999986E-2</v>
          </cell>
          <cell r="AA98">
            <v>9.2412420000000009E-2</v>
          </cell>
          <cell r="AB98">
            <v>3.860106E-2</v>
          </cell>
          <cell r="AC98">
            <v>2.6522770000000001E-2</v>
          </cell>
          <cell r="AD98">
            <v>3.037194E-2</v>
          </cell>
          <cell r="AE98">
            <v>1.3819325000000002E-2</v>
          </cell>
          <cell r="AF98">
            <v>1.0130311999999999E-2</v>
          </cell>
          <cell r="AG98">
            <v>1.0328540000000002E-3</v>
          </cell>
          <cell r="AH98">
            <v>5.8243899999999996E-3</v>
          </cell>
          <cell r="AI98">
            <v>1.4042999999999998E-4</v>
          </cell>
          <cell r="AJ98">
            <v>2.0800000000000001E-5</v>
          </cell>
        </row>
        <row r="99">
          <cell r="L99">
            <v>0</v>
          </cell>
          <cell r="M99">
            <v>0</v>
          </cell>
          <cell r="N99">
            <v>7.8100000000000001E-5</v>
          </cell>
          <cell r="O99">
            <v>3.08578E-4</v>
          </cell>
          <cell r="P99">
            <v>2.4949999999999999E-4</v>
          </cell>
          <cell r="Q99">
            <v>7.3711100000000004E-4</v>
          </cell>
          <cell r="R99">
            <v>2.506122E-3</v>
          </cell>
          <cell r="S99">
            <v>1.466052E-2</v>
          </cell>
          <cell r="T99">
            <v>4.5229800000000001E-2</v>
          </cell>
          <cell r="U99">
            <v>5.16357E-2</v>
          </cell>
          <cell r="V99">
            <v>4.0273299999999998E-2</v>
          </cell>
          <cell r="W99">
            <v>5.53004E-2</v>
          </cell>
          <cell r="X99">
            <v>0.14892539999999999</v>
          </cell>
          <cell r="Y99">
            <v>0.18545970000000001</v>
          </cell>
          <cell r="Z99">
            <v>0.17833550000000001</v>
          </cell>
          <cell r="AA99">
            <v>0.1352498</v>
          </cell>
          <cell r="AB99">
            <v>8.0470779999999992E-2</v>
          </cell>
          <cell r="AC99">
            <v>3.879676E-2</v>
          </cell>
          <cell r="AD99">
            <v>1.0777419999999999E-2</v>
          </cell>
          <cell r="AE99">
            <v>6.2098859999999995E-3</v>
          </cell>
          <cell r="AF99">
            <v>3.1338569999999999E-3</v>
          </cell>
          <cell r="AG99">
            <v>1.4085139999999998E-3</v>
          </cell>
          <cell r="AH99">
            <v>2.2628399999999999E-4</v>
          </cell>
          <cell r="AI99">
            <v>0</v>
          </cell>
          <cell r="AJ99">
            <v>2.6699999999999998E-5</v>
          </cell>
        </row>
        <row r="100">
          <cell r="L100">
            <v>0</v>
          </cell>
          <cell r="M100">
            <v>0</v>
          </cell>
          <cell r="N100">
            <v>0</v>
          </cell>
          <cell r="O100">
            <v>0</v>
          </cell>
          <cell r="P100">
            <v>2.3744E-4</v>
          </cell>
          <cell r="Q100">
            <v>5.0300000000000001E-6</v>
          </cell>
          <cell r="R100">
            <v>2.4749800000000002E-4</v>
          </cell>
          <cell r="S100">
            <v>1.396354E-3</v>
          </cell>
          <cell r="T100">
            <v>1.0069089999999999E-2</v>
          </cell>
          <cell r="U100">
            <v>1.8455600000000003E-2</v>
          </cell>
          <cell r="V100">
            <v>8.3491499999999996E-3</v>
          </cell>
          <cell r="W100">
            <v>2.9335509999999999E-2</v>
          </cell>
          <cell r="X100">
            <v>6.5841629999999998E-2</v>
          </cell>
          <cell r="Y100">
            <v>0.1165322</v>
          </cell>
          <cell r="Z100">
            <v>0.15608469999999999</v>
          </cell>
          <cell r="AA100">
            <v>0.17753869999999999</v>
          </cell>
          <cell r="AB100">
            <v>0.15112590000000001</v>
          </cell>
          <cell r="AC100">
            <v>0.11919869999999999</v>
          </cell>
          <cell r="AD100">
            <v>7.3571800000000007E-2</v>
          </cell>
          <cell r="AE100">
            <v>4.570486E-2</v>
          </cell>
          <cell r="AF100">
            <v>1.651215E-2</v>
          </cell>
          <cell r="AG100">
            <v>6.1106099999999998E-3</v>
          </cell>
          <cell r="AH100">
            <v>2.3125620000000002E-3</v>
          </cell>
          <cell r="AI100">
            <v>9.7537099999999994E-4</v>
          </cell>
          <cell r="AJ100">
            <v>3.9508700000000002E-4</v>
          </cell>
        </row>
        <row r="101">
          <cell r="L101">
            <v>0</v>
          </cell>
          <cell r="M101">
            <v>0</v>
          </cell>
          <cell r="N101">
            <v>0</v>
          </cell>
          <cell r="O101">
            <v>0</v>
          </cell>
          <cell r="P101">
            <v>3.4902300000000001E-4</v>
          </cell>
          <cell r="Q101">
            <v>9.1608300000000004E-4</v>
          </cell>
          <cell r="R101">
            <v>2.1150869999999999E-3</v>
          </cell>
          <cell r="S101">
            <v>2.154918E-3</v>
          </cell>
          <cell r="T101">
            <v>1.915389E-3</v>
          </cell>
          <cell r="U101">
            <v>4.532136E-3</v>
          </cell>
          <cell r="V101">
            <v>2.4700840000000002E-2</v>
          </cell>
          <cell r="W101">
            <v>3.0685400000000002E-2</v>
          </cell>
          <cell r="X101">
            <v>3.2435430000000001E-2</v>
          </cell>
          <cell r="Y101">
            <v>7.1582030000000005E-2</v>
          </cell>
          <cell r="Z101">
            <v>0.1726531</v>
          </cell>
          <cell r="AA101">
            <v>0.20676810000000001</v>
          </cell>
          <cell r="AB101">
            <v>0.20175180000000001</v>
          </cell>
          <cell r="AC101">
            <v>0.11818920000000001</v>
          </cell>
          <cell r="AD101">
            <v>7.495969999999999E-2</v>
          </cell>
          <cell r="AE101">
            <v>3.3605499999999996E-2</v>
          </cell>
          <cell r="AF101">
            <v>1.3414829999999999E-2</v>
          </cell>
          <cell r="AG101">
            <v>5.3092429999999999E-3</v>
          </cell>
          <cell r="AH101">
            <v>1.6274130000000001E-3</v>
          </cell>
          <cell r="AI101">
            <v>3.2240600000000002E-4</v>
          </cell>
          <cell r="AJ101">
            <v>1.2310000000000001E-5</v>
          </cell>
        </row>
        <row r="102">
          <cell r="L102">
            <v>1.5668799999999999E-4</v>
          </cell>
          <cell r="M102">
            <v>1.91E-5</v>
          </cell>
          <cell r="N102">
            <v>3.0017900000000003E-4</v>
          </cell>
          <cell r="O102">
            <v>2.095754E-3</v>
          </cell>
          <cell r="P102">
            <v>5.8511399999999995E-3</v>
          </cell>
          <cell r="Q102">
            <v>1.7750620000000002E-2</v>
          </cell>
          <cell r="R102">
            <v>3.087268E-2</v>
          </cell>
          <cell r="S102">
            <v>3.4664899999999998E-2</v>
          </cell>
          <cell r="T102">
            <v>2.7176739999999998E-2</v>
          </cell>
          <cell r="U102">
            <v>3.9216899999999999E-2</v>
          </cell>
          <cell r="V102">
            <v>4.3464699999999995E-2</v>
          </cell>
          <cell r="W102">
            <v>3.1934489999999996E-2</v>
          </cell>
          <cell r="X102">
            <v>4.250106E-2</v>
          </cell>
          <cell r="Y102">
            <v>5.9887140000000005E-2</v>
          </cell>
          <cell r="Z102">
            <v>0.1003706</v>
          </cell>
          <cell r="AA102">
            <v>0.12985229999999998</v>
          </cell>
          <cell r="AB102">
            <v>0.1636958</v>
          </cell>
          <cell r="AC102">
            <v>0.12291540000000001</v>
          </cell>
          <cell r="AD102">
            <v>7.4620000000000006E-2</v>
          </cell>
          <cell r="AE102">
            <v>4.4826450000000004E-2</v>
          </cell>
          <cell r="AF102">
            <v>1.8726110000000001E-2</v>
          </cell>
          <cell r="AG102">
            <v>7.1947209999999994E-3</v>
          </cell>
          <cell r="AH102">
            <v>1.4877270000000001E-3</v>
          </cell>
          <cell r="AI102">
            <v>3.3117800000000001E-4</v>
          </cell>
          <cell r="AJ102">
            <v>8.7969999999999986E-5</v>
          </cell>
        </row>
        <row r="103">
          <cell r="L103">
            <v>0</v>
          </cell>
          <cell r="M103">
            <v>6.1E-6</v>
          </cell>
          <cell r="N103">
            <v>6.1E-6</v>
          </cell>
          <cell r="O103">
            <v>0</v>
          </cell>
          <cell r="P103">
            <v>2.1160000000000001E-5</v>
          </cell>
          <cell r="Q103">
            <v>0</v>
          </cell>
          <cell r="R103">
            <v>1.0191000000000001E-4</v>
          </cell>
          <cell r="S103">
            <v>1.169142E-3</v>
          </cell>
          <cell r="T103">
            <v>2.2788850000000003E-2</v>
          </cell>
          <cell r="U103">
            <v>2.4920379999999999E-2</v>
          </cell>
          <cell r="V103">
            <v>4.6804999999999999E-2</v>
          </cell>
          <cell r="W103">
            <v>9.3992499999999993E-2</v>
          </cell>
          <cell r="X103">
            <v>0.22459080000000001</v>
          </cell>
          <cell r="Y103">
            <v>0.15194370000000001</v>
          </cell>
          <cell r="Z103">
            <v>8.1030439999999995E-2</v>
          </cell>
          <cell r="AA103">
            <v>4.8625479999999999E-2</v>
          </cell>
          <cell r="AB103">
            <v>7.0212099999999902E-2</v>
          </cell>
          <cell r="AC103">
            <v>9.9136799999999997E-2</v>
          </cell>
          <cell r="AD103">
            <v>6.1237100000000003E-2</v>
          </cell>
          <cell r="AE103">
            <v>4.2154620000000004E-2</v>
          </cell>
          <cell r="AF103">
            <v>1.682608E-2</v>
          </cell>
          <cell r="AG103">
            <v>9.0956600000000002E-3</v>
          </cell>
          <cell r="AH103">
            <v>3.6580060000000001E-3</v>
          </cell>
          <cell r="AI103">
            <v>1.4878970000000002E-3</v>
          </cell>
          <cell r="AJ103">
            <v>1.9005400000000002E-4</v>
          </cell>
        </row>
        <row r="104">
          <cell r="L104">
            <v>3.5599999999999998E-6</v>
          </cell>
          <cell r="M104">
            <v>1.7799999999999999E-5</v>
          </cell>
          <cell r="N104">
            <v>1.415E-4</v>
          </cell>
          <cell r="O104">
            <v>1.5339999999999999E-4</v>
          </cell>
          <cell r="P104">
            <v>4.8807000000000001E-4</v>
          </cell>
          <cell r="Q104">
            <v>6.9695699999999996E-3</v>
          </cell>
          <cell r="R104">
            <v>1.3575449999999999E-2</v>
          </cell>
          <cell r="S104">
            <v>2.425163E-2</v>
          </cell>
          <cell r="T104">
            <v>4.9653200000000002E-2</v>
          </cell>
          <cell r="U104">
            <v>4.3678999999999996E-2</v>
          </cell>
          <cell r="V104">
            <v>4.3122399999999998E-2</v>
          </cell>
          <cell r="W104">
            <v>4.3293059999999994E-2</v>
          </cell>
          <cell r="X104">
            <v>0.1168894</v>
          </cell>
          <cell r="Y104">
            <v>0.1536682</v>
          </cell>
          <cell r="Z104">
            <v>0.15864119999999998</v>
          </cell>
          <cell r="AA104">
            <v>0.1056014</v>
          </cell>
          <cell r="AB104">
            <v>6.9561399999999995E-2</v>
          </cell>
          <cell r="AC104">
            <v>5.8801849999999996E-2</v>
          </cell>
          <cell r="AD104">
            <v>4.5231819999999999E-2</v>
          </cell>
          <cell r="AE104">
            <v>3.5974859999999997E-2</v>
          </cell>
          <cell r="AF104">
            <v>1.639266E-2</v>
          </cell>
          <cell r="AG104">
            <v>8.044299999999999E-3</v>
          </cell>
          <cell r="AH104">
            <v>3.285339E-3</v>
          </cell>
          <cell r="AI104">
            <v>1.2340139999999999E-3</v>
          </cell>
          <cell r="AJ104">
            <v>1.3247510000000001E-3</v>
          </cell>
        </row>
        <row r="105">
          <cell r="L105">
            <v>0</v>
          </cell>
          <cell r="M105">
            <v>2.2220000000000001E-5</v>
          </cell>
          <cell r="N105">
            <v>2.96779E-4</v>
          </cell>
          <cell r="O105">
            <v>1.13305E-3</v>
          </cell>
          <cell r="P105">
            <v>1.4611700000000001E-3</v>
          </cell>
          <cell r="Q105">
            <v>1.506987E-3</v>
          </cell>
          <cell r="R105">
            <v>5.2062700000000007E-3</v>
          </cell>
          <cell r="S105">
            <v>1.339593E-2</v>
          </cell>
          <cell r="T105">
            <v>2.383062E-2</v>
          </cell>
          <cell r="U105">
            <v>2.6429690000000002E-2</v>
          </cell>
          <cell r="V105">
            <v>2.2499470000000001E-2</v>
          </cell>
          <cell r="W105">
            <v>3.6429100000000006E-2</v>
          </cell>
          <cell r="X105">
            <v>8.8777800000000004E-2</v>
          </cell>
          <cell r="Y105">
            <v>7.7572799999999997E-2</v>
          </cell>
          <cell r="Z105">
            <v>0.10666870000000001</v>
          </cell>
          <cell r="AA105">
            <v>0.1192429</v>
          </cell>
          <cell r="AB105">
            <v>0.1253775</v>
          </cell>
          <cell r="AC105">
            <v>0.11908749999999999</v>
          </cell>
          <cell r="AD105">
            <v>9.39942E-2</v>
          </cell>
          <cell r="AE105">
            <v>6.4102559999999989E-2</v>
          </cell>
          <cell r="AF105">
            <v>3.6801899999999999E-2</v>
          </cell>
          <cell r="AG105">
            <v>2.6009239999999999E-2</v>
          </cell>
          <cell r="AH105">
            <v>6.9454040000000005E-3</v>
          </cell>
          <cell r="AI105">
            <v>2.4793889999999998E-3</v>
          </cell>
          <cell r="AJ105">
            <v>7.2912000000000009E-4</v>
          </cell>
        </row>
        <row r="106">
          <cell r="L106">
            <v>5.5999999999999999E-5</v>
          </cell>
          <cell r="M106">
            <v>1.8329999999999998E-4</v>
          </cell>
          <cell r="N106">
            <v>4.1187799999999996E-4</v>
          </cell>
          <cell r="O106">
            <v>2.8263400000000003E-4</v>
          </cell>
          <cell r="P106">
            <v>1.7700600000000001E-4</v>
          </cell>
          <cell r="Q106">
            <v>3.4486299999999999E-4</v>
          </cell>
          <cell r="R106">
            <v>1.557016E-3</v>
          </cell>
          <cell r="S106">
            <v>1.007577E-2</v>
          </cell>
          <cell r="T106">
            <v>2.162553E-2</v>
          </cell>
          <cell r="U106">
            <v>1.958814E-2</v>
          </cell>
          <cell r="V106">
            <v>2.433128E-2</v>
          </cell>
          <cell r="W106">
            <v>4.3710300000000007E-2</v>
          </cell>
          <cell r="X106">
            <v>9.9260900000000013E-2</v>
          </cell>
          <cell r="Y106">
            <v>0.10511469999999999</v>
          </cell>
          <cell r="Z106">
            <v>9.7249100000000005E-2</v>
          </cell>
          <cell r="AA106">
            <v>0.1056892</v>
          </cell>
          <cell r="AB106">
            <v>0.11187420000000001</v>
          </cell>
          <cell r="AC106">
            <v>0.1341861</v>
          </cell>
          <cell r="AD106">
            <v>9.8808299999999988E-2</v>
          </cell>
          <cell r="AE106">
            <v>5.9940609999999991E-2</v>
          </cell>
          <cell r="AF106">
            <v>3.6717380000000001E-2</v>
          </cell>
          <cell r="AG106">
            <v>1.782771E-2</v>
          </cell>
          <cell r="AH106">
            <v>7.1020509999999999E-3</v>
          </cell>
          <cell r="AI106">
            <v>2.9004900000000004E-3</v>
          </cell>
          <cell r="AJ106">
            <v>9.8559199999999998E-4</v>
          </cell>
        </row>
        <row r="107">
          <cell r="L107">
            <v>0</v>
          </cell>
          <cell r="M107">
            <v>0</v>
          </cell>
          <cell r="N107">
            <v>6.6249999999999998E-5</v>
          </cell>
          <cell r="O107">
            <v>1.27088E-4</v>
          </cell>
          <cell r="P107">
            <v>8.7299999999999994E-6</v>
          </cell>
          <cell r="Q107">
            <v>4.6699999999999997E-5</v>
          </cell>
          <cell r="R107">
            <v>1.5193170000000001E-3</v>
          </cell>
          <cell r="S107">
            <v>4.5905300000000007E-3</v>
          </cell>
          <cell r="T107">
            <v>1.0580200000000001E-2</v>
          </cell>
          <cell r="U107">
            <v>1.3585940000000001E-2</v>
          </cell>
          <cell r="V107">
            <v>1.067149E-2</v>
          </cell>
          <cell r="W107">
            <v>2.2011710000000004E-2</v>
          </cell>
          <cell r="X107">
            <v>7.0324200000000003E-2</v>
          </cell>
          <cell r="Y107">
            <v>8.9860700000000002E-2</v>
          </cell>
          <cell r="Z107">
            <v>9.1195499999999985E-2</v>
          </cell>
          <cell r="AA107">
            <v>0.1108912</v>
          </cell>
          <cell r="AB107">
            <v>0.12158240000000001</v>
          </cell>
          <cell r="AC107">
            <v>0.14150409999999999</v>
          </cell>
          <cell r="AD107">
            <v>0.12172659999999999</v>
          </cell>
          <cell r="AE107">
            <v>8.889409999999999E-2</v>
          </cell>
          <cell r="AF107">
            <v>5.3234480000000001E-2</v>
          </cell>
          <cell r="AG107">
            <v>2.783567E-2</v>
          </cell>
          <cell r="AH107">
            <v>1.313106E-2</v>
          </cell>
          <cell r="AI107">
            <v>4.6291819999999999E-3</v>
          </cell>
          <cell r="AJ107">
            <v>1.9830270000000001E-3</v>
          </cell>
        </row>
        <row r="108">
          <cell r="L108">
            <v>0</v>
          </cell>
          <cell r="M108">
            <v>0</v>
          </cell>
          <cell r="N108">
            <v>7.7000000000000008E-6</v>
          </cell>
          <cell r="O108">
            <v>1.8300000000000001E-5</v>
          </cell>
          <cell r="P108">
            <v>0</v>
          </cell>
          <cell r="Q108">
            <v>9.8779399999999996E-4</v>
          </cell>
          <cell r="R108">
            <v>6.0531200000000004E-3</v>
          </cell>
          <cell r="S108">
            <v>9.4511999999999999E-3</v>
          </cell>
          <cell r="T108">
            <v>6.4514999999999998E-3</v>
          </cell>
          <cell r="U108">
            <v>3.048037E-3</v>
          </cell>
          <cell r="V108">
            <v>2.5073560000000001E-3</v>
          </cell>
          <cell r="W108">
            <v>1.6381340000000001E-3</v>
          </cell>
          <cell r="X108">
            <v>9.0971279999999995E-3</v>
          </cell>
          <cell r="Y108">
            <v>2.094679E-2</v>
          </cell>
          <cell r="Z108">
            <v>5.4939660000000001E-2</v>
          </cell>
          <cell r="AA108">
            <v>0.11409710000000001</v>
          </cell>
          <cell r="AB108">
            <v>0.16059319999999999</v>
          </cell>
          <cell r="AC108">
            <v>0.17551169999999999</v>
          </cell>
          <cell r="AD108">
            <v>0.1573137</v>
          </cell>
          <cell r="AE108">
            <v>0.12039649999999999</v>
          </cell>
          <cell r="AF108">
            <v>7.8913800000000006E-2</v>
          </cell>
          <cell r="AG108">
            <v>4.8946250000000004E-2</v>
          </cell>
          <cell r="AH108">
            <v>1.9378659999999999E-2</v>
          </cell>
          <cell r="AI108">
            <v>7.9411199999999994E-3</v>
          </cell>
          <cell r="AJ108">
            <v>1.7612709999999998E-3</v>
          </cell>
        </row>
        <row r="109">
          <cell r="L109">
            <v>1.17E-5</v>
          </cell>
          <cell r="M109">
            <v>5.0309999999999998E-6</v>
          </cell>
          <cell r="N109">
            <v>2.9916999999999998E-5</v>
          </cell>
          <cell r="O109">
            <v>3.375E-5</v>
          </cell>
          <cell r="P109">
            <v>7.4800000000000002E-5</v>
          </cell>
          <cell r="Q109">
            <v>4.22457E-4</v>
          </cell>
          <cell r="R109">
            <v>2.103981E-3</v>
          </cell>
          <cell r="S109">
            <v>4.3419699999999997E-3</v>
          </cell>
          <cell r="T109">
            <v>4.4123299999999999E-3</v>
          </cell>
          <cell r="U109">
            <v>4.5408800000000006E-3</v>
          </cell>
          <cell r="V109">
            <v>8.0218000000000008E-3</v>
          </cell>
          <cell r="W109">
            <v>1.895722E-2</v>
          </cell>
          <cell r="X109">
            <v>7.1671499999999999E-2</v>
          </cell>
          <cell r="Y109">
            <v>7.2976899999999997E-2</v>
          </cell>
          <cell r="Z109">
            <v>8.1253800000000001E-2</v>
          </cell>
          <cell r="AA109">
            <v>0.1096273</v>
          </cell>
          <cell r="AB109">
            <v>0.14862420000000001</v>
          </cell>
          <cell r="AC109">
            <v>0.15935640000000001</v>
          </cell>
          <cell r="AD109">
            <v>0.1225673</v>
          </cell>
          <cell r="AE109">
            <v>8.712049999999999E-2</v>
          </cell>
          <cell r="AF109">
            <v>5.0405759999999994E-2</v>
          </cell>
          <cell r="AG109">
            <v>3.0115980000000004E-2</v>
          </cell>
          <cell r="AH109">
            <v>1.542661E-2</v>
          </cell>
          <cell r="AI109">
            <v>5.5557589999999995E-3</v>
          </cell>
          <cell r="AJ109">
            <v>2.3421239999999997E-3</v>
          </cell>
        </row>
        <row r="110">
          <cell r="L110">
            <v>6.7100000000000001E-6</v>
          </cell>
          <cell r="M110">
            <v>2.033E-5</v>
          </cell>
          <cell r="N110">
            <v>4.4110000000000003E-5</v>
          </cell>
          <cell r="O110">
            <v>3.5259999999999998E-5</v>
          </cell>
          <cell r="P110">
            <v>1.6090000000000001E-4</v>
          </cell>
          <cell r="Q110">
            <v>4.3692299999999998E-4</v>
          </cell>
          <cell r="R110">
            <v>1.8768719999999999E-3</v>
          </cell>
          <cell r="S110">
            <v>3.958423E-3</v>
          </cell>
          <cell r="T110">
            <v>8.4626000000000007E-3</v>
          </cell>
          <cell r="U110">
            <v>5.0984939999999999E-2</v>
          </cell>
          <cell r="V110">
            <v>5.2727899999999994E-2</v>
          </cell>
          <cell r="W110">
            <v>3.9445600000000004E-2</v>
          </cell>
          <cell r="X110">
            <v>9.2161199999999999E-2</v>
          </cell>
          <cell r="Y110">
            <v>9.6766600000000008E-2</v>
          </cell>
          <cell r="Z110">
            <v>9.0896600000000008E-2</v>
          </cell>
          <cell r="AA110">
            <v>0.1078885</v>
          </cell>
          <cell r="AB110">
            <v>0.12296270000000001</v>
          </cell>
          <cell r="AC110">
            <v>0.10514030000000001</v>
          </cell>
          <cell r="AD110">
            <v>8.4919900000000006E-2</v>
          </cell>
          <cell r="AE110">
            <v>5.9641900000000005E-2</v>
          </cell>
          <cell r="AF110">
            <v>3.8596609999999996E-2</v>
          </cell>
          <cell r="AG110">
            <v>2.258423E-2</v>
          </cell>
          <cell r="AH110">
            <v>1.3061969999999999E-2</v>
          </cell>
          <cell r="AI110">
            <v>5.3941810000000005E-3</v>
          </cell>
          <cell r="AJ110">
            <v>1.8246709999999999E-3</v>
          </cell>
        </row>
        <row r="111">
          <cell r="L111">
            <v>9.9300000000000006E-7</v>
          </cell>
          <cell r="M111">
            <v>2.23E-7</v>
          </cell>
          <cell r="N111">
            <v>5.1685200000000004E-4</v>
          </cell>
          <cell r="O111">
            <v>1.0673619999999999E-3</v>
          </cell>
          <cell r="P111">
            <v>1.2439999999999999E-4</v>
          </cell>
          <cell r="Q111">
            <v>1.4832030000000002E-3</v>
          </cell>
          <cell r="R111">
            <v>2.0537730000000001E-3</v>
          </cell>
          <cell r="S111">
            <v>7.0824E-3</v>
          </cell>
          <cell r="T111">
            <v>7.3864499999999993E-3</v>
          </cell>
          <cell r="U111">
            <v>1.9144339999999999E-2</v>
          </cell>
          <cell r="V111">
            <v>3.60691E-2</v>
          </cell>
          <cell r="W111">
            <v>4.8403000000000002E-2</v>
          </cell>
          <cell r="X111">
            <v>0.1429455</v>
          </cell>
          <cell r="Y111">
            <v>0.14719880000000002</v>
          </cell>
          <cell r="Z111">
            <v>0.15279359999999997</v>
          </cell>
          <cell r="AA111">
            <v>0.13636299999999998</v>
          </cell>
          <cell r="AB111">
            <v>7.7430799999999994E-2</v>
          </cell>
          <cell r="AC111">
            <v>7.5240899999999999E-2</v>
          </cell>
          <cell r="AD111">
            <v>4.8947859999999996E-2</v>
          </cell>
          <cell r="AE111">
            <v>3.7944199999999997E-2</v>
          </cell>
          <cell r="AF111">
            <v>2.5975190000000002E-2</v>
          </cell>
          <cell r="AG111">
            <v>1.5492379999999998E-2</v>
          </cell>
          <cell r="AH111">
            <v>8.8735389999999997E-3</v>
          </cell>
          <cell r="AI111">
            <v>5.9658330000000002E-3</v>
          </cell>
          <cell r="AJ111">
            <v>1.4962949999999999E-3</v>
          </cell>
        </row>
        <row r="112">
          <cell r="L112">
            <v>0</v>
          </cell>
          <cell r="M112">
            <v>1.556E-6</v>
          </cell>
          <cell r="N112">
            <v>4.2889999999999999E-6</v>
          </cell>
          <cell r="O112">
            <v>2.3410000000000001E-5</v>
          </cell>
          <cell r="P112">
            <v>5.3600000000000002E-5</v>
          </cell>
          <cell r="Q112">
            <v>6.5421199999999994E-4</v>
          </cell>
          <cell r="R112">
            <v>3.1989119999999999E-3</v>
          </cell>
          <cell r="S112">
            <v>6.6737799999999998E-3</v>
          </cell>
          <cell r="T112">
            <v>8.1267699999999984E-3</v>
          </cell>
          <cell r="U112">
            <v>7.73437E-3</v>
          </cell>
          <cell r="V112">
            <v>1.3916069999999999E-2</v>
          </cell>
          <cell r="W112">
            <v>4.2514820000000002E-2</v>
          </cell>
          <cell r="X112">
            <v>0.11766070000000001</v>
          </cell>
          <cell r="Y112">
            <v>0.12118340000000001</v>
          </cell>
          <cell r="Z112">
            <v>0.15806780000000001</v>
          </cell>
          <cell r="AA112">
            <v>0.1688702</v>
          </cell>
          <cell r="AB112">
            <v>0.14880879999999999</v>
          </cell>
          <cell r="AC112">
            <v>8.5935600000000001E-2</v>
          </cell>
          <cell r="AD112">
            <v>4.8576170000000002E-2</v>
          </cell>
          <cell r="AE112">
            <v>2.9445979999999997E-2</v>
          </cell>
          <cell r="AF112">
            <v>1.8422419999999998E-2</v>
          </cell>
          <cell r="AG112">
            <v>1.1135260000000001E-2</v>
          </cell>
          <cell r="AH112">
            <v>5.4765979999999992E-3</v>
          </cell>
          <cell r="AI112">
            <v>2.4257059999999997E-3</v>
          </cell>
          <cell r="AJ112">
            <v>1.0892810000000001E-3</v>
          </cell>
        </row>
        <row r="113">
          <cell r="L113">
            <v>0</v>
          </cell>
          <cell r="M113">
            <v>0</v>
          </cell>
          <cell r="N113">
            <v>5.0500000000000001E-5</v>
          </cell>
          <cell r="O113">
            <v>8.5799999999999998E-5</v>
          </cell>
          <cell r="P113">
            <v>1.339E-4</v>
          </cell>
          <cell r="Q113">
            <v>5.3275300000000007E-4</v>
          </cell>
          <cell r="R113">
            <v>2.003679E-3</v>
          </cell>
          <cell r="S113">
            <v>3.5769399999999998E-3</v>
          </cell>
          <cell r="T113">
            <v>5.7403699999999998E-3</v>
          </cell>
          <cell r="U113">
            <v>1.27875E-2</v>
          </cell>
          <cell r="V113">
            <v>4.1410199999999994E-2</v>
          </cell>
          <cell r="W113">
            <v>7.1050199999999994E-2</v>
          </cell>
          <cell r="X113">
            <v>0.10050540000000001</v>
          </cell>
          <cell r="Y113">
            <v>0.1074281</v>
          </cell>
          <cell r="Z113">
            <v>0.14611640000000001</v>
          </cell>
          <cell r="AA113">
            <v>0.16204460000000001</v>
          </cell>
          <cell r="AB113">
            <v>0.14733660000000001</v>
          </cell>
          <cell r="AC113">
            <v>9.4906900000000002E-2</v>
          </cell>
          <cell r="AD113">
            <v>4.9102649999999998E-2</v>
          </cell>
          <cell r="AE113">
            <v>2.569453E-2</v>
          </cell>
          <cell r="AF113">
            <v>1.4821230000000001E-2</v>
          </cell>
          <cell r="AG113">
            <v>8.1755100000000004E-3</v>
          </cell>
          <cell r="AH113">
            <v>4.2089630000000005E-3</v>
          </cell>
          <cell r="AI113">
            <v>1.7028530000000003E-3</v>
          </cell>
          <cell r="AJ113">
            <v>5.8447600000000001E-4</v>
          </cell>
        </row>
        <row r="114">
          <cell r="L114">
            <v>4.6600000000000003E-6</v>
          </cell>
          <cell r="M114">
            <v>1.401E-5</v>
          </cell>
          <cell r="N114">
            <v>2.8170000000000003E-5</v>
          </cell>
          <cell r="O114">
            <v>3.7939999999999999E-5</v>
          </cell>
          <cell r="P114">
            <v>3.4329999999999998E-5</v>
          </cell>
          <cell r="Q114">
            <v>2.4306100000000001E-4</v>
          </cell>
          <cell r="R114">
            <v>1.2591710000000001E-3</v>
          </cell>
          <cell r="S114">
            <v>2.5660079999999998E-3</v>
          </cell>
          <cell r="T114">
            <v>3.5294559999999994E-3</v>
          </cell>
          <cell r="U114">
            <v>3.4383599999999997E-3</v>
          </cell>
          <cell r="V114">
            <v>7.2894099999999996E-3</v>
          </cell>
          <cell r="W114">
            <v>1.9930360000000001E-2</v>
          </cell>
          <cell r="X114">
            <v>7.8670299999999999E-2</v>
          </cell>
          <cell r="Y114">
            <v>0.14133109999999999</v>
          </cell>
          <cell r="Z114">
            <v>0.15589500000000001</v>
          </cell>
          <cell r="AA114">
            <v>0.15425820000000001</v>
          </cell>
          <cell r="AB114">
            <v>0.1436315</v>
          </cell>
          <cell r="AC114">
            <v>0.1134662</v>
          </cell>
          <cell r="AD114">
            <v>7.6501399999999997E-2</v>
          </cell>
          <cell r="AE114">
            <v>4.5090989999999997E-2</v>
          </cell>
          <cell r="AF114">
            <v>2.602894E-2</v>
          </cell>
          <cell r="AG114">
            <v>1.4218339999999999E-2</v>
          </cell>
          <cell r="AH114">
            <v>8.0550699999999992E-3</v>
          </cell>
          <cell r="AI114">
            <v>3.1867359999999999E-3</v>
          </cell>
          <cell r="AJ114">
            <v>1.291082E-3</v>
          </cell>
        </row>
        <row r="115">
          <cell r="L115">
            <v>3.5540000000000002E-5</v>
          </cell>
          <cell r="M115">
            <v>1.155E-5</v>
          </cell>
          <cell r="N115">
            <v>8.3419999999999998E-5</v>
          </cell>
          <cell r="O115">
            <v>1.892889E-3</v>
          </cell>
          <cell r="P115">
            <v>7.23612E-4</v>
          </cell>
          <cell r="Q115">
            <v>1.129746E-3</v>
          </cell>
          <cell r="R115">
            <v>1.7049090000000001E-3</v>
          </cell>
          <cell r="S115">
            <v>5.44503E-3</v>
          </cell>
          <cell r="T115">
            <v>8.0885799999999997E-3</v>
          </cell>
          <cell r="U115">
            <v>8.3769500000000011E-3</v>
          </cell>
          <cell r="V115">
            <v>8.1183100000000001E-3</v>
          </cell>
          <cell r="W115">
            <v>1.8540770000000002E-2</v>
          </cell>
          <cell r="X115">
            <v>5.8620850000000002E-2</v>
          </cell>
          <cell r="Y115">
            <v>9.061269999999999E-2</v>
          </cell>
          <cell r="Z115">
            <v>0.14637459999999999</v>
          </cell>
          <cell r="AA115">
            <v>0.19331180000000001</v>
          </cell>
          <cell r="AB115">
            <v>0.17952620000000002</v>
          </cell>
          <cell r="AC115">
            <v>0.12320620000000002</v>
          </cell>
          <cell r="AD115">
            <v>7.4346099999999998E-2</v>
          </cell>
          <cell r="AE115">
            <v>3.8809530000000002E-2</v>
          </cell>
          <cell r="AF115">
            <v>2.2127419999999998E-2</v>
          </cell>
          <cell r="AG115">
            <v>1.080089E-2</v>
          </cell>
          <cell r="AH115">
            <v>4.9759489999999995E-3</v>
          </cell>
          <cell r="AI115">
            <v>2.2049280000000001E-3</v>
          </cell>
          <cell r="AJ115">
            <v>9.3116499999999997E-4</v>
          </cell>
        </row>
        <row r="116">
          <cell r="L116">
            <v>2.6399999999999998E-7</v>
          </cell>
          <cell r="M116">
            <v>7.8999999999999989E-6</v>
          </cell>
          <cell r="N116">
            <v>1.9449999999999992E-5</v>
          </cell>
          <cell r="O116">
            <v>2.9489999999999997E-5</v>
          </cell>
          <cell r="P116">
            <v>2.391E-5</v>
          </cell>
          <cell r="Q116">
            <v>5.4747800000000001E-4</v>
          </cell>
          <cell r="R116">
            <v>2.5737349999999997E-3</v>
          </cell>
          <cell r="S116">
            <v>3.6327900000000003E-3</v>
          </cell>
          <cell r="T116">
            <v>4.0031400000000005E-3</v>
          </cell>
          <cell r="U116">
            <v>4.6997699999999998E-3</v>
          </cell>
          <cell r="V116">
            <v>1.055761E-2</v>
          </cell>
          <cell r="W116">
            <v>2.28697E-2</v>
          </cell>
          <cell r="X116">
            <v>6.3900600000000002E-2</v>
          </cell>
          <cell r="Y116">
            <v>9.3238000000000001E-2</v>
          </cell>
          <cell r="Z116">
            <v>0.13062889999999999</v>
          </cell>
          <cell r="AA116">
            <v>0.1713925</v>
          </cell>
          <cell r="AB116">
            <v>0.18114540000000001</v>
          </cell>
          <cell r="AC116">
            <v>0.14109340000000001</v>
          </cell>
          <cell r="AD116">
            <v>8.3425200000000005E-2</v>
          </cell>
          <cell r="AE116">
            <v>4.1917570000000001E-2</v>
          </cell>
          <cell r="AF116">
            <v>2.1980550000000001E-2</v>
          </cell>
          <cell r="AG116">
            <v>1.1786630000000001E-2</v>
          </cell>
          <cell r="AH116">
            <v>6.5689590000000001E-3</v>
          </cell>
          <cell r="AI116">
            <v>2.7481739999999999E-3</v>
          </cell>
          <cell r="AJ116">
            <v>1.2091669999999999E-3</v>
          </cell>
        </row>
        <row r="117">
          <cell r="L117">
            <v>1.2267300000000001E-4</v>
          </cell>
          <cell r="M117">
            <v>0</v>
          </cell>
          <cell r="N117">
            <v>1.1E-5</v>
          </cell>
          <cell r="O117">
            <v>1.033E-4</v>
          </cell>
          <cell r="P117">
            <v>1.1420000000000001E-4</v>
          </cell>
          <cell r="Q117">
            <v>3.1082800000000003E-4</v>
          </cell>
          <cell r="R117">
            <v>2.727134E-3</v>
          </cell>
          <cell r="S117">
            <v>5.5487699999999997E-3</v>
          </cell>
          <cell r="T117">
            <v>4.9475999999999999E-3</v>
          </cell>
          <cell r="U117">
            <v>7.4059099999999999E-3</v>
          </cell>
          <cell r="V117">
            <v>2.8620960000000001E-2</v>
          </cell>
          <cell r="W117">
            <v>5.6505E-2</v>
          </cell>
          <cell r="X117">
            <v>0.11063490000000001</v>
          </cell>
          <cell r="Y117">
            <v>0.1108415</v>
          </cell>
          <cell r="Z117">
            <v>0.11683669999999999</v>
          </cell>
          <cell r="AA117">
            <v>0.13594600000000001</v>
          </cell>
          <cell r="AB117">
            <v>0.13960819999999999</v>
          </cell>
          <cell r="AC117">
            <v>0.1172839</v>
          </cell>
          <cell r="AD117">
            <v>7.7790500000000012E-2</v>
          </cell>
          <cell r="AE117">
            <v>4.4431389999999994E-2</v>
          </cell>
          <cell r="AF117">
            <v>2.1701450000000001E-2</v>
          </cell>
          <cell r="AG117">
            <v>1.0661990000000001E-2</v>
          </cell>
          <cell r="AH117">
            <v>4.8394040000000003E-3</v>
          </cell>
          <cell r="AI117">
            <v>1.8712709999999999E-3</v>
          </cell>
          <cell r="AJ117">
            <v>1.1349909999999997E-3</v>
          </cell>
        </row>
        <row r="118">
          <cell r="L118">
            <v>5.0859999999999998E-5</v>
          </cell>
          <cell r="M118">
            <v>1.29E-5</v>
          </cell>
          <cell r="N118">
            <v>5.9968499999999998E-4</v>
          </cell>
          <cell r="O118">
            <v>2.3779999999999999E-5</v>
          </cell>
          <cell r="P118">
            <v>8.2800000000000003E-6</v>
          </cell>
          <cell r="Q118">
            <v>2.9044599999999998E-4</v>
          </cell>
          <cell r="R118">
            <v>1.6173170000000001E-3</v>
          </cell>
          <cell r="S118">
            <v>3.1872699999999999E-3</v>
          </cell>
          <cell r="T118">
            <v>2.7129370000000003E-3</v>
          </cell>
          <cell r="U118">
            <v>7.2448199999999999E-3</v>
          </cell>
          <cell r="V118">
            <v>1.8162440000000002E-2</v>
          </cell>
          <cell r="W118">
            <v>3.3802399999999996E-2</v>
          </cell>
          <cell r="X118">
            <v>0.10916899999999999</v>
          </cell>
          <cell r="Y118">
            <v>0.19385810000000003</v>
          </cell>
          <cell r="Z118">
            <v>0.17711279999999999</v>
          </cell>
          <cell r="AA118">
            <v>0.14144370000000001</v>
          </cell>
          <cell r="AB118">
            <v>0.1159775</v>
          </cell>
          <cell r="AC118">
            <v>7.8577800000000003E-2</v>
          </cell>
          <cell r="AD118">
            <v>5.1833829999999997E-2</v>
          </cell>
          <cell r="AE118">
            <v>3.0907649999999998E-2</v>
          </cell>
          <cell r="AF118">
            <v>1.6696759999999998E-2</v>
          </cell>
          <cell r="AG118">
            <v>1.0186550000000001E-2</v>
          </cell>
          <cell r="AH118">
            <v>4.0666000000000001E-3</v>
          </cell>
          <cell r="AI118">
            <v>1.6545880000000002E-3</v>
          </cell>
          <cell r="AJ118">
            <v>8.0203900000000005E-4</v>
          </cell>
        </row>
        <row r="119">
          <cell r="L119">
            <v>1.9380000000000001E-5</v>
          </cell>
          <cell r="M119">
            <v>0</v>
          </cell>
          <cell r="N119">
            <v>1.205E-4</v>
          </cell>
          <cell r="O119">
            <v>5.3219500000000006E-4</v>
          </cell>
          <cell r="P119">
            <v>1.2059000000000001E-4</v>
          </cell>
          <cell r="Q119">
            <v>1.2420080000000002E-3</v>
          </cell>
          <cell r="R119">
            <v>6.3821600000000004E-4</v>
          </cell>
          <cell r="S119">
            <v>2.4769900000000001E-3</v>
          </cell>
          <cell r="T119">
            <v>3.9823899999999997E-3</v>
          </cell>
          <cell r="U119">
            <v>6.5532899999999998E-3</v>
          </cell>
          <cell r="V119">
            <v>1.1625170000000001E-2</v>
          </cell>
          <cell r="W119">
            <v>1.9495020000000002E-2</v>
          </cell>
          <cell r="X119">
            <v>6.853012E-2</v>
          </cell>
          <cell r="Y119">
            <v>0.1249653</v>
          </cell>
          <cell r="Z119">
            <v>0.17894969999999999</v>
          </cell>
          <cell r="AA119">
            <v>0.20603469999999999</v>
          </cell>
          <cell r="AB119">
            <v>0.1705303</v>
          </cell>
          <cell r="AC119">
            <v>9.87426E-2</v>
          </cell>
          <cell r="AD119">
            <v>4.943583E-2</v>
          </cell>
          <cell r="AE119">
            <v>2.7512080000000001E-2</v>
          </cell>
          <cell r="AF119">
            <v>1.437134E-2</v>
          </cell>
          <cell r="AG119">
            <v>7.8628399999999994E-3</v>
          </cell>
          <cell r="AH119">
            <v>3.6418449999999999E-3</v>
          </cell>
          <cell r="AI119">
            <v>2.0413159999999996E-3</v>
          </cell>
          <cell r="AJ119">
            <v>5.7608699999999997E-4</v>
          </cell>
        </row>
        <row r="120">
          <cell r="L120">
            <v>3.6699999999999998E-5</v>
          </cell>
          <cell r="M120">
            <v>1.3729999999999999E-5</v>
          </cell>
          <cell r="N120">
            <v>2.9269999999999999E-5</v>
          </cell>
          <cell r="O120">
            <v>2.6540199999999998E-4</v>
          </cell>
          <cell r="P120">
            <v>3.3486200000000001E-4</v>
          </cell>
          <cell r="Q120">
            <v>5.5450399999999993E-4</v>
          </cell>
          <cell r="R120">
            <v>3.1369670000000001E-3</v>
          </cell>
          <cell r="S120">
            <v>1.0879150000000001E-2</v>
          </cell>
          <cell r="T120">
            <v>1.5491619999999999E-2</v>
          </cell>
          <cell r="U120">
            <v>1.788855E-2</v>
          </cell>
          <cell r="V120">
            <v>2.5308990000000003E-2</v>
          </cell>
          <cell r="W120">
            <v>3.8785800000000002E-2</v>
          </cell>
          <cell r="X120">
            <v>9.1763200000000003E-2</v>
          </cell>
          <cell r="Y120">
            <v>0.120757</v>
          </cell>
          <cell r="Z120">
            <v>0.15483059999999998</v>
          </cell>
          <cell r="AA120">
            <v>0.1756279</v>
          </cell>
          <cell r="AB120">
            <v>0.15705340000000001</v>
          </cell>
          <cell r="AC120">
            <v>9.8950499999999997E-2</v>
          </cell>
          <cell r="AD120">
            <v>4.7925159999999994E-2</v>
          </cell>
          <cell r="AE120">
            <v>2.1840640000000001E-2</v>
          </cell>
          <cell r="AF120">
            <v>1.0052159999999999E-2</v>
          </cell>
          <cell r="AG120">
            <v>4.7775379999999996E-3</v>
          </cell>
          <cell r="AH120">
            <v>2.2053259999999996E-3</v>
          </cell>
          <cell r="AI120">
            <v>1.0113680000000001E-3</v>
          </cell>
          <cell r="AJ120">
            <v>4.7939499999999997E-4</v>
          </cell>
        </row>
        <row r="121">
          <cell r="L121">
            <v>4.2349999999999999E-5</v>
          </cell>
          <cell r="M121">
            <v>2.6400000000000001E-5</v>
          </cell>
          <cell r="N121">
            <v>2.5599999999999999E-5</v>
          </cell>
          <cell r="O121">
            <v>6.7479999999999998E-5</v>
          </cell>
          <cell r="P121">
            <v>2.6840000000000001E-5</v>
          </cell>
          <cell r="Q121">
            <v>6.0940000000000003E-5</v>
          </cell>
          <cell r="R121">
            <v>3.13109E-4</v>
          </cell>
          <cell r="S121">
            <v>2.2763009999999997E-3</v>
          </cell>
          <cell r="T121">
            <v>5.3439799999999999E-3</v>
          </cell>
          <cell r="U121">
            <v>8.3422299999999991E-3</v>
          </cell>
          <cell r="V121">
            <v>1.662247E-2</v>
          </cell>
          <cell r="W121">
            <v>3.3855960000000004E-2</v>
          </cell>
          <cell r="X121">
            <v>9.4251299999999996E-2</v>
          </cell>
          <cell r="Y121">
            <v>0.1430778</v>
          </cell>
          <cell r="Z121">
            <v>0.1576536</v>
          </cell>
          <cell r="AA121">
            <v>0.1562781</v>
          </cell>
          <cell r="AB121">
            <v>0.14767469999999999</v>
          </cell>
          <cell r="AC121">
            <v>0.10866900000000002</v>
          </cell>
          <cell r="AD121">
            <v>6.5929299999999996E-2</v>
          </cell>
          <cell r="AE121">
            <v>3.4162729999999995E-2</v>
          </cell>
          <cell r="AF121">
            <v>1.5096759999999999E-2</v>
          </cell>
          <cell r="AG121">
            <v>6.5343780000000004E-3</v>
          </cell>
          <cell r="AH121">
            <v>2.4167530000000002E-3</v>
          </cell>
          <cell r="AI121">
            <v>9.6080499999999991E-4</v>
          </cell>
          <cell r="AJ121">
            <v>2.9110799999999988E-4</v>
          </cell>
        </row>
        <row r="122">
          <cell r="L122">
            <v>8.8509999999999988E-6</v>
          </cell>
          <cell r="M122">
            <v>4.7199999999999995E-5</v>
          </cell>
          <cell r="N122">
            <v>3.96E-5</v>
          </cell>
          <cell r="O122">
            <v>1.738E-4</v>
          </cell>
          <cell r="P122">
            <v>1.1129999999999999E-4</v>
          </cell>
          <cell r="Q122">
            <v>5.7793699999999994E-4</v>
          </cell>
          <cell r="R122">
            <v>2.3142700000000002E-3</v>
          </cell>
          <cell r="S122">
            <v>4.6240099999999996E-3</v>
          </cell>
          <cell r="T122">
            <v>8.4007500000000002E-3</v>
          </cell>
          <cell r="U122">
            <v>8.3400499999999999E-3</v>
          </cell>
          <cell r="V122">
            <v>1.069035E-2</v>
          </cell>
          <cell r="W122">
            <v>1.75605E-2</v>
          </cell>
          <cell r="X122">
            <v>7.2219900000000004E-2</v>
          </cell>
          <cell r="Y122">
            <v>0.12960439999999998</v>
          </cell>
          <cell r="Z122">
            <v>0.18137939999999997</v>
          </cell>
          <cell r="AA122">
            <v>0.19366240000000001</v>
          </cell>
          <cell r="AB122">
            <v>0.15325360000000002</v>
          </cell>
          <cell r="AC122">
            <v>9.3414300000000006E-2</v>
          </cell>
          <cell r="AD122">
            <v>5.5355639999999998E-2</v>
          </cell>
          <cell r="AE122">
            <v>3.3009510000000006E-2</v>
          </cell>
          <cell r="AF122">
            <v>1.8714830000000002E-2</v>
          </cell>
          <cell r="AG122">
            <v>9.47455E-3</v>
          </cell>
          <cell r="AH122">
            <v>4.6681309999999998E-3</v>
          </cell>
          <cell r="AI122">
            <v>1.7965140000000001E-3</v>
          </cell>
          <cell r="AJ122">
            <v>5.5828699999999987E-4</v>
          </cell>
        </row>
        <row r="123">
          <cell r="L123">
            <v>1.9285999999999998E-5</v>
          </cell>
          <cell r="M123">
            <v>0</v>
          </cell>
          <cell r="N123">
            <v>3.1560000000000003E-5</v>
          </cell>
          <cell r="O123">
            <v>8.0690000000000002E-5</v>
          </cell>
          <cell r="P123">
            <v>2.8668299999999998E-4</v>
          </cell>
          <cell r="Q123">
            <v>3.09907E-4</v>
          </cell>
          <cell r="R123">
            <v>8.719E-4</v>
          </cell>
          <cell r="S123">
            <v>3.2494960000000002E-3</v>
          </cell>
          <cell r="T123">
            <v>7.0659299999999998E-3</v>
          </cell>
          <cell r="U123">
            <v>8.8124099999999997E-3</v>
          </cell>
          <cell r="V123">
            <v>1.1466529999999999E-2</v>
          </cell>
          <cell r="W123">
            <v>1.9917219999999999E-2</v>
          </cell>
          <cell r="X123">
            <v>6.2267290000000003E-2</v>
          </cell>
          <cell r="Y123">
            <v>0.10001769999999999</v>
          </cell>
          <cell r="Z123">
            <v>0.13967859999999999</v>
          </cell>
          <cell r="AA123">
            <v>0.17420670000000002</v>
          </cell>
          <cell r="AB123">
            <v>0.18110029999999999</v>
          </cell>
          <cell r="AC123">
            <v>0.12833739999999999</v>
          </cell>
          <cell r="AD123">
            <v>7.5159900000000002E-2</v>
          </cell>
          <cell r="AE123">
            <v>4.2905470000000001E-2</v>
          </cell>
          <cell r="AF123">
            <v>2.4586580000000004E-2</v>
          </cell>
          <cell r="AG123">
            <v>1.2170479999999999E-2</v>
          </cell>
          <cell r="AH123">
            <v>5.3596690000000009E-3</v>
          </cell>
          <cell r="AI123">
            <v>1.657461E-3</v>
          </cell>
          <cell r="AJ123">
            <v>4.4065600000000004E-4</v>
          </cell>
        </row>
        <row r="124">
          <cell r="L124">
            <v>2.3089999999999997E-5</v>
          </cell>
          <cell r="M124">
            <v>0</v>
          </cell>
          <cell r="N124">
            <v>1.7519999999999998E-5</v>
          </cell>
          <cell r="O124">
            <v>4.0299999999999997E-5</v>
          </cell>
          <cell r="P124">
            <v>5.1939999999999994E-5</v>
          </cell>
          <cell r="Q124">
            <v>3.4199999999999998E-5</v>
          </cell>
          <cell r="R124">
            <v>3.3799000000000004E-4</v>
          </cell>
          <cell r="S124">
            <v>2.5408679999999999E-3</v>
          </cell>
          <cell r="T124">
            <v>5.7295100000000002E-3</v>
          </cell>
          <cell r="U124">
            <v>1.049832E-2</v>
          </cell>
          <cell r="V124">
            <v>1.2898690000000001E-2</v>
          </cell>
          <cell r="W124">
            <v>1.497538E-2</v>
          </cell>
          <cell r="X124">
            <v>6.3993099999999997E-2</v>
          </cell>
          <cell r="Y124">
            <v>0.1158136</v>
          </cell>
          <cell r="Z124">
            <v>0.14289930000000001</v>
          </cell>
          <cell r="AA124">
            <v>0.14485810000000002</v>
          </cell>
          <cell r="AB124">
            <v>0.14506089999999999</v>
          </cell>
          <cell r="AC124">
            <v>0.1222432</v>
          </cell>
          <cell r="AD124">
            <v>8.96097E-2</v>
          </cell>
          <cell r="AE124">
            <v>6.0568950000000003E-2</v>
          </cell>
          <cell r="AF124">
            <v>3.7199740000000002E-2</v>
          </cell>
          <cell r="AG124">
            <v>1.7704360000000002E-2</v>
          </cell>
          <cell r="AH124">
            <v>8.6772499999999992E-3</v>
          </cell>
          <cell r="AI124">
            <v>3.0407800000000003E-3</v>
          </cell>
          <cell r="AJ124">
            <v>1.1834619999999999E-3</v>
          </cell>
        </row>
        <row r="125">
          <cell r="L125">
            <v>2.743E-5</v>
          </cell>
          <cell r="M125">
            <v>1.3220000000000001E-4</v>
          </cell>
          <cell r="N125">
            <v>1.2418600000000001E-4</v>
          </cell>
          <cell r="O125">
            <v>2.9247400000000003E-4</v>
          </cell>
          <cell r="P125">
            <v>2.9511800000000003E-4</v>
          </cell>
          <cell r="Q125">
            <v>1.9231820000000001E-3</v>
          </cell>
          <cell r="R125">
            <v>2.2234260000000001E-3</v>
          </cell>
          <cell r="S125">
            <v>5.5922699999999999E-3</v>
          </cell>
          <cell r="T125">
            <v>1.2928179999999999E-2</v>
          </cell>
          <cell r="U125">
            <v>2.1390849999999999E-2</v>
          </cell>
          <cell r="V125">
            <v>1.8459250000000003E-2</v>
          </cell>
          <cell r="W125">
            <v>2.410035E-2</v>
          </cell>
          <cell r="X125">
            <v>5.8988659999999998E-2</v>
          </cell>
          <cell r="Y125">
            <v>0.10175200000000001</v>
          </cell>
          <cell r="Z125">
            <v>0.14989959999999999</v>
          </cell>
          <cell r="AA125">
            <v>0.1666456</v>
          </cell>
          <cell r="AB125">
            <v>0.14129050000000001</v>
          </cell>
          <cell r="AC125">
            <v>9.8535700000000004E-2</v>
          </cell>
          <cell r="AD125">
            <v>7.1015099999999998E-2</v>
          </cell>
          <cell r="AE125">
            <v>5.2820400000000003E-2</v>
          </cell>
          <cell r="AF125">
            <v>3.564465E-2</v>
          </cell>
          <cell r="AG125">
            <v>2.0471349999999999E-2</v>
          </cell>
          <cell r="AH125">
            <v>1.0278789999999999E-2</v>
          </cell>
          <cell r="AI125">
            <v>3.7132929999999999E-3</v>
          </cell>
          <cell r="AJ125">
            <v>1.4552899999999997E-3</v>
          </cell>
        </row>
        <row r="126">
          <cell r="L126">
            <v>3.1693800000000001E-4</v>
          </cell>
          <cell r="M126">
            <v>0</v>
          </cell>
          <cell r="N126">
            <v>6.5872099999999992E-4</v>
          </cell>
          <cell r="O126">
            <v>1.3269000000000001E-4</v>
          </cell>
          <cell r="P126">
            <v>1.0838599999999999E-3</v>
          </cell>
          <cell r="Q126">
            <v>6.5019190000000001E-3</v>
          </cell>
          <cell r="R126">
            <v>7.7017899999999992E-3</v>
          </cell>
          <cell r="S126">
            <v>1.417086E-2</v>
          </cell>
          <cell r="T126">
            <v>3.1791819999999998E-2</v>
          </cell>
          <cell r="U126">
            <v>4.7105300000000003E-2</v>
          </cell>
          <cell r="V126">
            <v>3.8465399999999997E-2</v>
          </cell>
          <cell r="W126">
            <v>2.7635380000000001E-2</v>
          </cell>
          <cell r="X126">
            <v>6.2373480000000002E-2</v>
          </cell>
          <cell r="Y126">
            <v>0.10340129999999989</v>
          </cell>
          <cell r="Z126">
            <v>0.1336803</v>
          </cell>
          <cell r="AA126">
            <v>0.1465486</v>
          </cell>
          <cell r="AB126">
            <v>0.14271790000000001</v>
          </cell>
          <cell r="AC126">
            <v>9.4229500000000008E-2</v>
          </cell>
          <cell r="AD126">
            <v>5.5108520000000001E-2</v>
          </cell>
          <cell r="AE126">
            <v>3.291765E-2</v>
          </cell>
          <cell r="AF126">
            <v>2.346028E-2</v>
          </cell>
          <cell r="AG126">
            <v>1.619518E-2</v>
          </cell>
          <cell r="AH126">
            <v>9.0368600000000007E-3</v>
          </cell>
          <cell r="AI126">
            <v>3.8202589999999999E-3</v>
          </cell>
          <cell r="AJ126">
            <v>9.4528200000000009E-4</v>
          </cell>
        </row>
        <row r="127">
          <cell r="L127">
            <v>0</v>
          </cell>
          <cell r="M127">
            <v>0</v>
          </cell>
          <cell r="N127">
            <v>8.0699999999999996E-5</v>
          </cell>
          <cell r="O127">
            <v>6.5300000000000002E-5</v>
          </cell>
          <cell r="P127">
            <v>9.4199999999999996E-6</v>
          </cell>
          <cell r="Q127">
            <v>4.2536000000000006E-4</v>
          </cell>
          <cell r="R127">
            <v>2.1944310000000002E-3</v>
          </cell>
          <cell r="S127">
            <v>4.8576130000000002E-3</v>
          </cell>
          <cell r="T127">
            <v>7.5772100000000009E-3</v>
          </cell>
          <cell r="U127">
            <v>1.39703E-2</v>
          </cell>
          <cell r="V127">
            <v>3.7499809999999995E-2</v>
          </cell>
          <cell r="W127">
            <v>6.5014699999999995E-2</v>
          </cell>
          <cell r="X127">
            <v>0.1675758</v>
          </cell>
          <cell r="Y127">
            <v>0.17578929999999998</v>
          </cell>
          <cell r="Z127">
            <v>0.1191921</v>
          </cell>
          <cell r="AA127">
            <v>0.1195319</v>
          </cell>
          <cell r="AB127">
            <v>0.11579419999999999</v>
          </cell>
          <cell r="AC127">
            <v>8.1984100000000004E-2</v>
          </cell>
          <cell r="AD127">
            <v>4.2519759999999997E-2</v>
          </cell>
          <cell r="AE127">
            <v>2.1543680000000003E-2</v>
          </cell>
          <cell r="AF127">
            <v>1.1503550000000001E-2</v>
          </cell>
          <cell r="AG127">
            <v>6.6042699999999998E-3</v>
          </cell>
          <cell r="AH127">
            <v>3.8451790000000002E-3</v>
          </cell>
          <cell r="AI127">
            <v>1.8044000000000001E-3</v>
          </cell>
          <cell r="AJ127">
            <v>6.1698000000000005E-4</v>
          </cell>
        </row>
        <row r="128">
          <cell r="L128">
            <v>0</v>
          </cell>
          <cell r="M128">
            <v>0</v>
          </cell>
          <cell r="N128">
            <v>0</v>
          </cell>
          <cell r="O128">
            <v>7.6000000000000004E-5</v>
          </cell>
          <cell r="P128">
            <v>8.6199999999999995E-5</v>
          </cell>
          <cell r="Q128">
            <v>1.2248159999999999E-2</v>
          </cell>
          <cell r="R128">
            <v>1.2346350000000001E-2</v>
          </cell>
          <cell r="S128">
            <v>5.5464399999999997E-3</v>
          </cell>
          <cell r="T128">
            <v>1.0868539999999999E-2</v>
          </cell>
          <cell r="U128">
            <v>2.6917240000000002E-2</v>
          </cell>
          <cell r="V128">
            <v>3.61036E-2</v>
          </cell>
          <cell r="W128">
            <v>3.4344800000000002E-2</v>
          </cell>
          <cell r="X128">
            <v>8.7315199999999996E-2</v>
          </cell>
          <cell r="Y128">
            <v>0.1549722</v>
          </cell>
          <cell r="Z128">
            <v>0.1880097</v>
          </cell>
          <cell r="AA128">
            <v>0.17785210000000001</v>
          </cell>
          <cell r="AB128">
            <v>0.11946299999999999</v>
          </cell>
          <cell r="AC128">
            <v>6.803809999999999E-2</v>
          </cell>
          <cell r="AD128">
            <v>3.5261859999999992E-2</v>
          </cell>
          <cell r="AE128">
            <v>1.7482009999999999E-2</v>
          </cell>
          <cell r="AF128">
            <v>7.1438489999999999E-3</v>
          </cell>
          <cell r="AG128">
            <v>2.9295359999999999E-3</v>
          </cell>
          <cell r="AH128">
            <v>1.6476479999999998E-3</v>
          </cell>
          <cell r="AI128">
            <v>9.5241500000000008E-4</v>
          </cell>
          <cell r="AJ128">
            <v>3.9513099999999995E-4</v>
          </cell>
        </row>
        <row r="129">
          <cell r="L129">
            <v>3.5599999999999998E-6</v>
          </cell>
          <cell r="M129">
            <v>0</v>
          </cell>
          <cell r="N129">
            <v>0</v>
          </cell>
          <cell r="O129">
            <v>0</v>
          </cell>
          <cell r="P129">
            <v>7.1390000000000006E-5</v>
          </cell>
          <cell r="Q129">
            <v>6.7924400000000007E-4</v>
          </cell>
          <cell r="R129">
            <v>2.9541799999999998E-3</v>
          </cell>
          <cell r="S129">
            <v>3.4135279999999999E-3</v>
          </cell>
          <cell r="T129">
            <v>3.148601E-3</v>
          </cell>
          <cell r="U129">
            <v>1.2540920000000001E-2</v>
          </cell>
          <cell r="V129">
            <v>3.0268719999999999E-2</v>
          </cell>
          <cell r="W129">
            <v>5.6285799999999997E-2</v>
          </cell>
          <cell r="X129">
            <v>0.16336239999999999</v>
          </cell>
          <cell r="Y129">
            <v>0.13529840000000001</v>
          </cell>
          <cell r="Z129">
            <v>0.13710709999999998</v>
          </cell>
          <cell r="AA129">
            <v>0.18023260000000002</v>
          </cell>
          <cell r="AB129">
            <v>0.1475215</v>
          </cell>
          <cell r="AC129">
            <v>7.1214020000000003E-2</v>
          </cell>
          <cell r="AD129">
            <v>3.0552450000000002E-2</v>
          </cell>
          <cell r="AE129">
            <v>1.4324520000000002E-2</v>
          </cell>
          <cell r="AF129">
            <v>6.3787139999999997E-3</v>
          </cell>
          <cell r="AG129">
            <v>2.825742E-3</v>
          </cell>
          <cell r="AH129">
            <v>1.2298039999999999E-3</v>
          </cell>
          <cell r="AI129">
            <v>4.2427800000000005E-4</v>
          </cell>
          <cell r="AJ129">
            <v>1.6287999999999999E-4</v>
          </cell>
        </row>
        <row r="130">
          <cell r="L130">
            <v>0</v>
          </cell>
          <cell r="M130">
            <v>0</v>
          </cell>
          <cell r="N130">
            <v>0</v>
          </cell>
          <cell r="O130">
            <v>9.4299999999999995E-6</v>
          </cell>
          <cell r="P130">
            <v>2.7329999999999998E-5</v>
          </cell>
          <cell r="Q130">
            <v>7.2552200000000004E-4</v>
          </cell>
          <cell r="R130">
            <v>2.2820200000000001E-3</v>
          </cell>
          <cell r="S130">
            <v>5.4967499999999999E-3</v>
          </cell>
          <cell r="T130">
            <v>8.6858200000000003E-3</v>
          </cell>
          <cell r="U130">
            <v>1.9390310000000001E-2</v>
          </cell>
          <cell r="V130">
            <v>1.9482679999999999E-2</v>
          </cell>
          <cell r="W130">
            <v>2.315327E-2</v>
          </cell>
          <cell r="X130">
            <v>8.0335999999999991E-2</v>
          </cell>
          <cell r="Y130">
            <v>0.19041549999999999</v>
          </cell>
          <cell r="Z130">
            <v>0.19770969999999999</v>
          </cell>
          <cell r="AA130">
            <v>0.16963300000000001</v>
          </cell>
          <cell r="AB130">
            <v>0.14016729999999999</v>
          </cell>
          <cell r="AC130">
            <v>8.4241200000000016E-2</v>
          </cell>
          <cell r="AD130">
            <v>3.5326119999999996E-2</v>
          </cell>
          <cell r="AE130">
            <v>1.421217E-2</v>
          </cell>
          <cell r="AF130">
            <v>5.47614E-3</v>
          </cell>
          <cell r="AG130">
            <v>1.9320959999999999E-3</v>
          </cell>
          <cell r="AH130">
            <v>8.3697600000000002E-4</v>
          </cell>
          <cell r="AI130">
            <v>3.0420000000000002E-4</v>
          </cell>
          <cell r="AJ130">
            <v>1.56174E-4</v>
          </cell>
        </row>
        <row r="131">
          <cell r="L131">
            <v>2.4919999999999999E-5</v>
          </cell>
          <cell r="M131">
            <v>0</v>
          </cell>
          <cell r="N131">
            <v>0</v>
          </cell>
          <cell r="O131">
            <v>5.2200000000000002E-5</v>
          </cell>
          <cell r="P131">
            <v>7.9509599999999991E-4</v>
          </cell>
          <cell r="Q131">
            <v>2.3895679999999999E-3</v>
          </cell>
          <cell r="R131">
            <v>9.1177799999999989E-3</v>
          </cell>
          <cell r="S131">
            <v>1.361061E-2</v>
          </cell>
          <cell r="T131">
            <v>1.4830430000000002E-2</v>
          </cell>
          <cell r="U131">
            <v>1.8454059999999998E-2</v>
          </cell>
          <cell r="V131">
            <v>2.4821450000000002E-2</v>
          </cell>
          <cell r="W131">
            <v>3.4433800000000001E-2</v>
          </cell>
          <cell r="X131">
            <v>8.4850900000000007E-2</v>
          </cell>
          <cell r="Y131">
            <v>0.12460499999999999</v>
          </cell>
          <cell r="Z131">
            <v>0.1638085</v>
          </cell>
          <cell r="AA131">
            <v>0.20372000000000001</v>
          </cell>
          <cell r="AB131">
            <v>0.16175199999999998</v>
          </cell>
          <cell r="AC131">
            <v>8.655560000000001E-2</v>
          </cell>
          <cell r="AD131">
            <v>3.6178630000000003E-2</v>
          </cell>
          <cell r="AE131">
            <v>1.29839E-2</v>
          </cell>
          <cell r="AF131">
            <v>4.370657E-3</v>
          </cell>
          <cell r="AG131">
            <v>1.7114790000000001E-3</v>
          </cell>
          <cell r="AH131">
            <v>6.1657900000000002E-4</v>
          </cell>
          <cell r="AI131">
            <v>2.0120000000000001E-4</v>
          </cell>
          <cell r="AJ131">
            <v>1.16271E-4</v>
          </cell>
        </row>
        <row r="132">
          <cell r="L132">
            <v>0</v>
          </cell>
          <cell r="M132">
            <v>1.2500000000000001E-5</v>
          </cell>
          <cell r="N132">
            <v>2.0808299999999999E-4</v>
          </cell>
          <cell r="O132">
            <v>1.0319999999999999E-4</v>
          </cell>
          <cell r="P132">
            <v>2.9630000000000003E-5</v>
          </cell>
          <cell r="Q132">
            <v>2.9882699999999999E-4</v>
          </cell>
          <cell r="R132">
            <v>2.5294799999999997E-3</v>
          </cell>
          <cell r="S132">
            <v>6.68046E-3</v>
          </cell>
          <cell r="T132">
            <v>7.8858899999999996E-3</v>
          </cell>
          <cell r="U132">
            <v>1.1377379999999999E-2</v>
          </cell>
          <cell r="V132">
            <v>3.4318359999999999E-2</v>
          </cell>
          <cell r="W132">
            <v>5.5935399999999996E-2</v>
          </cell>
          <cell r="X132">
            <v>9.9826200000000004E-2</v>
          </cell>
          <cell r="Y132">
            <v>0.1200396</v>
          </cell>
          <cell r="Z132">
            <v>0.1475207</v>
          </cell>
          <cell r="AA132">
            <v>0.16374109999999997</v>
          </cell>
          <cell r="AB132">
            <v>0.1571535</v>
          </cell>
          <cell r="AC132">
            <v>0.1118972</v>
          </cell>
          <cell r="AD132">
            <v>5.1529580000000005E-2</v>
          </cell>
          <cell r="AE132">
            <v>1.9239139999999998E-2</v>
          </cell>
          <cell r="AF132">
            <v>6.0763680000000004E-3</v>
          </cell>
          <cell r="AG132">
            <v>2.2696829999999998E-3</v>
          </cell>
          <cell r="AH132">
            <v>9.9100100000000003E-4</v>
          </cell>
          <cell r="AI132">
            <v>2.7169999999999999E-4</v>
          </cell>
          <cell r="AJ132">
            <v>6.5229999999999997E-5</v>
          </cell>
        </row>
        <row r="133">
          <cell r="L133">
            <v>1.9740000000000001E-5</v>
          </cell>
          <cell r="M133">
            <v>0</v>
          </cell>
          <cell r="N133">
            <v>0</v>
          </cell>
          <cell r="O133">
            <v>0</v>
          </cell>
          <cell r="P133">
            <v>2.5128999999999999E-4</v>
          </cell>
          <cell r="Q133">
            <v>8.0099999999999995E-5</v>
          </cell>
          <cell r="R133">
            <v>8.7998500000000001E-4</v>
          </cell>
          <cell r="S133">
            <v>4.093953E-3</v>
          </cell>
          <cell r="T133">
            <v>7.2639999999999996E-3</v>
          </cell>
          <cell r="U133">
            <v>9.1790799999999992E-3</v>
          </cell>
          <cell r="V133">
            <v>8.6852100000000005E-3</v>
          </cell>
          <cell r="W133">
            <v>2.0688430000000001E-2</v>
          </cell>
          <cell r="X133">
            <v>6.8364800000000003E-2</v>
          </cell>
          <cell r="Y133">
            <v>0.1390429</v>
          </cell>
          <cell r="Z133">
            <v>0.19971219999999998</v>
          </cell>
          <cell r="AA133">
            <v>0.18813000000000002</v>
          </cell>
          <cell r="AB133">
            <v>0.15951070000000001</v>
          </cell>
          <cell r="AC133">
            <v>0.10042890000000002</v>
          </cell>
          <cell r="AD133">
            <v>5.3976910000000003E-2</v>
          </cell>
          <cell r="AE133">
            <v>2.4842739999999999E-2</v>
          </cell>
          <cell r="AF133">
            <v>1.0466359999999999E-2</v>
          </cell>
          <cell r="AG133">
            <v>3.0213279999999998E-3</v>
          </cell>
          <cell r="AH133">
            <v>1.0270119999999999E-3</v>
          </cell>
          <cell r="AI133">
            <v>2.6164999999999994E-4</v>
          </cell>
          <cell r="AJ133">
            <v>7.3097999999999997E-5</v>
          </cell>
        </row>
        <row r="134">
          <cell r="L134">
            <v>0</v>
          </cell>
          <cell r="M134">
            <v>0</v>
          </cell>
          <cell r="N134">
            <v>2.41E-5</v>
          </cell>
          <cell r="O134">
            <v>0</v>
          </cell>
          <cell r="P134">
            <v>5.1100000000000002E-5</v>
          </cell>
          <cell r="Q134">
            <v>5.7299999999999996E-7</v>
          </cell>
          <cell r="R134">
            <v>1.6090000000000001E-4</v>
          </cell>
          <cell r="S134">
            <v>8.1578700000000011E-4</v>
          </cell>
          <cell r="T134">
            <v>1.347778E-3</v>
          </cell>
          <cell r="U134">
            <v>4.0906049999999998E-3</v>
          </cell>
          <cell r="V134">
            <v>1.0459599999999999E-2</v>
          </cell>
          <cell r="W134">
            <v>2.4751189999999999E-2</v>
          </cell>
          <cell r="X134">
            <v>8.1081300000000009E-2</v>
          </cell>
          <cell r="Y134">
            <v>0.1069339</v>
          </cell>
          <cell r="Z134">
            <v>0.1558754</v>
          </cell>
          <cell r="AA134">
            <v>0.2088624</v>
          </cell>
          <cell r="AB134">
            <v>0.19611769999999998</v>
          </cell>
          <cell r="AC134">
            <v>0.1130128</v>
          </cell>
          <cell r="AD134">
            <v>5.6529469999999998E-2</v>
          </cell>
          <cell r="AE134">
            <v>2.4198369999999997E-2</v>
          </cell>
          <cell r="AF134">
            <v>9.9328100000000003E-3</v>
          </cell>
          <cell r="AG134">
            <v>3.8178160000000004E-3</v>
          </cell>
          <cell r="AH134">
            <v>1.1786939999999999E-3</v>
          </cell>
          <cell r="AI134">
            <v>6.5121199999999997E-4</v>
          </cell>
          <cell r="AJ134">
            <v>1.0669E-4</v>
          </cell>
        </row>
        <row r="135">
          <cell r="L135">
            <v>1.4610000000000001E-5</v>
          </cell>
          <cell r="M135">
            <v>1.88E-6</v>
          </cell>
          <cell r="N135">
            <v>0</v>
          </cell>
          <cell r="O135">
            <v>1.579E-5</v>
          </cell>
          <cell r="P135">
            <v>2.8588099999999998E-4</v>
          </cell>
          <cell r="Q135">
            <v>3.5200000000000002E-5</v>
          </cell>
          <cell r="R135">
            <v>5.4999999999999999E-6</v>
          </cell>
          <cell r="S135">
            <v>7.5400000000000003E-5</v>
          </cell>
          <cell r="T135">
            <v>6.8135500000000002E-4</v>
          </cell>
          <cell r="U135">
            <v>1.788324E-3</v>
          </cell>
          <cell r="V135">
            <v>2.8546610000000001E-3</v>
          </cell>
          <cell r="W135">
            <v>7.1879200000000004E-3</v>
          </cell>
          <cell r="X135">
            <v>3.9798350000000003E-2</v>
          </cell>
          <cell r="Y135">
            <v>0.13173750000000001</v>
          </cell>
          <cell r="Z135">
            <v>0.19769279999999997</v>
          </cell>
          <cell r="AA135">
            <v>0.19574469999999999</v>
          </cell>
          <cell r="AB135">
            <v>0.17629330000000001</v>
          </cell>
          <cell r="AC135">
            <v>0.12774280000000002</v>
          </cell>
          <cell r="AD135">
            <v>7.2108800000000001E-2</v>
          </cell>
          <cell r="AE135">
            <v>2.792857E-2</v>
          </cell>
          <cell r="AF135">
            <v>1.225912E-2</v>
          </cell>
          <cell r="AG135">
            <v>3.6937260000000005E-3</v>
          </cell>
          <cell r="AH135">
            <v>1.4755760000000001E-3</v>
          </cell>
          <cell r="AI135">
            <v>4.0729399999999999E-4</v>
          </cell>
          <cell r="AJ135">
            <v>1.7069999999999998E-4</v>
          </cell>
        </row>
        <row r="136">
          <cell r="L136">
            <v>0</v>
          </cell>
          <cell r="M136">
            <v>0</v>
          </cell>
          <cell r="N136">
            <v>0</v>
          </cell>
          <cell r="O136">
            <v>0</v>
          </cell>
          <cell r="P136">
            <v>6.9400000000000006E-5</v>
          </cell>
          <cell r="Q136">
            <v>0</v>
          </cell>
          <cell r="R136">
            <v>0</v>
          </cell>
          <cell r="S136">
            <v>3.4836900000000001E-4</v>
          </cell>
          <cell r="T136">
            <v>5.0314299999999995E-4</v>
          </cell>
          <cell r="U136">
            <v>3.5998669999999997E-3</v>
          </cell>
          <cell r="V136">
            <v>1.2363269999999999E-2</v>
          </cell>
          <cell r="W136">
            <v>1.197116E-2</v>
          </cell>
          <cell r="X136">
            <v>3.2905669999999998E-2</v>
          </cell>
          <cell r="Y136">
            <v>6.9410609999999998E-2</v>
          </cell>
          <cell r="Z136">
            <v>0.14248759999999999</v>
          </cell>
          <cell r="AA136">
            <v>0.22803020000000002</v>
          </cell>
          <cell r="AB136">
            <v>0.21848019999999996</v>
          </cell>
          <cell r="AC136">
            <v>0.13943179999999999</v>
          </cell>
          <cell r="AD136">
            <v>7.8368399999999991E-2</v>
          </cell>
          <cell r="AE136">
            <v>3.7710099999999996E-2</v>
          </cell>
          <cell r="AF136">
            <v>1.5542239999999999E-2</v>
          </cell>
          <cell r="AG136">
            <v>5.2784989999999999E-3</v>
          </cell>
          <cell r="AH136">
            <v>2.7412090000000001E-3</v>
          </cell>
          <cell r="AI136">
            <v>6.6011399999999995E-4</v>
          </cell>
          <cell r="AJ136">
            <v>9.8099999999999999E-5</v>
          </cell>
        </row>
        <row r="137">
          <cell r="L137">
            <v>1.1538999999999999E-5</v>
          </cell>
          <cell r="M137">
            <v>0</v>
          </cell>
          <cell r="N137">
            <v>3.3899999999999997E-5</v>
          </cell>
          <cell r="O137">
            <v>0</v>
          </cell>
          <cell r="P137">
            <v>1.836E-5</v>
          </cell>
          <cell r="Q137">
            <v>6.0599999999999996E-6</v>
          </cell>
          <cell r="R137">
            <v>5.5090000000000003E-5</v>
          </cell>
          <cell r="S137">
            <v>3.5391609999999999E-3</v>
          </cell>
          <cell r="T137">
            <v>4.503076E-3</v>
          </cell>
          <cell r="U137">
            <v>5.4447469999999998E-3</v>
          </cell>
          <cell r="V137">
            <v>2.8136330000000003E-3</v>
          </cell>
          <cell r="W137">
            <v>1.185721E-2</v>
          </cell>
          <cell r="X137">
            <v>2.867517E-2</v>
          </cell>
          <cell r="Y137">
            <v>7.2787400000000002E-2</v>
          </cell>
          <cell r="Z137">
            <v>0.11029249999999999</v>
          </cell>
          <cell r="AA137">
            <v>0.16747089999999998</v>
          </cell>
          <cell r="AB137">
            <v>0.21063470000000001</v>
          </cell>
          <cell r="AC137">
            <v>0.18912019999999999</v>
          </cell>
          <cell r="AD137">
            <v>0.1085593</v>
          </cell>
          <cell r="AE137">
            <v>4.7838660000000005E-2</v>
          </cell>
          <cell r="AF137">
            <v>2.2079599999999998E-2</v>
          </cell>
          <cell r="AG137">
            <v>8.7449769999999993E-3</v>
          </cell>
          <cell r="AH137">
            <v>4.092784999999999E-3</v>
          </cell>
          <cell r="AI137">
            <v>1.041955E-3</v>
          </cell>
          <cell r="AJ137">
            <v>3.78938E-4</v>
          </cell>
        </row>
        <row r="138">
          <cell r="L138">
            <v>0</v>
          </cell>
          <cell r="M138">
            <v>0</v>
          </cell>
          <cell r="N138">
            <v>6.02E-6</v>
          </cell>
          <cell r="O138">
            <v>2.60393E-3</v>
          </cell>
          <cell r="P138">
            <v>2.5976849999999998E-3</v>
          </cell>
          <cell r="Q138">
            <v>1.0278290000000001E-3</v>
          </cell>
          <cell r="R138">
            <v>2.9179469999999999E-2</v>
          </cell>
          <cell r="S138">
            <v>7.3343499999999999E-3</v>
          </cell>
          <cell r="T138">
            <v>1.846484E-2</v>
          </cell>
          <cell r="U138">
            <v>2.4702059999999998E-2</v>
          </cell>
          <cell r="V138">
            <v>2.1813540000000003E-2</v>
          </cell>
          <cell r="W138">
            <v>1.1931290000000001E-2</v>
          </cell>
          <cell r="X138">
            <v>3.1161539999999998E-2</v>
          </cell>
          <cell r="Y138">
            <v>4.9901099999999997E-2</v>
          </cell>
          <cell r="Z138">
            <v>0.103562</v>
          </cell>
          <cell r="AA138">
            <v>0.14982809999999999</v>
          </cell>
          <cell r="AB138">
            <v>0.15044540000000001</v>
          </cell>
          <cell r="AC138">
            <v>0.1371762</v>
          </cell>
          <cell r="AD138">
            <v>0.1177906</v>
          </cell>
          <cell r="AE138">
            <v>7.4305299999999991E-2</v>
          </cell>
          <cell r="AF138">
            <v>3.9981819999999994E-2</v>
          </cell>
          <cell r="AG138">
            <v>1.54723E-2</v>
          </cell>
          <cell r="AH138">
            <v>7.2639299999999992E-3</v>
          </cell>
          <cell r="AI138">
            <v>2.8063649999999999E-3</v>
          </cell>
          <cell r="AJ138">
            <v>6.4415999999999996E-4</v>
          </cell>
        </row>
        <row r="139">
          <cell r="L139">
            <v>0</v>
          </cell>
          <cell r="M139">
            <v>0</v>
          </cell>
          <cell r="N139">
            <v>0</v>
          </cell>
          <cell r="O139">
            <v>1.0900000000000001E-5</v>
          </cell>
          <cell r="P139">
            <v>8.8700000000000001E-5</v>
          </cell>
          <cell r="Q139">
            <v>0</v>
          </cell>
          <cell r="R139">
            <v>2.8236500000000002E-4</v>
          </cell>
          <cell r="S139">
            <v>9.9223200000000001E-4</v>
          </cell>
          <cell r="T139">
            <v>1.9807219999999999E-3</v>
          </cell>
          <cell r="U139">
            <v>5.424E-3</v>
          </cell>
          <cell r="V139">
            <v>1.0705599999999999E-2</v>
          </cell>
          <cell r="W139">
            <v>2.3515729999999999E-2</v>
          </cell>
          <cell r="X139">
            <v>6.5384899999999996E-2</v>
          </cell>
          <cell r="Y139">
            <v>7.7441999999999997E-2</v>
          </cell>
          <cell r="Z139">
            <v>9.6504300000000001E-2</v>
          </cell>
          <cell r="AA139">
            <v>0.12459690000000001</v>
          </cell>
          <cell r="AB139">
            <v>0.15088089999999998</v>
          </cell>
          <cell r="AC139">
            <v>0.1442311</v>
          </cell>
          <cell r="AD139">
            <v>0.1195263</v>
          </cell>
          <cell r="AE139">
            <v>8.6970699999999998E-2</v>
          </cell>
          <cell r="AF139">
            <v>5.0271700000000002E-2</v>
          </cell>
          <cell r="AG139">
            <v>2.3666590000000001E-2</v>
          </cell>
          <cell r="AH139">
            <v>1.1211830000000001E-2</v>
          </cell>
          <cell r="AI139">
            <v>4.113691E-3</v>
          </cell>
          <cell r="AJ139">
            <v>2.1984829999999998E-3</v>
          </cell>
        </row>
        <row r="140">
          <cell r="L140">
            <v>1.4180799999999999E-4</v>
          </cell>
          <cell r="M140">
            <v>3.1822999999999997E-4</v>
          </cell>
          <cell r="N140">
            <v>1.04864E-4</v>
          </cell>
          <cell r="O140">
            <v>4.9839999999999997E-5</v>
          </cell>
          <cell r="P140">
            <v>6.0869999999999998E-5</v>
          </cell>
          <cell r="Q140">
            <v>1.407E-4</v>
          </cell>
          <cell r="R140">
            <v>2.6966799999999998E-4</v>
          </cell>
          <cell r="S140">
            <v>1.2993729999999999E-3</v>
          </cell>
          <cell r="T140">
            <v>3.230251E-3</v>
          </cell>
          <cell r="U140">
            <v>3.0450879999999996E-3</v>
          </cell>
          <cell r="V140">
            <v>6.6990399999999999E-3</v>
          </cell>
          <cell r="W140">
            <v>1.3681490000000001E-2</v>
          </cell>
          <cell r="X140">
            <v>6.6558900000000004E-2</v>
          </cell>
          <cell r="Y140">
            <v>0.1331146</v>
          </cell>
          <cell r="Z140">
            <v>0.16163370000000002</v>
          </cell>
          <cell r="AA140">
            <v>0.15029239999999999</v>
          </cell>
          <cell r="AB140">
            <v>0.1163949</v>
          </cell>
          <cell r="AC140">
            <v>9.5326399999999992E-2</v>
          </cell>
          <cell r="AD140">
            <v>8.0975599999999995E-2</v>
          </cell>
          <cell r="AE140">
            <v>6.6814499999999999E-2</v>
          </cell>
          <cell r="AF140">
            <v>4.8283839999999995E-2</v>
          </cell>
          <cell r="AG140">
            <v>2.8695470000000001E-2</v>
          </cell>
          <cell r="AH140">
            <v>1.6872390000000001E-2</v>
          </cell>
          <cell r="AI140">
            <v>4.8210660000000006E-3</v>
          </cell>
          <cell r="AJ140">
            <v>1.1752920000000001E-3</v>
          </cell>
        </row>
        <row r="141">
          <cell r="L141">
            <v>0</v>
          </cell>
          <cell r="M141">
            <v>0</v>
          </cell>
          <cell r="N141">
            <v>0</v>
          </cell>
          <cell r="O141">
            <v>1.2770000000000001E-4</v>
          </cell>
          <cell r="P141">
            <v>3.9707299999999996E-4</v>
          </cell>
          <cell r="Q141">
            <v>0</v>
          </cell>
          <cell r="R141">
            <v>8.2100800000000002E-4</v>
          </cell>
          <cell r="S141">
            <v>3.9527090000000004E-3</v>
          </cell>
          <cell r="T141">
            <v>1.1467719999999999E-2</v>
          </cell>
          <cell r="U141">
            <v>1.2101129999999998E-2</v>
          </cell>
          <cell r="V141">
            <v>8.3411100000000005E-3</v>
          </cell>
          <cell r="W141">
            <v>1.402491E-2</v>
          </cell>
          <cell r="X141">
            <v>5.9559130000000002E-2</v>
          </cell>
          <cell r="Y141">
            <v>0.10720730000000002</v>
          </cell>
          <cell r="Z141">
            <v>0.1533969</v>
          </cell>
          <cell r="AA141">
            <v>0.18247370000000002</v>
          </cell>
          <cell r="AB141">
            <v>0.15575710000000001</v>
          </cell>
          <cell r="AC141">
            <v>9.6238500000000005E-2</v>
          </cell>
          <cell r="AD141">
            <v>6.1388200000000004E-2</v>
          </cell>
          <cell r="AE141">
            <v>4.5680189999999996E-2</v>
          </cell>
          <cell r="AF141">
            <v>3.6333999999999998E-2</v>
          </cell>
          <cell r="AG141">
            <v>2.9381310000000001E-2</v>
          </cell>
          <cell r="AH141">
            <v>1.5230930000000002E-2</v>
          </cell>
          <cell r="AI141">
            <v>4.7475130000000001E-3</v>
          </cell>
          <cell r="AJ141">
            <v>1.3719799999999999E-3</v>
          </cell>
        </row>
        <row r="142">
          <cell r="L142">
            <v>1.9700000000000001E-5</v>
          </cell>
          <cell r="M142">
            <v>6.8600000000000004E-6</v>
          </cell>
          <cell r="N142">
            <v>6.0800000000000001E-5</v>
          </cell>
          <cell r="O142">
            <v>6.6979999999999999E-5</v>
          </cell>
          <cell r="P142">
            <v>1.1349399999999999E-4</v>
          </cell>
          <cell r="Q142">
            <v>2.4854599999999999E-4</v>
          </cell>
          <cell r="R142">
            <v>5.1018199999999997E-4</v>
          </cell>
          <cell r="S142">
            <v>1.829462E-3</v>
          </cell>
          <cell r="T142">
            <v>1.8303490000000002E-3</v>
          </cell>
          <cell r="U142">
            <v>3.477806E-3</v>
          </cell>
          <cell r="V142">
            <v>6.0065299999999995E-3</v>
          </cell>
          <cell r="W142">
            <v>1.634534E-2</v>
          </cell>
          <cell r="X142">
            <v>7.1416310000000011E-2</v>
          </cell>
          <cell r="Y142">
            <v>0.1038129</v>
          </cell>
          <cell r="Z142">
            <v>0.1487156</v>
          </cell>
          <cell r="AA142">
            <v>0.17920539999999999</v>
          </cell>
          <cell r="AB142">
            <v>0.1650469</v>
          </cell>
          <cell r="AC142">
            <v>0.12086609999999999</v>
          </cell>
          <cell r="AD142">
            <v>7.6089400000000001E-2</v>
          </cell>
          <cell r="AE142">
            <v>4.0563129999999996E-2</v>
          </cell>
          <cell r="AF142">
            <v>2.569656E-2</v>
          </cell>
          <cell r="AG142">
            <v>1.9939190000000002E-2</v>
          </cell>
          <cell r="AH142">
            <v>1.2743350000000001E-2</v>
          </cell>
          <cell r="AI142">
            <v>4.2578759999999998E-3</v>
          </cell>
          <cell r="AJ142">
            <v>1.1316660000000001E-3</v>
          </cell>
        </row>
        <row r="144">
          <cell r="L144">
            <v>3.4802410000000002E-3</v>
          </cell>
          <cell r="M144">
            <v>1.305424E-2</v>
          </cell>
          <cell r="N144">
            <v>2.1475300000000003E-2</v>
          </cell>
          <cell r="O144">
            <v>1.1127389999999999E-2</v>
          </cell>
          <cell r="P144">
            <v>1.82894E-3</v>
          </cell>
          <cell r="Q144">
            <v>4.799078E-3</v>
          </cell>
          <cell r="R144">
            <v>1.8286509999999999E-2</v>
          </cell>
          <cell r="S144">
            <v>5.0873499999999898E-2</v>
          </cell>
          <cell r="T144">
            <v>8.1769800000000004E-2</v>
          </cell>
          <cell r="U144">
            <v>5.47435E-2</v>
          </cell>
          <cell r="V144">
            <v>3.8748999999999999E-2</v>
          </cell>
          <cell r="W144">
            <v>6.3004099999999993E-2</v>
          </cell>
          <cell r="X144">
            <v>0.1432495</v>
          </cell>
          <cell r="Y144">
            <v>0.12579590000000002</v>
          </cell>
          <cell r="Z144">
            <v>0.1209735</v>
          </cell>
          <cell r="AA144">
            <v>0.10506940000000001</v>
          </cell>
          <cell r="AB144">
            <v>7.6361999999999999E-2</v>
          </cell>
          <cell r="AC144">
            <v>3.9180380000000001E-2</v>
          </cell>
          <cell r="AD144">
            <v>1.561599E-2</v>
          </cell>
          <cell r="AE144">
            <v>7.2631410000000007E-3</v>
          </cell>
          <cell r="AF144">
            <v>2.1427289999999999E-3</v>
          </cell>
          <cell r="AG144">
            <v>7.9687099999999999E-4</v>
          </cell>
          <cell r="AH144">
            <v>3.5906000000000002E-4</v>
          </cell>
          <cell r="AI144">
            <v>0</v>
          </cell>
          <cell r="AJ144">
            <v>0</v>
          </cell>
        </row>
        <row r="145">
          <cell r="L145">
            <v>6.4654852999999998E-2</v>
          </cell>
          <cell r="M145">
            <v>0.10696080000000001</v>
          </cell>
          <cell r="N145">
            <v>8.2289199999999993E-2</v>
          </cell>
          <cell r="O145">
            <v>3.3773459999999998E-2</v>
          </cell>
          <cell r="P145">
            <v>6.2037070000000001E-3</v>
          </cell>
          <cell r="Q145">
            <v>4.3383069999999996E-3</v>
          </cell>
          <cell r="R145">
            <v>1.5399259999999998E-2</v>
          </cell>
          <cell r="S145">
            <v>3.3902210000000002E-2</v>
          </cell>
          <cell r="T145">
            <v>3.9951600000000004E-2</v>
          </cell>
          <cell r="U145">
            <v>2.2483920000000001E-2</v>
          </cell>
          <cell r="V145">
            <v>1.8415789999999998E-2</v>
          </cell>
          <cell r="W145">
            <v>3.8821800000000004E-2</v>
          </cell>
          <cell r="X145">
            <v>0.11184520000000001</v>
          </cell>
          <cell r="Y145">
            <v>9.6534099999999998E-2</v>
          </cell>
          <cell r="Z145">
            <v>9.90505E-2</v>
          </cell>
          <cell r="AA145">
            <v>8.0924299999999991E-2</v>
          </cell>
          <cell r="AB145">
            <v>6.576449999999999E-2</v>
          </cell>
          <cell r="AC145">
            <v>4.4539479999999999E-2</v>
          </cell>
          <cell r="AD145">
            <v>2.2216310000000003E-2</v>
          </cell>
          <cell r="AE145">
            <v>8.6918529999999994E-3</v>
          </cell>
          <cell r="AF145">
            <v>2.2922899999999998E-3</v>
          </cell>
          <cell r="AG145">
            <v>5.5794500000000001E-4</v>
          </cell>
          <cell r="AH145">
            <v>3.0021699999999998E-4</v>
          </cell>
          <cell r="AI145">
            <v>8.81E-5</v>
          </cell>
          <cell r="AJ145">
            <v>0</v>
          </cell>
        </row>
        <row r="146">
          <cell r="L146">
            <v>1.0071731E-2</v>
          </cell>
          <cell r="M146">
            <v>7.9211799999999999E-3</v>
          </cell>
          <cell r="N146">
            <v>8.3751500000000013E-3</v>
          </cell>
          <cell r="O146">
            <v>1.376351E-2</v>
          </cell>
          <cell r="P146">
            <v>3.6613889999999996E-2</v>
          </cell>
          <cell r="Q146">
            <v>9.4873299999999994E-2</v>
          </cell>
          <cell r="R146">
            <v>0.15036660000000002</v>
          </cell>
          <cell r="S146">
            <v>0.1189412</v>
          </cell>
          <cell r="T146">
            <v>7.0978900000000011E-2</v>
          </cell>
          <cell r="U146">
            <v>2.9878429999999997E-2</v>
          </cell>
          <cell r="V146">
            <v>1.980467E-2</v>
          </cell>
          <cell r="W146">
            <v>2.1437909999999998E-2</v>
          </cell>
          <cell r="X146">
            <v>4.5575649999999995E-2</v>
          </cell>
          <cell r="Y146">
            <v>5.1835880000000001E-2</v>
          </cell>
          <cell r="Z146">
            <v>7.6536500000000007E-2</v>
          </cell>
          <cell r="AA146">
            <v>7.5630200000000009E-2</v>
          </cell>
          <cell r="AB146">
            <v>7.2697700000000004E-2</v>
          </cell>
          <cell r="AC146">
            <v>4.5103240000000003E-2</v>
          </cell>
          <cell r="AD146">
            <v>2.6867559999999999E-2</v>
          </cell>
          <cell r="AE146">
            <v>1.2539449999999999E-2</v>
          </cell>
          <cell r="AF146">
            <v>7.1355289999999998E-3</v>
          </cell>
          <cell r="AG146">
            <v>2.1831910000000001E-3</v>
          </cell>
          <cell r="AH146">
            <v>7.9885299999999998E-4</v>
          </cell>
          <cell r="AI146">
            <v>6.9900000000000005E-5</v>
          </cell>
          <cell r="AJ146">
            <v>0</v>
          </cell>
        </row>
        <row r="147">
          <cell r="L147">
            <v>2.0334079999999997E-2</v>
          </cell>
          <cell r="M147">
            <v>3.8535239999999998E-2</v>
          </cell>
          <cell r="N147">
            <v>7.0079900000000001E-2</v>
          </cell>
          <cell r="O147">
            <v>9.9761700000000009E-2</v>
          </cell>
          <cell r="P147">
            <v>8.5198099999999999E-2</v>
          </cell>
          <cell r="Q147">
            <v>2.5704390000000001E-2</v>
          </cell>
          <cell r="R147">
            <v>2.1673060000000001E-2</v>
          </cell>
          <cell r="S147">
            <v>4.19152E-2</v>
          </cell>
          <cell r="T147">
            <v>5.44761E-2</v>
          </cell>
          <cell r="U147">
            <v>5.8087100000000003E-2</v>
          </cell>
          <cell r="V147">
            <v>7.7957800000000008E-2</v>
          </cell>
          <cell r="W147">
            <v>8.8610499999999995E-2</v>
          </cell>
          <cell r="X147">
            <v>9.3971800000000008E-2</v>
          </cell>
          <cell r="Y147">
            <v>3.4796569999999999E-2</v>
          </cell>
          <cell r="Z147">
            <v>2.7603710000000004E-2</v>
          </cell>
          <cell r="AA147">
            <v>3.3346710000000002E-2</v>
          </cell>
          <cell r="AB147">
            <v>4.2559199999999991E-2</v>
          </cell>
          <cell r="AC147">
            <v>3.7394629999999998E-2</v>
          </cell>
          <cell r="AD147">
            <v>2.7372590000000002E-2</v>
          </cell>
          <cell r="AE147">
            <v>1.2724719999999998E-2</v>
          </cell>
          <cell r="AF147">
            <v>4.955409E-3</v>
          </cell>
          <cell r="AG147">
            <v>1.7109670000000001E-3</v>
          </cell>
          <cell r="AH147">
            <v>1.0372999999999999E-3</v>
          </cell>
          <cell r="AI147">
            <v>1.93222E-4</v>
          </cell>
          <cell r="AJ147">
            <v>0</v>
          </cell>
        </row>
        <row r="148">
          <cell r="L148">
            <v>1.8812510000000001E-2</v>
          </cell>
          <cell r="M148">
            <v>3.3044000000000004E-2</v>
          </cell>
          <cell r="N148">
            <v>2.7349850000000002E-2</v>
          </cell>
          <cell r="O148">
            <v>5.2798899999999998E-3</v>
          </cell>
          <cell r="P148">
            <v>1.349702E-2</v>
          </cell>
          <cell r="Q148">
            <v>6.6933800000000002E-2</v>
          </cell>
          <cell r="R148">
            <v>0.12656339999999999</v>
          </cell>
          <cell r="S148">
            <v>0.12187790000000001</v>
          </cell>
          <cell r="T148">
            <v>9.1598799999999994E-2</v>
          </cell>
          <cell r="U148">
            <v>5.86396E-2</v>
          </cell>
          <cell r="V148">
            <v>2.9717879999999999E-2</v>
          </cell>
          <cell r="W148">
            <v>3.1464099999999995E-2</v>
          </cell>
          <cell r="X148">
            <v>7.3563500000000004E-2</v>
          </cell>
          <cell r="Y148">
            <v>9.0210399999999996E-2</v>
          </cell>
          <cell r="Z148">
            <v>6.9688299999999995E-2</v>
          </cell>
          <cell r="AA148">
            <v>3.6017310000000004E-2</v>
          </cell>
          <cell r="AB148">
            <v>2.7368640000000003E-2</v>
          </cell>
          <cell r="AC148">
            <v>2.8137540000000003E-2</v>
          </cell>
          <cell r="AD148">
            <v>2.3833020000000003E-2</v>
          </cell>
          <cell r="AE148">
            <v>1.341E-2</v>
          </cell>
          <cell r="AF148">
            <v>7.9490000000000012E-3</v>
          </cell>
          <cell r="AG148">
            <v>3.089362E-3</v>
          </cell>
          <cell r="AH148">
            <v>1.3836720000000001E-3</v>
          </cell>
          <cell r="AI148">
            <v>5.7034100000000003E-4</v>
          </cell>
          <cell r="AJ148">
            <v>0</v>
          </cell>
        </row>
        <row r="149">
          <cell r="L149">
            <v>2.284379E-3</v>
          </cell>
          <cell r="M149">
            <v>1.1490819999999999E-2</v>
          </cell>
          <cell r="N149">
            <v>2.897781E-2</v>
          </cell>
          <cell r="O149">
            <v>3.7171900000000001E-2</v>
          </cell>
          <cell r="P149">
            <v>1.757601E-2</v>
          </cell>
          <cell r="Q149">
            <v>2.4161490000000001E-2</v>
          </cell>
          <cell r="R149">
            <v>5.5979899999999999E-2</v>
          </cell>
          <cell r="S149">
            <v>8.60987E-2</v>
          </cell>
          <cell r="T149">
            <v>6.7761000000000002E-2</v>
          </cell>
          <cell r="U149">
            <v>5.3062300000000007E-2</v>
          </cell>
          <cell r="V149">
            <v>6.9421300000000005E-2</v>
          </cell>
          <cell r="W149">
            <v>9.3841499999999994E-2</v>
          </cell>
          <cell r="X149">
            <v>0.1341627</v>
          </cell>
          <cell r="Y149">
            <v>6.7366700000000002E-2</v>
          </cell>
          <cell r="Z149">
            <v>5.5730729999999999E-2</v>
          </cell>
          <cell r="AA149">
            <v>6.0470700000000002E-2</v>
          </cell>
          <cell r="AB149">
            <v>5.7602399999999998E-2</v>
          </cell>
          <cell r="AC149">
            <v>3.3010120000000004E-2</v>
          </cell>
          <cell r="AD149">
            <v>1.7974190000000001E-2</v>
          </cell>
          <cell r="AE149">
            <v>1.5152209999999999E-2</v>
          </cell>
          <cell r="AF149">
            <v>4.7671670000000001E-3</v>
          </cell>
          <cell r="AG149">
            <v>3.8227090000000001E-3</v>
          </cell>
          <cell r="AH149">
            <v>1.4750139999999998E-3</v>
          </cell>
          <cell r="AI149">
            <v>5.9544999999999997E-4</v>
          </cell>
          <cell r="AJ149">
            <v>4.2700000000000001E-5</v>
          </cell>
        </row>
        <row r="150">
          <cell r="L150">
            <v>1.5779520000000001E-3</v>
          </cell>
          <cell r="M150">
            <v>6.9694099999999997E-3</v>
          </cell>
          <cell r="N150">
            <v>9.1126799999999997E-3</v>
          </cell>
          <cell r="O150">
            <v>7.3108500000000007E-3</v>
          </cell>
          <cell r="P150">
            <v>1.5096229999999999E-2</v>
          </cell>
          <cell r="Q150">
            <v>2.514858E-2</v>
          </cell>
          <cell r="R150">
            <v>3.1805019999999996E-2</v>
          </cell>
          <cell r="S150">
            <v>4.3841699999999997E-2</v>
          </cell>
          <cell r="T150">
            <v>6.7458599999999994E-2</v>
          </cell>
          <cell r="U150">
            <v>5.4699300000000006E-2</v>
          </cell>
          <cell r="V150">
            <v>5.88037E-2</v>
          </cell>
          <cell r="W150">
            <v>7.3744799999999999E-2</v>
          </cell>
          <cell r="X150">
            <v>0.14009260000000001</v>
          </cell>
          <cell r="Y150">
            <v>0.12558069999999999</v>
          </cell>
          <cell r="Z150">
            <v>0.1051952</v>
          </cell>
          <cell r="AA150">
            <v>7.7561299999999986E-2</v>
          </cell>
          <cell r="AB150">
            <v>5.2885309999999998E-2</v>
          </cell>
          <cell r="AC150">
            <v>4.1950019999999998E-2</v>
          </cell>
          <cell r="AD150">
            <v>2.8715999999999995E-2</v>
          </cell>
          <cell r="AE150">
            <v>1.9033909999999998E-2</v>
          </cell>
          <cell r="AF150">
            <v>6.7166229999999997E-3</v>
          </cell>
          <cell r="AG150">
            <v>3.8062809999999999E-3</v>
          </cell>
          <cell r="AH150">
            <v>2.1352720000000001E-3</v>
          </cell>
          <cell r="AI150">
            <v>3.8099299999999999E-4</v>
          </cell>
          <cell r="AJ150">
            <v>3.7693699999999999E-4</v>
          </cell>
        </row>
        <row r="151">
          <cell r="L151">
            <v>7.0996039999999998E-3</v>
          </cell>
          <cell r="M151">
            <v>1.9031380000000001E-2</v>
          </cell>
          <cell r="N151">
            <v>3.0897169999999998E-2</v>
          </cell>
          <cell r="O151">
            <v>1.22296E-2</v>
          </cell>
          <cell r="P151">
            <v>5.3994440000000006E-3</v>
          </cell>
          <cell r="Q151">
            <v>6.5112599999999996E-3</v>
          </cell>
          <cell r="R151">
            <v>7.6243100000000005E-3</v>
          </cell>
          <cell r="S151">
            <v>9.4773200000000009E-3</v>
          </cell>
          <cell r="T151">
            <v>2.0880049999999997E-2</v>
          </cell>
          <cell r="U151">
            <v>3.64395E-2</v>
          </cell>
          <cell r="V151">
            <v>3.401361E-2</v>
          </cell>
          <cell r="W151">
            <v>4.2907000000000001E-2</v>
          </cell>
          <cell r="X151">
            <v>8.9614799999999994E-2</v>
          </cell>
          <cell r="Y151">
            <v>0.1221235</v>
          </cell>
          <cell r="Z151">
            <v>0.1266322</v>
          </cell>
          <cell r="AA151">
            <v>0.1124367</v>
          </cell>
          <cell r="AB151">
            <v>9.6166500000000002E-2</v>
          </cell>
          <cell r="AC151">
            <v>8.1407800000000002E-2</v>
          </cell>
          <cell r="AD151">
            <v>5.781532000000001E-2</v>
          </cell>
          <cell r="AE151">
            <v>3.6206769999999999E-2</v>
          </cell>
          <cell r="AF151">
            <v>2.0075370000000002E-2</v>
          </cell>
          <cell r="AG151">
            <v>1.31263E-2</v>
          </cell>
          <cell r="AH151">
            <v>6.7855759999999998E-3</v>
          </cell>
          <cell r="AI151">
            <v>5.0993610000000002E-3</v>
          </cell>
          <cell r="AJ151">
            <v>0</v>
          </cell>
        </row>
        <row r="152">
          <cell r="L152">
            <v>6.2215820000000005E-2</v>
          </cell>
          <cell r="M152">
            <v>0.1000453</v>
          </cell>
          <cell r="N152">
            <v>0.10769380000000001</v>
          </cell>
          <cell r="O152">
            <v>4.6352000000000004E-2</v>
          </cell>
          <cell r="P152">
            <v>2.099722E-2</v>
          </cell>
          <cell r="Q152">
            <v>2.7832820000000001E-2</v>
          </cell>
          <cell r="R152">
            <v>4.8842499999999997E-2</v>
          </cell>
          <cell r="S152">
            <v>5.4327299999999995E-2</v>
          </cell>
          <cell r="T152">
            <v>5.5720400000000003E-2</v>
          </cell>
          <cell r="U152">
            <v>3.86243E-2</v>
          </cell>
          <cell r="V152">
            <v>2.8966739999999998E-2</v>
          </cell>
          <cell r="W152">
            <v>1.9139299999999998E-2</v>
          </cell>
          <cell r="X152">
            <v>3.4013100000000004E-2</v>
          </cell>
          <cell r="Y152">
            <v>4.7707689999999997E-2</v>
          </cell>
          <cell r="Z152">
            <v>6.4913999999999999E-2</v>
          </cell>
          <cell r="AA152">
            <v>6.9349629999999995E-2</v>
          </cell>
          <cell r="AB152">
            <v>5.3326519999999995E-2</v>
          </cell>
          <cell r="AC152">
            <v>4.5192120000000002E-2</v>
          </cell>
          <cell r="AD152">
            <v>3.0705020000000003E-2</v>
          </cell>
          <cell r="AE152">
            <v>2.0521009999999999E-2</v>
          </cell>
          <cell r="AF152">
            <v>1.2782379999999999E-2</v>
          </cell>
          <cell r="AG152">
            <v>5.7266549999999998E-3</v>
          </cell>
          <cell r="AH152">
            <v>3.4619939999999999E-3</v>
          </cell>
          <cell r="AI152">
            <v>1.2690729999999999E-3</v>
          </cell>
          <cell r="AJ152">
            <v>2.7326E-4</v>
          </cell>
        </row>
        <row r="153">
          <cell r="L153">
            <v>3.3660611E-2</v>
          </cell>
          <cell r="M153">
            <v>6.0799900000000004E-2</v>
          </cell>
          <cell r="N153">
            <v>5.4858199999999996E-2</v>
          </cell>
          <cell r="O153">
            <v>4.5257599999999995E-2</v>
          </cell>
          <cell r="P153">
            <v>3.0828370000000001E-2</v>
          </cell>
          <cell r="Q153">
            <v>5.0754599999999997E-2</v>
          </cell>
          <cell r="R153">
            <v>0.1034878</v>
          </cell>
          <cell r="S153">
            <v>0.1361619</v>
          </cell>
          <cell r="T153">
            <v>0.11299819999999999</v>
          </cell>
          <cell r="U153">
            <v>7.0354600000000003E-2</v>
          </cell>
          <cell r="V153">
            <v>3.7398689999999998E-2</v>
          </cell>
          <cell r="W153">
            <v>2.4091839999999989E-2</v>
          </cell>
          <cell r="X153">
            <v>4.1099360000000001E-2</v>
          </cell>
          <cell r="Y153">
            <v>4.4312890000000001E-2</v>
          </cell>
          <cell r="Z153">
            <v>3.2141929999999999E-2</v>
          </cell>
          <cell r="AA153">
            <v>2.7635960000000001E-2</v>
          </cell>
          <cell r="AB153">
            <v>3.1404040000000001E-2</v>
          </cell>
          <cell r="AC153">
            <v>2.2526860000000003E-2</v>
          </cell>
          <cell r="AD153">
            <v>1.360806E-2</v>
          </cell>
          <cell r="AE153">
            <v>1.449169E-2</v>
          </cell>
          <cell r="AF153">
            <v>5.8945170000000002E-3</v>
          </cell>
          <cell r="AG153">
            <v>2.8661850000000003E-3</v>
          </cell>
          <cell r="AH153">
            <v>2.1377690000000003E-3</v>
          </cell>
          <cell r="AI153">
            <v>1.0424729999999999E-3</v>
          </cell>
          <cell r="AJ153">
            <v>1.86064E-4</v>
          </cell>
        </row>
        <row r="154">
          <cell r="L154">
            <v>1.0265E-2</v>
          </cell>
          <cell r="M154">
            <v>5.7109200000000006E-2</v>
          </cell>
          <cell r="N154">
            <v>5.9200000000000003E-2</v>
          </cell>
          <cell r="O154">
            <v>7.2283100000000003E-2</v>
          </cell>
          <cell r="P154">
            <v>4.7526799999999994E-2</v>
          </cell>
          <cell r="Q154">
            <v>6.0924100000000002E-2</v>
          </cell>
          <cell r="R154">
            <v>9.7935500000000009E-2</v>
          </cell>
          <cell r="S154">
            <v>0.10733369999999999</v>
          </cell>
          <cell r="T154">
            <v>7.9479599999999997E-2</v>
          </cell>
          <cell r="U154">
            <v>4.7134000000000002E-2</v>
          </cell>
          <cell r="V154">
            <v>5.6486599999999998E-2</v>
          </cell>
          <cell r="W154">
            <v>6.7488199999999998E-2</v>
          </cell>
          <cell r="X154">
            <v>8.5787699999999995E-2</v>
          </cell>
          <cell r="Y154">
            <v>4.6586449999999995E-2</v>
          </cell>
          <cell r="Z154">
            <v>2.4555230000000004E-2</v>
          </cell>
          <cell r="AA154">
            <v>2.1085220000000002E-2</v>
          </cell>
          <cell r="AB154">
            <v>1.7618590000000003E-2</v>
          </cell>
          <cell r="AC154">
            <v>1.0045699999999999E-2</v>
          </cell>
          <cell r="AD154">
            <v>1.1465319999999999E-2</v>
          </cell>
          <cell r="AE154">
            <v>7.2691500000000003E-3</v>
          </cell>
          <cell r="AF154">
            <v>5.1798979999999996E-3</v>
          </cell>
          <cell r="AG154">
            <v>3.1297010000000004E-3</v>
          </cell>
          <cell r="AH154">
            <v>2.6236510000000003E-3</v>
          </cell>
          <cell r="AI154">
            <v>1.227501E-3</v>
          </cell>
          <cell r="AJ154">
            <v>2.5999999999999998E-4</v>
          </cell>
        </row>
        <row r="155">
          <cell r="L155">
            <v>2.9223959000000001E-2</v>
          </cell>
          <cell r="M155">
            <v>0.1078192</v>
          </cell>
          <cell r="N155">
            <v>9.53711E-2</v>
          </cell>
          <cell r="O155">
            <v>9.3678600000000001E-2</v>
          </cell>
          <cell r="P155">
            <v>4.2804380000000003E-2</v>
          </cell>
          <cell r="Q155">
            <v>1.758798E-2</v>
          </cell>
          <cell r="R155">
            <v>3.3957299999999996E-2</v>
          </cell>
          <cell r="S155">
            <v>7.0054000000000005E-2</v>
          </cell>
          <cell r="T155">
            <v>7.6897500000000008E-2</v>
          </cell>
          <cell r="U155">
            <v>5.5175500000000002E-2</v>
          </cell>
          <cell r="V155">
            <v>5.0748100000000004E-2</v>
          </cell>
          <cell r="W155">
            <v>6.4956600000000003E-2</v>
          </cell>
          <cell r="X155">
            <v>9.7351400000000005E-2</v>
          </cell>
          <cell r="Y155">
            <v>5.93985E-2</v>
          </cell>
          <cell r="Z155">
            <v>3.4766770000000002E-2</v>
          </cell>
          <cell r="AA155">
            <v>2.5746399999999996E-2</v>
          </cell>
          <cell r="AB155">
            <v>1.828579E-2</v>
          </cell>
          <cell r="AC155">
            <v>7.2134899999999995E-3</v>
          </cell>
          <cell r="AD155">
            <v>5.6676799999999996E-3</v>
          </cell>
          <cell r="AE155">
            <v>4.5299980000000004E-3</v>
          </cell>
          <cell r="AF155">
            <v>2.9312420000000001E-3</v>
          </cell>
          <cell r="AG155">
            <v>2.2962910000000002E-3</v>
          </cell>
          <cell r="AH155">
            <v>1.7345969999999998E-3</v>
          </cell>
          <cell r="AI155">
            <v>1.4846059999999999E-3</v>
          </cell>
          <cell r="AJ155">
            <v>3.1910299999999994E-4</v>
          </cell>
        </row>
        <row r="156">
          <cell r="L156">
            <v>3.22311E-3</v>
          </cell>
          <cell r="M156">
            <v>1.492901E-2</v>
          </cell>
          <cell r="N156">
            <v>2.254333E-2</v>
          </cell>
          <cell r="O156">
            <v>2.5096840000000002E-2</v>
          </cell>
          <cell r="P156">
            <v>2.5317770000000003E-2</v>
          </cell>
          <cell r="Q156">
            <v>3.9892799999999999E-2</v>
          </cell>
          <cell r="R156">
            <v>9.4684299999999999E-2</v>
          </cell>
          <cell r="S156">
            <v>0.153643</v>
          </cell>
          <cell r="T156">
            <v>0.12783079999999999</v>
          </cell>
          <cell r="U156">
            <v>6.0651799999999999E-2</v>
          </cell>
          <cell r="V156">
            <v>2.5999999999999995E-2</v>
          </cell>
          <cell r="W156">
            <v>4.1068900000000005E-2</v>
          </cell>
          <cell r="X156">
            <v>8.7369199999999994E-2</v>
          </cell>
          <cell r="Y156">
            <v>6.8730800000000009E-2</v>
          </cell>
          <cell r="Z156">
            <v>7.8572000000000003E-2</v>
          </cell>
          <cell r="AA156">
            <v>6.1148499999999995E-2</v>
          </cell>
          <cell r="AB156">
            <v>3.61239E-2</v>
          </cell>
          <cell r="AC156">
            <v>1.4646820000000001E-2</v>
          </cell>
          <cell r="AD156">
            <v>5.8637470000000008E-3</v>
          </cell>
          <cell r="AE156">
            <v>3.2405240000000003E-3</v>
          </cell>
          <cell r="AF156">
            <v>4.306102E-3</v>
          </cell>
          <cell r="AG156">
            <v>2.0843760000000002E-3</v>
          </cell>
          <cell r="AH156">
            <v>1.043542E-3</v>
          </cell>
          <cell r="AI156">
            <v>1.882634E-3</v>
          </cell>
          <cell r="AJ156">
            <v>1.0620000000000001E-4</v>
          </cell>
        </row>
        <row r="157">
          <cell r="L157">
            <v>4.705486E-3</v>
          </cell>
          <cell r="M157">
            <v>1.0596649999999999E-2</v>
          </cell>
          <cell r="N157">
            <v>1.706585E-2</v>
          </cell>
          <cell r="O157">
            <v>1.9931710000000002E-2</v>
          </cell>
          <cell r="P157">
            <v>8.6542800000000003E-3</v>
          </cell>
          <cell r="Q157">
            <v>2.651363E-2</v>
          </cell>
          <cell r="R157">
            <v>6.3151200000000005E-2</v>
          </cell>
          <cell r="S157">
            <v>7.4843499999999993E-2</v>
          </cell>
          <cell r="T157">
            <v>6.1993700000000006E-2</v>
          </cell>
          <cell r="U157">
            <v>8.7241000000000013E-2</v>
          </cell>
          <cell r="V157">
            <v>0.12659900000000002</v>
          </cell>
          <cell r="W157">
            <v>0.12557270000000001</v>
          </cell>
          <cell r="X157">
            <v>0.12668070000000001</v>
          </cell>
          <cell r="Y157">
            <v>6.0534799999999993E-2</v>
          </cell>
          <cell r="Z157">
            <v>4.6766769999999999E-2</v>
          </cell>
          <cell r="AA157">
            <v>5.0073180000000009E-2</v>
          </cell>
          <cell r="AB157">
            <v>3.5098500000000005E-2</v>
          </cell>
          <cell r="AC157">
            <v>2.3113230000000002E-2</v>
          </cell>
          <cell r="AD157">
            <v>1.3563780000000001E-2</v>
          </cell>
          <cell r="AE157">
            <v>7.8236599999999996E-3</v>
          </cell>
          <cell r="AF157">
            <v>3.6975340000000006E-3</v>
          </cell>
          <cell r="AG157">
            <v>3.4833990000000003E-3</v>
          </cell>
          <cell r="AH157">
            <v>1.4843180000000001E-3</v>
          </cell>
          <cell r="AI157">
            <v>6.3838999999999996E-4</v>
          </cell>
          <cell r="AJ157">
            <v>1.7289999999999997E-4</v>
          </cell>
        </row>
        <row r="158">
          <cell r="L158">
            <v>2.4884719999999998E-3</v>
          </cell>
          <cell r="M158">
            <v>1.114134E-2</v>
          </cell>
          <cell r="N158">
            <v>1.964159E-2</v>
          </cell>
          <cell r="O158">
            <v>2.0014169999999998E-2</v>
          </cell>
          <cell r="P158">
            <v>8.38677E-3</v>
          </cell>
          <cell r="Q158">
            <v>1.5618440000000001E-2</v>
          </cell>
          <cell r="R158">
            <v>5.1971900000000001E-2</v>
          </cell>
          <cell r="S158">
            <v>7.9049700000000001E-2</v>
          </cell>
          <cell r="T158">
            <v>6.8349500000000007E-2</v>
          </cell>
          <cell r="U158">
            <v>5.2451700000000004E-2</v>
          </cell>
          <cell r="V158">
            <v>5.7950000000000002E-2</v>
          </cell>
          <cell r="W158">
            <v>8.3750000000000005E-2</v>
          </cell>
          <cell r="X158">
            <v>0.16356699999999999</v>
          </cell>
          <cell r="Y158">
            <v>0.14275119999999999</v>
          </cell>
          <cell r="Z158">
            <v>8.5698399999999994E-2</v>
          </cell>
          <cell r="AA158">
            <v>4.4760159999999993E-2</v>
          </cell>
          <cell r="AB158">
            <v>3.009554E-2</v>
          </cell>
          <cell r="AC158">
            <v>2.5004600000000002E-2</v>
          </cell>
          <cell r="AD158">
            <v>1.4400669999999999E-2</v>
          </cell>
          <cell r="AE158">
            <v>1.0597599999999999E-2</v>
          </cell>
          <cell r="AF158">
            <v>7.0649540000000009E-3</v>
          </cell>
          <cell r="AG158">
            <v>2.8516320000000006E-3</v>
          </cell>
          <cell r="AH158">
            <v>1.6973860000000002E-3</v>
          </cell>
          <cell r="AI158">
            <v>3.7215399999999997E-4</v>
          </cell>
          <cell r="AJ158">
            <v>3.2475400000000001E-4</v>
          </cell>
        </row>
        <row r="159">
          <cell r="L159">
            <v>2.2404646E-2</v>
          </cell>
          <cell r="M159">
            <v>6.0051500000000008E-2</v>
          </cell>
          <cell r="N159">
            <v>7.5354600000000008E-2</v>
          </cell>
          <cell r="O159">
            <v>7.2623800000000002E-2</v>
          </cell>
          <cell r="P159">
            <v>3.6880690000000001E-2</v>
          </cell>
          <cell r="Q159">
            <v>1.2617799999999998E-2</v>
          </cell>
          <cell r="R159">
            <v>3.055807E-2</v>
          </cell>
          <cell r="S159">
            <v>6.5774100000000002E-2</v>
          </cell>
          <cell r="T159">
            <v>6.0227700000000002E-2</v>
          </cell>
          <cell r="U159">
            <v>4.7538999999999998E-2</v>
          </cell>
          <cell r="V159">
            <v>4.2086199999999997E-2</v>
          </cell>
          <cell r="W159">
            <v>4.7830600000000001E-2</v>
          </cell>
          <cell r="X159">
            <v>9.5544099999999993E-2</v>
          </cell>
          <cell r="Y159">
            <v>9.1959800000000008E-2</v>
          </cell>
          <cell r="Z159">
            <v>8.7475899999999995E-2</v>
          </cell>
          <cell r="AA159">
            <v>6.1811400000000002E-2</v>
          </cell>
          <cell r="AB159">
            <v>4.3778560000000001E-2</v>
          </cell>
          <cell r="AC159">
            <v>2.1257099999999994E-2</v>
          </cell>
          <cell r="AD159">
            <v>9.6277700000000008E-3</v>
          </cell>
          <cell r="AE159">
            <v>6.6289769999999994E-3</v>
          </cell>
          <cell r="AF159">
            <v>3.6374949999999997E-3</v>
          </cell>
          <cell r="AG159">
            <v>2.8529319999999999E-3</v>
          </cell>
          <cell r="AH159">
            <v>9.5331799999999998E-4</v>
          </cell>
          <cell r="AI159">
            <v>2.35725E-4</v>
          </cell>
          <cell r="AJ159">
            <v>2.8848200000000001E-4</v>
          </cell>
        </row>
        <row r="160">
          <cell r="L160">
            <v>8.5437839999999987E-3</v>
          </cell>
          <cell r="M160">
            <v>3.1790200000000005E-2</v>
          </cell>
          <cell r="N160">
            <v>2.838508E-2</v>
          </cell>
          <cell r="O160">
            <v>3.4206709999999997E-3</v>
          </cell>
          <cell r="P160">
            <v>1.046387E-2</v>
          </cell>
          <cell r="Q160">
            <v>5.5484980000000003E-2</v>
          </cell>
          <cell r="R160">
            <v>0.15357560000000001</v>
          </cell>
          <cell r="S160">
            <v>0.18232470000000001</v>
          </cell>
          <cell r="T160">
            <v>0.11880250000000001</v>
          </cell>
          <cell r="U160">
            <v>5.6121200000000003E-2</v>
          </cell>
          <cell r="V160">
            <v>3.7144700000000003E-2</v>
          </cell>
          <cell r="W160">
            <v>3.9613499999999996E-2</v>
          </cell>
          <cell r="X160">
            <v>6.8144800000000005E-2</v>
          </cell>
          <cell r="Y160">
            <v>4.3876040000000005E-2</v>
          </cell>
          <cell r="Z160">
            <v>3.9051740000000001E-2</v>
          </cell>
          <cell r="AA160">
            <v>4.0639250000000002E-2</v>
          </cell>
          <cell r="AB160">
            <v>3.2748700000000006E-2</v>
          </cell>
          <cell r="AC160">
            <v>2.395009E-2</v>
          </cell>
          <cell r="AD160">
            <v>1.2004910000000001E-2</v>
          </cell>
          <cell r="AE160">
            <v>6.2846499999999993E-3</v>
          </cell>
          <cell r="AF160">
            <v>3.0611120000000004E-3</v>
          </cell>
          <cell r="AG160">
            <v>2.7853869999999998E-3</v>
          </cell>
          <cell r="AH160">
            <v>6.7212099999999992E-4</v>
          </cell>
          <cell r="AI160">
            <v>9.5867099999999992E-4</v>
          </cell>
          <cell r="AJ160">
            <v>1.518E-4</v>
          </cell>
        </row>
        <row r="161">
          <cell r="L161">
            <v>1.3805309999999999E-2</v>
          </cell>
          <cell r="M161">
            <v>2.6461400000000003E-2</v>
          </cell>
          <cell r="N161">
            <v>1.900015E-2</v>
          </cell>
          <cell r="O161">
            <v>9.9666100000000007E-3</v>
          </cell>
          <cell r="P161">
            <v>1.7416250000000001E-2</v>
          </cell>
          <cell r="Q161">
            <v>4.4845280000000001E-2</v>
          </cell>
          <cell r="R161">
            <v>6.62576E-2</v>
          </cell>
          <cell r="S161">
            <v>6.9197900000000007E-2</v>
          </cell>
          <cell r="T161">
            <v>5.3880499999999998E-2</v>
          </cell>
          <cell r="U161">
            <v>7.8502199999999994E-2</v>
          </cell>
          <cell r="V161">
            <v>0.12253070000000001</v>
          </cell>
          <cell r="W161">
            <v>0.1431317</v>
          </cell>
          <cell r="X161">
            <v>0.12957150000000001</v>
          </cell>
          <cell r="Y161">
            <v>5.8473350000000007E-2</v>
          </cell>
          <cell r="Z161">
            <v>3.7564109999999998E-2</v>
          </cell>
          <cell r="AA161">
            <v>3.9673109999999998E-2</v>
          </cell>
          <cell r="AB161">
            <v>2.5763980000000002E-2</v>
          </cell>
          <cell r="AC161">
            <v>1.7510520000000002E-2</v>
          </cell>
          <cell r="AD161">
            <v>1.046704E-2</v>
          </cell>
          <cell r="AE161">
            <v>6.2340400000000006E-3</v>
          </cell>
          <cell r="AF161">
            <v>5.3741049999999997E-3</v>
          </cell>
          <cell r="AG161">
            <v>1.945579E-3</v>
          </cell>
          <cell r="AH161">
            <v>1.9355590000000001E-3</v>
          </cell>
          <cell r="AI161">
            <v>3.2807100000000004E-4</v>
          </cell>
          <cell r="AJ161">
            <v>1.63692E-4</v>
          </cell>
        </row>
        <row r="162">
          <cell r="L162">
            <v>2.5875955999999999E-2</v>
          </cell>
          <cell r="M162">
            <v>0.10834389999999999</v>
          </cell>
          <cell r="N162">
            <v>7.9246200000000003E-2</v>
          </cell>
          <cell r="O162">
            <v>2.0874470000000003E-2</v>
          </cell>
          <cell r="P162">
            <v>3.6453600000000003E-3</v>
          </cell>
          <cell r="Q162">
            <v>1.87288E-2</v>
          </cell>
          <cell r="R162">
            <v>4.6876600000000004E-2</v>
          </cell>
          <cell r="S162">
            <v>6.2701699999999999E-2</v>
          </cell>
          <cell r="T162">
            <v>4.5472100000000001E-2</v>
          </cell>
          <cell r="U162">
            <v>4.7406900000000002E-2</v>
          </cell>
          <cell r="V162">
            <v>6.5547300000000003E-2</v>
          </cell>
          <cell r="W162">
            <v>7.6533400000000001E-2</v>
          </cell>
          <cell r="X162">
            <v>0.14086280000000001</v>
          </cell>
          <cell r="Y162">
            <v>0.1006961</v>
          </cell>
          <cell r="Z162">
            <v>6.7662399999999998E-2</v>
          </cell>
          <cell r="AA162">
            <v>3.5075490000000001E-2</v>
          </cell>
          <cell r="AB162">
            <v>2.06754E-2</v>
          </cell>
          <cell r="AC162">
            <v>1.3128519999999999E-2</v>
          </cell>
          <cell r="AD162">
            <v>7.2776030000000005E-3</v>
          </cell>
          <cell r="AE162">
            <v>5.2978360000000002E-3</v>
          </cell>
          <cell r="AF162">
            <v>4.3048850000000005E-3</v>
          </cell>
          <cell r="AG162">
            <v>2.1733330000000004E-3</v>
          </cell>
          <cell r="AH162">
            <v>1.3731210000000002E-3</v>
          </cell>
          <cell r="AI162">
            <v>2.1997E-4</v>
          </cell>
          <cell r="AJ162">
            <v>0</v>
          </cell>
        </row>
        <row r="163">
          <cell r="L163">
            <v>1.153202E-2</v>
          </cell>
          <cell r="M163">
            <v>4.8844800000000001E-2</v>
          </cell>
          <cell r="N163">
            <v>0.10780710000000002</v>
          </cell>
          <cell r="O163">
            <v>8.991049999999999E-2</v>
          </cell>
          <cell r="P163">
            <v>3.5794270000000003E-2</v>
          </cell>
          <cell r="Q163">
            <v>2.5507830000000002E-2</v>
          </cell>
          <cell r="R163">
            <v>6.0334700000000005E-2</v>
          </cell>
          <cell r="S163">
            <v>0.11702</v>
          </cell>
          <cell r="T163">
            <v>0.12249480000000001</v>
          </cell>
          <cell r="U163">
            <v>6.1906299999999997E-2</v>
          </cell>
          <cell r="V163">
            <v>2.952929E-2</v>
          </cell>
          <cell r="W163">
            <v>2.506328E-2</v>
          </cell>
          <cell r="X163">
            <v>6.3600299999999999E-2</v>
          </cell>
          <cell r="Y163">
            <v>6.3806200000000007E-2</v>
          </cell>
          <cell r="Z163">
            <v>5.2269130000000004E-2</v>
          </cell>
          <cell r="AA163">
            <v>3.9720180000000001E-2</v>
          </cell>
          <cell r="AB163">
            <v>2.2116320000000002E-2</v>
          </cell>
          <cell r="AC163">
            <v>1.0308309999999999E-2</v>
          </cell>
          <cell r="AD163">
            <v>5.7650799999999997E-3</v>
          </cell>
          <cell r="AE163">
            <v>2.9755630000000001E-3</v>
          </cell>
          <cell r="AF163">
            <v>1.7801310000000001E-3</v>
          </cell>
          <cell r="AG163">
            <v>1.035392E-3</v>
          </cell>
          <cell r="AH163">
            <v>4.3785899999999997E-4</v>
          </cell>
          <cell r="AI163">
            <v>3.52042E-4</v>
          </cell>
          <cell r="AJ163">
            <v>8.8499999999999996E-5</v>
          </cell>
        </row>
        <row r="164">
          <cell r="L164">
            <v>6.0442710000000004E-3</v>
          </cell>
          <cell r="M164">
            <v>2.0010780000000002E-2</v>
          </cell>
          <cell r="N164">
            <v>3.5573809999999997E-2</v>
          </cell>
          <cell r="O164">
            <v>1.9039880000000002E-2</v>
          </cell>
          <cell r="P164">
            <v>7.7217899999999992E-3</v>
          </cell>
          <cell r="Q164">
            <v>2.711189E-2</v>
          </cell>
          <cell r="R164">
            <v>7.7034699999999998E-2</v>
          </cell>
          <cell r="S164">
            <v>0.1288416</v>
          </cell>
          <cell r="T164">
            <v>0.1059103</v>
          </cell>
          <cell r="U164">
            <v>6.9687199999999991E-2</v>
          </cell>
          <cell r="V164">
            <v>7.7938800000000003E-2</v>
          </cell>
          <cell r="W164">
            <v>9.8272999999999999E-2</v>
          </cell>
          <cell r="X164">
            <v>0.11546519999999999</v>
          </cell>
          <cell r="Y164">
            <v>6.348390000000001E-2</v>
          </cell>
          <cell r="Z164">
            <v>4.9427070000000004E-2</v>
          </cell>
          <cell r="AA164">
            <v>3.9281379999999998E-2</v>
          </cell>
          <cell r="AB164">
            <v>3.0045559999999999E-2</v>
          </cell>
          <cell r="AC164">
            <v>1.4276369999999998E-2</v>
          </cell>
          <cell r="AD164">
            <v>7.9451290000000004E-3</v>
          </cell>
          <cell r="AE164">
            <v>2.9304520000000001E-3</v>
          </cell>
          <cell r="AF164">
            <v>1.130369E-3</v>
          </cell>
          <cell r="AG164">
            <v>1.454611E-3</v>
          </cell>
          <cell r="AH164">
            <v>1.0707150000000001E-3</v>
          </cell>
          <cell r="AI164">
            <v>2.5158400000000001E-4</v>
          </cell>
          <cell r="AJ164">
            <v>4.9499999999999997E-5</v>
          </cell>
        </row>
        <row r="165">
          <cell r="L165">
            <v>6.1914919999999998E-3</v>
          </cell>
          <cell r="M165">
            <v>3.486326E-2</v>
          </cell>
          <cell r="N165">
            <v>5.5071099999999998E-2</v>
          </cell>
          <cell r="O165">
            <v>6.3069500000000001E-2</v>
          </cell>
          <cell r="P165">
            <v>5.2448300000000003E-2</v>
          </cell>
          <cell r="Q165">
            <v>2.7288649999999998E-2</v>
          </cell>
          <cell r="R165">
            <v>1.5703420000000003E-2</v>
          </cell>
          <cell r="S165">
            <v>2.5489940000000003E-2</v>
          </cell>
          <cell r="T165">
            <v>6.7958999999999992E-2</v>
          </cell>
          <cell r="U165">
            <v>6.4561000000000007E-2</v>
          </cell>
          <cell r="V165">
            <v>8.2167599999999993E-2</v>
          </cell>
          <cell r="W165">
            <v>0.1025784</v>
          </cell>
          <cell r="X165">
            <v>0.14799440000000003</v>
          </cell>
          <cell r="Y165">
            <v>9.2648800000000003E-2</v>
          </cell>
          <cell r="Z165">
            <v>5.94441E-2</v>
          </cell>
          <cell r="AA165">
            <v>3.6315130000000001E-2</v>
          </cell>
          <cell r="AB165">
            <v>2.8580599999999998E-2</v>
          </cell>
          <cell r="AC165">
            <v>1.798493E-2</v>
          </cell>
          <cell r="AD165">
            <v>1.004656E-2</v>
          </cell>
          <cell r="AE165">
            <v>6.018232000000001E-3</v>
          </cell>
          <cell r="AF165">
            <v>2.4798110000000002E-3</v>
          </cell>
          <cell r="AG165">
            <v>8.3107400000000001E-4</v>
          </cell>
          <cell r="AH165">
            <v>1.6579999999999999E-4</v>
          </cell>
          <cell r="AI165">
            <v>9.8799999999999989E-5</v>
          </cell>
          <cell r="AJ165">
            <v>0</v>
          </cell>
        </row>
        <row r="166">
          <cell r="L166">
            <v>6.5399289999999999E-3</v>
          </cell>
          <cell r="M166">
            <v>3.1800109999999999E-2</v>
          </cell>
          <cell r="N166">
            <v>5.51158E-2</v>
          </cell>
          <cell r="O166">
            <v>4.5144900000000002E-2</v>
          </cell>
          <cell r="P166">
            <v>2.1513310000000001E-2</v>
          </cell>
          <cell r="Q166">
            <v>2.4952429999999998E-2</v>
          </cell>
          <cell r="R166">
            <v>5.5500800000000003E-2</v>
          </cell>
          <cell r="S166">
            <v>7.4764200000000003E-2</v>
          </cell>
          <cell r="T166">
            <v>8.8640999999999998E-2</v>
          </cell>
          <cell r="U166">
            <v>8.2172899999999993E-2</v>
          </cell>
          <cell r="V166">
            <v>6.1195799999999995E-2</v>
          </cell>
          <cell r="W166">
            <v>4.8313499999999995E-2</v>
          </cell>
          <cell r="X166">
            <v>7.8501399999999999E-2</v>
          </cell>
          <cell r="Y166">
            <v>8.3318900000000001E-2</v>
          </cell>
          <cell r="Z166">
            <v>7.6570899999999997E-2</v>
          </cell>
          <cell r="AA166">
            <v>6.0510510000000003E-2</v>
          </cell>
          <cell r="AB166">
            <v>4.0888519999999998E-2</v>
          </cell>
          <cell r="AC166">
            <v>2.5705229999999996E-2</v>
          </cell>
          <cell r="AD166">
            <v>1.778188E-2</v>
          </cell>
          <cell r="AE166">
            <v>8.8827000000000003E-3</v>
          </cell>
          <cell r="AF166">
            <v>7.8495500000000003E-3</v>
          </cell>
          <cell r="AG166">
            <v>2.2892680000000001E-3</v>
          </cell>
          <cell r="AH166">
            <v>1.1748660000000001E-3</v>
          </cell>
          <cell r="AI166">
            <v>6.3845099999999995E-4</v>
          </cell>
          <cell r="AJ166">
            <v>2.33522E-4</v>
          </cell>
        </row>
        <row r="167">
          <cell r="L167">
            <v>2.3955109999999999E-3</v>
          </cell>
          <cell r="M167">
            <v>2.3571410000000001E-2</v>
          </cell>
          <cell r="N167">
            <v>6.6118499999999997E-2</v>
          </cell>
          <cell r="O167">
            <v>7.6775499999999997E-2</v>
          </cell>
          <cell r="P167">
            <v>9.7609899999999999E-2</v>
          </cell>
          <cell r="Q167">
            <v>7.6607299999999989E-2</v>
          </cell>
          <cell r="R167">
            <v>3.65686E-2</v>
          </cell>
          <cell r="S167">
            <v>3.9784600000000003E-2</v>
          </cell>
          <cell r="T167">
            <v>5.2700300000000005E-2</v>
          </cell>
          <cell r="U167">
            <v>6.7509100000000002E-2</v>
          </cell>
          <cell r="V167">
            <v>5.3638399999999996E-2</v>
          </cell>
          <cell r="W167">
            <v>5.2320800000000001E-2</v>
          </cell>
          <cell r="X167">
            <v>7.7708200000000005E-2</v>
          </cell>
          <cell r="Y167">
            <v>5.7653200000000002E-2</v>
          </cell>
          <cell r="Z167">
            <v>4.6857120000000002E-2</v>
          </cell>
          <cell r="AA167">
            <v>4.6418180000000003E-2</v>
          </cell>
          <cell r="AB167">
            <v>4.2999670000000004E-2</v>
          </cell>
          <cell r="AC167">
            <v>2.9674880000000001E-2</v>
          </cell>
          <cell r="AD167">
            <v>2.5362060000000002E-2</v>
          </cell>
          <cell r="AE167">
            <v>1.3692269999999999E-2</v>
          </cell>
          <cell r="AF167">
            <v>8.3883240000000008E-3</v>
          </cell>
          <cell r="AG167">
            <v>3.9682449999999996E-3</v>
          </cell>
          <cell r="AH167">
            <v>1.3584079999999998E-3</v>
          </cell>
          <cell r="AI167">
            <v>3.1936399999999999E-4</v>
          </cell>
          <cell r="AJ167">
            <v>0</v>
          </cell>
        </row>
        <row r="168">
          <cell r="L168">
            <v>7.2761679999999995E-2</v>
          </cell>
          <cell r="M168">
            <v>0.10423770000000002</v>
          </cell>
          <cell r="N168">
            <v>8.3843000000000001E-2</v>
          </cell>
          <cell r="O168">
            <v>5.4501300000000003E-2</v>
          </cell>
          <cell r="P168">
            <v>1.8334700000000002E-2</v>
          </cell>
          <cell r="Q168">
            <v>1.4470190000000001E-2</v>
          </cell>
          <cell r="R168">
            <v>3.0312319999999997E-2</v>
          </cell>
          <cell r="S168">
            <v>5.5766100000000006E-2</v>
          </cell>
          <cell r="T168">
            <v>6.7180500000000004E-2</v>
          </cell>
          <cell r="U168">
            <v>6.7291900000000002E-2</v>
          </cell>
          <cell r="V168">
            <v>5.3842500000000001E-2</v>
          </cell>
          <cell r="W168">
            <v>3.9548299999999995E-2</v>
          </cell>
          <cell r="X168">
            <v>6.5345E-2</v>
          </cell>
          <cell r="Y168">
            <v>6.7481899999999997E-2</v>
          </cell>
          <cell r="Z168">
            <v>4.9787409999999997E-2</v>
          </cell>
          <cell r="AA168">
            <v>4.0043369999999995E-2</v>
          </cell>
          <cell r="AB168">
            <v>3.1224680000000001E-2</v>
          </cell>
          <cell r="AC168">
            <v>2.5406190000000002E-2</v>
          </cell>
          <cell r="AD168">
            <v>2.155903E-2</v>
          </cell>
          <cell r="AE168">
            <v>1.8078799999999999E-2</v>
          </cell>
          <cell r="AF168">
            <v>1.0439239999999999E-2</v>
          </cell>
          <cell r="AG168">
            <v>4.8037409999999899E-3</v>
          </cell>
          <cell r="AH168">
            <v>2.7467159999999997E-3</v>
          </cell>
          <cell r="AI168">
            <v>7.4000599999999998E-4</v>
          </cell>
          <cell r="AJ168">
            <v>2.5364499999999999E-4</v>
          </cell>
        </row>
        <row r="169">
          <cell r="L169">
            <v>0.13812950099999999</v>
          </cell>
          <cell r="M169">
            <v>0.30687189999999998</v>
          </cell>
          <cell r="N169">
            <v>0.15254129999999999</v>
          </cell>
          <cell r="O169">
            <v>7.5494400000000003E-2</v>
          </cell>
          <cell r="P169">
            <v>2.2254740000000002E-2</v>
          </cell>
          <cell r="Q169">
            <v>1.562908E-2</v>
          </cell>
          <cell r="R169">
            <v>3.0980019999999997E-2</v>
          </cell>
          <cell r="S169">
            <v>3.1665239999999997E-2</v>
          </cell>
          <cell r="T169">
            <v>2.560163E-2</v>
          </cell>
          <cell r="U169">
            <v>1.783732E-2</v>
          </cell>
          <cell r="V169">
            <v>1.772139E-2</v>
          </cell>
          <cell r="W169">
            <v>1.7929460000000001E-2</v>
          </cell>
          <cell r="X169">
            <v>2.9981279999999999E-2</v>
          </cell>
          <cell r="Y169">
            <v>2.7919510000000002E-2</v>
          </cell>
          <cell r="Z169">
            <v>2.1569250000000002E-2</v>
          </cell>
          <cell r="AA169">
            <v>2.03851E-2</v>
          </cell>
          <cell r="AB169">
            <v>1.5177020000000001E-2</v>
          </cell>
          <cell r="AC169">
            <v>1.076652E-2</v>
          </cell>
          <cell r="AD169">
            <v>6.2148859999999993E-3</v>
          </cell>
          <cell r="AE169">
            <v>5.765114E-3</v>
          </cell>
          <cell r="AF169">
            <v>4.118666E-3</v>
          </cell>
          <cell r="AG169">
            <v>2.8567879999999999E-3</v>
          </cell>
          <cell r="AH169">
            <v>1.218008E-3</v>
          </cell>
          <cell r="AI169">
            <v>1.1042240000000002E-3</v>
          </cell>
          <cell r="AJ169">
            <v>2.6767399999999997E-4</v>
          </cell>
        </row>
        <row r="170">
          <cell r="L170">
            <v>4.4146077000000006E-2</v>
          </cell>
          <cell r="M170">
            <v>8.5322599999999998E-2</v>
          </cell>
          <cell r="N170">
            <v>5.2447300000000002E-2</v>
          </cell>
          <cell r="O170">
            <v>1.0337289999999999E-2</v>
          </cell>
          <cell r="P170">
            <v>2.103232E-2</v>
          </cell>
          <cell r="Q170">
            <v>0.1020848</v>
          </cell>
          <cell r="R170">
            <v>0.1670239</v>
          </cell>
          <cell r="S170">
            <v>0.13115940000000001</v>
          </cell>
          <cell r="T170">
            <v>6.3261999999999999E-2</v>
          </cell>
          <cell r="U170">
            <v>3.4687799999999998E-2</v>
          </cell>
          <cell r="V170">
            <v>3.021923E-2</v>
          </cell>
          <cell r="W170">
            <v>3.128678E-2</v>
          </cell>
          <cell r="X170">
            <v>4.8637879999999994E-2</v>
          </cell>
          <cell r="Y170">
            <v>4.5331410000000003E-2</v>
          </cell>
          <cell r="Z170">
            <v>4.1073020000000002E-2</v>
          </cell>
          <cell r="AA170">
            <v>3.1536710000000003E-2</v>
          </cell>
          <cell r="AB170">
            <v>2.4221340000000001E-2</v>
          </cell>
          <cell r="AC170">
            <v>1.248929E-2</v>
          </cell>
          <cell r="AD170">
            <v>7.6238639999999993E-3</v>
          </cell>
          <cell r="AE170">
            <v>4.9020820000000003E-3</v>
          </cell>
          <cell r="AF170">
            <v>4.7492520000000007E-3</v>
          </cell>
          <cell r="AG170">
            <v>3.3363309999999997E-3</v>
          </cell>
          <cell r="AH170">
            <v>2.0330560000000001E-3</v>
          </cell>
          <cell r="AI170">
            <v>9.59165E-4</v>
          </cell>
          <cell r="AJ170">
            <v>9.7E-5</v>
          </cell>
        </row>
        <row r="171">
          <cell r="L171">
            <v>0.15482474899999998</v>
          </cell>
          <cell r="M171">
            <v>0.1623445</v>
          </cell>
          <cell r="N171">
            <v>9.5485600000000004E-2</v>
          </cell>
          <cell r="O171">
            <v>3.9151760000000001E-2</v>
          </cell>
          <cell r="P171">
            <v>5.7603300000000001E-3</v>
          </cell>
          <cell r="Q171">
            <v>2.0907680000000001E-2</v>
          </cell>
          <cell r="R171">
            <v>5.9168600000000002E-2</v>
          </cell>
          <cell r="S171">
            <v>7.4498099999999998E-2</v>
          </cell>
          <cell r="T171">
            <v>4.4324099999999998E-2</v>
          </cell>
          <cell r="U171">
            <v>4.4370400000000004E-2</v>
          </cell>
          <cell r="V171">
            <v>6.2592099999999998E-2</v>
          </cell>
          <cell r="W171">
            <v>6.3499700000000006E-2</v>
          </cell>
          <cell r="X171">
            <v>6.8353209999999998E-2</v>
          </cell>
          <cell r="Y171">
            <v>3.2383019999999998E-2</v>
          </cell>
          <cell r="Z171">
            <v>2.3856459999999999E-2</v>
          </cell>
          <cell r="AA171">
            <v>2.0951089999999999E-2</v>
          </cell>
          <cell r="AB171">
            <v>1.2669130000000001E-2</v>
          </cell>
          <cell r="AC171">
            <v>6.3248699999999998E-3</v>
          </cell>
          <cell r="AD171">
            <v>3.748922E-3</v>
          </cell>
          <cell r="AE171">
            <v>1.8089310000000002E-3</v>
          </cell>
          <cell r="AF171">
            <v>1.4115359999999999E-3</v>
          </cell>
          <cell r="AG171">
            <v>4.8337199999999998E-4</v>
          </cell>
          <cell r="AH171">
            <v>7.51128E-4</v>
          </cell>
          <cell r="AI171">
            <v>2.89466E-4</v>
          </cell>
          <cell r="AJ171">
            <v>4.1199999999999999E-5</v>
          </cell>
        </row>
        <row r="172">
          <cell r="L172">
            <v>6.3693080000000006E-3</v>
          </cell>
          <cell r="M172">
            <v>1.7649689999999999E-2</v>
          </cell>
          <cell r="N172">
            <v>1.7668990000000002E-2</v>
          </cell>
          <cell r="O172">
            <v>5.4665000000000009E-3</v>
          </cell>
          <cell r="P172">
            <v>1.3982369999999999E-2</v>
          </cell>
          <cell r="Q172">
            <v>7.3911699999999997E-2</v>
          </cell>
          <cell r="R172">
            <v>0.158526</v>
          </cell>
          <cell r="S172">
            <v>0.1460766</v>
          </cell>
          <cell r="T172">
            <v>8.1507599999999999E-2</v>
          </cell>
          <cell r="U172">
            <v>3.5214929999999998E-2</v>
          </cell>
          <cell r="V172">
            <v>3.6481559999999996E-2</v>
          </cell>
          <cell r="W172">
            <v>6.8044300000000002E-2</v>
          </cell>
          <cell r="X172">
            <v>9.7375400000000001E-2</v>
          </cell>
          <cell r="Y172">
            <v>8.8464399999999999E-2</v>
          </cell>
          <cell r="Z172">
            <v>7.6928300000000005E-2</v>
          </cell>
          <cell r="AA172">
            <v>4.3228369999999995E-2</v>
          </cell>
          <cell r="AB172">
            <v>1.7226129999999999E-2</v>
          </cell>
          <cell r="AC172">
            <v>6.8750499999999989E-3</v>
          </cell>
          <cell r="AD172">
            <v>3.8490059999999999E-3</v>
          </cell>
          <cell r="AE172">
            <v>2.2156179999999999E-3</v>
          </cell>
          <cell r="AF172">
            <v>1.41263E-3</v>
          </cell>
          <cell r="AG172">
            <v>6.2868600000000005E-4</v>
          </cell>
          <cell r="AH172">
            <v>7.4645699999999996E-4</v>
          </cell>
          <cell r="AI172">
            <v>6.41E-5</v>
          </cell>
          <cell r="AJ172">
            <v>8.6399999999999999E-5</v>
          </cell>
        </row>
        <row r="173">
          <cell r="L173">
            <v>1.1803917000000001E-2</v>
          </cell>
          <cell r="M173">
            <v>4.5805800000000001E-2</v>
          </cell>
          <cell r="N173">
            <v>7.8730099999999997E-2</v>
          </cell>
          <cell r="O173">
            <v>0.12712309999999999</v>
          </cell>
          <cell r="P173">
            <v>4.4823849999999998E-2</v>
          </cell>
          <cell r="Q173">
            <v>6.2319699999999999E-3</v>
          </cell>
          <cell r="R173">
            <v>8.5992699999999991E-3</v>
          </cell>
          <cell r="S173">
            <v>2.1518309999999999E-2</v>
          </cell>
          <cell r="T173">
            <v>3.009069E-2</v>
          </cell>
          <cell r="U173">
            <v>4.6341800000000002E-2</v>
          </cell>
          <cell r="V173">
            <v>9.29257E-2</v>
          </cell>
          <cell r="W173">
            <v>0.12791329999999998</v>
          </cell>
          <cell r="X173">
            <v>0.12676460000000001</v>
          </cell>
          <cell r="Y173">
            <v>5.7077650000000001E-2</v>
          </cell>
          <cell r="Z173">
            <v>6.1131619999999998E-2</v>
          </cell>
          <cell r="AA173">
            <v>5.4502870000000002E-2</v>
          </cell>
          <cell r="AB173">
            <v>3.6599190000000004E-2</v>
          </cell>
          <cell r="AC173">
            <v>1.296251E-2</v>
          </cell>
          <cell r="AD173">
            <v>4.6469969999999999E-3</v>
          </cell>
          <cell r="AE173">
            <v>2.0180530000000001E-3</v>
          </cell>
          <cell r="AF173">
            <v>8.6696199999999998E-4</v>
          </cell>
          <cell r="AG173">
            <v>1.073545E-3</v>
          </cell>
          <cell r="AH173">
            <v>2.05088E-4</v>
          </cell>
          <cell r="AI173">
            <v>2.431E-4</v>
          </cell>
          <cell r="AJ173">
            <v>0</v>
          </cell>
        </row>
        <row r="174">
          <cell r="L174">
            <v>0.14394198</v>
          </cell>
          <cell r="M174">
            <v>0.10747660000000001</v>
          </cell>
          <cell r="N174">
            <v>8.5246200000000008E-2</v>
          </cell>
          <cell r="O174">
            <v>2.933229E-2</v>
          </cell>
          <cell r="P174">
            <v>5.3294759999999997E-3</v>
          </cell>
          <cell r="Q174">
            <v>1.3819089999999999E-2</v>
          </cell>
          <cell r="R174">
            <v>5.3883900000000005E-2</v>
          </cell>
          <cell r="S174">
            <v>8.3877000000000007E-2</v>
          </cell>
          <cell r="T174">
            <v>5.9496E-2</v>
          </cell>
          <cell r="U174">
            <v>2.5702679999999999E-2</v>
          </cell>
          <cell r="V174">
            <v>1.303729E-2</v>
          </cell>
          <cell r="W174">
            <v>1.720563E-2</v>
          </cell>
          <cell r="X174">
            <v>6.6121920000000001E-2</v>
          </cell>
          <cell r="Y174">
            <v>0.130327</v>
          </cell>
          <cell r="Z174">
            <v>8.1393499999999994E-2</v>
          </cell>
          <cell r="AA174">
            <v>3.6938730000000003E-2</v>
          </cell>
          <cell r="AB174">
            <v>2.4906930000000001E-2</v>
          </cell>
          <cell r="AC174">
            <v>1.2053309999999999E-2</v>
          </cell>
          <cell r="AD174">
            <v>5.5556780000000005E-3</v>
          </cell>
          <cell r="AE174">
            <v>2.1157710000000002E-3</v>
          </cell>
          <cell r="AF174">
            <v>9.6107300000000011E-4</v>
          </cell>
          <cell r="AG174">
            <v>7.7239499999999994E-4</v>
          </cell>
          <cell r="AH174">
            <v>3.4957799999999997E-4</v>
          </cell>
          <cell r="AI174">
            <v>9.4600000000000009E-5</v>
          </cell>
          <cell r="AJ174">
            <v>6.1599999999999993E-5</v>
          </cell>
        </row>
        <row r="175">
          <cell r="L175">
            <v>1.7188887E-2</v>
          </cell>
          <cell r="M175">
            <v>3.7986499999999999E-2</v>
          </cell>
          <cell r="N175">
            <v>2.9133270000000003E-2</v>
          </cell>
          <cell r="O175">
            <v>6.4151699999999996E-3</v>
          </cell>
          <cell r="P175">
            <v>4.0138670000000001E-2</v>
          </cell>
          <cell r="Q175">
            <v>0.1291687</v>
          </cell>
          <cell r="R175">
            <v>0.15061350000000001</v>
          </cell>
          <cell r="S175">
            <v>9.1852600000000006E-2</v>
          </cell>
          <cell r="T175">
            <v>3.8882979999999998E-2</v>
          </cell>
          <cell r="U175">
            <v>2.3626349999999997E-2</v>
          </cell>
          <cell r="V175">
            <v>3.020904E-2</v>
          </cell>
          <cell r="W175">
            <v>5.80834E-2</v>
          </cell>
          <cell r="X175">
            <v>0.1068045</v>
          </cell>
          <cell r="Y175">
            <v>5.6787230000000008E-2</v>
          </cell>
          <cell r="Z175">
            <v>5.2536590000000001E-2</v>
          </cell>
          <cell r="AA175">
            <v>5.6852200000000006E-2</v>
          </cell>
          <cell r="AB175">
            <v>3.9775640000000001E-2</v>
          </cell>
          <cell r="AC175">
            <v>1.9047080000000001E-2</v>
          </cell>
          <cell r="AD175">
            <v>7.6637680000000005E-3</v>
          </cell>
          <cell r="AE175">
            <v>4.6900320000000002E-3</v>
          </cell>
          <cell r="AF175">
            <v>1.4445349999999998E-3</v>
          </cell>
          <cell r="AG175">
            <v>8.3738200000000001E-4</v>
          </cell>
          <cell r="AH175">
            <v>2.2259999999999999E-4</v>
          </cell>
          <cell r="AI175">
            <v>3.9199999999999997E-5</v>
          </cell>
          <cell r="AJ175">
            <v>0</v>
          </cell>
        </row>
        <row r="176">
          <cell r="L176">
            <v>1.2155667000000002E-2</v>
          </cell>
          <cell r="M176">
            <v>5.83399E-2</v>
          </cell>
          <cell r="N176">
            <v>9.3303800000000006E-2</v>
          </cell>
          <cell r="O176">
            <v>9.0195899999999996E-2</v>
          </cell>
          <cell r="P176">
            <v>3.5517640000000003E-2</v>
          </cell>
          <cell r="Q176">
            <v>1.4678200000000001E-2</v>
          </cell>
          <cell r="R176">
            <v>3.1161190000000002E-2</v>
          </cell>
          <cell r="S176">
            <v>6.8472600000000008E-2</v>
          </cell>
          <cell r="T176">
            <v>7.2763800000000003E-2</v>
          </cell>
          <cell r="U176">
            <v>3.81325E-2</v>
          </cell>
          <cell r="V176">
            <v>3.5173010000000005E-2</v>
          </cell>
          <cell r="W176">
            <v>8.6801500000000004E-2</v>
          </cell>
          <cell r="X176">
            <v>0.15356380000000003</v>
          </cell>
          <cell r="Y176">
            <v>6.0938200000000005E-2</v>
          </cell>
          <cell r="Z176">
            <v>5.8901789999999996E-2</v>
          </cell>
          <cell r="AA176">
            <v>4.3484189999999999E-2</v>
          </cell>
          <cell r="AB176">
            <v>1.94988E-2</v>
          </cell>
          <cell r="AC176">
            <v>1.4886300000000002E-2</v>
          </cell>
          <cell r="AD176">
            <v>7.4403910000000002E-3</v>
          </cell>
          <cell r="AE176">
            <v>2.4685949999999996E-3</v>
          </cell>
          <cell r="AF176">
            <v>1.1726410000000001E-3</v>
          </cell>
          <cell r="AG176">
            <v>4.2349599999999999E-4</v>
          </cell>
          <cell r="AH176">
            <v>4.1214499999999999E-4</v>
          </cell>
          <cell r="AI176">
            <v>8.7399999999999997E-5</v>
          </cell>
          <cell r="AJ176">
            <v>2.62E-5</v>
          </cell>
        </row>
        <row r="177">
          <cell r="L177">
            <v>4.9166360000000003E-3</v>
          </cell>
          <cell r="M177">
            <v>1.1160990000000001E-2</v>
          </cell>
          <cell r="N177">
            <v>8.38618E-3</v>
          </cell>
          <cell r="O177">
            <v>1.1352879999999999E-2</v>
          </cell>
          <cell r="P177">
            <v>1.1523819999999999E-2</v>
          </cell>
          <cell r="Q177">
            <v>1.456526E-2</v>
          </cell>
          <cell r="R177">
            <v>4.351145E-2</v>
          </cell>
          <cell r="S177">
            <v>0.111403</v>
          </cell>
          <cell r="T177">
            <v>0.16342229999999999</v>
          </cell>
          <cell r="U177">
            <v>0.11812339999999999</v>
          </cell>
          <cell r="V177">
            <v>5.4298800000000001E-2</v>
          </cell>
          <cell r="W177">
            <v>4.9096600000000004E-2</v>
          </cell>
          <cell r="X177">
            <v>0.12010319999999999</v>
          </cell>
          <cell r="Y177">
            <v>8.6644599999999988E-2</v>
          </cell>
          <cell r="Z177">
            <v>9.25874E-2</v>
          </cell>
          <cell r="AA177">
            <v>4.656014E-2</v>
          </cell>
          <cell r="AB177">
            <v>2.399637E-2</v>
          </cell>
          <cell r="AC177">
            <v>1.452868E-2</v>
          </cell>
          <cell r="AD177">
            <v>7.6263900000000003E-3</v>
          </cell>
          <cell r="AE177">
            <v>3.3614349999999999E-3</v>
          </cell>
          <cell r="AF177">
            <v>2.0660079999999998E-3</v>
          </cell>
          <cell r="AG177">
            <v>3.4659999999999997E-4</v>
          </cell>
          <cell r="AH177">
            <v>3.1199999999999999E-4</v>
          </cell>
          <cell r="AI177">
            <v>1.061E-4</v>
          </cell>
          <cell r="AJ177">
            <v>0</v>
          </cell>
        </row>
        <row r="178">
          <cell r="L178">
            <v>2.8588340000000002E-3</v>
          </cell>
          <cell r="M178">
            <v>8.99229E-3</v>
          </cell>
          <cell r="N178">
            <v>8.137440000000001E-3</v>
          </cell>
          <cell r="O178">
            <v>2.766996E-2</v>
          </cell>
          <cell r="P178">
            <v>4.4263400000000001E-2</v>
          </cell>
          <cell r="Q178">
            <v>1.8552699999999998E-2</v>
          </cell>
          <cell r="R178">
            <v>8.2923900000000002E-3</v>
          </cell>
          <cell r="S178">
            <v>1.8680200000000001E-2</v>
          </cell>
          <cell r="T178">
            <v>3.3120520000000001E-2</v>
          </cell>
          <cell r="U178">
            <v>4.8176399999999994E-2</v>
          </cell>
          <cell r="V178">
            <v>6.8761299999999997E-2</v>
          </cell>
          <cell r="W178">
            <v>0.1163372</v>
          </cell>
          <cell r="X178">
            <v>0.23746340000000002</v>
          </cell>
          <cell r="Y178">
            <v>0.1140799</v>
          </cell>
          <cell r="Z178">
            <v>7.7063499999999993E-2</v>
          </cell>
          <cell r="AA178">
            <v>6.5999000000000002E-2</v>
          </cell>
          <cell r="AB178">
            <v>5.5009160000000001E-2</v>
          </cell>
          <cell r="AC178">
            <v>2.5554380000000002E-2</v>
          </cell>
          <cell r="AD178">
            <v>1.042936E-2</v>
          </cell>
          <cell r="AE178">
            <v>6.3026820000000004E-3</v>
          </cell>
          <cell r="AF178">
            <v>2.295137E-3</v>
          </cell>
          <cell r="AG178">
            <v>1.0871790000000002E-3</v>
          </cell>
          <cell r="AH178">
            <v>4.4679999999999996E-4</v>
          </cell>
          <cell r="AI178">
            <v>4.2683199999999998E-4</v>
          </cell>
          <cell r="AJ178">
            <v>0</v>
          </cell>
        </row>
        <row r="179">
          <cell r="L179">
            <v>1.2509610000000001E-3</v>
          </cell>
          <cell r="M179">
            <v>1.00459E-2</v>
          </cell>
          <cell r="N179">
            <v>1.488769E-2</v>
          </cell>
          <cell r="O179">
            <v>2.321923E-2</v>
          </cell>
          <cell r="P179">
            <v>3.5771900000000002E-2</v>
          </cell>
          <cell r="Q179">
            <v>3.8111899999999997E-2</v>
          </cell>
          <cell r="R179">
            <v>2.7651480000000003E-2</v>
          </cell>
          <cell r="S179">
            <v>3.2116610000000004E-2</v>
          </cell>
          <cell r="T179">
            <v>3.2982499999999998E-2</v>
          </cell>
          <cell r="U179">
            <v>3.6955599999999998E-2</v>
          </cell>
          <cell r="V179">
            <v>4.0487599999999999E-2</v>
          </cell>
          <cell r="W179">
            <v>5.0225800000000001E-2</v>
          </cell>
          <cell r="X179">
            <v>0.1081049</v>
          </cell>
          <cell r="Y179">
            <v>0.1540649</v>
          </cell>
          <cell r="Z179">
            <v>0.1482957</v>
          </cell>
          <cell r="AA179">
            <v>9.5816800000000008E-2</v>
          </cell>
          <cell r="AB179">
            <v>6.2321099999999997E-2</v>
          </cell>
          <cell r="AC179">
            <v>4.1388630000000003E-2</v>
          </cell>
          <cell r="AD179">
            <v>2.8851270000000002E-2</v>
          </cell>
          <cell r="AE179">
            <v>1.0280234999999999E-2</v>
          </cell>
          <cell r="AF179">
            <v>4.4123649999999997E-3</v>
          </cell>
          <cell r="AG179">
            <v>2.2746200000000002E-3</v>
          </cell>
          <cell r="AH179">
            <v>3.9943199999999991E-4</v>
          </cell>
          <cell r="AI179">
            <v>8.2899999999999996E-5</v>
          </cell>
          <cell r="AJ179">
            <v>0</v>
          </cell>
        </row>
        <row r="180">
          <cell r="L180">
            <v>3.1850500000000001E-4</v>
          </cell>
          <cell r="M180">
            <v>3.3492019999999999E-3</v>
          </cell>
          <cell r="N180">
            <v>1.042626E-2</v>
          </cell>
          <cell r="O180">
            <v>1.7729500000000002E-2</v>
          </cell>
          <cell r="P180">
            <v>3.7579299999999996E-2</v>
          </cell>
          <cell r="Q180">
            <v>2.5881390000000001E-2</v>
          </cell>
          <cell r="R180">
            <v>1.4330579999999999E-2</v>
          </cell>
          <cell r="S180">
            <v>2.4325070000000001E-2</v>
          </cell>
          <cell r="T180">
            <v>4.8589100000000003E-2</v>
          </cell>
          <cell r="U180">
            <v>6.7888000000000004E-2</v>
          </cell>
          <cell r="V180">
            <v>7.5244800000000001E-2</v>
          </cell>
          <cell r="W180">
            <v>6.6922199999999987E-2</v>
          </cell>
          <cell r="X180">
            <v>8.9841100000000007E-2</v>
          </cell>
          <cell r="Y180">
            <v>0.1017936</v>
          </cell>
          <cell r="Z180">
            <v>0.101852</v>
          </cell>
          <cell r="AA180">
            <v>0.1132954</v>
          </cell>
          <cell r="AB180">
            <v>9.0298199999999995E-2</v>
          </cell>
          <cell r="AC180">
            <v>4.8308149999999994E-2</v>
          </cell>
          <cell r="AD180">
            <v>3.1746870000000003E-2</v>
          </cell>
          <cell r="AE180">
            <v>1.702037E-2</v>
          </cell>
          <cell r="AF180">
            <v>8.5990199999999989E-3</v>
          </cell>
          <cell r="AG180">
            <v>2.6088869999999998E-3</v>
          </cell>
          <cell r="AH180">
            <v>1.796284E-3</v>
          </cell>
          <cell r="AI180">
            <v>2.5597899999999998E-4</v>
          </cell>
          <cell r="AJ180">
            <v>0</v>
          </cell>
        </row>
        <row r="181">
          <cell r="L181">
            <v>3.0828349999999999E-3</v>
          </cell>
          <cell r="M181">
            <v>3.5304089999999996E-2</v>
          </cell>
          <cell r="N181">
            <v>0.111016</v>
          </cell>
          <cell r="O181">
            <v>0.15408520000000001</v>
          </cell>
          <cell r="P181">
            <v>0.1741134</v>
          </cell>
          <cell r="Q181">
            <v>0.13585810000000001</v>
          </cell>
          <cell r="R181">
            <v>3.555494E-2</v>
          </cell>
          <cell r="S181">
            <v>6.8204300000000006E-3</v>
          </cell>
          <cell r="T181">
            <v>6.1806599999999993E-3</v>
          </cell>
          <cell r="U181">
            <v>9.13513E-3</v>
          </cell>
          <cell r="V181">
            <v>1.663595E-2</v>
          </cell>
          <cell r="W181">
            <v>2.214588E-2</v>
          </cell>
          <cell r="X181">
            <v>3.8222460000000007E-2</v>
          </cell>
          <cell r="Y181">
            <v>4.032728E-2</v>
          </cell>
          <cell r="Z181">
            <v>4.4036320000000004E-2</v>
          </cell>
          <cell r="AA181">
            <v>4.262208E-2</v>
          </cell>
          <cell r="AB181">
            <v>4.1353750000000002E-2</v>
          </cell>
          <cell r="AC181">
            <v>3.71417E-2</v>
          </cell>
          <cell r="AD181">
            <v>2.5283300000000002E-2</v>
          </cell>
          <cell r="AE181">
            <v>1.0964149999999999E-2</v>
          </cell>
          <cell r="AF181">
            <v>6.2546199999999998E-3</v>
          </cell>
          <cell r="AG181">
            <v>2.4968640000000001E-3</v>
          </cell>
          <cell r="AH181">
            <v>1.0529269999999999E-3</v>
          </cell>
          <cell r="AI181">
            <v>2.6410000000000002E-4</v>
          </cell>
          <cell r="AJ181">
            <v>4.8000000000000001E-5</v>
          </cell>
        </row>
        <row r="182">
          <cell r="L182">
            <v>7.6202920000000007E-3</v>
          </cell>
          <cell r="M182">
            <v>1.1498900000000001E-2</v>
          </cell>
          <cell r="N182">
            <v>2.9058470000000003E-2</v>
          </cell>
          <cell r="O182">
            <v>7.18776E-2</v>
          </cell>
          <cell r="P182">
            <v>8.1635399999999997E-2</v>
          </cell>
          <cell r="Q182">
            <v>4.4595670000000004E-2</v>
          </cell>
          <cell r="R182">
            <v>1.5956350000000001E-2</v>
          </cell>
          <cell r="S182">
            <v>1.7757709999999999E-2</v>
          </cell>
          <cell r="T182">
            <v>3.2429859999999998E-2</v>
          </cell>
          <cell r="U182">
            <v>6.7494899999999997E-2</v>
          </cell>
          <cell r="V182">
            <v>9.5782499999999993E-2</v>
          </cell>
          <cell r="W182">
            <v>0.10325480000000001</v>
          </cell>
          <cell r="X182">
            <v>0.1541313</v>
          </cell>
          <cell r="Y182">
            <v>7.0309399999999994E-2</v>
          </cell>
          <cell r="Z182">
            <v>3.5080100000000003E-2</v>
          </cell>
          <cell r="AA182">
            <v>2.87443E-2</v>
          </cell>
          <cell r="AB182">
            <v>3.0099330000000001E-2</v>
          </cell>
          <cell r="AC182">
            <v>3.1304569999999997E-2</v>
          </cell>
          <cell r="AD182">
            <v>2.5083149999999999E-2</v>
          </cell>
          <cell r="AE182">
            <v>2.160948E-2</v>
          </cell>
          <cell r="AF182">
            <v>1.3662520000000001E-2</v>
          </cell>
          <cell r="AG182">
            <v>6.0535599999999995E-3</v>
          </cell>
          <cell r="AH182">
            <v>3.2176319999999998E-3</v>
          </cell>
          <cell r="AI182">
            <v>1.5466589999999999E-3</v>
          </cell>
          <cell r="AJ182">
            <v>1.9569999999999999E-4</v>
          </cell>
        </row>
        <row r="183">
          <cell r="L183">
            <v>4.8030039999999996E-3</v>
          </cell>
          <cell r="M183">
            <v>4.1061480000000004E-2</v>
          </cell>
          <cell r="N183">
            <v>6.2469999999999998E-2</v>
          </cell>
          <cell r="O183">
            <v>7.3737700000000003E-2</v>
          </cell>
          <cell r="P183">
            <v>4.1063229999999999E-2</v>
          </cell>
          <cell r="Q183">
            <v>6.6442510000000003E-3</v>
          </cell>
          <cell r="R183">
            <v>3.5110689999999999E-3</v>
          </cell>
          <cell r="S183">
            <v>1.6564160000000001E-2</v>
          </cell>
          <cell r="T183">
            <v>6.0779199999999999E-2</v>
          </cell>
          <cell r="U183">
            <v>9.6184400000000003E-2</v>
          </cell>
          <cell r="V183">
            <v>8.1574000000000008E-2</v>
          </cell>
          <cell r="W183">
            <v>4.6055399999999996E-2</v>
          </cell>
          <cell r="X183">
            <v>8.8438699999999995E-2</v>
          </cell>
          <cell r="Y183">
            <v>0.12593219999999999</v>
          </cell>
          <cell r="Z183">
            <v>8.925530000000001E-2</v>
          </cell>
          <cell r="AA183">
            <v>5.3349340000000002E-2</v>
          </cell>
          <cell r="AB183">
            <v>2.8262810000000003E-2</v>
          </cell>
          <cell r="AC183">
            <v>2.1047339999999998E-2</v>
          </cell>
          <cell r="AD183">
            <v>1.694762E-2</v>
          </cell>
          <cell r="AE183">
            <v>1.6256329999999999E-2</v>
          </cell>
          <cell r="AF183">
            <v>1.3175799999999998E-2</v>
          </cell>
          <cell r="AG183">
            <v>8.1550300000000006E-3</v>
          </cell>
          <cell r="AH183">
            <v>3.5656289999999998E-3</v>
          </cell>
          <cell r="AI183">
            <v>8.6286699999999991E-4</v>
          </cell>
          <cell r="AJ183">
            <v>3.0294800000000004E-4</v>
          </cell>
        </row>
        <row r="184">
          <cell r="L184">
            <v>9.0679079999999995E-3</v>
          </cell>
          <cell r="M184">
            <v>4.6842010000000003E-2</v>
          </cell>
          <cell r="N184">
            <v>7.4966300000000013E-2</v>
          </cell>
          <cell r="O184">
            <v>7.0716899999999999E-2</v>
          </cell>
          <cell r="P184">
            <v>7.1764999999999995E-2</v>
          </cell>
          <cell r="Q184">
            <v>3.7983610000000001E-2</v>
          </cell>
          <cell r="R184">
            <v>2.4208189999999997E-2</v>
          </cell>
          <cell r="S184">
            <v>4.0348599999999998E-2</v>
          </cell>
          <cell r="T184">
            <v>8.6467699999999995E-2</v>
          </cell>
          <cell r="U184">
            <v>9.7777200000000009E-2</v>
          </cell>
          <cell r="V184">
            <v>5.76459E-2</v>
          </cell>
          <cell r="W184">
            <v>2.6144359999999998E-2</v>
          </cell>
          <cell r="X184">
            <v>6.9577360000000005E-2</v>
          </cell>
          <cell r="Y184">
            <v>8.6941199999999996E-2</v>
          </cell>
          <cell r="Z184">
            <v>6.01895E-2</v>
          </cell>
          <cell r="AA184">
            <v>4.5893849999999993E-2</v>
          </cell>
          <cell r="AB184">
            <v>3.5416089999999997E-2</v>
          </cell>
          <cell r="AC184">
            <v>2.0784480000000001E-2</v>
          </cell>
          <cell r="AD184">
            <v>1.115004E-2</v>
          </cell>
          <cell r="AE184">
            <v>8.6222499999999997E-3</v>
          </cell>
          <cell r="AF184">
            <v>6.9692599999999997E-3</v>
          </cell>
          <cell r="AG184">
            <v>6.1834900000000007E-3</v>
          </cell>
          <cell r="AH184">
            <v>3.0220519999999999E-3</v>
          </cell>
          <cell r="AI184">
            <v>1.1505930000000001E-3</v>
          </cell>
          <cell r="AJ184">
            <v>1.661E-4</v>
          </cell>
        </row>
        <row r="185">
          <cell r="L185">
            <v>5.9286829999999997E-3</v>
          </cell>
          <cell r="M185">
            <v>2.3436220000000001E-2</v>
          </cell>
          <cell r="N185">
            <v>4.3230600000000001E-2</v>
          </cell>
          <cell r="O185">
            <v>6.7855600000000002E-2</v>
          </cell>
          <cell r="P185">
            <v>3.8687869999999999E-2</v>
          </cell>
          <cell r="Q185">
            <v>1.554589E-2</v>
          </cell>
          <cell r="R185">
            <v>3.63792E-2</v>
          </cell>
          <cell r="S185">
            <v>5.5009500000000003E-2</v>
          </cell>
          <cell r="T185">
            <v>7.9161899999999993E-2</v>
          </cell>
          <cell r="U185">
            <v>7.6539499999999996E-2</v>
          </cell>
          <cell r="V185">
            <v>5.9397800000000001E-2</v>
          </cell>
          <cell r="W185">
            <v>5.25155E-2</v>
          </cell>
          <cell r="X185">
            <v>0.1232451</v>
          </cell>
          <cell r="Y185">
            <v>9.1596999999999998E-2</v>
          </cell>
          <cell r="Z185">
            <v>5.9591099999999994E-2</v>
          </cell>
          <cell r="AA185">
            <v>5.9047300000000004E-2</v>
          </cell>
          <cell r="AB185">
            <v>4.1641369999999997E-2</v>
          </cell>
          <cell r="AC185">
            <v>2.9603989999999997E-2</v>
          </cell>
          <cell r="AD185">
            <v>1.6688689999999999E-2</v>
          </cell>
          <cell r="AE185">
            <v>9.5067699999999977E-3</v>
          </cell>
          <cell r="AF185">
            <v>6.0342289999999995E-3</v>
          </cell>
          <cell r="AG185">
            <v>5.3589930000000003E-3</v>
          </cell>
          <cell r="AH185">
            <v>1.99227E-3</v>
          </cell>
          <cell r="AI185">
            <v>1.6460089999999999E-3</v>
          </cell>
          <cell r="AJ185">
            <v>3.5907999999999996E-4</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ollock_biomass_num_length_by_r"/>
      <sheetName val="Sheet1"/>
      <sheetName val="raw_data_pollock_specimen_2024-"/>
    </sheetNames>
    <sheetDataSet>
      <sheetData sheetId="0">
        <row r="20">
          <cell r="P20">
            <v>2870.6369945798874</v>
          </cell>
          <cell r="R20">
            <v>5074.8172258820614</v>
          </cell>
          <cell r="S20">
            <v>1146.363794175641</v>
          </cell>
          <cell r="T20">
            <v>680.58221017369851</v>
          </cell>
          <cell r="U20">
            <v>379.34652255278274</v>
          </cell>
          <cell r="V20">
            <v>820.12204516353449</v>
          </cell>
          <cell r="W20">
            <v>2485.0123600608745</v>
          </cell>
          <cell r="X20">
            <v>449.9546161300982</v>
          </cell>
          <cell r="Y20">
            <v>109.80323691178894</v>
          </cell>
          <cell r="Z20">
            <v>86.062392800342309</v>
          </cell>
          <cell r="AA20">
            <v>69.71616604296392</v>
          </cell>
          <cell r="AB20">
            <v>37.761125577487412</v>
          </cell>
          <cell r="AC20">
            <v>13.88930220602397</v>
          </cell>
          <cell r="AD20">
            <v>3.3965576951246805</v>
          </cell>
          <cell r="AE20">
            <v>1.0954886012162097</v>
          </cell>
          <cell r="AF20">
            <v>0.70615457312735019</v>
          </cell>
        </row>
        <row r="22">
          <cell r="R22">
            <v>1.6258697083952819E-2</v>
          </cell>
          <cell r="S22">
            <v>8.6594741842514353E-2</v>
          </cell>
          <cell r="T22">
            <v>0.3018241641951897</v>
          </cell>
          <cell r="U22">
            <v>0.42924925136143305</v>
          </cell>
          <cell r="V22">
            <v>0.50915455990978109</v>
          </cell>
          <cell r="W22">
            <v>0.54300278449549078</v>
          </cell>
          <cell r="X22">
            <v>0.62247715852368202</v>
          </cell>
          <cell r="Y22">
            <v>0.73992141762545305</v>
          </cell>
          <cell r="Z22">
            <v>0.84854919864226985</v>
          </cell>
          <cell r="AA22">
            <v>0.89023341590477723</v>
          </cell>
          <cell r="AB22">
            <v>0.96316922837351082</v>
          </cell>
          <cell r="AC22">
            <v>1.0248896323979517</v>
          </cell>
          <cell r="AD22">
            <v>1.1394465531104383</v>
          </cell>
          <cell r="AE22">
            <v>0.97998985468666777</v>
          </cell>
          <cell r="AF22">
            <v>2.4030599449299168</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ffN"/>
      <sheetName val="Sheet1"/>
      <sheetName val="catage"/>
      <sheetName val="Sheet3"/>
    </sheetNames>
    <sheetDataSet>
      <sheetData sheetId="0"/>
      <sheetData sheetId="1">
        <row r="33058">
          <cell r="C33058">
            <v>683577.68650000286</v>
          </cell>
          <cell r="D33058">
            <v>112880087.6100017</v>
          </cell>
          <cell r="E33058">
            <v>43777914.009999916</v>
          </cell>
          <cell r="F33058">
            <v>90273357.909999743</v>
          </cell>
          <cell r="G33058">
            <v>153872046.11000079</v>
          </cell>
          <cell r="H33058">
            <v>184421829.0099991</v>
          </cell>
          <cell r="I33058">
            <v>497488473.00999367</v>
          </cell>
          <cell r="J33058">
            <v>78130957.20999977</v>
          </cell>
          <cell r="K33058">
            <v>288014647.009996</v>
          </cell>
          <cell r="L33058">
            <v>28863692.300000083</v>
          </cell>
          <cell r="M33058">
            <v>144079922.01000151</v>
          </cell>
          <cell r="N33058">
            <v>18687566.960000031</v>
          </cell>
          <cell r="O33058">
            <v>91160640.01000002</v>
          </cell>
          <cell r="P33058">
            <v>22766499.420000061</v>
          </cell>
          <cell r="Q33058">
            <v>53323878.909999855</v>
          </cell>
        </row>
        <row r="33059">
          <cell r="C33059">
            <v>1102622.7100000042</v>
          </cell>
          <cell r="D33059">
            <v>84678150.409999773</v>
          </cell>
          <cell r="E33059">
            <v>675761780.00999284</v>
          </cell>
          <cell r="F33059">
            <v>130066975.6100018</v>
          </cell>
          <cell r="G33059">
            <v>79592747.509999812</v>
          </cell>
          <cell r="H33059">
            <v>108673587.11000103</v>
          </cell>
          <cell r="I33059">
            <v>133759837.11000225</v>
          </cell>
          <cell r="J33059">
            <v>253630159.10999677</v>
          </cell>
          <cell r="K33059">
            <v>102288403.21000051</v>
          </cell>
          <cell r="L33059">
            <v>147011284.1100013</v>
          </cell>
          <cell r="M33059">
            <v>57951820.509999819</v>
          </cell>
          <cell r="N33059">
            <v>46342257.419999905</v>
          </cell>
          <cell r="O33059">
            <v>13434732.35600001</v>
          </cell>
          <cell r="P33059">
            <v>43823793.019999914</v>
          </cell>
          <cell r="Q33059">
            <v>34480566.710000075</v>
          </cell>
        </row>
        <row r="33060">
          <cell r="C33060">
            <v>66176.086200000398</v>
          </cell>
          <cell r="D33060">
            <v>7426337.107999987</v>
          </cell>
          <cell r="E33060">
            <v>260512446.00999659</v>
          </cell>
          <cell r="F33060">
            <v>1146678408.0099919</v>
          </cell>
          <cell r="G33060">
            <v>102976394.21000057</v>
          </cell>
          <cell r="H33060">
            <v>66160521.509999759</v>
          </cell>
          <cell r="I33060">
            <v>66364140.509999707</v>
          </cell>
          <cell r="J33060">
            <v>56464135.009999834</v>
          </cell>
          <cell r="K33060">
            <v>86182155.409999788</v>
          </cell>
          <cell r="L33060">
            <v>21160222.48000009</v>
          </cell>
          <cell r="M33060">
            <v>32683045.300000109</v>
          </cell>
          <cell r="N33060">
            <v>12357607.926000005</v>
          </cell>
          <cell r="O33060">
            <v>13469629.876000032</v>
          </cell>
          <cell r="P33060">
            <v>6761918.4649999989</v>
          </cell>
          <cell r="Q33060">
            <v>16115377.160000047</v>
          </cell>
        </row>
        <row r="33061">
          <cell r="C33061">
            <v>749518.42200000281</v>
          </cell>
          <cell r="D33061">
            <v>30188763.760000091</v>
          </cell>
          <cell r="E33061">
            <v>55145321.109999821</v>
          </cell>
          <cell r="F33061">
            <v>361151313.00999492</v>
          </cell>
          <cell r="G33061">
            <v>1059660052.009992</v>
          </cell>
          <cell r="H33061">
            <v>175694392.10999951</v>
          </cell>
          <cell r="I33061">
            <v>53531420.309999861</v>
          </cell>
          <cell r="J33061">
            <v>19105978.470000051</v>
          </cell>
          <cell r="K33061">
            <v>13140716.680000024</v>
          </cell>
          <cell r="L33061">
            <v>20163830.980000064</v>
          </cell>
          <cell r="M33061">
            <v>9715240.3139999937</v>
          </cell>
          <cell r="N33061">
            <v>9381880.629999999</v>
          </cell>
          <cell r="O33061">
            <v>7554972.6099999985</v>
          </cell>
          <cell r="P33061">
            <v>3964841.7330000033</v>
          </cell>
          <cell r="Q33061">
            <v>8296523.9559999956</v>
          </cell>
        </row>
        <row r="33062">
          <cell r="C33062">
            <v>10.009999999999831</v>
          </cell>
          <cell r="D33062">
            <v>514348.73127000203</v>
          </cell>
          <cell r="E33062">
            <v>72906750.009999692</v>
          </cell>
          <cell r="F33062">
            <v>146786648.11000133</v>
          </cell>
          <cell r="G33062">
            <v>395472518.00999451</v>
          </cell>
          <cell r="H33062">
            <v>761106423.0099926</v>
          </cell>
          <cell r="I33062">
            <v>136271215.61000183</v>
          </cell>
          <cell r="J33062">
            <v>34575493.26000011</v>
          </cell>
          <cell r="K33062">
            <v>12271419.881000012</v>
          </cell>
          <cell r="L33062">
            <v>7501928.1120000044</v>
          </cell>
          <cell r="M33062">
            <v>17477639.980000053</v>
          </cell>
          <cell r="N33062">
            <v>5003650.8580000009</v>
          </cell>
          <cell r="O33062">
            <v>5813572.4649999971</v>
          </cell>
          <cell r="P33062">
            <v>1657103.0390000015</v>
          </cell>
          <cell r="Q33062">
            <v>8920126.6319999956</v>
          </cell>
        </row>
        <row r="33063">
          <cell r="C33063">
            <v>10.009999999999831</v>
          </cell>
          <cell r="D33063">
            <v>21661749.058000073</v>
          </cell>
          <cell r="E33063">
            <v>48084775.628999874</v>
          </cell>
          <cell r="F33063">
            <v>71786097.109999746</v>
          </cell>
          <cell r="G33063">
            <v>160974891.41000035</v>
          </cell>
          <cell r="H33063">
            <v>361906141.00999486</v>
          </cell>
          <cell r="I33063">
            <v>481726893.00999379</v>
          </cell>
          <cell r="J33063">
            <v>184638424.00999913</v>
          </cell>
          <cell r="K33063">
            <v>33635762.390000097</v>
          </cell>
          <cell r="L33063">
            <v>13448442.540000031</v>
          </cell>
          <cell r="M33063">
            <v>7948499.905999993</v>
          </cell>
          <cell r="N33063">
            <v>8813779.6839999836</v>
          </cell>
          <cell r="O33063">
            <v>4335450.8322999962</v>
          </cell>
          <cell r="P33063">
            <v>5834544.7330000047</v>
          </cell>
          <cell r="Q33063">
            <v>5304501.8180999951</v>
          </cell>
        </row>
        <row r="33064">
          <cell r="C33064">
            <v>1030661.4370000035</v>
          </cell>
          <cell r="D33064">
            <v>77692162.959999755</v>
          </cell>
          <cell r="E33064">
            <v>40326288.640000008</v>
          </cell>
          <cell r="F33064">
            <v>118974612.21000153</v>
          </cell>
          <cell r="G33064">
            <v>455137955.00999403</v>
          </cell>
          <cell r="H33064">
            <v>288956822.009996</v>
          </cell>
          <cell r="I33064">
            <v>256371888.00999668</v>
          </cell>
          <cell r="J33064">
            <v>198555207.90999848</v>
          </cell>
          <cell r="K33064">
            <v>64018159.77999977</v>
          </cell>
          <cell r="L33064">
            <v>13335152.930000003</v>
          </cell>
          <cell r="M33064">
            <v>5970266.6279999912</v>
          </cell>
          <cell r="N33064">
            <v>4646495.4379999908</v>
          </cell>
          <cell r="O33064">
            <v>2894759.3890000018</v>
          </cell>
          <cell r="P33064">
            <v>4781315.8990000011</v>
          </cell>
          <cell r="Q33064">
            <v>9119169.1989999861</v>
          </cell>
        </row>
        <row r="33065">
          <cell r="C33065">
            <v>288387.87600000162</v>
          </cell>
          <cell r="D33065">
            <v>42025190.849999987</v>
          </cell>
          <cell r="E33065">
            <v>84532243.609999716</v>
          </cell>
          <cell r="F33065">
            <v>70495498.309999719</v>
          </cell>
          <cell r="G33065">
            <v>153354716.31000081</v>
          </cell>
          <cell r="H33065">
            <v>702792242.00999272</v>
          </cell>
          <cell r="I33065">
            <v>199570187.00999847</v>
          </cell>
          <cell r="J33065">
            <v>131723436.61000223</v>
          </cell>
          <cell r="K33065">
            <v>110744188.21000147</v>
          </cell>
          <cell r="L33065">
            <v>27795326.130000107</v>
          </cell>
          <cell r="M33065">
            <v>6145318.7349999929</v>
          </cell>
          <cell r="N33065">
            <v>5564851.3230000064</v>
          </cell>
          <cell r="O33065">
            <v>2554789.2948999978</v>
          </cell>
          <cell r="P33065">
            <v>2502242.6040999964</v>
          </cell>
          <cell r="Q33065">
            <v>4485326.1600000048</v>
          </cell>
        </row>
        <row r="33066">
          <cell r="C33066">
            <v>232574.12200000128</v>
          </cell>
          <cell r="D33066">
            <v>10347391.936000004</v>
          </cell>
          <cell r="E33066">
            <v>298714375.00999582</v>
          </cell>
          <cell r="F33066">
            <v>225033344.00999752</v>
          </cell>
          <cell r="G33066">
            <v>103037474.61000068</v>
          </cell>
          <cell r="H33066">
            <v>157017987.01000062</v>
          </cell>
          <cell r="I33066">
            <v>469737146.00999391</v>
          </cell>
          <cell r="J33066">
            <v>130998451.91000228</v>
          </cell>
          <cell r="K33066">
            <v>56503034.209999807</v>
          </cell>
          <cell r="L33066">
            <v>33180522.910000097</v>
          </cell>
          <cell r="M33066">
            <v>3960079.8099999977</v>
          </cell>
          <cell r="N33066">
            <v>2183842.693200001</v>
          </cell>
          <cell r="O33066">
            <v>856727.32370000076</v>
          </cell>
          <cell r="P33066">
            <v>477398.84600000276</v>
          </cell>
          <cell r="Q33066">
            <v>2061280.6310000008</v>
          </cell>
        </row>
        <row r="33067">
          <cell r="C33067">
            <v>10.009999999999831</v>
          </cell>
          <cell r="D33067">
            <v>16076799.820000062</v>
          </cell>
          <cell r="E33067">
            <v>82441649.609999746</v>
          </cell>
          <cell r="F33067">
            <v>428501215.00999421</v>
          </cell>
          <cell r="G33067">
            <v>346512365.0099951</v>
          </cell>
          <cell r="H33067">
            <v>106681580.31000103</v>
          </cell>
          <cell r="I33067">
            <v>168385380.00999996</v>
          </cell>
          <cell r="J33067">
            <v>357715947.00999492</v>
          </cell>
          <cell r="K33067">
            <v>84913329.409999594</v>
          </cell>
          <cell r="L33067">
            <v>29722613.810000107</v>
          </cell>
          <cell r="M33067">
            <v>22045490.030000087</v>
          </cell>
          <cell r="N33067">
            <v>5245899.7440000027</v>
          </cell>
          <cell r="O33067">
            <v>1418259.0910000026</v>
          </cell>
          <cell r="P33067">
            <v>608842.92600000172</v>
          </cell>
          <cell r="Q33067">
            <v>953442.44400000188</v>
          </cell>
        </row>
        <row r="33068">
          <cell r="C33068">
            <v>10.009999999999831</v>
          </cell>
          <cell r="D33068">
            <v>3213822.0203999905</v>
          </cell>
          <cell r="E33068">
            <v>42795561.009999916</v>
          </cell>
          <cell r="F33068">
            <v>154501107.01000077</v>
          </cell>
          <cell r="G33068">
            <v>581039831.0099932</v>
          </cell>
          <cell r="H33068">
            <v>415044527.00999433</v>
          </cell>
          <cell r="I33068">
            <v>137184794.01000208</v>
          </cell>
          <cell r="J33068">
            <v>129002921.11000219</v>
          </cell>
          <cell r="K33068">
            <v>157229590.01000059</v>
          </cell>
          <cell r="L33068">
            <v>57854815.909999862</v>
          </cell>
          <cell r="M33068">
            <v>33643741.51000005</v>
          </cell>
          <cell r="N33068">
            <v>16205780.640000055</v>
          </cell>
          <cell r="O33068">
            <v>5486037.231999997</v>
          </cell>
          <cell r="P33068">
            <v>3091053.1239999998</v>
          </cell>
          <cell r="Q33068">
            <v>1948606.2810000018</v>
          </cell>
        </row>
        <row r="33069">
          <cell r="C33069">
            <v>773336.06900000316</v>
          </cell>
          <cell r="D33069">
            <v>47047125.409999907</v>
          </cell>
          <cell r="E33069">
            <v>108051655.9100011</v>
          </cell>
          <cell r="F33069">
            <v>217818117.00999779</v>
          </cell>
          <cell r="G33069">
            <v>287550103.009996</v>
          </cell>
          <cell r="H33069">
            <v>606330902.0099932</v>
          </cell>
          <cell r="I33069">
            <v>267955745.00999641</v>
          </cell>
          <cell r="J33069">
            <v>98464239.410000309</v>
          </cell>
          <cell r="K33069">
            <v>85885590.80999966</v>
          </cell>
          <cell r="L33069">
            <v>93924689.410000205</v>
          </cell>
          <cell r="M33069">
            <v>34608141.210000038</v>
          </cell>
          <cell r="N33069">
            <v>14401940.320000015</v>
          </cell>
          <cell r="O33069">
            <v>11043775.810000008</v>
          </cell>
          <cell r="P33069">
            <v>2955356.0709999921</v>
          </cell>
          <cell r="Q33069">
            <v>1814928.1312000006</v>
          </cell>
        </row>
        <row r="33070">
          <cell r="C33070">
            <v>10.009999999999831</v>
          </cell>
          <cell r="D33070">
            <v>14537705.940000053</v>
          </cell>
          <cell r="E33070">
            <v>411772506.00999433</v>
          </cell>
          <cell r="F33070">
            <v>324118314.0099954</v>
          </cell>
          <cell r="G33070">
            <v>360408645.00999492</v>
          </cell>
          <cell r="H33070">
            <v>301476089.00999576</v>
          </cell>
          <cell r="I33070">
            <v>337593895.00999522</v>
          </cell>
          <cell r="J33070">
            <v>158551811.01000053</v>
          </cell>
          <cell r="K33070">
            <v>49422631.709999919</v>
          </cell>
          <cell r="L33070">
            <v>39279391.709999993</v>
          </cell>
          <cell r="M33070">
            <v>35708840.710000098</v>
          </cell>
          <cell r="N33070">
            <v>22936312.140000101</v>
          </cell>
          <cell r="O33070">
            <v>6619177.4099999815</v>
          </cell>
          <cell r="P33070">
            <v>3644751.7929999977</v>
          </cell>
          <cell r="Q33070">
            <v>3185389.2277000062</v>
          </cell>
        </row>
        <row r="33071">
          <cell r="C33071">
            <v>10.009999999999831</v>
          </cell>
          <cell r="D33071">
            <v>539189.04580000241</v>
          </cell>
          <cell r="E33071">
            <v>89601071.610000044</v>
          </cell>
          <cell r="F33071">
            <v>831121296.00999248</v>
          </cell>
          <cell r="G33071">
            <v>480648050.00999379</v>
          </cell>
          <cell r="H33071">
            <v>236817934.00999722</v>
          </cell>
          <cell r="I33071">
            <v>169278792.0099999</v>
          </cell>
          <cell r="J33071">
            <v>156280836.01000068</v>
          </cell>
          <cell r="K33071">
            <v>64958948.409999698</v>
          </cell>
          <cell r="L33071">
            <v>16118106.200000044</v>
          </cell>
          <cell r="M33071">
            <v>17061328.110000052</v>
          </cell>
          <cell r="N33071">
            <v>25272130.730000116</v>
          </cell>
          <cell r="O33071">
            <v>9448394.4449999873</v>
          </cell>
          <cell r="P33071">
            <v>5918670.2809999883</v>
          </cell>
          <cell r="Q33071">
            <v>6872391.2049999963</v>
          </cell>
        </row>
        <row r="33072">
          <cell r="C33072">
            <v>10.009999999999831</v>
          </cell>
          <cell r="D33072">
            <v>4794922.7247999925</v>
          </cell>
          <cell r="E33072">
            <v>52152254.309999846</v>
          </cell>
          <cell r="F33072">
            <v>392851182.00999451</v>
          </cell>
          <cell r="G33072">
            <v>863793397.00999236</v>
          </cell>
          <cell r="H33072">
            <v>484636439.00999379</v>
          </cell>
          <cell r="I33072">
            <v>159461867.81000048</v>
          </cell>
          <cell r="J33072">
            <v>68082212.709999785</v>
          </cell>
          <cell r="K33072">
            <v>66622232.709999807</v>
          </cell>
          <cell r="L33072">
            <v>30103697.51000011</v>
          </cell>
          <cell r="M33072">
            <v>9999117.6500000004</v>
          </cell>
          <cell r="N33072">
            <v>9143208.4179999847</v>
          </cell>
          <cell r="O33072">
            <v>3193846.0109999985</v>
          </cell>
          <cell r="P33072">
            <v>2482031.6840000008</v>
          </cell>
          <cell r="Q33072">
            <v>3407546.6519999891</v>
          </cell>
        </row>
        <row r="33073">
          <cell r="C33073">
            <v>10.009999999999831</v>
          </cell>
          <cell r="D33073">
            <v>9895886.5200000163</v>
          </cell>
          <cell r="E33073">
            <v>84176891.909999847</v>
          </cell>
          <cell r="F33073">
            <v>295759678.00999588</v>
          </cell>
          <cell r="G33073">
            <v>619632534.00999308</v>
          </cell>
          <cell r="H33073">
            <v>597614109.0099932</v>
          </cell>
          <cell r="I33073">
            <v>278588973.00999618</v>
          </cell>
          <cell r="J33073">
            <v>107342919.81000105</v>
          </cell>
          <cell r="K33073">
            <v>48018542.609999821</v>
          </cell>
          <cell r="L33073">
            <v>38365705.909999944</v>
          </cell>
          <cell r="M33073">
            <v>17699070.450000066</v>
          </cell>
          <cell r="N33073">
            <v>8242374.8879999854</v>
          </cell>
          <cell r="O33073">
            <v>8312301.5719999988</v>
          </cell>
          <cell r="P33073">
            <v>5320452.8049000073</v>
          </cell>
          <cell r="Q33073">
            <v>7217231.5689999927</v>
          </cell>
        </row>
        <row r="33074">
          <cell r="C33074">
            <v>1659659.5100000012</v>
          </cell>
          <cell r="D33074">
            <v>15740402.41000005</v>
          </cell>
          <cell r="E33074">
            <v>59186795.60999988</v>
          </cell>
          <cell r="F33074">
            <v>139160578.11000192</v>
          </cell>
          <cell r="G33074">
            <v>389416425.00999457</v>
          </cell>
          <cell r="H33074">
            <v>511985965.00999355</v>
          </cell>
          <cell r="I33074">
            <v>300781142.00999576</v>
          </cell>
          <cell r="J33074">
            <v>137084477.1100021</v>
          </cell>
          <cell r="K33074">
            <v>47608280.409999885</v>
          </cell>
          <cell r="L33074">
            <v>27511730.01000008</v>
          </cell>
          <cell r="M33074">
            <v>21870333.650000069</v>
          </cell>
          <cell r="N33074">
            <v>8918290.4299999923</v>
          </cell>
          <cell r="O33074">
            <v>6530115.455000001</v>
          </cell>
          <cell r="P33074">
            <v>3405030.4490000024</v>
          </cell>
          <cell r="Q33074">
            <v>10792885.030000018</v>
          </cell>
        </row>
        <row r="33075">
          <cell r="C33075">
            <v>10.009999999999831</v>
          </cell>
          <cell r="D33075">
            <v>25191428.110000111</v>
          </cell>
          <cell r="E33075">
            <v>58819667.409999818</v>
          </cell>
          <cell r="F33075">
            <v>79220410.509999722</v>
          </cell>
          <cell r="G33075">
            <v>147007514.0100013</v>
          </cell>
          <cell r="H33075">
            <v>309671751.00999558</v>
          </cell>
          <cell r="I33075">
            <v>242289071.00999704</v>
          </cell>
          <cell r="J33075">
            <v>148734019.01000118</v>
          </cell>
          <cell r="K33075">
            <v>84275085.909999654</v>
          </cell>
          <cell r="L33075">
            <v>22177833.210000087</v>
          </cell>
          <cell r="M33075">
            <v>17567691.480000075</v>
          </cell>
          <cell r="N33075">
            <v>14435328.120000048</v>
          </cell>
          <cell r="O33075">
            <v>8632981.3899999987</v>
          </cell>
          <cell r="P33075">
            <v>2769452.5057999995</v>
          </cell>
          <cell r="Q33075">
            <v>12654646.67000003</v>
          </cell>
        </row>
        <row r="33076">
          <cell r="C33076">
            <v>10.009999999999831</v>
          </cell>
          <cell r="D33076">
            <v>1316264.3350000011</v>
          </cell>
          <cell r="E33076">
            <v>175524081.00999957</v>
          </cell>
          <cell r="F33076">
            <v>200579592.00999838</v>
          </cell>
          <cell r="G33076">
            <v>82553813.309999779</v>
          </cell>
          <cell r="H33076">
            <v>114443557.11000156</v>
          </cell>
          <cell r="I33076">
            <v>124315764.41000205</v>
          </cell>
          <cell r="J33076">
            <v>104320639.11000089</v>
          </cell>
          <cell r="K33076">
            <v>66639422.909999728</v>
          </cell>
          <cell r="L33076">
            <v>40218133.210000023</v>
          </cell>
          <cell r="M33076">
            <v>23534400.190000087</v>
          </cell>
          <cell r="N33076">
            <v>7615950.9469999941</v>
          </cell>
          <cell r="O33076">
            <v>7466164.9579999922</v>
          </cell>
          <cell r="P33076">
            <v>2709725.9580000001</v>
          </cell>
          <cell r="Q33076">
            <v>8729662.1789999921</v>
          </cell>
        </row>
        <row r="33077">
          <cell r="C33077">
            <v>1080865.9710000025</v>
          </cell>
          <cell r="D33077">
            <v>26460160.580000076</v>
          </cell>
          <cell r="E33077">
            <v>31848667.650000092</v>
          </cell>
          <cell r="F33077">
            <v>559371810.00999331</v>
          </cell>
          <cell r="G33077">
            <v>220484882.00999767</v>
          </cell>
          <cell r="H33077">
            <v>54738225.90999981</v>
          </cell>
          <cell r="I33077">
            <v>43008810.309999987</v>
          </cell>
          <cell r="J33077">
            <v>57679465.309999831</v>
          </cell>
          <cell r="K33077">
            <v>51779004.609999821</v>
          </cell>
          <cell r="L33077">
            <v>31823597.710000083</v>
          </cell>
          <cell r="M33077">
            <v>15964115.780000046</v>
          </cell>
          <cell r="N33077">
            <v>8632812.9599999879</v>
          </cell>
          <cell r="O33077">
            <v>5960336.976999999</v>
          </cell>
          <cell r="P33077">
            <v>4375459.9320000047</v>
          </cell>
          <cell r="Q33077">
            <v>5104523.9399999976</v>
          </cell>
        </row>
        <row r="33078">
          <cell r="C33078">
            <v>382132.80100000324</v>
          </cell>
          <cell r="D33078">
            <v>10353313.847000008</v>
          </cell>
          <cell r="E33078">
            <v>193325234.00999871</v>
          </cell>
          <cell r="F33078">
            <v>115370308.11000182</v>
          </cell>
          <cell r="G33078">
            <v>809168093.00999248</v>
          </cell>
          <cell r="H33078">
            <v>284700260.00999612</v>
          </cell>
          <cell r="I33078">
            <v>63564863.70999977</v>
          </cell>
          <cell r="J33078">
            <v>37514185.310000055</v>
          </cell>
          <cell r="K33078">
            <v>38494702.210000031</v>
          </cell>
          <cell r="L33078">
            <v>41410187.910000034</v>
          </cell>
          <cell r="M33078">
            <v>25804157.680000089</v>
          </cell>
          <cell r="N33078">
            <v>12465707.980000023</v>
          </cell>
          <cell r="O33078">
            <v>1758179.1825999974</v>
          </cell>
          <cell r="P33078">
            <v>3976205.4019999974</v>
          </cell>
          <cell r="Q33078">
            <v>4329527.4710000027</v>
          </cell>
        </row>
        <row r="33079">
          <cell r="C33079">
            <v>10.009999999999831</v>
          </cell>
          <cell r="D33079">
            <v>22271670.350000102</v>
          </cell>
          <cell r="E33079">
            <v>116748216.61000158</v>
          </cell>
          <cell r="F33079">
            <v>946698186.00999212</v>
          </cell>
          <cell r="G33079">
            <v>172786112.00999969</v>
          </cell>
          <cell r="H33079">
            <v>432561298.00999415</v>
          </cell>
          <cell r="I33079">
            <v>141550739.21000174</v>
          </cell>
          <cell r="J33079">
            <v>36681205.210000083</v>
          </cell>
          <cell r="K33079">
            <v>17431762.810000055</v>
          </cell>
          <cell r="L33079">
            <v>14602365.660000052</v>
          </cell>
          <cell r="M33079">
            <v>15918743.070000069</v>
          </cell>
          <cell r="N33079">
            <v>13491820.46000004</v>
          </cell>
          <cell r="O33079">
            <v>7408031.7189999968</v>
          </cell>
          <cell r="P33079">
            <v>6143460.6159999976</v>
          </cell>
          <cell r="Q33079">
            <v>3331263.8759999969</v>
          </cell>
        </row>
        <row r="33080">
          <cell r="C33080">
            <v>1845981.1070000017</v>
          </cell>
          <cell r="D33080">
            <v>972163.06390000053</v>
          </cell>
          <cell r="E33080">
            <v>63950723.609999791</v>
          </cell>
          <cell r="F33080">
            <v>342392381.0099951</v>
          </cell>
          <cell r="G33080">
            <v>955865746.00999212</v>
          </cell>
          <cell r="H33080">
            <v>194432701.00999865</v>
          </cell>
          <cell r="I33080">
            <v>156538329.61000064</v>
          </cell>
          <cell r="J33080">
            <v>69971108.609999642</v>
          </cell>
          <cell r="K33080">
            <v>20678954.110000085</v>
          </cell>
          <cell r="L33080">
            <v>12750152.460000023</v>
          </cell>
          <cell r="M33080">
            <v>12754855.850000016</v>
          </cell>
          <cell r="N33080">
            <v>10850689.280000009</v>
          </cell>
          <cell r="O33080">
            <v>7832136.401999996</v>
          </cell>
          <cell r="P33080">
            <v>4806117.2830000045</v>
          </cell>
          <cell r="Q33080">
            <v>5704861.8530000038</v>
          </cell>
        </row>
        <row r="33081">
          <cell r="C33081">
            <v>10.009999999999831</v>
          </cell>
          <cell r="D33081">
            <v>39223065.10999997</v>
          </cell>
          <cell r="E33081">
            <v>31030785.400000133</v>
          </cell>
          <cell r="F33081">
            <v>167779249.00999993</v>
          </cell>
          <cell r="G33081">
            <v>399292361.00999445</v>
          </cell>
          <cell r="H33081">
            <v>751755415.0099926</v>
          </cell>
          <cell r="I33081">
            <v>210227072.00999799</v>
          </cell>
          <cell r="J33081">
            <v>86232072.609999672</v>
          </cell>
          <cell r="K33081">
            <v>29830652.170000095</v>
          </cell>
          <cell r="L33081">
            <v>8966021.1749999858</v>
          </cell>
          <cell r="M33081">
            <v>4490470.2710000006</v>
          </cell>
          <cell r="N33081">
            <v>4525356.6689999979</v>
          </cell>
          <cell r="O33081">
            <v>4564547.7162999995</v>
          </cell>
          <cell r="P33081">
            <v>2764189.6950999964</v>
          </cell>
          <cell r="Q33081">
            <v>6021388.9659999991</v>
          </cell>
        </row>
        <row r="33082">
          <cell r="C33082">
            <v>10.009999999999831</v>
          </cell>
          <cell r="D33082">
            <v>15473070.68000003</v>
          </cell>
          <cell r="E33082">
            <v>632440232.00999308</v>
          </cell>
          <cell r="F33082">
            <v>196403930.00999856</v>
          </cell>
          <cell r="G33082">
            <v>228574623.00999743</v>
          </cell>
          <cell r="H33082">
            <v>384287025.00999463</v>
          </cell>
          <cell r="I33082">
            <v>510140133.00999361</v>
          </cell>
          <cell r="J33082">
            <v>88813654.209999874</v>
          </cell>
          <cell r="K33082">
            <v>42130083.609999947</v>
          </cell>
          <cell r="L33082">
            <v>17652618.170000087</v>
          </cell>
          <cell r="M33082">
            <v>2935556.8649999909</v>
          </cell>
          <cell r="N33082">
            <v>2054431.4030000016</v>
          </cell>
          <cell r="O33082">
            <v>3094457.0559999971</v>
          </cell>
          <cell r="P33082">
            <v>2657477.9400000013</v>
          </cell>
          <cell r="Q33082">
            <v>1223314.7122000002</v>
          </cell>
        </row>
        <row r="33083">
          <cell r="C33083">
            <v>10.009999999999831</v>
          </cell>
          <cell r="D33083">
            <v>497356.55000000342</v>
          </cell>
          <cell r="E33083">
            <v>90562431.009999931</v>
          </cell>
          <cell r="F33083">
            <v>1390295060.0099916</v>
          </cell>
          <cell r="G33083">
            <v>159881714.01000047</v>
          </cell>
          <cell r="H33083">
            <v>174494884.00999957</v>
          </cell>
          <cell r="I33083">
            <v>174787363.80999959</v>
          </cell>
          <cell r="J33083">
            <v>224671818.00999755</v>
          </cell>
          <cell r="K33083">
            <v>34077950.470000118</v>
          </cell>
          <cell r="L33083">
            <v>13820848.694000037</v>
          </cell>
          <cell r="M33083">
            <v>7996324.7049999963</v>
          </cell>
          <cell r="N33083">
            <v>485203.34000000363</v>
          </cell>
          <cell r="O33083">
            <v>1177049.9310000022</v>
          </cell>
          <cell r="P33083">
            <v>669340.6586000009</v>
          </cell>
          <cell r="Q33083">
            <v>995900.79198000114</v>
          </cell>
        </row>
        <row r="33084">
          <cell r="C33084">
            <v>10.009999999999831</v>
          </cell>
          <cell r="D33084">
            <v>2176131.8437599996</v>
          </cell>
          <cell r="E33084">
            <v>28170152.85000011</v>
          </cell>
          <cell r="F33084">
            <v>549073706.00999343</v>
          </cell>
          <cell r="G33084">
            <v>899023001.00999224</v>
          </cell>
          <cell r="H33084">
            <v>215492501.00999784</v>
          </cell>
          <cell r="I33084">
            <v>147563028.91000128</v>
          </cell>
          <cell r="J33084">
            <v>122129148.21000192</v>
          </cell>
          <cell r="K33084">
            <v>97250345.91000019</v>
          </cell>
          <cell r="L33084">
            <v>21756105.0200001</v>
          </cell>
          <cell r="M33084">
            <v>7215204.828999999</v>
          </cell>
          <cell r="N33084">
            <v>5605538.0329999831</v>
          </cell>
          <cell r="O33084">
            <v>493501.1610000045</v>
          </cell>
          <cell r="P33084">
            <v>244975.31290000165</v>
          </cell>
          <cell r="Q33084">
            <v>126429.88069999867</v>
          </cell>
        </row>
        <row r="33085">
          <cell r="C33085">
            <v>10.009999999999831</v>
          </cell>
          <cell r="D33085">
            <v>1297287.3090000034</v>
          </cell>
          <cell r="E33085">
            <v>13801701.367000034</v>
          </cell>
          <cell r="F33085">
            <v>115017723.71000156</v>
          </cell>
          <cell r="G33085">
            <v>1216103650.0099919</v>
          </cell>
          <cell r="H33085">
            <v>506565156.00999361</v>
          </cell>
          <cell r="I33085">
            <v>104803470.51000091</v>
          </cell>
          <cell r="J33085">
            <v>81982744.709999725</v>
          </cell>
          <cell r="K33085">
            <v>60624830.609999724</v>
          </cell>
          <cell r="L33085">
            <v>25893995.1100001</v>
          </cell>
          <cell r="M33085">
            <v>4271129.1439999891</v>
          </cell>
          <cell r="N33085">
            <v>1098497.8140000021</v>
          </cell>
          <cell r="O33085">
            <v>362962.7136000024</v>
          </cell>
          <cell r="P33085">
            <v>636166.82200000354</v>
          </cell>
          <cell r="Q33085">
            <v>496008.41700000217</v>
          </cell>
        </row>
        <row r="33086">
          <cell r="C33086">
            <v>695024.07700000249</v>
          </cell>
          <cell r="D33086">
            <v>10900812.700000033</v>
          </cell>
          <cell r="E33086">
            <v>12311938.070000032</v>
          </cell>
          <cell r="F33086">
            <v>18362616.070000064</v>
          </cell>
          <cell r="G33086">
            <v>157598985.01000059</v>
          </cell>
          <cell r="H33086">
            <v>916763100.00999224</v>
          </cell>
          <cell r="I33086">
            <v>422457032.00999421</v>
          </cell>
          <cell r="J33086">
            <v>93181390.309999973</v>
          </cell>
          <cell r="K33086">
            <v>52142666.209999889</v>
          </cell>
          <cell r="L33086">
            <v>52991770.709999844</v>
          </cell>
          <cell r="M33086">
            <v>10059287.879999997</v>
          </cell>
          <cell r="N33086">
            <v>2908105.3174999948</v>
          </cell>
          <cell r="O33086">
            <v>842910.4960000033</v>
          </cell>
          <cell r="P33086">
            <v>10.009999999999831</v>
          </cell>
          <cell r="Q33086">
            <v>10.009999999999831</v>
          </cell>
        </row>
        <row r="33087">
          <cell r="C33087">
            <v>3476126.5099999919</v>
          </cell>
          <cell r="D33087">
            <v>247726422.00999692</v>
          </cell>
          <cell r="E33087">
            <v>85517629.109999761</v>
          </cell>
          <cell r="F33087">
            <v>101053199.11000073</v>
          </cell>
          <cell r="G33087">
            <v>135160730.71000224</v>
          </cell>
          <cell r="H33087">
            <v>551129278.00999343</v>
          </cell>
          <cell r="I33087">
            <v>597816179.0099932</v>
          </cell>
          <cell r="J33087">
            <v>123958081.91000207</v>
          </cell>
          <cell r="K33087">
            <v>52764647.30999992</v>
          </cell>
          <cell r="L33087">
            <v>38639087.410000019</v>
          </cell>
          <cell r="M33087">
            <v>27260537.210000116</v>
          </cell>
          <cell r="N33087">
            <v>6787570.8090000022</v>
          </cell>
          <cell r="O33087">
            <v>1787349.2597999987</v>
          </cell>
          <cell r="P33087">
            <v>1134716.9380000029</v>
          </cell>
          <cell r="Q33087">
            <v>10.009999999999831</v>
          </cell>
        </row>
        <row r="33088">
          <cell r="C33088">
            <v>10.009999999999831</v>
          </cell>
          <cell r="D33088">
            <v>111454376.41000131</v>
          </cell>
          <cell r="E33088">
            <v>1296951490.0099919</v>
          </cell>
          <cell r="F33088">
            <v>144173547.71000153</v>
          </cell>
          <cell r="G33088">
            <v>110067421.91000135</v>
          </cell>
          <cell r="H33088">
            <v>107224523.81000115</v>
          </cell>
          <cell r="I33088">
            <v>309628227.00999564</v>
          </cell>
          <cell r="J33088">
            <v>296046660.00999588</v>
          </cell>
          <cell r="K33088">
            <v>72136752.109999761</v>
          </cell>
          <cell r="L33088">
            <v>26546165.710000101</v>
          </cell>
          <cell r="M33088">
            <v>16152710.330000058</v>
          </cell>
          <cell r="N33088">
            <v>8510700.1799999941</v>
          </cell>
          <cell r="O33088">
            <v>2052297.4350000012</v>
          </cell>
          <cell r="P33088">
            <v>10.009999999999831</v>
          </cell>
          <cell r="Q33088">
            <v>420558.35700000316</v>
          </cell>
        </row>
        <row r="33089">
          <cell r="C33089">
            <v>10.009999999999831</v>
          </cell>
          <cell r="D33089">
            <v>62263751.709999703</v>
          </cell>
          <cell r="E33089">
            <v>174468598.0099996</v>
          </cell>
          <cell r="F33089">
            <v>1035401758.009992</v>
          </cell>
          <cell r="G33089">
            <v>183671217.00999913</v>
          </cell>
          <cell r="H33089">
            <v>70439397.709999695</v>
          </cell>
          <cell r="I33089">
            <v>79535291.20999971</v>
          </cell>
          <cell r="J33089">
            <v>141917897.01000169</v>
          </cell>
          <cell r="K33089">
            <v>81128750.609999746</v>
          </cell>
          <cell r="L33089">
            <v>16332880.010000052</v>
          </cell>
          <cell r="M33089">
            <v>11268962.820000021</v>
          </cell>
          <cell r="N33089">
            <v>4077990.3750000028</v>
          </cell>
          <cell r="O33089">
            <v>5964372.7909999965</v>
          </cell>
          <cell r="P33089">
            <v>1022329.7030000021</v>
          </cell>
          <cell r="Q33089">
            <v>10.009999999999831</v>
          </cell>
        </row>
        <row r="33090">
          <cell r="C33090">
            <v>0</v>
          </cell>
          <cell r="D33090">
            <v>25232198.769999992</v>
          </cell>
          <cell r="E33090">
            <v>86614446.099999934</v>
          </cell>
          <cell r="F33090">
            <v>263022799</v>
          </cell>
          <cell r="G33090">
            <v>1473087580</v>
          </cell>
          <cell r="H33090">
            <v>227246260</v>
          </cell>
          <cell r="I33090">
            <v>29365171.410000023</v>
          </cell>
          <cell r="J33090">
            <v>45350426.099999987</v>
          </cell>
          <cell r="K33090">
            <v>63553232.300000004</v>
          </cell>
          <cell r="L33090">
            <v>42627308.700000048</v>
          </cell>
          <cell r="M33090">
            <v>18819884.963999994</v>
          </cell>
          <cell r="N33090">
            <v>5427190.2689999985</v>
          </cell>
          <cell r="O33090">
            <v>8562165.3170000035</v>
          </cell>
          <cell r="P33090">
            <v>2600553.2520000008</v>
          </cell>
          <cell r="Q33090">
            <v>360089.97399999993</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gePivot"/>
      <sheetName val="AgeComps"/>
      <sheetName val="Sheet2"/>
      <sheetName val="VAST_ddc_all_2024 CPUE"/>
      <sheetName val="Index"/>
    </sheetNames>
    <sheetDataSet>
      <sheetData sheetId="0">
        <row r="5">
          <cell r="B5">
            <v>10950974.4512849</v>
          </cell>
          <cell r="C5">
            <v>27660832.925183602</v>
          </cell>
          <cell r="D5">
            <v>32223232.542420901</v>
          </cell>
          <cell r="E5">
            <v>43530572.024463899</v>
          </cell>
          <cell r="F5">
            <v>14753173.7463497</v>
          </cell>
          <cell r="G5">
            <v>1969658.2757997999</v>
          </cell>
          <cell r="H5">
            <v>1271123.0683047699</v>
          </cell>
          <cell r="I5">
            <v>609063.76233485795</v>
          </cell>
          <cell r="J5">
            <v>377022.65914011199</v>
          </cell>
          <cell r="K5">
            <v>237253.757234402</v>
          </cell>
          <cell r="L5">
            <v>146091.809763005</v>
          </cell>
          <cell r="M5">
            <v>86449.2420483108</v>
          </cell>
          <cell r="N5">
            <v>32206.8524223922</v>
          </cell>
          <cell r="O5">
            <v>14018.780114487399</v>
          </cell>
          <cell r="P5">
            <v>13688.4604750994</v>
          </cell>
        </row>
        <row r="6">
          <cell r="B6">
            <v>45353039.799437299</v>
          </cell>
          <cell r="C6">
            <v>10716107.4837176</v>
          </cell>
          <cell r="D6">
            <v>29198382.118134901</v>
          </cell>
          <cell r="E6">
            <v>45573178.354512602</v>
          </cell>
          <cell r="F6">
            <v>93820499.1080219</v>
          </cell>
          <cell r="G6">
            <v>27078547.880949501</v>
          </cell>
          <cell r="H6">
            <v>4594651.2297550198</v>
          </cell>
          <cell r="I6">
            <v>2078541.9749200901</v>
          </cell>
          <cell r="J6">
            <v>951270.13173353102</v>
          </cell>
          <cell r="K6">
            <v>854355.81661309802</v>
          </cell>
          <cell r="L6">
            <v>608218.13659264904</v>
          </cell>
          <cell r="M6">
            <v>220494.39617840599</v>
          </cell>
          <cell r="N6">
            <v>81075.456959329604</v>
          </cell>
          <cell r="O6">
            <v>72832.256766803897</v>
          </cell>
          <cell r="P6">
            <v>34176.513894056203</v>
          </cell>
        </row>
        <row r="7">
          <cell r="B7">
            <v>4810111.3782475302</v>
          </cell>
          <cell r="C7">
            <v>3952848.9402117301</v>
          </cell>
          <cell r="D7">
            <v>7983445.9509722097</v>
          </cell>
          <cell r="E7">
            <v>22444469.958637301</v>
          </cell>
          <cell r="F7">
            <v>24850572.2953768</v>
          </cell>
          <cell r="G7">
            <v>52883234.632338002</v>
          </cell>
          <cell r="H7">
            <v>9357925.4988365807</v>
          </cell>
          <cell r="I7">
            <v>2004008.8872482399</v>
          </cell>
          <cell r="J7">
            <v>913114.08349836397</v>
          </cell>
          <cell r="K7">
            <v>305593.10159020202</v>
          </cell>
          <cell r="L7">
            <v>208697.44284325</v>
          </cell>
          <cell r="M7">
            <v>78424.252527469507</v>
          </cell>
          <cell r="N7">
            <v>47197.236568039501</v>
          </cell>
          <cell r="O7">
            <v>58861.790782454103</v>
          </cell>
          <cell r="P7">
            <v>28992.309011495901</v>
          </cell>
        </row>
        <row r="8">
          <cell r="B8">
            <v>49329672.639315903</v>
          </cell>
          <cell r="C8">
            <v>7897975.7368274499</v>
          </cell>
          <cell r="D8">
            <v>38994179.7363379</v>
          </cell>
          <cell r="E8">
            <v>13798730.350597</v>
          </cell>
          <cell r="F8">
            <v>45398935.827805303</v>
          </cell>
          <cell r="G8">
            <v>27954403.849750198</v>
          </cell>
          <cell r="H8">
            <v>18475998.025653102</v>
          </cell>
          <cell r="I8">
            <v>3514636.1273288401</v>
          </cell>
          <cell r="J8">
            <v>858065.09961043496</v>
          </cell>
          <cell r="K8">
            <v>725771.70065458503</v>
          </cell>
          <cell r="L8">
            <v>252889.85800559499</v>
          </cell>
          <cell r="M8">
            <v>79355.011424313197</v>
          </cell>
          <cell r="N8">
            <v>84589.511473273305</v>
          </cell>
          <cell r="O8">
            <v>7114.1537276277304</v>
          </cell>
          <cell r="P8">
            <v>6671.2463123650496</v>
          </cell>
        </row>
        <row r="9">
          <cell r="B9">
            <v>29490315.2566998</v>
          </cell>
          <cell r="C9">
            <v>9771055.2670827601</v>
          </cell>
          <cell r="D9">
            <v>7912883.3308116104</v>
          </cell>
          <cell r="E9">
            <v>33510131.100490101</v>
          </cell>
          <cell r="F9">
            <v>17077324.716115098</v>
          </cell>
          <cell r="G9">
            <v>25786652.466188502</v>
          </cell>
          <cell r="H9">
            <v>21402885.625976499</v>
          </cell>
          <cell r="I9">
            <v>17865634.080354601</v>
          </cell>
          <cell r="J9">
            <v>5324409.4465166796</v>
          </cell>
          <cell r="K9">
            <v>822842.70269317296</v>
          </cell>
          <cell r="L9">
            <v>369154.61353154801</v>
          </cell>
          <cell r="M9">
            <v>162599.266826762</v>
          </cell>
          <cell r="N9">
            <v>14854.907261005499</v>
          </cell>
          <cell r="O9">
            <v>45447.414694632098</v>
          </cell>
          <cell r="P9">
            <v>16391.890040594</v>
          </cell>
        </row>
        <row r="10">
          <cell r="B10">
            <v>4901555.3697378701</v>
          </cell>
          <cell r="C10">
            <v>6880152.20894437</v>
          </cell>
          <cell r="D10">
            <v>11747969.221029799</v>
          </cell>
          <cell r="E10">
            <v>9240663.5220039897</v>
          </cell>
          <cell r="F10">
            <v>55681133.402808003</v>
          </cell>
          <cell r="G10">
            <v>14563847.775801999</v>
          </cell>
          <cell r="H10">
            <v>13287612.689125899</v>
          </cell>
          <cell r="I10">
            <v>5162855.0036796099</v>
          </cell>
          <cell r="J10">
            <v>16110202.947726</v>
          </cell>
          <cell r="K10">
            <v>2540705.4346674001</v>
          </cell>
          <cell r="L10">
            <v>778630.04198421596</v>
          </cell>
          <cell r="M10">
            <v>296073.17455559003</v>
          </cell>
          <cell r="N10">
            <v>58611.2690307597</v>
          </cell>
          <cell r="O10">
            <v>28788.9143305125</v>
          </cell>
          <cell r="P10">
            <v>25840.481072242299</v>
          </cell>
        </row>
        <row r="11">
          <cell r="B11">
            <v>15721198.771404</v>
          </cell>
          <cell r="C11">
            <v>7773880.3733878797</v>
          </cell>
          <cell r="D11">
            <v>24314713.389568001</v>
          </cell>
          <cell r="E11">
            <v>47640041.876987197</v>
          </cell>
          <cell r="F11">
            <v>20536960.594996601</v>
          </cell>
          <cell r="G11">
            <v>63389846.636579201</v>
          </cell>
          <cell r="H11">
            <v>16983185.828149699</v>
          </cell>
          <cell r="I11">
            <v>12027275.470047601</v>
          </cell>
          <cell r="J11">
            <v>6679708.2599200802</v>
          </cell>
          <cell r="K11">
            <v>16101297.0007217</v>
          </cell>
          <cell r="L11">
            <v>1550733.67231137</v>
          </cell>
          <cell r="M11">
            <v>912335.02278566896</v>
          </cell>
          <cell r="N11">
            <v>202453.01811591201</v>
          </cell>
          <cell r="O11">
            <v>244655.42265212801</v>
          </cell>
          <cell r="P11">
            <v>144222.06574863399</v>
          </cell>
        </row>
        <row r="12">
          <cell r="B12">
            <v>9045388.6047476791</v>
          </cell>
          <cell r="C12">
            <v>5451633.6812119903</v>
          </cell>
          <cell r="D12">
            <v>9594897.4426621906</v>
          </cell>
          <cell r="E12">
            <v>30531376.532568101</v>
          </cell>
          <cell r="F12">
            <v>67674814.832389399</v>
          </cell>
          <cell r="G12">
            <v>12756643.9396702</v>
          </cell>
          <cell r="H12">
            <v>45028752.912757799</v>
          </cell>
          <cell r="I12">
            <v>6319707.9475059099</v>
          </cell>
          <cell r="J12">
            <v>7001089.8469599802</v>
          </cell>
          <cell r="K12">
            <v>2617073.29233468</v>
          </cell>
          <cell r="L12">
            <v>8197902.3667813996</v>
          </cell>
          <cell r="M12">
            <v>1401273.9437043199</v>
          </cell>
          <cell r="N12">
            <v>1251940.77439149</v>
          </cell>
          <cell r="O12">
            <v>585919.88101755898</v>
          </cell>
          <cell r="P12">
            <v>923303.44281343697</v>
          </cell>
        </row>
        <row r="13">
          <cell r="B13">
            <v>22226901.339978199</v>
          </cell>
          <cell r="C13">
            <v>2761070.0211067698</v>
          </cell>
          <cell r="D13">
            <v>1099600.74022376</v>
          </cell>
          <cell r="E13">
            <v>11388230.135009199</v>
          </cell>
          <cell r="F13">
            <v>25704041.481396601</v>
          </cell>
          <cell r="G13">
            <v>83172249.362636</v>
          </cell>
          <cell r="H13">
            <v>15303101.0847276</v>
          </cell>
          <cell r="I13">
            <v>36320255.448197402</v>
          </cell>
          <cell r="J13">
            <v>3435531.12167911</v>
          </cell>
          <cell r="K13">
            <v>5911134.7230660403</v>
          </cell>
          <cell r="L13">
            <v>894996.43698955199</v>
          </cell>
          <cell r="M13">
            <v>8323377.5776428198</v>
          </cell>
          <cell r="N13">
            <v>715854.66766826797</v>
          </cell>
          <cell r="O13">
            <v>521652.13180127298</v>
          </cell>
          <cell r="P13">
            <v>717625.05227017903</v>
          </cell>
        </row>
        <row r="14">
          <cell r="B14">
            <v>32298906.470859401</v>
          </cell>
          <cell r="C14">
            <v>9281835.6580339707</v>
          </cell>
          <cell r="D14">
            <v>3572292.7368461001</v>
          </cell>
          <cell r="E14">
            <v>1395060.73038829</v>
          </cell>
          <cell r="F14">
            <v>9842053.6144254394</v>
          </cell>
          <cell r="G14">
            <v>8416663.3948661704</v>
          </cell>
          <cell r="H14">
            <v>25137376.3269163</v>
          </cell>
          <cell r="I14">
            <v>8746967.2907915991</v>
          </cell>
          <cell r="J14">
            <v>16907442.372808799</v>
          </cell>
          <cell r="K14">
            <v>4270043.2416153802</v>
          </cell>
          <cell r="L14">
            <v>5703730.4564042399</v>
          </cell>
          <cell r="M14">
            <v>1169580.36659461</v>
          </cell>
          <cell r="N14">
            <v>3425863.3494066298</v>
          </cell>
          <cell r="O14">
            <v>520338.50319596799</v>
          </cell>
          <cell r="P14">
            <v>591487.84635620401</v>
          </cell>
        </row>
        <row r="15">
          <cell r="B15">
            <v>15591259.426588001</v>
          </cell>
          <cell r="C15">
            <v>4378480.4942384697</v>
          </cell>
          <cell r="D15">
            <v>29295026.226430099</v>
          </cell>
          <cell r="E15">
            <v>4359981.4623811096</v>
          </cell>
          <cell r="F15">
            <v>5255429.7008017804</v>
          </cell>
          <cell r="G15">
            <v>8508346.0315588899</v>
          </cell>
          <cell r="H15">
            <v>7572848.9479585998</v>
          </cell>
          <cell r="I15">
            <v>10551672.652462499</v>
          </cell>
          <cell r="J15">
            <v>4535727.8979380298</v>
          </cell>
          <cell r="K15">
            <v>8386234.0295318896</v>
          </cell>
          <cell r="L15">
            <v>2888373.70759671</v>
          </cell>
          <cell r="M15">
            <v>3589960.4741604999</v>
          </cell>
          <cell r="N15">
            <v>1531445.39050912</v>
          </cell>
          <cell r="O15">
            <v>1205642.2433025001</v>
          </cell>
          <cell r="P15">
            <v>965034.38302876102</v>
          </cell>
        </row>
        <row r="16">
          <cell r="B16">
            <v>26831974.6102711</v>
          </cell>
          <cell r="C16">
            <v>4429513.8794717202</v>
          </cell>
          <cell r="D16">
            <v>11510462.076905999</v>
          </cell>
          <cell r="E16">
            <v>51257439.304945402</v>
          </cell>
          <cell r="F16">
            <v>10664547.7264967</v>
          </cell>
          <cell r="G16">
            <v>8107782.7725243503</v>
          </cell>
          <cell r="H16">
            <v>4050373.3913167398</v>
          </cell>
          <cell r="I16">
            <v>5309957.1690487396</v>
          </cell>
          <cell r="J16">
            <v>6725902.1948124003</v>
          </cell>
          <cell r="K16">
            <v>4106511.7787757302</v>
          </cell>
          <cell r="L16">
            <v>3551802.9271184602</v>
          </cell>
          <cell r="M16">
            <v>2575157.6192721799</v>
          </cell>
          <cell r="N16">
            <v>2052403.6914488501</v>
          </cell>
          <cell r="O16">
            <v>1119582.2717689399</v>
          </cell>
          <cell r="P16">
            <v>1355234.6824829299</v>
          </cell>
        </row>
        <row r="17">
          <cell r="B17">
            <v>16300489.777956201</v>
          </cell>
          <cell r="C17">
            <v>7250175.2155914595</v>
          </cell>
          <cell r="D17">
            <v>5317648.4397865999</v>
          </cell>
          <cell r="E17">
            <v>20643527.026220702</v>
          </cell>
          <cell r="F17">
            <v>60111518.859813496</v>
          </cell>
          <cell r="G17">
            <v>9773969.6272954494</v>
          </cell>
          <cell r="H17">
            <v>2348752.1819104198</v>
          </cell>
          <cell r="I17">
            <v>1811381.4285226299</v>
          </cell>
          <cell r="J17">
            <v>1958684.71783979</v>
          </cell>
          <cell r="K17">
            <v>3618517.6721605398</v>
          </cell>
          <cell r="L17">
            <v>2207971.9705289998</v>
          </cell>
          <cell r="M17">
            <v>3053850.8750358801</v>
          </cell>
          <cell r="N17">
            <v>1164088.73401437</v>
          </cell>
          <cell r="O17">
            <v>1141679.36219698</v>
          </cell>
          <cell r="P17">
            <v>1920606.6843832801</v>
          </cell>
        </row>
        <row r="18">
          <cell r="B18">
            <v>16172066.368646899</v>
          </cell>
          <cell r="C18">
            <v>2163197.37359379</v>
          </cell>
          <cell r="D18">
            <v>4766678.9051212799</v>
          </cell>
          <cell r="E18">
            <v>20039763.278926302</v>
          </cell>
          <cell r="F18">
            <v>29276360.7488763</v>
          </cell>
          <cell r="G18">
            <v>51039895.6686645</v>
          </cell>
          <cell r="H18">
            <v>18719841.155080602</v>
          </cell>
          <cell r="I18">
            <v>4046350.5696561602</v>
          </cell>
          <cell r="J18">
            <v>2352040.0368374302</v>
          </cell>
          <cell r="K18">
            <v>1480145.77037509</v>
          </cell>
          <cell r="L18">
            <v>2718517.3372577298</v>
          </cell>
          <cell r="M18">
            <v>1101165.2114808799</v>
          </cell>
          <cell r="N18">
            <v>2015442.4733543301</v>
          </cell>
          <cell r="O18">
            <v>821290.59729405597</v>
          </cell>
          <cell r="P18">
            <v>1297818.6796073599</v>
          </cell>
        </row>
        <row r="19">
          <cell r="B19">
            <v>19509804.105760399</v>
          </cell>
          <cell r="C19">
            <v>4281948.5403038496</v>
          </cell>
          <cell r="D19">
            <v>1998104.7281460401</v>
          </cell>
          <cell r="E19">
            <v>4089532.3444474102</v>
          </cell>
          <cell r="F19">
            <v>11371114.7943142</v>
          </cell>
          <cell r="G19">
            <v>15092896.2063554</v>
          </cell>
          <cell r="H19">
            <v>12896445.395454099</v>
          </cell>
          <cell r="I19">
            <v>4250633.7937668702</v>
          </cell>
          <cell r="J19">
            <v>1028539.25664889</v>
          </cell>
          <cell r="K19">
            <v>1113077.0861783801</v>
          </cell>
          <cell r="L19">
            <v>743345.21833838103</v>
          </cell>
          <cell r="M19">
            <v>1420222.4410808899</v>
          </cell>
          <cell r="N19">
            <v>476942.76704130298</v>
          </cell>
          <cell r="O19">
            <v>854141.71838997304</v>
          </cell>
          <cell r="P19">
            <v>1233830.50184033</v>
          </cell>
        </row>
        <row r="20">
          <cell r="B20">
            <v>23321877.3434094</v>
          </cell>
          <cell r="C20">
            <v>4056464.3823756501</v>
          </cell>
          <cell r="D20">
            <v>2202758.2367957602</v>
          </cell>
          <cell r="E20">
            <v>2686353.9522297699</v>
          </cell>
          <cell r="F20">
            <v>30780660.999782801</v>
          </cell>
          <cell r="G20">
            <v>14116880.0314743</v>
          </cell>
          <cell r="H20">
            <v>8291227.9427613104</v>
          </cell>
          <cell r="I20">
            <v>10663663.6272281</v>
          </cell>
          <cell r="J20">
            <v>1842194.98407276</v>
          </cell>
          <cell r="K20">
            <v>927184.348024962</v>
          </cell>
          <cell r="L20">
            <v>672693.77803286596</v>
          </cell>
          <cell r="M20">
            <v>721163.06993338303</v>
          </cell>
          <cell r="N20">
            <v>1228555.8871690501</v>
          </cell>
          <cell r="O20">
            <v>393507.46871618403</v>
          </cell>
          <cell r="P20">
            <v>1469144.16030345</v>
          </cell>
        </row>
        <row r="21">
          <cell r="B21">
            <v>8710506.4689419605</v>
          </cell>
          <cell r="C21">
            <v>6882750.6966391597</v>
          </cell>
          <cell r="D21">
            <v>3709754.0406653499</v>
          </cell>
          <cell r="E21">
            <v>2666862.7499272702</v>
          </cell>
          <cell r="F21">
            <v>5566325.4217639398</v>
          </cell>
          <cell r="G21">
            <v>30576666.713327002</v>
          </cell>
          <cell r="H21">
            <v>7836743.3349238504</v>
          </cell>
          <cell r="I21">
            <v>4743927.8398363004</v>
          </cell>
          <cell r="J21">
            <v>3602094.2299219999</v>
          </cell>
          <cell r="K21">
            <v>925925.35893913906</v>
          </cell>
          <cell r="L21">
            <v>408505.21903899102</v>
          </cell>
          <cell r="M21">
            <v>139881.58138303799</v>
          </cell>
          <cell r="N21">
            <v>318779.54769731098</v>
          </cell>
          <cell r="O21">
            <v>343422.18595558999</v>
          </cell>
          <cell r="P21">
            <v>829108.867109015</v>
          </cell>
        </row>
        <row r="22">
          <cell r="B22">
            <v>9913042.8278842792</v>
          </cell>
          <cell r="C22">
            <v>11126238.6498603</v>
          </cell>
          <cell r="D22">
            <v>12972902.585498599</v>
          </cell>
          <cell r="E22">
            <v>12336593.098128799</v>
          </cell>
          <cell r="F22">
            <v>6847299.0044815801</v>
          </cell>
          <cell r="G22">
            <v>12601727.5695299</v>
          </cell>
          <cell r="H22">
            <v>29493827.843818601</v>
          </cell>
          <cell r="I22">
            <v>7567610.20581723</v>
          </cell>
          <cell r="J22">
            <v>3601764.58767197</v>
          </cell>
          <cell r="K22">
            <v>3327253.2671153499</v>
          </cell>
          <cell r="L22">
            <v>1243839.98288019</v>
          </cell>
          <cell r="M22">
            <v>527149.87480245903</v>
          </cell>
          <cell r="N22">
            <v>215165.87303322001</v>
          </cell>
          <cell r="O22">
            <v>318112.05139490601</v>
          </cell>
          <cell r="P22">
            <v>1145287.6389373101</v>
          </cell>
        </row>
        <row r="23">
          <cell r="B23">
            <v>10448664.909940099</v>
          </cell>
          <cell r="C23">
            <v>3755297.9228753801</v>
          </cell>
          <cell r="D23">
            <v>6910062.9679343598</v>
          </cell>
          <cell r="E23">
            <v>21500309.211034302</v>
          </cell>
          <cell r="F23">
            <v>21595549.185668699</v>
          </cell>
          <cell r="G23">
            <v>11989499.150025999</v>
          </cell>
          <cell r="H23">
            <v>9536075.9681254998</v>
          </cell>
          <cell r="I23">
            <v>28947090.606250301</v>
          </cell>
          <cell r="J23">
            <v>10961417.662543399</v>
          </cell>
          <cell r="K23">
            <v>5720885.0075573102</v>
          </cell>
          <cell r="L23">
            <v>2449524.0860186098</v>
          </cell>
          <cell r="M23">
            <v>1568135.3122624201</v>
          </cell>
          <cell r="N23">
            <v>491503.26319998002</v>
          </cell>
          <cell r="O23">
            <v>222767.51548373699</v>
          </cell>
          <cell r="P23">
            <v>989969.15197956399</v>
          </cell>
        </row>
        <row r="24">
          <cell r="B24">
            <v>19866054.300051302</v>
          </cell>
          <cell r="C24">
            <v>12222795.744160499</v>
          </cell>
          <cell r="D24">
            <v>7257354.2739721099</v>
          </cell>
          <cell r="E24">
            <v>7027317.9456200302</v>
          </cell>
          <cell r="F24">
            <v>16891582.837152701</v>
          </cell>
          <cell r="G24">
            <v>16558361.1551107</v>
          </cell>
          <cell r="H24">
            <v>6898437.4829649404</v>
          </cell>
          <cell r="I24">
            <v>3352512.3996226201</v>
          </cell>
          <cell r="J24">
            <v>9955198.0531046204</v>
          </cell>
          <cell r="K24">
            <v>7114905.8515774896</v>
          </cell>
          <cell r="L24">
            <v>2710397.2158764298</v>
          </cell>
          <cell r="M24">
            <v>2113402.2005417701</v>
          </cell>
          <cell r="N24">
            <v>732768.05219698395</v>
          </cell>
          <cell r="O24">
            <v>303873.95907754998</v>
          </cell>
          <cell r="P24">
            <v>808186.80843930796</v>
          </cell>
        </row>
        <row r="25">
          <cell r="B25">
            <v>13635855.0241549</v>
          </cell>
          <cell r="C25">
            <v>3947946.22365927</v>
          </cell>
          <cell r="D25">
            <v>7954137.7279658802</v>
          </cell>
          <cell r="E25">
            <v>12397079.289259201</v>
          </cell>
          <cell r="F25">
            <v>13675553.0055688</v>
          </cell>
          <cell r="G25">
            <v>17717869.8007573</v>
          </cell>
          <cell r="H25">
            <v>8844064.1329108905</v>
          </cell>
          <cell r="I25">
            <v>4275741.9949846901</v>
          </cell>
          <cell r="J25">
            <v>5723709.1558822701</v>
          </cell>
          <cell r="K25">
            <v>10676031.9783793</v>
          </cell>
          <cell r="L25">
            <v>5321374.60991868</v>
          </cell>
          <cell r="M25">
            <v>2448024.60246245</v>
          </cell>
          <cell r="N25">
            <v>1459013.9871593299</v>
          </cell>
          <cell r="O25">
            <v>460654.73594351503</v>
          </cell>
          <cell r="P25">
            <v>544982.41422542604</v>
          </cell>
        </row>
        <row r="26">
          <cell r="B26">
            <v>5737576.9603504697</v>
          </cell>
          <cell r="C26">
            <v>1659415.14152671</v>
          </cell>
          <cell r="D26">
            <v>10661073.541534301</v>
          </cell>
          <cell r="E26">
            <v>18279647.401159301</v>
          </cell>
          <cell r="F26">
            <v>21598012.6217895</v>
          </cell>
          <cell r="G26">
            <v>17999136.579072099</v>
          </cell>
          <cell r="H26">
            <v>22581250.933334298</v>
          </cell>
          <cell r="I26">
            <v>11663681.3412534</v>
          </cell>
          <cell r="J26">
            <v>4860659.6331773102</v>
          </cell>
          <cell r="K26">
            <v>6354239.9680312304</v>
          </cell>
          <cell r="L26">
            <v>12371856.7544365</v>
          </cell>
          <cell r="M26">
            <v>5597357.0957709998</v>
          </cell>
          <cell r="N26">
            <v>2320152.2146739098</v>
          </cell>
          <cell r="O26">
            <v>954650.86506785802</v>
          </cell>
          <cell r="P26">
            <v>1019023.01852526</v>
          </cell>
        </row>
        <row r="27">
          <cell r="B27">
            <v>3971309.62755587</v>
          </cell>
          <cell r="C27">
            <v>2661212.6778871301</v>
          </cell>
          <cell r="D27">
            <v>1887508.09233705</v>
          </cell>
          <cell r="E27">
            <v>16144529.582410499</v>
          </cell>
          <cell r="F27">
            <v>15888686.0489542</v>
          </cell>
          <cell r="G27">
            <v>11776407.943177801</v>
          </cell>
          <cell r="H27">
            <v>6574297.3892349899</v>
          </cell>
          <cell r="I27">
            <v>6943471.4836398</v>
          </cell>
          <cell r="J27">
            <v>3435546.6641396699</v>
          </cell>
          <cell r="K27">
            <v>2168119.4423035202</v>
          </cell>
          <cell r="L27">
            <v>2169458.4559832001</v>
          </cell>
          <cell r="M27">
            <v>3976304.1876008501</v>
          </cell>
          <cell r="N27">
            <v>1762489.4983145399</v>
          </cell>
          <cell r="O27">
            <v>455624.56642578501</v>
          </cell>
          <cell r="P27">
            <v>382027.12926753698</v>
          </cell>
        </row>
        <row r="28">
          <cell r="B28">
            <v>4008208.1618505502</v>
          </cell>
          <cell r="C28">
            <v>1475001.81060437</v>
          </cell>
          <cell r="D28">
            <v>2199280.00870999</v>
          </cell>
          <cell r="E28">
            <v>11044908.8662399</v>
          </cell>
          <cell r="F28">
            <v>32386920.078519501</v>
          </cell>
          <cell r="G28">
            <v>21787234.569160901</v>
          </cell>
          <cell r="H28">
            <v>11405131.1795658</v>
          </cell>
          <cell r="I28">
            <v>4548673.9516830603</v>
          </cell>
          <cell r="J28">
            <v>3869508.8158726399</v>
          </cell>
          <cell r="K28">
            <v>2702438.7559021199</v>
          </cell>
          <cell r="L28">
            <v>783657.36676774896</v>
          </cell>
          <cell r="M28">
            <v>1600063.57859671</v>
          </cell>
          <cell r="N28">
            <v>2656970.6679108501</v>
          </cell>
          <cell r="O28">
            <v>1055675.4212175901</v>
          </cell>
          <cell r="P28">
            <v>1143419.3507530401</v>
          </cell>
        </row>
        <row r="29">
          <cell r="B29">
            <v>8156013.5150606399</v>
          </cell>
          <cell r="C29">
            <v>754624.10763693601</v>
          </cell>
          <cell r="D29">
            <v>1134938.14698683</v>
          </cell>
          <cell r="E29">
            <v>5185575.9325116798</v>
          </cell>
          <cell r="F29">
            <v>13999692.682987301</v>
          </cell>
          <cell r="G29">
            <v>16450247.714172799</v>
          </cell>
          <cell r="H29">
            <v>9665799.2949382793</v>
          </cell>
          <cell r="I29">
            <v>4401420.8653991101</v>
          </cell>
          <cell r="J29">
            <v>2443650.57789393</v>
          </cell>
          <cell r="K29">
            <v>2038641.1422488501</v>
          </cell>
          <cell r="L29">
            <v>980045.78562935104</v>
          </cell>
          <cell r="M29">
            <v>608058.18328810798</v>
          </cell>
          <cell r="N29">
            <v>872189.86522274103</v>
          </cell>
          <cell r="O29">
            <v>1175750.7828141199</v>
          </cell>
          <cell r="P29">
            <v>1209186.8527309301</v>
          </cell>
        </row>
        <row r="30">
          <cell r="B30">
            <v>27341965.702982198</v>
          </cell>
          <cell r="C30">
            <v>678019.34163620695</v>
          </cell>
          <cell r="D30">
            <v>2210945.20084331</v>
          </cell>
          <cell r="E30">
            <v>7071104.0355054997</v>
          </cell>
          <cell r="F30">
            <v>22182197.296949901</v>
          </cell>
          <cell r="G30">
            <v>25081372.686613198</v>
          </cell>
          <cell r="H30">
            <v>16726703.7793504</v>
          </cell>
          <cell r="I30">
            <v>11659449.888640299</v>
          </cell>
          <cell r="J30">
            <v>4624081.6520319199</v>
          </cell>
          <cell r="K30">
            <v>1983255.7167177999</v>
          </cell>
          <cell r="L30">
            <v>1738549.0849266599</v>
          </cell>
          <cell r="M30">
            <v>1572777.6262042001</v>
          </cell>
          <cell r="N30">
            <v>717016.20181457698</v>
          </cell>
          <cell r="O30">
            <v>868156.31496002001</v>
          </cell>
          <cell r="P30">
            <v>1796647.1703015601</v>
          </cell>
        </row>
        <row r="31">
          <cell r="B31">
            <v>5026908.8713395502</v>
          </cell>
          <cell r="C31">
            <v>1229266.3225861499</v>
          </cell>
          <cell r="D31">
            <v>1364744.5919717599</v>
          </cell>
          <cell r="E31">
            <v>2640640.5453404202</v>
          </cell>
          <cell r="F31">
            <v>7836966.4632843398</v>
          </cell>
          <cell r="G31">
            <v>15530947.6455134</v>
          </cell>
          <cell r="H31">
            <v>11319399.2877752</v>
          </cell>
          <cell r="I31">
            <v>7076204.9498563902</v>
          </cell>
          <cell r="J31">
            <v>4305625.6203512195</v>
          </cell>
          <cell r="K31">
            <v>1564026.58414144</v>
          </cell>
          <cell r="L31">
            <v>1276787.5681260601</v>
          </cell>
          <cell r="M31">
            <v>957687.31968934904</v>
          </cell>
          <cell r="N31">
            <v>434243.23231427401</v>
          </cell>
          <cell r="O31">
            <v>240823.91182167901</v>
          </cell>
          <cell r="P31">
            <v>1576612.6220034801</v>
          </cell>
        </row>
        <row r="32">
          <cell r="B32">
            <v>8423248.11151544</v>
          </cell>
          <cell r="C32">
            <v>2107005.9911137298</v>
          </cell>
          <cell r="D32">
            <v>4331186.1366522899</v>
          </cell>
          <cell r="E32">
            <v>4899554.0494928798</v>
          </cell>
          <cell r="F32">
            <v>3323841.6469736798</v>
          </cell>
          <cell r="G32">
            <v>5015183.0561546199</v>
          </cell>
          <cell r="H32">
            <v>7082004.0262393197</v>
          </cell>
          <cell r="I32">
            <v>5383262.17195589</v>
          </cell>
          <cell r="J32">
            <v>3854987.4527946599</v>
          </cell>
          <cell r="K32">
            <v>1755691.0759548401</v>
          </cell>
          <cell r="L32">
            <v>1104478.0272613401</v>
          </cell>
          <cell r="M32">
            <v>349907.79894612997</v>
          </cell>
          <cell r="N32">
            <v>351756.23707183398</v>
          </cell>
          <cell r="O32">
            <v>181366.954581706</v>
          </cell>
          <cell r="P32">
            <v>789945.259632395</v>
          </cell>
        </row>
        <row r="33">
          <cell r="B33">
            <v>4800589.2047151998</v>
          </cell>
          <cell r="C33">
            <v>1346455.9479759</v>
          </cell>
          <cell r="D33">
            <v>3047328.7974732001</v>
          </cell>
          <cell r="E33">
            <v>40506328.7463082</v>
          </cell>
          <cell r="F33">
            <v>16685255.9173296</v>
          </cell>
          <cell r="G33">
            <v>4685657.7252336396</v>
          </cell>
          <cell r="H33">
            <v>3743015.8592007798</v>
          </cell>
          <cell r="I33">
            <v>3828855.5389574901</v>
          </cell>
          <cell r="J33">
            <v>3837498.5177275701</v>
          </cell>
          <cell r="K33">
            <v>2628770.46325295</v>
          </cell>
          <cell r="L33">
            <v>2237314.9572140998</v>
          </cell>
          <cell r="M33">
            <v>814166.58570419496</v>
          </cell>
          <cell r="N33">
            <v>486345.64947945898</v>
          </cell>
          <cell r="O33">
            <v>287861.44588856702</v>
          </cell>
          <cell r="P33">
            <v>668973.30158970505</v>
          </cell>
        </row>
        <row r="34">
          <cell r="B34">
            <v>12920051.508882601</v>
          </cell>
          <cell r="C34">
            <v>1361769.3920551599</v>
          </cell>
          <cell r="D34">
            <v>3424695.7372248201</v>
          </cell>
          <cell r="E34">
            <v>4262527.4090895299</v>
          </cell>
          <cell r="F34">
            <v>21528083.6556524</v>
          </cell>
          <cell r="G34">
            <v>10427647.841868101</v>
          </cell>
          <cell r="H34">
            <v>2948261.1325651398</v>
          </cell>
          <cell r="I34">
            <v>1604116.7676845901</v>
          </cell>
          <cell r="J34">
            <v>2434947.2187868701</v>
          </cell>
          <cell r="K34">
            <v>2401882.8689918602</v>
          </cell>
          <cell r="L34">
            <v>2041112.0477622501</v>
          </cell>
          <cell r="M34">
            <v>1565454.61985208</v>
          </cell>
          <cell r="N34">
            <v>683836.27698566497</v>
          </cell>
          <cell r="O34">
            <v>323576.92302449298</v>
          </cell>
          <cell r="P34">
            <v>945209.95216057601</v>
          </cell>
        </row>
        <row r="35">
          <cell r="B35">
            <v>12972591.788060199</v>
          </cell>
          <cell r="C35">
            <v>2087692.16509478</v>
          </cell>
          <cell r="D35">
            <v>4934353.7152756304</v>
          </cell>
          <cell r="E35">
            <v>42492643.243836798</v>
          </cell>
          <cell r="F35">
            <v>9645034.8595365491</v>
          </cell>
          <cell r="G35">
            <v>14441576.410553699</v>
          </cell>
          <cell r="H35">
            <v>4585875.8293913901</v>
          </cell>
          <cell r="I35">
            <v>1717604.0593898699</v>
          </cell>
          <cell r="J35">
            <v>1146282.599315</v>
          </cell>
          <cell r="K35">
            <v>1574203.58214513</v>
          </cell>
          <cell r="L35">
            <v>1266093.15511427</v>
          </cell>
          <cell r="M35">
            <v>1095238.55019785</v>
          </cell>
          <cell r="N35">
            <v>943797.94922364596</v>
          </cell>
          <cell r="O35">
            <v>339095.225926149</v>
          </cell>
          <cell r="P35">
            <v>643001.04705343803</v>
          </cell>
        </row>
        <row r="36">
          <cell r="B36">
            <v>12516351.138061</v>
          </cell>
          <cell r="C36">
            <v>1331414.6955716801</v>
          </cell>
          <cell r="D36">
            <v>2719135.0689647798</v>
          </cell>
          <cell r="E36">
            <v>11312127.922041601</v>
          </cell>
          <cell r="F36">
            <v>54588377.210021503</v>
          </cell>
          <cell r="G36">
            <v>12315141.3228873</v>
          </cell>
          <cell r="H36">
            <v>7509078.6865230203</v>
          </cell>
          <cell r="I36">
            <v>2626977.4553217799</v>
          </cell>
          <cell r="J36">
            <v>889696.516048764</v>
          </cell>
          <cell r="K36">
            <v>795045.41157902498</v>
          </cell>
          <cell r="L36">
            <v>1044107.47463349</v>
          </cell>
          <cell r="M36">
            <v>791614.44890202605</v>
          </cell>
          <cell r="N36">
            <v>761609.53676321497</v>
          </cell>
          <cell r="O36">
            <v>436128.54011752998</v>
          </cell>
          <cell r="P36">
            <v>605760.94629696896</v>
          </cell>
        </row>
        <row r="37">
          <cell r="B37">
            <v>25378686.143507101</v>
          </cell>
          <cell r="C37">
            <v>4876512.2683694996</v>
          </cell>
          <cell r="D37">
            <v>2785092.37422011</v>
          </cell>
          <cell r="E37">
            <v>4941127.8173848204</v>
          </cell>
          <cell r="F37">
            <v>22998938.763282102</v>
          </cell>
          <cell r="G37">
            <v>77482489.417188898</v>
          </cell>
          <cell r="H37">
            <v>38209563.5122995</v>
          </cell>
          <cell r="I37">
            <v>8022328.7641793201</v>
          </cell>
          <cell r="J37">
            <v>4363180.8357622596</v>
          </cell>
          <cell r="K37">
            <v>1576299.4413270201</v>
          </cell>
          <cell r="L37">
            <v>617041.82808300003</v>
          </cell>
          <cell r="M37">
            <v>882338.14918445004</v>
          </cell>
          <cell r="N37">
            <v>917453.62560813001</v>
          </cell>
          <cell r="O37">
            <v>454361.44275968103</v>
          </cell>
          <cell r="P37">
            <v>1355735.16125466</v>
          </cell>
        </row>
        <row r="38">
          <cell r="B38">
            <v>14570602.836345701</v>
          </cell>
          <cell r="C38">
            <v>9287210.0476073995</v>
          </cell>
          <cell r="D38">
            <v>27666360.964924</v>
          </cell>
          <cell r="E38">
            <v>7412849.3819824504</v>
          </cell>
          <cell r="F38">
            <v>15161330.593746999</v>
          </cell>
          <cell r="G38">
            <v>27357325.580514699</v>
          </cell>
          <cell r="H38">
            <v>51509441.954418197</v>
          </cell>
          <cell r="I38">
            <v>15215181.790152701</v>
          </cell>
          <cell r="J38">
            <v>3849752.0415055202</v>
          </cell>
          <cell r="K38">
            <v>1905497.56630907</v>
          </cell>
          <cell r="L38">
            <v>273243.76532811997</v>
          </cell>
          <cell r="M38">
            <v>259660.128001345</v>
          </cell>
          <cell r="N38">
            <v>492805.23946413898</v>
          </cell>
          <cell r="O38">
            <v>301584.41324032203</v>
          </cell>
          <cell r="P38">
            <v>684089.292684488</v>
          </cell>
        </row>
        <row r="39">
          <cell r="B39">
            <v>7941441.5278521702</v>
          </cell>
          <cell r="C39">
            <v>4933720.7832396897</v>
          </cell>
          <cell r="D39">
            <v>7280966.2906801198</v>
          </cell>
          <cell r="E39">
            <v>40234752.7736063</v>
          </cell>
          <cell r="F39">
            <v>16990612.895686999</v>
          </cell>
          <cell r="G39">
            <v>12002854.0187358</v>
          </cell>
          <cell r="H39">
            <v>17683480.832810201</v>
          </cell>
          <cell r="I39">
            <v>26916812.6824673</v>
          </cell>
          <cell r="J39">
            <v>5421347.8346778098</v>
          </cell>
          <cell r="K39">
            <v>2219756.7917613201</v>
          </cell>
          <cell r="L39">
            <v>800491.83111522696</v>
          </cell>
          <cell r="M39">
            <v>175307.05855688301</v>
          </cell>
          <cell r="N39">
            <v>183181.62916087601</v>
          </cell>
          <cell r="O39">
            <v>66413.893460413194</v>
          </cell>
          <cell r="P39">
            <v>138781.083364227</v>
          </cell>
        </row>
        <row r="40">
          <cell r="B40">
            <v>7835995.1838214099</v>
          </cell>
          <cell r="C40">
            <v>3214697.8162231301</v>
          </cell>
          <cell r="D40">
            <v>5449588.2010550797</v>
          </cell>
          <cell r="E40">
            <v>26483257.231641099</v>
          </cell>
          <cell r="F40">
            <v>34955817.768618599</v>
          </cell>
          <cell r="G40">
            <v>15973015.853458401</v>
          </cell>
          <cell r="H40">
            <v>12309447.3700897</v>
          </cell>
          <cell r="I40">
            <v>11547000.189348301</v>
          </cell>
          <cell r="J40">
            <v>14759950.209909</v>
          </cell>
          <cell r="K40">
            <v>4236452.4896050002</v>
          </cell>
          <cell r="L40">
            <v>1626289.8823387499</v>
          </cell>
          <cell r="M40">
            <v>546154.70575948805</v>
          </cell>
          <cell r="N40">
            <v>82885.440540199706</v>
          </cell>
          <cell r="O40">
            <v>48759.4895831049</v>
          </cell>
          <cell r="P40">
            <v>163072.04891548399</v>
          </cell>
        </row>
        <row r="41">
          <cell r="B41">
            <v>11286192.270435501</v>
          </cell>
          <cell r="C41">
            <v>4732793.6619869601</v>
          </cell>
          <cell r="D41">
            <v>2514980.6017866801</v>
          </cell>
          <cell r="E41">
            <v>3644291.3317505601</v>
          </cell>
          <cell r="F41">
            <v>25017136.571692001</v>
          </cell>
          <cell r="G41">
            <v>15376458.9127289</v>
          </cell>
          <cell r="H41">
            <v>5329573.7819736497</v>
          </cell>
          <cell r="I41">
            <v>3877931.6350245699</v>
          </cell>
          <cell r="J41">
            <v>3983520.8119236901</v>
          </cell>
          <cell r="K41">
            <v>3265517.4227273301</v>
          </cell>
          <cell r="L41">
            <v>914786.24742378702</v>
          </cell>
          <cell r="M41">
            <v>142478.710097831</v>
          </cell>
          <cell r="N41">
            <v>18267.3271693155</v>
          </cell>
          <cell r="O41">
            <v>3004.33073055762</v>
          </cell>
          <cell r="P41">
            <v>56514.239858890098</v>
          </cell>
        </row>
        <row r="42">
          <cell r="B42">
            <v>26795702.009224299</v>
          </cell>
          <cell r="C42">
            <v>7133716.5654144697</v>
          </cell>
          <cell r="D42">
            <v>5930177.0410660496</v>
          </cell>
          <cell r="E42">
            <v>6152047.19672962</v>
          </cell>
          <cell r="F42">
            <v>17596778.628679901</v>
          </cell>
          <cell r="G42">
            <v>62768466.637020603</v>
          </cell>
          <cell r="H42">
            <v>25067658.534419999</v>
          </cell>
          <cell r="I42">
            <v>5958068.9450741997</v>
          </cell>
          <cell r="J42">
            <v>4295960.4012729004</v>
          </cell>
          <cell r="K42">
            <v>2541978.3243035902</v>
          </cell>
          <cell r="L42">
            <v>1336557.43998952</v>
          </cell>
          <cell r="M42">
            <v>606917.86426083103</v>
          </cell>
          <cell r="N42">
            <v>239831.759678662</v>
          </cell>
          <cell r="O42">
            <v>69125.767119646902</v>
          </cell>
          <cell r="P42">
            <v>27594.223081028202</v>
          </cell>
        </row>
        <row r="43">
          <cell r="B43">
            <v>10321941.107230401</v>
          </cell>
          <cell r="C43">
            <v>7980262.7680814303</v>
          </cell>
          <cell r="D43">
            <v>19643040.994242501</v>
          </cell>
          <cell r="E43">
            <v>7534073.0473998496</v>
          </cell>
          <cell r="F43">
            <v>6888789.5908251097</v>
          </cell>
          <cell r="G43">
            <v>5019764.1405570898</v>
          </cell>
          <cell r="H43">
            <v>12791898.633880099</v>
          </cell>
          <cell r="I43">
            <v>14770243.6181076</v>
          </cell>
          <cell r="J43">
            <v>3919545.9709568801</v>
          </cell>
          <cell r="K43">
            <v>1521761.9978549399</v>
          </cell>
          <cell r="L43">
            <v>1274924.0175382399</v>
          </cell>
          <cell r="M43">
            <v>825848.337958068</v>
          </cell>
          <cell r="N43">
            <v>180076.859317603</v>
          </cell>
          <cell r="O43">
            <v>127919.17277277401</v>
          </cell>
          <cell r="P43">
            <v>43703.854918281198</v>
          </cell>
        </row>
        <row r="44">
          <cell r="B44">
            <v>8119155.4789981097</v>
          </cell>
          <cell r="C44">
            <v>3512415.1722926102</v>
          </cell>
          <cell r="D44">
            <v>5999539.4952552496</v>
          </cell>
          <cell r="E44">
            <v>40060934.4575978</v>
          </cell>
          <cell r="F44">
            <v>18724630.110852499</v>
          </cell>
          <cell r="G44">
            <v>7295680.6874011699</v>
          </cell>
          <cell r="H44">
            <v>8107799.0645883</v>
          </cell>
          <cell r="I44">
            <v>11423969.807732601</v>
          </cell>
          <cell r="J44">
            <v>8559664.4369053897</v>
          </cell>
          <cell r="K44">
            <v>2718413.7017737101</v>
          </cell>
          <cell r="L44">
            <v>1159337.26925105</v>
          </cell>
          <cell r="M44">
            <v>966027.28932664695</v>
          </cell>
          <cell r="N44">
            <v>372666.78153455799</v>
          </cell>
          <cell r="O44">
            <v>213040.35805945299</v>
          </cell>
          <cell r="P44">
            <v>21877.409401341702</v>
          </cell>
        </row>
        <row r="45">
          <cell r="B45">
            <v>11137835.3580554</v>
          </cell>
          <cell r="C45">
            <v>3821529.6571778501</v>
          </cell>
          <cell r="D45">
            <v>3417362.30158898</v>
          </cell>
          <cell r="E45">
            <v>6362056.5565748001</v>
          </cell>
          <cell r="F45">
            <v>27500461.752457101</v>
          </cell>
          <cell r="G45">
            <v>8082480.3632932799</v>
          </cell>
          <cell r="H45">
            <v>4453183.5229307897</v>
          </cell>
          <cell r="I45">
            <v>4429531.4949839003</v>
          </cell>
          <cell r="J45">
            <v>7032284.8866445702</v>
          </cell>
          <cell r="K45">
            <v>4966833.3140758798</v>
          </cell>
          <cell r="L45">
            <v>1060140.98091226</v>
          </cell>
          <cell r="M45">
            <v>439895.46716770198</v>
          </cell>
          <cell r="N45">
            <v>269472.08576631499</v>
          </cell>
          <cell r="O45">
            <v>106526.825823259</v>
          </cell>
          <cell r="P45">
            <v>118836.213890902</v>
          </cell>
        </row>
        <row r="46">
          <cell r="B46">
            <v>16262095.5924962</v>
          </cell>
          <cell r="C46">
            <v>10959913.955809601</v>
          </cell>
          <cell r="D46">
            <v>9746020.6600887198</v>
          </cell>
          <cell r="E46">
            <v>6623305.5987449903</v>
          </cell>
          <cell r="F46">
            <v>20779428.819194701</v>
          </cell>
          <cell r="G46">
            <v>68044769.383987904</v>
          </cell>
          <cell r="H46">
            <v>15085251.925883999</v>
          </cell>
          <cell r="I46">
            <v>4701781.4321535304</v>
          </cell>
          <cell r="J46">
            <v>4432455.9634271301</v>
          </cell>
          <cell r="K46">
            <v>3989283.0266505899</v>
          </cell>
          <cell r="L46">
            <v>2725271.1924725999</v>
          </cell>
          <cell r="M46">
            <v>1025842.99965635</v>
          </cell>
          <cell r="N46">
            <v>324711.81848925003</v>
          </cell>
          <cell r="O46">
            <v>123823.855641377</v>
          </cell>
          <cell r="P46">
            <v>43271.925935078798</v>
          </cell>
        </row>
      </sheetData>
      <sheetData sheetId="1" refreshError="1"/>
      <sheetData sheetId="2" refreshError="1"/>
      <sheetData sheetId="3" refreshError="1"/>
      <sheetData sheetId="4">
        <row r="2">
          <cell r="M2">
            <v>3871.0459392155899</v>
          </cell>
          <cell r="N2">
            <v>8918.5511016250985</v>
          </cell>
          <cell r="O2">
            <v>6575.0151666915899</v>
          </cell>
          <cell r="P2">
            <v>7504.6116452711094</v>
          </cell>
          <cell r="Q2">
            <v>7235.8775226439893</v>
          </cell>
          <cell r="R2">
            <v>7576.03897077701</v>
          </cell>
          <cell r="S2">
            <v>11799.5250392779</v>
          </cell>
          <cell r="T2">
            <v>9942.6019047585996</v>
          </cell>
          <cell r="U2">
            <v>11581.2535294593</v>
          </cell>
          <cell r="V2">
            <v>7129.58718206309</v>
          </cell>
          <cell r="W2">
            <v>6643.4370959852695</v>
          </cell>
          <cell r="X2">
            <v>7849.2699268002898</v>
          </cell>
          <cell r="Y2">
            <v>7094.4349017434997</v>
          </cell>
          <cell r="Z2">
            <v>6597.1877520908301</v>
          </cell>
          <cell r="AA2">
            <v>3954.2552796647301</v>
          </cell>
          <cell r="AB2">
            <v>4371.5177824849097</v>
          </cell>
          <cell r="AC2">
            <v>3417.6068092388</v>
          </cell>
          <cell r="AD2">
            <v>5613.64419306526</v>
          </cell>
          <cell r="AE2">
            <v>7246.3477449410893</v>
          </cell>
          <cell r="AF2">
            <v>6066.5698200258703</v>
          </cell>
          <cell r="AG2">
            <v>6740.6031631480801</v>
          </cell>
          <cell r="AH2">
            <v>11239.162930073999</v>
          </cell>
          <cell r="AI2">
            <v>5499.95499942481</v>
          </cell>
          <cell r="AJ2">
            <v>6972.3812313139197</v>
          </cell>
          <cell r="AK2">
            <v>4190.3456273911197</v>
          </cell>
          <cell r="AL2">
            <v>6777.4522699015306</v>
          </cell>
          <cell r="AM2">
            <v>4293.2609898467599</v>
          </cell>
          <cell r="AN2">
            <v>2820.21550327043</v>
          </cell>
          <cell r="AO2">
            <v>5271.6197166273005</v>
          </cell>
          <cell r="AP2">
            <v>4505.9893447997702</v>
          </cell>
          <cell r="AQ2">
            <v>5144.3933056856695</v>
          </cell>
          <cell r="AR2">
            <v>6712.58976591191</v>
          </cell>
          <cell r="AS2">
            <v>11616.510600616301</v>
          </cell>
          <cell r="AT2">
            <v>11215.7068526644</v>
          </cell>
          <cell r="AU2">
            <v>8274.5087004769903</v>
          </cell>
          <cell r="AV2">
            <v>8855.0421583094994</v>
          </cell>
          <cell r="AW2">
            <v>4266.8753658448604</v>
          </cell>
          <cell r="AX2">
            <v>9257.4193524174589</v>
          </cell>
          <cell r="AZ2">
            <v>4889.1625473321301</v>
          </cell>
          <cell r="BA2">
            <v>6531.4320886915302</v>
          </cell>
          <cell r="BB2">
            <v>4945.3875310138801</v>
          </cell>
          <cell r="BC2">
            <v>9407.4635708955993</v>
          </cell>
        </row>
        <row r="4">
          <cell r="M4">
            <v>281.13569212706898</v>
          </cell>
          <cell r="N4">
            <v>574.06930350232994</v>
          </cell>
          <cell r="O4">
            <v>438.60937465041297</v>
          </cell>
          <cell r="P4">
            <v>557.2530133086309</v>
          </cell>
          <cell r="Q4">
            <v>526.32568680632403</v>
          </cell>
          <cell r="R4">
            <v>594.56968825477895</v>
          </cell>
          <cell r="S4">
            <v>965.78152774692205</v>
          </cell>
          <cell r="T4">
            <v>696.62167775785394</v>
          </cell>
          <cell r="U4">
            <v>990.08729606693896</v>
          </cell>
          <cell r="V4">
            <v>486.419218109403</v>
          </cell>
          <cell r="W4">
            <v>458.54205831211402</v>
          </cell>
          <cell r="X4">
            <v>499.25335666585897</v>
          </cell>
          <cell r="Y4">
            <v>464.27843179476304</v>
          </cell>
          <cell r="Z4">
            <v>546.780400296734</v>
          </cell>
          <cell r="AA4">
            <v>242.12354642449401</v>
          </cell>
          <cell r="AB4">
            <v>275.23750452787203</v>
          </cell>
          <cell r="AC4">
            <v>209.09111885406099</v>
          </cell>
          <cell r="AD4">
            <v>401.897623596931</v>
          </cell>
          <cell r="AE4">
            <v>511.59845635898398</v>
          </cell>
          <cell r="AF4">
            <v>398.99012052771002</v>
          </cell>
          <cell r="AG4">
            <v>392.63135163323199</v>
          </cell>
          <cell r="AH4">
            <v>769.00304639106901</v>
          </cell>
          <cell r="AI4">
            <v>347.54762237497096</v>
          </cell>
          <cell r="AJ4">
            <v>464.205170753598</v>
          </cell>
          <cell r="AK4">
            <v>271.59977293164906</v>
          </cell>
          <cell r="AL4">
            <v>542.32208542816807</v>
          </cell>
          <cell r="AM4">
            <v>335.084724056158</v>
          </cell>
          <cell r="AN4">
            <v>227.81612198240302</v>
          </cell>
          <cell r="AO4">
            <v>412.13555767947605</v>
          </cell>
          <cell r="AP4">
            <v>320.49609961301502</v>
          </cell>
          <cell r="AQ4">
            <v>332.15342990911199</v>
          </cell>
          <cell r="AR4">
            <v>434.54029427727903</v>
          </cell>
          <cell r="AS4">
            <v>651.81257490089206</v>
          </cell>
          <cell r="AT4">
            <v>670.47600033835192</v>
          </cell>
          <cell r="AU4">
            <v>575.77145989921701</v>
          </cell>
          <cell r="AV4">
            <v>451.64322668984096</v>
          </cell>
          <cell r="AW4">
            <v>289.69253464124102</v>
          </cell>
          <cell r="AX4">
            <v>464.460420553147</v>
          </cell>
          <cell r="AZ4">
            <v>262.57897122424504</v>
          </cell>
          <cell r="BA4">
            <v>383.79352064064301</v>
          </cell>
          <cell r="BB4">
            <v>282.47037770062002</v>
          </cell>
          <cell r="BC4">
            <v>723.62849980229407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5FB5-41C1-D946-AE52-5A46899F09B6}">
  <dimension ref="A1:Q43"/>
  <sheetViews>
    <sheetView zoomScale="119" workbookViewId="0">
      <selection activeCell="N2" sqref="N2:N43"/>
    </sheetView>
  </sheetViews>
  <sheetFormatPr baseColWidth="10" defaultRowHeight="16" x14ac:dyDescent="0.2"/>
  <sheetData>
    <row r="1" spans="1:17" x14ac:dyDescent="0.2">
      <c r="B1" t="s">
        <v>703</v>
      </c>
      <c r="C1" t="s">
        <v>314</v>
      </c>
      <c r="D1" t="s">
        <v>702</v>
      </c>
      <c r="E1" t="s">
        <v>701</v>
      </c>
      <c r="F1" t="s">
        <v>700</v>
      </c>
      <c r="G1" t="s">
        <v>699</v>
      </c>
      <c r="H1" t="s">
        <v>704</v>
      </c>
      <c r="M1" t="s">
        <v>704</v>
      </c>
      <c r="N1" t="s">
        <v>706</v>
      </c>
      <c r="P1" t="s">
        <v>647</v>
      </c>
      <c r="Q1" t="s">
        <v>705</v>
      </c>
    </row>
    <row r="2" spans="1:17" x14ac:dyDescent="0.2">
      <c r="A2">
        <v>1982</v>
      </c>
      <c r="B2">
        <v>21740</v>
      </c>
      <c r="C2">
        <v>4</v>
      </c>
      <c r="D2" t="s">
        <v>698</v>
      </c>
      <c r="E2" s="22">
        <v>162.0393239</v>
      </c>
      <c r="F2">
        <v>1500</v>
      </c>
      <c r="G2">
        <v>81</v>
      </c>
      <c r="H2" s="22">
        <v>77.14159282</v>
      </c>
      <c r="I2" s="22">
        <v>162.0393239</v>
      </c>
      <c r="K2">
        <v>105</v>
      </c>
      <c r="L2">
        <v>77.14159282</v>
      </c>
      <c r="M2">
        <v>213.66323080000001</v>
      </c>
      <c r="N2" s="22">
        <v>162.0393239</v>
      </c>
      <c r="P2">
        <v>1982</v>
      </c>
      <c r="Q2">
        <v>213.66323080000001</v>
      </c>
    </row>
    <row r="3" spans="1:17" x14ac:dyDescent="0.2">
      <c r="A3">
        <v>1983</v>
      </c>
      <c r="B3">
        <v>21740</v>
      </c>
      <c r="C3">
        <v>4</v>
      </c>
      <c r="D3" t="s">
        <v>698</v>
      </c>
      <c r="E3" s="22">
        <v>130.70066270000001</v>
      </c>
      <c r="F3">
        <v>1931</v>
      </c>
      <c r="G3">
        <v>95</v>
      </c>
      <c r="H3" s="22">
        <v>23.712740530000001</v>
      </c>
      <c r="I3" s="22">
        <v>130.70066270000001</v>
      </c>
      <c r="K3">
        <v>126</v>
      </c>
      <c r="L3">
        <v>23.712740530000001</v>
      </c>
      <c r="M3">
        <v>65.678456550000007</v>
      </c>
      <c r="N3" s="22">
        <v>130.70066270000001</v>
      </c>
      <c r="P3">
        <v>1983</v>
      </c>
      <c r="Q3">
        <v>65.678456550000007</v>
      </c>
    </row>
    <row r="4" spans="1:17" x14ac:dyDescent="0.2">
      <c r="A4">
        <v>1984</v>
      </c>
      <c r="B4">
        <v>21740</v>
      </c>
      <c r="C4">
        <v>4</v>
      </c>
      <c r="D4" t="s">
        <v>698</v>
      </c>
      <c r="E4" s="22">
        <v>63.273125280000002</v>
      </c>
      <c r="F4">
        <v>1806</v>
      </c>
      <c r="G4">
        <v>116</v>
      </c>
      <c r="H4" s="22">
        <v>111.9711693</v>
      </c>
      <c r="I4" s="22">
        <v>63.273125280000002</v>
      </c>
      <c r="K4">
        <v>118</v>
      </c>
      <c r="L4">
        <v>111.9711693</v>
      </c>
      <c r="M4">
        <v>310.13258760000002</v>
      </c>
      <c r="N4" s="22">
        <v>63.273125280000002</v>
      </c>
      <c r="P4">
        <v>1984</v>
      </c>
      <c r="Q4">
        <v>310.13258760000002</v>
      </c>
    </row>
    <row r="5" spans="1:17" x14ac:dyDescent="0.2">
      <c r="A5">
        <v>1985</v>
      </c>
      <c r="B5">
        <v>21740</v>
      </c>
      <c r="C5">
        <v>4</v>
      </c>
      <c r="D5" t="s">
        <v>698</v>
      </c>
      <c r="E5" s="22">
        <v>73.535708060000005</v>
      </c>
      <c r="F5">
        <v>1890</v>
      </c>
      <c r="G5">
        <v>81</v>
      </c>
      <c r="H5" s="22">
        <v>30.772516379999999</v>
      </c>
      <c r="I5" s="22">
        <v>73.535708060000005</v>
      </c>
      <c r="K5">
        <v>125</v>
      </c>
      <c r="L5">
        <v>30.772516379999999</v>
      </c>
      <c r="M5">
        <v>85.232298549999996</v>
      </c>
      <c r="N5" s="22">
        <v>73.535708060000005</v>
      </c>
      <c r="P5">
        <v>1985</v>
      </c>
      <c r="Q5">
        <v>85.232298549999996</v>
      </c>
    </row>
    <row r="6" spans="1:17" x14ac:dyDescent="0.2">
      <c r="A6">
        <v>1986</v>
      </c>
      <c r="B6">
        <v>21740</v>
      </c>
      <c r="C6">
        <v>4</v>
      </c>
      <c r="D6" t="s">
        <v>698</v>
      </c>
      <c r="E6" s="22">
        <v>151.9481692</v>
      </c>
      <c r="F6">
        <v>1344</v>
      </c>
      <c r="G6">
        <v>45</v>
      </c>
      <c r="H6" s="22">
        <v>72.783655960000004</v>
      </c>
      <c r="I6" s="22">
        <v>151.9481692</v>
      </c>
      <c r="K6">
        <v>88</v>
      </c>
      <c r="L6">
        <v>72.783655960000004</v>
      </c>
      <c r="M6">
        <v>201.59281799999999</v>
      </c>
      <c r="N6" s="22">
        <v>151.9481692</v>
      </c>
      <c r="P6">
        <v>1986</v>
      </c>
      <c r="Q6">
        <v>201.59281799999999</v>
      </c>
    </row>
    <row r="7" spans="1:17" x14ac:dyDescent="0.2">
      <c r="A7">
        <v>1987</v>
      </c>
      <c r="B7">
        <v>21740</v>
      </c>
      <c r="C7">
        <v>4</v>
      </c>
      <c r="D7" t="s">
        <v>698</v>
      </c>
      <c r="E7" s="22">
        <v>61.214699510000003</v>
      </c>
      <c r="F7">
        <v>1547</v>
      </c>
      <c r="G7">
        <v>34</v>
      </c>
      <c r="H7" s="22">
        <v>70.687438159999999</v>
      </c>
      <c r="I7" s="22">
        <v>61.214699510000003</v>
      </c>
      <c r="K7">
        <v>105</v>
      </c>
      <c r="L7">
        <v>70.687438159999999</v>
      </c>
      <c r="M7">
        <v>195.7868105</v>
      </c>
      <c r="N7" s="22">
        <v>61.214699510000003</v>
      </c>
      <c r="P7">
        <v>1987</v>
      </c>
      <c r="Q7">
        <v>195.7868105</v>
      </c>
    </row>
    <row r="8" spans="1:17" x14ac:dyDescent="0.2">
      <c r="A8">
        <v>1988</v>
      </c>
      <c r="B8">
        <v>21740</v>
      </c>
      <c r="C8">
        <v>4</v>
      </c>
      <c r="D8" t="s">
        <v>698</v>
      </c>
      <c r="E8" s="22">
        <v>82.232543699999994</v>
      </c>
      <c r="F8">
        <v>1173</v>
      </c>
      <c r="G8">
        <v>26</v>
      </c>
      <c r="H8" s="22">
        <v>61.966137140000001</v>
      </c>
      <c r="I8" s="22">
        <v>82.232543699999994</v>
      </c>
      <c r="K8">
        <v>76</v>
      </c>
      <c r="L8">
        <v>61.966137140000001</v>
      </c>
      <c r="M8">
        <v>171.6309526</v>
      </c>
      <c r="N8" s="22">
        <v>82.232543699999994</v>
      </c>
      <c r="P8">
        <v>1988</v>
      </c>
      <c r="Q8">
        <v>171.6309526</v>
      </c>
    </row>
    <row r="9" spans="1:17" x14ac:dyDescent="0.2">
      <c r="A9">
        <v>1989</v>
      </c>
      <c r="B9">
        <v>21740</v>
      </c>
      <c r="C9">
        <v>4</v>
      </c>
      <c r="D9" t="s">
        <v>698</v>
      </c>
      <c r="E9" s="22">
        <v>53.191369819999998</v>
      </c>
      <c r="F9">
        <v>1227</v>
      </c>
      <c r="G9">
        <v>38</v>
      </c>
      <c r="H9" s="22">
        <v>95.430970020000004</v>
      </c>
      <c r="I9" s="22">
        <v>53.191369819999998</v>
      </c>
      <c r="K9">
        <v>80</v>
      </c>
      <c r="L9">
        <v>95.430970020000004</v>
      </c>
      <c r="M9">
        <v>264.3203054</v>
      </c>
      <c r="N9" s="22">
        <v>53.191369819999998</v>
      </c>
      <c r="P9">
        <v>1989</v>
      </c>
      <c r="Q9">
        <v>264.3203054</v>
      </c>
    </row>
    <row r="10" spans="1:17" x14ac:dyDescent="0.2">
      <c r="A10">
        <v>1990</v>
      </c>
      <c r="B10">
        <v>21740</v>
      </c>
      <c r="C10">
        <v>4</v>
      </c>
      <c r="D10" t="s">
        <v>698</v>
      </c>
      <c r="E10" s="22">
        <v>48.26632231</v>
      </c>
      <c r="F10">
        <v>1257</v>
      </c>
      <c r="G10">
        <v>46</v>
      </c>
      <c r="H10" s="22">
        <v>82.804945239999995</v>
      </c>
      <c r="I10" s="22">
        <v>48.26632231</v>
      </c>
      <c r="K10">
        <v>82</v>
      </c>
      <c r="L10">
        <v>82.804945239999995</v>
      </c>
      <c r="M10">
        <v>229.3493235</v>
      </c>
      <c r="N10" s="22">
        <v>48.26632231</v>
      </c>
      <c r="P10">
        <v>1990</v>
      </c>
      <c r="Q10">
        <v>229.3493235</v>
      </c>
    </row>
    <row r="11" spans="1:17" x14ac:dyDescent="0.2">
      <c r="A11">
        <v>1991</v>
      </c>
      <c r="B11">
        <v>21740</v>
      </c>
      <c r="C11">
        <v>4</v>
      </c>
      <c r="D11" t="s">
        <v>698</v>
      </c>
      <c r="E11" s="22">
        <v>79.424271750000003</v>
      </c>
      <c r="F11">
        <v>1063</v>
      </c>
      <c r="G11">
        <v>46</v>
      </c>
      <c r="H11" s="22">
        <v>65.196174959999993</v>
      </c>
      <c r="I11" s="22">
        <v>79.424271750000003</v>
      </c>
      <c r="K11">
        <v>71</v>
      </c>
      <c r="L11">
        <v>65.196174959999993</v>
      </c>
      <c r="M11">
        <v>180.57736259999999</v>
      </c>
      <c r="N11" s="22">
        <v>79.424271750000003</v>
      </c>
      <c r="P11">
        <v>1991</v>
      </c>
      <c r="Q11">
        <v>180.57736259999999</v>
      </c>
    </row>
    <row r="12" spans="1:17" x14ac:dyDescent="0.2">
      <c r="A12">
        <v>1992</v>
      </c>
      <c r="B12">
        <v>21740</v>
      </c>
      <c r="C12">
        <v>4</v>
      </c>
      <c r="D12" t="s">
        <v>698</v>
      </c>
      <c r="E12" s="22">
        <v>85.220463620000004</v>
      </c>
      <c r="F12">
        <v>1263</v>
      </c>
      <c r="G12">
        <v>30</v>
      </c>
      <c r="H12" s="22">
        <v>40.844997200000002</v>
      </c>
      <c r="I12" s="22">
        <v>85.220463620000004</v>
      </c>
      <c r="K12">
        <v>82</v>
      </c>
      <c r="L12">
        <v>40.844997200000002</v>
      </c>
      <c r="M12">
        <v>113.13059199999999</v>
      </c>
      <c r="N12" s="22">
        <v>85.220463620000004</v>
      </c>
      <c r="P12">
        <v>1992</v>
      </c>
      <c r="Q12">
        <v>113.13059199999999</v>
      </c>
    </row>
    <row r="13" spans="1:17" x14ac:dyDescent="0.2">
      <c r="A13">
        <v>1993</v>
      </c>
      <c r="B13">
        <v>21740</v>
      </c>
      <c r="C13">
        <v>4</v>
      </c>
      <c r="D13" t="s">
        <v>698</v>
      </c>
      <c r="E13" s="22">
        <v>91.983613980000001</v>
      </c>
      <c r="F13">
        <v>1385</v>
      </c>
      <c r="G13">
        <v>33</v>
      </c>
      <c r="H13" s="22">
        <v>43.043603109999999</v>
      </c>
      <c r="I13" s="22">
        <v>91.983613980000001</v>
      </c>
      <c r="K13">
        <v>90</v>
      </c>
      <c r="L13">
        <v>43.043603109999999</v>
      </c>
      <c r="M13">
        <v>119.2201894</v>
      </c>
      <c r="N13" s="22">
        <v>91.983613980000001</v>
      </c>
      <c r="P13">
        <v>1993</v>
      </c>
      <c r="Q13">
        <v>119.2201894</v>
      </c>
    </row>
    <row r="14" spans="1:17" x14ac:dyDescent="0.2">
      <c r="A14">
        <v>1994</v>
      </c>
      <c r="B14">
        <v>21740</v>
      </c>
      <c r="C14">
        <v>4</v>
      </c>
      <c r="D14" t="s">
        <v>698</v>
      </c>
      <c r="E14" s="22">
        <v>86.851384019999998</v>
      </c>
      <c r="F14">
        <v>1141</v>
      </c>
      <c r="G14">
        <v>23</v>
      </c>
      <c r="H14" s="22">
        <v>52.305773780000003</v>
      </c>
      <c r="I14" s="22">
        <v>86.851384019999998</v>
      </c>
      <c r="K14">
        <v>74</v>
      </c>
      <c r="L14">
        <v>52.305773780000003</v>
      </c>
      <c r="M14">
        <v>144.87412309999999</v>
      </c>
      <c r="N14" s="22">
        <v>86.851384019999998</v>
      </c>
      <c r="P14">
        <v>1994</v>
      </c>
      <c r="Q14">
        <v>144.87412309999999</v>
      </c>
    </row>
    <row r="15" spans="1:17" x14ac:dyDescent="0.2">
      <c r="A15">
        <v>1995</v>
      </c>
      <c r="B15">
        <v>21740</v>
      </c>
      <c r="C15">
        <v>4</v>
      </c>
      <c r="D15" t="s">
        <v>698</v>
      </c>
      <c r="E15" s="22">
        <v>104.8977063</v>
      </c>
      <c r="F15">
        <v>1156</v>
      </c>
      <c r="G15">
        <v>26</v>
      </c>
      <c r="H15" s="22">
        <v>39.561555970000001</v>
      </c>
      <c r="I15" s="22">
        <v>104.8977063</v>
      </c>
      <c r="K15">
        <v>75</v>
      </c>
      <c r="L15">
        <v>39.561555970000001</v>
      </c>
      <c r="M15">
        <v>109.5757756</v>
      </c>
      <c r="N15" s="22">
        <v>104.8977063</v>
      </c>
      <c r="P15">
        <v>1995</v>
      </c>
      <c r="Q15">
        <v>109.5757756</v>
      </c>
    </row>
    <row r="16" spans="1:17" x14ac:dyDescent="0.2">
      <c r="A16">
        <v>1996</v>
      </c>
      <c r="B16">
        <v>21740</v>
      </c>
      <c r="C16">
        <v>4</v>
      </c>
      <c r="D16" t="s">
        <v>698</v>
      </c>
      <c r="E16" s="22">
        <v>226.4696079</v>
      </c>
      <c r="F16">
        <v>1387</v>
      </c>
      <c r="G16">
        <v>28</v>
      </c>
      <c r="H16" s="22">
        <v>110.5916879</v>
      </c>
      <c r="I16" s="22">
        <v>226.4696079</v>
      </c>
      <c r="K16">
        <v>90</v>
      </c>
      <c r="L16">
        <v>110.5916879</v>
      </c>
      <c r="M16">
        <v>306.31176360000001</v>
      </c>
      <c r="N16" s="22">
        <v>226.4696079</v>
      </c>
      <c r="P16">
        <v>1996</v>
      </c>
      <c r="Q16">
        <v>306.31176360000001</v>
      </c>
    </row>
    <row r="17" spans="1:17" x14ac:dyDescent="0.2">
      <c r="A17">
        <v>1997</v>
      </c>
      <c r="B17">
        <v>21740</v>
      </c>
      <c r="C17">
        <v>4</v>
      </c>
      <c r="D17" t="s">
        <v>698</v>
      </c>
      <c r="E17" s="22">
        <v>73.384804239999994</v>
      </c>
      <c r="F17">
        <v>1193</v>
      </c>
      <c r="G17">
        <v>35</v>
      </c>
      <c r="H17" s="22">
        <v>42.211636069999997</v>
      </c>
      <c r="I17" s="22">
        <v>73.384804239999994</v>
      </c>
      <c r="K17">
        <v>78</v>
      </c>
      <c r="L17">
        <v>42.211636069999997</v>
      </c>
      <c r="M17">
        <v>116.91584539999999</v>
      </c>
      <c r="N17" s="22">
        <v>73.384804239999994</v>
      </c>
      <c r="P17">
        <v>1997</v>
      </c>
      <c r="Q17">
        <v>116.91584539999999</v>
      </c>
    </row>
    <row r="18" spans="1:17" x14ac:dyDescent="0.2">
      <c r="A18">
        <v>1998</v>
      </c>
      <c r="B18">
        <v>21740</v>
      </c>
      <c r="C18">
        <v>4</v>
      </c>
      <c r="D18" t="s">
        <v>698</v>
      </c>
      <c r="E18" s="22">
        <v>65.188310139999999</v>
      </c>
      <c r="F18">
        <v>1233</v>
      </c>
      <c r="G18">
        <v>32</v>
      </c>
      <c r="H18" s="22">
        <v>100.02502610000001</v>
      </c>
      <c r="I18" s="22">
        <v>65.188310139999999</v>
      </c>
      <c r="K18">
        <v>82</v>
      </c>
      <c r="L18">
        <v>100.02502610000001</v>
      </c>
      <c r="M18">
        <v>277.04471030000002</v>
      </c>
      <c r="N18" s="22">
        <v>65.188310139999999</v>
      </c>
      <c r="P18">
        <v>1998</v>
      </c>
      <c r="Q18">
        <v>277.04471030000002</v>
      </c>
    </row>
    <row r="19" spans="1:17" x14ac:dyDescent="0.2">
      <c r="A19">
        <v>1999</v>
      </c>
      <c r="B19">
        <v>21740</v>
      </c>
      <c r="C19">
        <v>4</v>
      </c>
      <c r="D19" t="s">
        <v>698</v>
      </c>
      <c r="E19" s="22">
        <v>95.428970410000005</v>
      </c>
      <c r="F19">
        <v>1364</v>
      </c>
      <c r="G19">
        <v>52</v>
      </c>
      <c r="H19" s="22">
        <v>91.282862629999997</v>
      </c>
      <c r="I19" s="22">
        <v>95.428970410000005</v>
      </c>
      <c r="K19">
        <v>90</v>
      </c>
      <c r="L19">
        <v>91.282862629999997</v>
      </c>
      <c r="M19">
        <v>252.83106860000001</v>
      </c>
      <c r="N19" s="22">
        <v>95.428970410000005</v>
      </c>
      <c r="P19">
        <v>1999</v>
      </c>
      <c r="Q19">
        <v>252.83106860000001</v>
      </c>
    </row>
    <row r="20" spans="1:17" x14ac:dyDescent="0.2">
      <c r="A20">
        <v>2000</v>
      </c>
      <c r="B20">
        <v>21740</v>
      </c>
      <c r="C20">
        <v>4</v>
      </c>
      <c r="D20" t="s">
        <v>698</v>
      </c>
      <c r="E20" s="22">
        <v>90.693427020000001</v>
      </c>
      <c r="F20">
        <v>1545</v>
      </c>
      <c r="G20">
        <v>54</v>
      </c>
      <c r="H20" s="22">
        <v>80.002601010000006</v>
      </c>
      <c r="I20" s="22">
        <v>90.693427020000001</v>
      </c>
      <c r="K20">
        <v>101</v>
      </c>
      <c r="L20">
        <v>80.002601010000006</v>
      </c>
      <c r="M20">
        <v>221.58751950000001</v>
      </c>
      <c r="N20" s="22">
        <v>90.693427020000001</v>
      </c>
      <c r="P20">
        <v>2000</v>
      </c>
      <c r="Q20">
        <v>221.58751950000001</v>
      </c>
    </row>
    <row r="21" spans="1:17" x14ac:dyDescent="0.2">
      <c r="A21">
        <v>2001</v>
      </c>
      <c r="B21">
        <v>21740</v>
      </c>
      <c r="C21">
        <v>4</v>
      </c>
      <c r="D21" t="s">
        <v>698</v>
      </c>
      <c r="E21" s="22">
        <v>183.0103987</v>
      </c>
      <c r="F21">
        <v>1573</v>
      </c>
      <c r="G21">
        <v>59</v>
      </c>
      <c r="H21" s="22">
        <v>109.7252974</v>
      </c>
      <c r="I21" s="22">
        <v>183.0103987</v>
      </c>
      <c r="K21">
        <v>107</v>
      </c>
      <c r="L21">
        <v>109.7252974</v>
      </c>
      <c r="M21">
        <v>303.91207500000002</v>
      </c>
      <c r="N21" s="22">
        <v>183.0103987</v>
      </c>
      <c r="P21">
        <v>2001</v>
      </c>
      <c r="Q21">
        <v>303.91207500000002</v>
      </c>
    </row>
    <row r="22" spans="1:17" x14ac:dyDescent="0.2">
      <c r="A22">
        <v>2002</v>
      </c>
      <c r="B22">
        <v>21740</v>
      </c>
      <c r="C22">
        <v>4</v>
      </c>
      <c r="D22" t="s">
        <v>698</v>
      </c>
      <c r="E22" s="22">
        <v>186.32525670000001</v>
      </c>
      <c r="F22">
        <v>1651</v>
      </c>
      <c r="G22">
        <v>68</v>
      </c>
      <c r="H22" s="22">
        <v>116.7592429</v>
      </c>
      <c r="I22" s="22">
        <v>186.32525670000001</v>
      </c>
      <c r="K22">
        <v>110</v>
      </c>
      <c r="L22">
        <v>116.7592429</v>
      </c>
      <c r="M22">
        <v>323.39437320000002</v>
      </c>
      <c r="N22" s="22">
        <v>186.32525670000001</v>
      </c>
      <c r="P22">
        <v>2002</v>
      </c>
      <c r="Q22">
        <v>323.39437320000002</v>
      </c>
    </row>
    <row r="23" spans="1:17" x14ac:dyDescent="0.2">
      <c r="A23">
        <v>2003</v>
      </c>
      <c r="B23">
        <v>21740</v>
      </c>
      <c r="C23">
        <v>4</v>
      </c>
      <c r="D23" t="s">
        <v>698</v>
      </c>
      <c r="E23" s="22">
        <v>125.65945429999999</v>
      </c>
      <c r="F23">
        <v>1583</v>
      </c>
      <c r="G23">
        <v>89</v>
      </c>
      <c r="H23" s="22">
        <v>80.426583719999996</v>
      </c>
      <c r="I23" s="22">
        <v>125.65945429999999</v>
      </c>
      <c r="K23">
        <v>107</v>
      </c>
      <c r="L23">
        <v>80.426583719999996</v>
      </c>
      <c r="M23">
        <v>222.7618473</v>
      </c>
      <c r="N23" s="22">
        <v>125.65945429999999</v>
      </c>
      <c r="P23">
        <v>2003</v>
      </c>
      <c r="Q23">
        <v>222.7618473</v>
      </c>
    </row>
    <row r="24" spans="1:17" x14ac:dyDescent="0.2">
      <c r="A24">
        <v>2004</v>
      </c>
      <c r="B24">
        <v>21740</v>
      </c>
      <c r="C24">
        <v>4</v>
      </c>
      <c r="D24" t="s">
        <v>698</v>
      </c>
      <c r="E24" s="22">
        <v>188.6575824</v>
      </c>
      <c r="F24">
        <v>1632</v>
      </c>
      <c r="G24">
        <v>59</v>
      </c>
      <c r="H24" s="22">
        <v>88.60936074</v>
      </c>
      <c r="I24" s="22">
        <v>188.6575824</v>
      </c>
      <c r="K24">
        <v>108</v>
      </c>
      <c r="L24">
        <v>88.60936074</v>
      </c>
      <c r="M24">
        <v>245.4261262</v>
      </c>
      <c r="N24" s="22">
        <v>188.6575824</v>
      </c>
      <c r="P24">
        <v>2004</v>
      </c>
      <c r="Q24">
        <v>245.4261262</v>
      </c>
    </row>
    <row r="25" spans="1:17" x14ac:dyDescent="0.2">
      <c r="A25">
        <v>2005</v>
      </c>
      <c r="B25">
        <v>21740</v>
      </c>
      <c r="C25">
        <v>4</v>
      </c>
      <c r="D25" t="s">
        <v>698</v>
      </c>
      <c r="E25" s="22">
        <v>194.4902529</v>
      </c>
      <c r="F25">
        <v>1594</v>
      </c>
      <c r="G25">
        <v>68</v>
      </c>
      <c r="H25" s="22">
        <v>94.131644929999993</v>
      </c>
      <c r="I25" s="22">
        <v>194.4902529</v>
      </c>
      <c r="K25">
        <v>109</v>
      </c>
      <c r="L25">
        <v>94.131644929999993</v>
      </c>
      <c r="M25">
        <v>260.72149460000003</v>
      </c>
      <c r="N25" s="22">
        <v>194.4902529</v>
      </c>
      <c r="P25">
        <v>2005</v>
      </c>
      <c r="Q25">
        <v>260.72149460000003</v>
      </c>
    </row>
    <row r="26" spans="1:17" x14ac:dyDescent="0.2">
      <c r="A26">
        <v>2006</v>
      </c>
      <c r="B26">
        <v>21740</v>
      </c>
      <c r="C26">
        <v>4</v>
      </c>
      <c r="D26" t="s">
        <v>698</v>
      </c>
      <c r="E26" s="22">
        <v>329.6148551</v>
      </c>
      <c r="F26">
        <v>1535</v>
      </c>
      <c r="G26">
        <v>279</v>
      </c>
      <c r="H26" s="22">
        <v>138.91887120000001</v>
      </c>
      <c r="I26" s="22">
        <v>329.6148551</v>
      </c>
      <c r="K26">
        <v>102</v>
      </c>
      <c r="L26">
        <v>138.91887120000001</v>
      </c>
      <c r="M26">
        <v>384.77109100000001</v>
      </c>
      <c r="N26" s="22">
        <v>329.6148551</v>
      </c>
      <c r="P26">
        <v>2006</v>
      </c>
      <c r="Q26">
        <v>384.77109100000001</v>
      </c>
    </row>
    <row r="27" spans="1:17" x14ac:dyDescent="0.2">
      <c r="A27">
        <v>2007</v>
      </c>
      <c r="B27">
        <v>21740</v>
      </c>
      <c r="C27">
        <v>4</v>
      </c>
      <c r="D27" t="s">
        <v>698</v>
      </c>
      <c r="E27" s="22">
        <v>192.69521510000001</v>
      </c>
      <c r="F27">
        <v>1483</v>
      </c>
      <c r="G27">
        <v>275</v>
      </c>
      <c r="H27" s="22">
        <v>77.558757170000007</v>
      </c>
      <c r="I27" s="22">
        <v>192.69521510000001</v>
      </c>
      <c r="K27">
        <v>97</v>
      </c>
      <c r="L27">
        <v>77.558757170000007</v>
      </c>
      <c r="M27">
        <v>214.81867339999999</v>
      </c>
      <c r="N27" s="22">
        <v>192.69521510000001</v>
      </c>
      <c r="P27">
        <v>2007</v>
      </c>
      <c r="Q27">
        <v>214.81867339999999</v>
      </c>
    </row>
    <row r="28" spans="1:17" x14ac:dyDescent="0.2">
      <c r="A28">
        <v>2008</v>
      </c>
      <c r="B28">
        <v>21740</v>
      </c>
      <c r="C28">
        <v>4</v>
      </c>
      <c r="D28" t="s">
        <v>698</v>
      </c>
      <c r="E28" s="22">
        <v>235.40601810000001</v>
      </c>
      <c r="F28">
        <v>1241</v>
      </c>
      <c r="G28">
        <v>200</v>
      </c>
      <c r="H28" s="22">
        <v>106.4428185</v>
      </c>
      <c r="I28" s="22">
        <v>235.40601810000001</v>
      </c>
      <c r="K28">
        <v>82</v>
      </c>
      <c r="L28">
        <v>106.4428185</v>
      </c>
      <c r="M28">
        <v>294.82041609999999</v>
      </c>
      <c r="N28" s="22">
        <v>235.40601810000001</v>
      </c>
      <c r="P28">
        <v>2008</v>
      </c>
      <c r="Q28">
        <v>294.82041609999999</v>
      </c>
    </row>
    <row r="29" spans="1:17" x14ac:dyDescent="0.2">
      <c r="A29">
        <v>2009</v>
      </c>
      <c r="B29">
        <v>21740</v>
      </c>
      <c r="C29">
        <v>4</v>
      </c>
      <c r="D29" t="s">
        <v>698</v>
      </c>
      <c r="E29" s="22">
        <v>144.7225262</v>
      </c>
      <c r="F29">
        <v>1342</v>
      </c>
      <c r="G29">
        <v>221</v>
      </c>
      <c r="H29" s="22">
        <v>67.286036269999997</v>
      </c>
      <c r="I29" s="22">
        <v>144.7225262</v>
      </c>
      <c r="K29">
        <v>87</v>
      </c>
      <c r="L29">
        <v>67.286036269999997</v>
      </c>
      <c r="M29">
        <v>186.3657642</v>
      </c>
      <c r="N29" s="22">
        <v>144.7225262</v>
      </c>
      <c r="P29">
        <v>2009</v>
      </c>
      <c r="Q29">
        <v>186.3657642</v>
      </c>
    </row>
    <row r="30" spans="1:17" x14ac:dyDescent="0.2">
      <c r="A30">
        <v>2010</v>
      </c>
      <c r="B30">
        <v>21740</v>
      </c>
      <c r="C30">
        <v>4</v>
      </c>
      <c r="D30" t="s">
        <v>698</v>
      </c>
      <c r="E30" s="22">
        <v>107.88944069999999</v>
      </c>
      <c r="F30">
        <v>1385</v>
      </c>
      <c r="G30">
        <v>214</v>
      </c>
      <c r="H30" s="22">
        <v>86.721515069999995</v>
      </c>
      <c r="I30" s="22">
        <v>107.88944069999999</v>
      </c>
      <c r="K30">
        <v>90</v>
      </c>
      <c r="L30">
        <v>86.721515069999995</v>
      </c>
      <c r="M30">
        <v>240.19725819999999</v>
      </c>
      <c r="N30" s="22">
        <v>107.88944069999999</v>
      </c>
      <c r="P30">
        <v>2010</v>
      </c>
      <c r="Q30">
        <v>240.19725819999999</v>
      </c>
    </row>
    <row r="31" spans="1:17" x14ac:dyDescent="0.2">
      <c r="A31">
        <v>2011</v>
      </c>
      <c r="B31">
        <v>21740</v>
      </c>
      <c r="C31">
        <v>4</v>
      </c>
      <c r="D31" t="s">
        <v>698</v>
      </c>
      <c r="E31" s="22">
        <v>165.26886630000001</v>
      </c>
      <c r="F31">
        <v>1740</v>
      </c>
      <c r="G31">
        <v>267</v>
      </c>
      <c r="H31" s="22">
        <v>117.70580099999999</v>
      </c>
      <c r="I31" s="22">
        <v>165.26886630000001</v>
      </c>
      <c r="K31">
        <v>113</v>
      </c>
      <c r="L31">
        <v>117.70580099999999</v>
      </c>
      <c r="M31">
        <v>326.01610629999999</v>
      </c>
      <c r="N31" s="22">
        <v>165.26886630000001</v>
      </c>
      <c r="P31">
        <v>2011</v>
      </c>
      <c r="Q31">
        <v>326.01610629999999</v>
      </c>
    </row>
    <row r="32" spans="1:17" x14ac:dyDescent="0.2">
      <c r="A32">
        <v>2012</v>
      </c>
      <c r="B32">
        <v>21740</v>
      </c>
      <c r="C32">
        <v>4</v>
      </c>
      <c r="D32" t="s">
        <v>698</v>
      </c>
      <c r="E32" s="22">
        <v>107.1237964</v>
      </c>
      <c r="F32">
        <v>1785</v>
      </c>
      <c r="G32">
        <v>267</v>
      </c>
      <c r="H32" s="22">
        <v>125.63312430000001</v>
      </c>
      <c r="I32" s="22">
        <v>107.1237964</v>
      </c>
      <c r="K32">
        <v>116</v>
      </c>
      <c r="L32">
        <v>125.63312430000001</v>
      </c>
      <c r="M32">
        <v>347.97284139999999</v>
      </c>
      <c r="N32" s="22">
        <v>107.1237964</v>
      </c>
      <c r="P32">
        <v>2012</v>
      </c>
      <c r="Q32">
        <v>347.97284139999999</v>
      </c>
    </row>
    <row r="33" spans="1:17" x14ac:dyDescent="0.2">
      <c r="A33">
        <v>2013</v>
      </c>
      <c r="B33">
        <v>21740</v>
      </c>
      <c r="C33">
        <v>4</v>
      </c>
      <c r="D33" t="s">
        <v>698</v>
      </c>
      <c r="E33" s="22">
        <v>66.526541449999996</v>
      </c>
      <c r="F33">
        <v>1847</v>
      </c>
      <c r="G33">
        <v>272</v>
      </c>
      <c r="H33" s="22">
        <v>149.0396494</v>
      </c>
      <c r="I33" s="22">
        <v>66.526541449999996</v>
      </c>
      <c r="K33">
        <v>120</v>
      </c>
      <c r="L33">
        <v>149.0396494</v>
      </c>
      <c r="M33">
        <v>412.8031565</v>
      </c>
      <c r="N33" s="22">
        <v>66.526541449999996</v>
      </c>
      <c r="P33">
        <v>2013</v>
      </c>
      <c r="Q33">
        <v>412.8031565</v>
      </c>
    </row>
    <row r="34" spans="1:17" x14ac:dyDescent="0.2">
      <c r="A34">
        <v>2014</v>
      </c>
      <c r="B34">
        <v>21740</v>
      </c>
      <c r="C34">
        <v>4</v>
      </c>
      <c r="D34" t="s">
        <v>698</v>
      </c>
      <c r="E34" s="22">
        <v>117.66416890000001</v>
      </c>
      <c r="F34">
        <v>2099</v>
      </c>
      <c r="G34">
        <v>316</v>
      </c>
      <c r="H34" s="22">
        <v>148.23068570000001</v>
      </c>
      <c r="I34" s="22">
        <v>117.66416890000001</v>
      </c>
      <c r="K34">
        <v>137</v>
      </c>
      <c r="L34">
        <v>148.23068570000001</v>
      </c>
      <c r="M34">
        <v>410.56252599999999</v>
      </c>
      <c r="N34" s="22">
        <v>117.66416890000001</v>
      </c>
      <c r="P34">
        <v>2014</v>
      </c>
      <c r="Q34">
        <v>410.56252599999999</v>
      </c>
    </row>
    <row r="35" spans="1:17" x14ac:dyDescent="0.2">
      <c r="A35">
        <v>2015</v>
      </c>
      <c r="B35">
        <v>21740</v>
      </c>
      <c r="C35">
        <v>4</v>
      </c>
      <c r="D35" t="s">
        <v>698</v>
      </c>
      <c r="E35" s="22">
        <v>103.6700104</v>
      </c>
      <c r="F35">
        <v>2320</v>
      </c>
      <c r="G35">
        <v>354</v>
      </c>
      <c r="H35" s="22">
        <v>202.8320846</v>
      </c>
      <c r="I35" s="22">
        <v>103.6700104</v>
      </c>
      <c r="K35">
        <v>151</v>
      </c>
      <c r="L35">
        <v>202.8320846</v>
      </c>
      <c r="M35">
        <v>561.79496600000004</v>
      </c>
      <c r="N35" s="22">
        <v>103.6700104</v>
      </c>
      <c r="P35">
        <v>2015</v>
      </c>
      <c r="Q35">
        <v>561.79496600000004</v>
      </c>
    </row>
    <row r="36" spans="1:17" x14ac:dyDescent="0.2">
      <c r="A36">
        <v>2016</v>
      </c>
      <c r="B36">
        <v>21740</v>
      </c>
      <c r="C36">
        <v>4</v>
      </c>
      <c r="D36" t="s">
        <v>698</v>
      </c>
      <c r="E36" s="22">
        <v>122.8399641</v>
      </c>
      <c r="F36">
        <v>1766</v>
      </c>
      <c r="G36">
        <v>342</v>
      </c>
      <c r="H36" s="22">
        <v>173.95898260000001</v>
      </c>
      <c r="I36" s="22">
        <v>122.8399641</v>
      </c>
      <c r="K36">
        <v>115</v>
      </c>
      <c r="L36">
        <v>173.95898260000001</v>
      </c>
      <c r="M36">
        <v>481.82357769999999</v>
      </c>
      <c r="N36" s="22">
        <v>122.8399641</v>
      </c>
      <c r="P36">
        <v>2016</v>
      </c>
      <c r="Q36">
        <v>481.82357769999999</v>
      </c>
    </row>
    <row r="37" spans="1:17" x14ac:dyDescent="0.2">
      <c r="A37">
        <v>2017</v>
      </c>
      <c r="B37">
        <v>21740</v>
      </c>
      <c r="C37">
        <v>4</v>
      </c>
      <c r="D37" t="s">
        <v>698</v>
      </c>
      <c r="E37" s="22">
        <v>234.588978</v>
      </c>
      <c r="F37">
        <v>1623</v>
      </c>
      <c r="G37">
        <v>339</v>
      </c>
      <c r="H37" s="22">
        <v>233.65919030000001</v>
      </c>
      <c r="I37" s="22">
        <v>234.588978</v>
      </c>
      <c r="K37">
        <v>105</v>
      </c>
      <c r="L37">
        <v>233.65919030000001</v>
      </c>
      <c r="M37">
        <v>647.17846350000002</v>
      </c>
      <c r="N37" s="22">
        <v>234.588978</v>
      </c>
      <c r="P37">
        <v>2017</v>
      </c>
      <c r="Q37">
        <v>647.17846350000002</v>
      </c>
    </row>
    <row r="38" spans="1:17" x14ac:dyDescent="0.2">
      <c r="A38">
        <v>2018</v>
      </c>
      <c r="B38">
        <v>21740</v>
      </c>
      <c r="C38">
        <v>4</v>
      </c>
      <c r="D38" t="s">
        <v>698</v>
      </c>
      <c r="E38" s="22">
        <v>158.32033670000001</v>
      </c>
      <c r="F38">
        <v>1486</v>
      </c>
      <c r="G38">
        <v>338</v>
      </c>
      <c r="H38" s="22">
        <v>99.32659701</v>
      </c>
      <c r="I38" s="22">
        <v>158.32033670000001</v>
      </c>
      <c r="K38">
        <v>100</v>
      </c>
      <c r="L38">
        <v>99.32659701</v>
      </c>
      <c r="M38">
        <v>275.11023360000002</v>
      </c>
      <c r="N38" s="22">
        <v>158.32033670000001</v>
      </c>
      <c r="P38">
        <v>2018</v>
      </c>
      <c r="Q38">
        <v>275.11023360000002</v>
      </c>
    </row>
    <row r="39" spans="1:17" x14ac:dyDescent="0.2">
      <c r="A39">
        <v>2019</v>
      </c>
      <c r="B39">
        <v>21740</v>
      </c>
      <c r="C39">
        <v>4</v>
      </c>
      <c r="D39" t="s">
        <v>698</v>
      </c>
      <c r="E39" s="22">
        <v>120.6785752</v>
      </c>
      <c r="F39">
        <v>1519</v>
      </c>
      <c r="G39">
        <v>312</v>
      </c>
      <c r="H39" s="22">
        <v>150.79931669999999</v>
      </c>
      <c r="I39" s="22">
        <v>120.6785752</v>
      </c>
      <c r="K39">
        <v>100</v>
      </c>
      <c r="L39">
        <v>150.79931669999999</v>
      </c>
      <c r="M39">
        <v>417.67700189999999</v>
      </c>
      <c r="N39" s="22">
        <v>120.6785752</v>
      </c>
      <c r="P39">
        <v>2019</v>
      </c>
      <c r="Q39">
        <v>417.67700189999999</v>
      </c>
    </row>
    <row r="40" spans="1:17" x14ac:dyDescent="0.2">
      <c r="A40">
        <v>2021</v>
      </c>
      <c r="B40">
        <v>21740</v>
      </c>
      <c r="C40">
        <v>4</v>
      </c>
      <c r="D40" t="s">
        <v>698</v>
      </c>
      <c r="E40" s="22">
        <v>149.47929600000001</v>
      </c>
      <c r="F40">
        <v>2050</v>
      </c>
      <c r="G40">
        <v>451</v>
      </c>
      <c r="H40" s="22">
        <v>128.82539349999999</v>
      </c>
      <c r="I40" s="22">
        <v>149.47929600000001</v>
      </c>
      <c r="K40">
        <v>100</v>
      </c>
      <c r="L40">
        <v>128.82539349999999</v>
      </c>
      <c r="M40">
        <v>356.81464149999999</v>
      </c>
      <c r="N40" s="22">
        <v>149.47929600000001</v>
      </c>
      <c r="P40">
        <v>2021</v>
      </c>
      <c r="Q40">
        <v>356.81464149999999</v>
      </c>
    </row>
    <row r="41" spans="1:17" x14ac:dyDescent="0.2">
      <c r="A41">
        <v>2022</v>
      </c>
      <c r="B41">
        <v>21740</v>
      </c>
      <c r="C41">
        <v>4</v>
      </c>
      <c r="D41" t="s">
        <v>698</v>
      </c>
      <c r="E41" s="22">
        <v>172.83410019999999</v>
      </c>
      <c r="F41">
        <v>1980</v>
      </c>
      <c r="G41">
        <v>448</v>
      </c>
      <c r="H41" s="22">
        <v>163.39779440000001</v>
      </c>
      <c r="I41" s="22">
        <v>172.83410019999999</v>
      </c>
      <c r="K41">
        <v>100</v>
      </c>
      <c r="L41">
        <v>163.39779440000001</v>
      </c>
      <c r="M41">
        <v>452.57168510000002</v>
      </c>
      <c r="N41" s="22">
        <v>172.83410019999999</v>
      </c>
      <c r="P41">
        <v>2022</v>
      </c>
      <c r="Q41">
        <v>452.57168510000002</v>
      </c>
    </row>
    <row r="42" spans="1:17" x14ac:dyDescent="0.2">
      <c r="A42">
        <v>2023</v>
      </c>
      <c r="B42">
        <v>21740</v>
      </c>
      <c r="C42">
        <v>4</v>
      </c>
      <c r="D42" t="s">
        <v>698</v>
      </c>
      <c r="E42" s="22">
        <v>126.77730939999999</v>
      </c>
      <c r="F42">
        <v>1677</v>
      </c>
      <c r="G42">
        <v>347</v>
      </c>
      <c r="H42" s="22">
        <v>147.6741682</v>
      </c>
      <c r="I42" s="22">
        <v>126.77730939999999</v>
      </c>
      <c r="K42">
        <v>100</v>
      </c>
      <c r="L42">
        <v>147.6741682</v>
      </c>
      <c r="N42" s="22">
        <v>126.77730939999999</v>
      </c>
    </row>
    <row r="43" spans="1:17" x14ac:dyDescent="0.2">
      <c r="A43">
        <v>2024</v>
      </c>
      <c r="B43">
        <v>21740</v>
      </c>
      <c r="C43">
        <v>4</v>
      </c>
      <c r="D43" t="s">
        <v>698</v>
      </c>
      <c r="E43" s="22">
        <v>64.214082270000006</v>
      </c>
      <c r="F43">
        <v>1526</v>
      </c>
      <c r="G43">
        <v>325</v>
      </c>
      <c r="H43" s="22">
        <v>150</v>
      </c>
      <c r="I43" s="22">
        <v>64.214082270000006</v>
      </c>
      <c r="N43" s="22">
        <v>64.214082270000006</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1565-5257-0542-BD57-C5B7D575D6A5}">
  <dimension ref="A1:BK456"/>
  <sheetViews>
    <sheetView showGridLines="0" tabSelected="1" topLeftCell="A311" zoomScale="25" workbookViewId="0">
      <selection activeCell="B322" sqref="B322:P322"/>
    </sheetView>
  </sheetViews>
  <sheetFormatPr baseColWidth="10" defaultRowHeight="16" x14ac:dyDescent="0.2"/>
  <cols>
    <col min="1" max="1" width="10.83203125" style="3"/>
  </cols>
  <sheetData>
    <row r="1" spans="2:62" x14ac:dyDescent="0.2">
      <c r="B1" t="s">
        <v>0</v>
      </c>
    </row>
    <row r="2" spans="2:62" x14ac:dyDescent="0.2">
      <c r="B2">
        <v>1964</v>
      </c>
    </row>
    <row r="3" spans="2:62" x14ac:dyDescent="0.2">
      <c r="B3" t="s">
        <v>1</v>
      </c>
    </row>
    <row r="4" spans="2:62" x14ac:dyDescent="0.2">
      <c r="B4">
        <v>1982</v>
      </c>
    </row>
    <row r="5" spans="2:62" x14ac:dyDescent="0.2">
      <c r="B5" t="s">
        <v>2</v>
      </c>
    </row>
    <row r="6" spans="2:62" x14ac:dyDescent="0.2">
      <c r="B6">
        <v>1994</v>
      </c>
    </row>
    <row r="7" spans="2:62" x14ac:dyDescent="0.2">
      <c r="B7" t="s">
        <v>3</v>
      </c>
    </row>
    <row r="8" spans="2:62" x14ac:dyDescent="0.2">
      <c r="B8">
        <v>2025</v>
      </c>
    </row>
    <row r="9" spans="2:62" x14ac:dyDescent="0.2">
      <c r="B9" t="s">
        <v>4</v>
      </c>
    </row>
    <row r="10" spans="2:62" x14ac:dyDescent="0.2">
      <c r="B10">
        <v>1</v>
      </c>
    </row>
    <row r="11" spans="2:62" x14ac:dyDescent="0.2">
      <c r="B11" t="s">
        <v>5</v>
      </c>
    </row>
    <row r="12" spans="2:62" x14ac:dyDescent="0.2">
      <c r="B12">
        <v>15</v>
      </c>
    </row>
    <row r="13" spans="2:62" x14ac:dyDescent="0.2">
      <c r="B13" t="s">
        <v>6</v>
      </c>
    </row>
    <row r="14" spans="2:62" x14ac:dyDescent="0.2">
      <c r="B14">
        <v>0</v>
      </c>
      <c r="C14">
        <v>8.0000000000000002E-3</v>
      </c>
      <c r="D14">
        <v>0.28899999999999998</v>
      </c>
      <c r="E14">
        <v>0.64100000000000001</v>
      </c>
      <c r="F14">
        <v>0.84199999999999997</v>
      </c>
      <c r="G14">
        <v>0.90100000000000002</v>
      </c>
      <c r="H14">
        <v>0.94699999999999995</v>
      </c>
      <c r="I14">
        <v>0.96299999999999997</v>
      </c>
      <c r="J14">
        <v>0.97</v>
      </c>
      <c r="K14">
        <v>1</v>
      </c>
      <c r="L14">
        <v>1</v>
      </c>
      <c r="M14">
        <v>1</v>
      </c>
      <c r="N14">
        <v>1</v>
      </c>
      <c r="O14">
        <v>1</v>
      </c>
      <c r="P14">
        <v>1</v>
      </c>
    </row>
    <row r="15" spans="2:62" x14ac:dyDescent="0.2">
      <c r="B15" t="s">
        <v>7</v>
      </c>
    </row>
    <row r="16" spans="2:62" x14ac:dyDescent="0.2">
      <c r="B16">
        <v>8</v>
      </c>
      <c r="C16">
        <v>7</v>
      </c>
      <c r="D16">
        <v>2</v>
      </c>
      <c r="E16">
        <v>9</v>
      </c>
      <c r="F16">
        <v>7</v>
      </c>
      <c r="G16">
        <v>7</v>
      </c>
      <c r="H16">
        <v>7</v>
      </c>
      <c r="I16">
        <v>7</v>
      </c>
      <c r="J16">
        <v>8</v>
      </c>
      <c r="K16">
        <v>6</v>
      </c>
      <c r="L16">
        <v>5</v>
      </c>
      <c r="M16">
        <v>7</v>
      </c>
      <c r="N16">
        <v>8</v>
      </c>
      <c r="O16">
        <v>8</v>
      </c>
      <c r="P16">
        <v>7</v>
      </c>
      <c r="Q16">
        <v>5</v>
      </c>
      <c r="R16">
        <v>4</v>
      </c>
      <c r="S16">
        <v>6</v>
      </c>
      <c r="T16">
        <v>7</v>
      </c>
      <c r="U16">
        <v>8</v>
      </c>
      <c r="V16">
        <v>3</v>
      </c>
      <c r="W16">
        <v>7</v>
      </c>
      <c r="X16">
        <v>7</v>
      </c>
      <c r="Y16">
        <v>7</v>
      </c>
      <c r="Z16">
        <v>7</v>
      </c>
      <c r="AA16">
        <v>8</v>
      </c>
      <c r="AB16">
        <v>4</v>
      </c>
      <c r="AC16">
        <v>6</v>
      </c>
      <c r="AD16">
        <v>2</v>
      </c>
      <c r="AE16">
        <v>1</v>
      </c>
      <c r="AF16">
        <v>6</v>
      </c>
      <c r="AG16">
        <v>6</v>
      </c>
      <c r="AH16">
        <v>4</v>
      </c>
      <c r="AI16">
        <v>4</v>
      </c>
      <c r="AJ16">
        <v>10</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c r="BI16">
        <v>4</v>
      </c>
      <c r="BJ16">
        <v>4</v>
      </c>
    </row>
    <row r="17" spans="1:62" x14ac:dyDescent="0.2">
      <c r="B17">
        <v>5</v>
      </c>
      <c r="C17">
        <v>6</v>
      </c>
      <c r="D17">
        <v>6</v>
      </c>
      <c r="E17">
        <v>8</v>
      </c>
      <c r="F17">
        <v>5</v>
      </c>
      <c r="G17">
        <v>8</v>
      </c>
      <c r="H17">
        <v>5</v>
      </c>
      <c r="I17">
        <v>4</v>
      </c>
      <c r="J17">
        <v>8</v>
      </c>
      <c r="K17">
        <v>4</v>
      </c>
      <c r="L17">
        <v>5</v>
      </c>
      <c r="M17">
        <v>5</v>
      </c>
      <c r="N17">
        <v>6</v>
      </c>
      <c r="O17">
        <v>5</v>
      </c>
      <c r="P17">
        <v>8</v>
      </c>
      <c r="Q17">
        <v>11</v>
      </c>
      <c r="R17">
        <v>6</v>
      </c>
      <c r="S17">
        <v>7</v>
      </c>
      <c r="T17">
        <v>9</v>
      </c>
      <c r="U17">
        <v>10</v>
      </c>
      <c r="V17">
        <v>4</v>
      </c>
      <c r="W17">
        <v>4</v>
      </c>
      <c r="X17">
        <v>6</v>
      </c>
      <c r="Y17">
        <v>5</v>
      </c>
      <c r="Z17">
        <v>7</v>
      </c>
      <c r="AA17">
        <v>9</v>
      </c>
      <c r="AB17">
        <v>5</v>
      </c>
      <c r="AC17">
        <v>7</v>
      </c>
      <c r="AD17">
        <v>3</v>
      </c>
      <c r="AE17">
        <v>5</v>
      </c>
      <c r="AF17">
        <v>3</v>
      </c>
      <c r="AG17">
        <v>5</v>
      </c>
      <c r="AH17">
        <v>4</v>
      </c>
      <c r="AI17">
        <v>6</v>
      </c>
      <c r="AJ17">
        <v>11</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v>4</v>
      </c>
    </row>
    <row r="18" spans="1:62" x14ac:dyDescent="0.2">
      <c r="B18" t="s">
        <v>8</v>
      </c>
    </row>
    <row r="19" spans="1:62" x14ac:dyDescent="0.2">
      <c r="A19" s="3">
        <v>1964</v>
      </c>
      <c r="B19">
        <v>6.6E-3</v>
      </c>
      <c r="C19">
        <v>0.17</v>
      </c>
      <c r="D19">
        <v>0.30299999999999999</v>
      </c>
      <c r="E19">
        <v>0.44700000000000001</v>
      </c>
      <c r="F19">
        <v>0.58899999999999997</v>
      </c>
      <c r="G19">
        <v>0.72199999999999998</v>
      </c>
      <c r="H19">
        <v>0.84</v>
      </c>
      <c r="I19">
        <v>0.94199999999999995</v>
      </c>
      <c r="J19">
        <v>1.0289999999999999</v>
      </c>
      <c r="K19">
        <v>1.1020000000000001</v>
      </c>
      <c r="L19">
        <v>1.163</v>
      </c>
      <c r="M19">
        <v>1.212</v>
      </c>
      <c r="N19">
        <v>1.2529999999999999</v>
      </c>
      <c r="O19">
        <v>1.286</v>
      </c>
      <c r="P19">
        <v>1.3120000000000001</v>
      </c>
    </row>
    <row r="20" spans="1:62" x14ac:dyDescent="0.2">
      <c r="A20" s="3">
        <f>A19+1</f>
        <v>1965</v>
      </c>
      <c r="B20">
        <v>6.6E-3</v>
      </c>
      <c r="C20">
        <v>0.17</v>
      </c>
      <c r="D20">
        <v>0.30299999999999999</v>
      </c>
      <c r="E20">
        <v>0.44700000000000001</v>
      </c>
      <c r="F20">
        <v>0.58899999999999997</v>
      </c>
      <c r="G20">
        <v>0.72199999999999998</v>
      </c>
      <c r="H20">
        <v>0.84</v>
      </c>
      <c r="I20">
        <v>0.94199999999999995</v>
      </c>
      <c r="J20">
        <v>1.0289999999999999</v>
      </c>
      <c r="K20">
        <v>1.1020000000000001</v>
      </c>
      <c r="L20">
        <v>1.163</v>
      </c>
      <c r="M20">
        <v>1.212</v>
      </c>
      <c r="N20">
        <v>1.2529999999999999</v>
      </c>
      <c r="O20">
        <v>1.286</v>
      </c>
      <c r="P20">
        <v>1.3120000000000001</v>
      </c>
    </row>
    <row r="21" spans="1:62" x14ac:dyDescent="0.2">
      <c r="A21" s="3">
        <f t="shared" ref="A21:A79" si="0">A20+1</f>
        <v>1966</v>
      </c>
      <c r="B21">
        <v>6.6E-3</v>
      </c>
      <c r="C21">
        <v>0.17</v>
      </c>
      <c r="D21">
        <v>0.30299999999999999</v>
      </c>
      <c r="E21">
        <v>0.44700000000000001</v>
      </c>
      <c r="F21">
        <v>0.58899999999999997</v>
      </c>
      <c r="G21">
        <v>0.72199999999999998</v>
      </c>
      <c r="H21">
        <v>0.84</v>
      </c>
      <c r="I21">
        <v>0.94199999999999995</v>
      </c>
      <c r="J21">
        <v>1.0289999999999999</v>
      </c>
      <c r="K21">
        <v>1.1020000000000001</v>
      </c>
      <c r="L21">
        <v>1.163</v>
      </c>
      <c r="M21">
        <v>1.212</v>
      </c>
      <c r="N21">
        <v>1.2529999999999999</v>
      </c>
      <c r="O21">
        <v>1.286</v>
      </c>
      <c r="P21">
        <v>1.3120000000000001</v>
      </c>
    </row>
    <row r="22" spans="1:62" x14ac:dyDescent="0.2">
      <c r="A22" s="3">
        <f t="shared" si="0"/>
        <v>1967</v>
      </c>
      <c r="B22">
        <v>6.6E-3</v>
      </c>
      <c r="C22">
        <v>0.17</v>
      </c>
      <c r="D22">
        <v>0.30299999999999999</v>
      </c>
      <c r="E22">
        <v>0.44700000000000001</v>
      </c>
      <c r="F22">
        <v>0.58899999999999997</v>
      </c>
      <c r="G22">
        <v>0.72199999999999998</v>
      </c>
      <c r="H22">
        <v>0.84</v>
      </c>
      <c r="I22">
        <v>0.94199999999999995</v>
      </c>
      <c r="J22">
        <v>1.0289999999999999</v>
      </c>
      <c r="K22">
        <v>1.1020000000000001</v>
      </c>
      <c r="L22">
        <v>1.163</v>
      </c>
      <c r="M22">
        <v>1.212</v>
      </c>
      <c r="N22">
        <v>1.2529999999999999</v>
      </c>
      <c r="O22">
        <v>1.286</v>
      </c>
      <c r="P22">
        <v>1.3120000000000001</v>
      </c>
    </row>
    <row r="23" spans="1:62" x14ac:dyDescent="0.2">
      <c r="A23" s="3">
        <f t="shared" si="0"/>
        <v>1968</v>
      </c>
      <c r="B23">
        <v>6.6E-3</v>
      </c>
      <c r="C23">
        <v>0.17</v>
      </c>
      <c r="D23">
        <v>0.30299999999999999</v>
      </c>
      <c r="E23">
        <v>0.44700000000000001</v>
      </c>
      <c r="F23">
        <v>0.58899999999999997</v>
      </c>
      <c r="G23">
        <v>0.72199999999999998</v>
      </c>
      <c r="H23">
        <v>0.84</v>
      </c>
      <c r="I23">
        <v>0.94199999999999995</v>
      </c>
      <c r="J23">
        <v>1.0289999999999999</v>
      </c>
      <c r="K23">
        <v>1.1020000000000001</v>
      </c>
      <c r="L23">
        <v>1.163</v>
      </c>
      <c r="M23">
        <v>1.212</v>
      </c>
      <c r="N23">
        <v>1.2529999999999999</v>
      </c>
      <c r="O23">
        <v>1.286</v>
      </c>
      <c r="P23">
        <v>1.3120000000000001</v>
      </c>
    </row>
    <row r="24" spans="1:62" x14ac:dyDescent="0.2">
      <c r="A24" s="3">
        <f t="shared" si="0"/>
        <v>1969</v>
      </c>
      <c r="B24">
        <v>6.6E-3</v>
      </c>
      <c r="C24">
        <v>0.17</v>
      </c>
      <c r="D24">
        <v>0.30299999999999999</v>
      </c>
      <c r="E24">
        <v>0.44700000000000001</v>
      </c>
      <c r="F24">
        <v>0.58899999999999997</v>
      </c>
      <c r="G24">
        <v>0.72199999999999998</v>
      </c>
      <c r="H24">
        <v>0.84</v>
      </c>
      <c r="I24">
        <v>0.94199999999999995</v>
      </c>
      <c r="J24">
        <v>1.0289999999999999</v>
      </c>
      <c r="K24">
        <v>1.1020000000000001</v>
      </c>
      <c r="L24">
        <v>1.163</v>
      </c>
      <c r="M24">
        <v>1.212</v>
      </c>
      <c r="N24">
        <v>1.2529999999999999</v>
      </c>
      <c r="O24">
        <v>1.286</v>
      </c>
      <c r="P24">
        <v>1.3120000000000001</v>
      </c>
    </row>
    <row r="25" spans="1:62" x14ac:dyDescent="0.2">
      <c r="A25" s="3">
        <f t="shared" si="0"/>
        <v>1970</v>
      </c>
      <c r="B25">
        <v>6.6E-3</v>
      </c>
      <c r="C25">
        <v>0.17</v>
      </c>
      <c r="D25">
        <v>0.30299999999999999</v>
      </c>
      <c r="E25">
        <v>0.44700000000000001</v>
      </c>
      <c r="F25">
        <v>0.58899999999999997</v>
      </c>
      <c r="G25">
        <v>0.72199999999999998</v>
      </c>
      <c r="H25">
        <v>0.84</v>
      </c>
      <c r="I25">
        <v>0.94199999999999995</v>
      </c>
      <c r="J25">
        <v>1.0289999999999999</v>
      </c>
      <c r="K25">
        <v>1.1020000000000001</v>
      </c>
      <c r="L25">
        <v>1.163</v>
      </c>
      <c r="M25">
        <v>1.212</v>
      </c>
      <c r="N25">
        <v>1.2529999999999999</v>
      </c>
      <c r="O25">
        <v>1.286</v>
      </c>
      <c r="P25">
        <v>1.3120000000000001</v>
      </c>
    </row>
    <row r="26" spans="1:62" x14ac:dyDescent="0.2">
      <c r="A26" s="3">
        <f t="shared" si="0"/>
        <v>1971</v>
      </c>
      <c r="B26">
        <v>6.6E-3</v>
      </c>
      <c r="C26">
        <v>0.17</v>
      </c>
      <c r="D26">
        <v>0.30299999999999999</v>
      </c>
      <c r="E26">
        <v>0.44700000000000001</v>
      </c>
      <c r="F26">
        <v>0.58899999999999997</v>
      </c>
      <c r="G26">
        <v>0.72199999999999998</v>
      </c>
      <c r="H26">
        <v>0.84</v>
      </c>
      <c r="I26">
        <v>0.94199999999999995</v>
      </c>
      <c r="J26">
        <v>1.0289999999999999</v>
      </c>
      <c r="K26">
        <v>1.1020000000000001</v>
      </c>
      <c r="L26">
        <v>1.163</v>
      </c>
      <c r="M26">
        <v>1.212</v>
      </c>
      <c r="N26">
        <v>1.2529999999999999</v>
      </c>
      <c r="O26">
        <v>1.286</v>
      </c>
      <c r="P26">
        <v>1.3120000000000001</v>
      </c>
    </row>
    <row r="27" spans="1:62" x14ac:dyDescent="0.2">
      <c r="A27" s="3">
        <f t="shared" si="0"/>
        <v>1972</v>
      </c>
      <c r="B27">
        <v>6.6E-3</v>
      </c>
      <c r="C27">
        <v>0.17</v>
      </c>
      <c r="D27">
        <v>0.30299999999999999</v>
      </c>
      <c r="E27">
        <v>0.44700000000000001</v>
      </c>
      <c r="F27">
        <v>0.58899999999999997</v>
      </c>
      <c r="G27">
        <v>0.72199999999999998</v>
      </c>
      <c r="H27">
        <v>0.84</v>
      </c>
      <c r="I27">
        <v>0.94199999999999995</v>
      </c>
      <c r="J27">
        <v>1.0289999999999999</v>
      </c>
      <c r="K27">
        <v>1.1020000000000001</v>
      </c>
      <c r="L27">
        <v>1.163</v>
      </c>
      <c r="M27">
        <v>1.212</v>
      </c>
      <c r="N27">
        <v>1.2529999999999999</v>
      </c>
      <c r="O27">
        <v>1.286</v>
      </c>
      <c r="P27">
        <v>1.3120000000000001</v>
      </c>
    </row>
    <row r="28" spans="1:62" x14ac:dyDescent="0.2">
      <c r="A28" s="3">
        <f t="shared" si="0"/>
        <v>1973</v>
      </c>
      <c r="B28">
        <v>6.6E-3</v>
      </c>
      <c r="C28">
        <v>0.17</v>
      </c>
      <c r="D28">
        <v>0.30299999999999999</v>
      </c>
      <c r="E28">
        <v>0.44700000000000001</v>
      </c>
      <c r="F28">
        <v>0.58899999999999997</v>
      </c>
      <c r="G28">
        <v>0.72199999999999998</v>
      </c>
      <c r="H28">
        <v>0.84</v>
      </c>
      <c r="I28">
        <v>0.94199999999999995</v>
      </c>
      <c r="J28">
        <v>1.0289999999999999</v>
      </c>
      <c r="K28">
        <v>1.1020000000000001</v>
      </c>
      <c r="L28">
        <v>1.163</v>
      </c>
      <c r="M28">
        <v>1.212</v>
      </c>
      <c r="N28">
        <v>1.2529999999999999</v>
      </c>
      <c r="O28">
        <v>1.286</v>
      </c>
      <c r="P28">
        <v>1.3120000000000001</v>
      </c>
    </row>
    <row r="29" spans="1:62" x14ac:dyDescent="0.2">
      <c r="A29" s="3">
        <f t="shared" si="0"/>
        <v>1974</v>
      </c>
      <c r="B29">
        <v>6.6E-3</v>
      </c>
      <c r="C29">
        <v>0.17</v>
      </c>
      <c r="D29">
        <v>0.30299999999999999</v>
      </c>
      <c r="E29">
        <v>0.44700000000000001</v>
      </c>
      <c r="F29">
        <v>0.58899999999999997</v>
      </c>
      <c r="G29">
        <v>0.72199999999999998</v>
      </c>
      <c r="H29">
        <v>0.84</v>
      </c>
      <c r="I29">
        <v>0.94199999999999995</v>
      </c>
      <c r="J29">
        <v>1.0289999999999999</v>
      </c>
      <c r="K29">
        <v>1.1020000000000001</v>
      </c>
      <c r="L29">
        <v>1.163</v>
      </c>
      <c r="M29">
        <v>1.212</v>
      </c>
      <c r="N29">
        <v>1.2529999999999999</v>
      </c>
      <c r="O29">
        <v>1.286</v>
      </c>
      <c r="P29">
        <v>1.3120000000000001</v>
      </c>
    </row>
    <row r="30" spans="1:62" x14ac:dyDescent="0.2">
      <c r="A30" s="3">
        <f t="shared" si="0"/>
        <v>1975</v>
      </c>
      <c r="B30">
        <v>6.6E-3</v>
      </c>
      <c r="C30">
        <v>0.17</v>
      </c>
      <c r="D30">
        <v>0.30299999999999999</v>
      </c>
      <c r="E30">
        <v>0.44700000000000001</v>
      </c>
      <c r="F30">
        <v>0.58899999999999997</v>
      </c>
      <c r="G30">
        <v>0.72199999999999998</v>
      </c>
      <c r="H30">
        <v>0.84</v>
      </c>
      <c r="I30">
        <v>0.94199999999999995</v>
      </c>
      <c r="J30">
        <v>1.0289999999999999</v>
      </c>
      <c r="K30">
        <v>1.1020000000000001</v>
      </c>
      <c r="L30">
        <v>1.163</v>
      </c>
      <c r="M30">
        <v>1.212</v>
      </c>
      <c r="N30">
        <v>1.2529999999999999</v>
      </c>
      <c r="O30">
        <v>1.286</v>
      </c>
      <c r="P30">
        <v>1.3120000000000001</v>
      </c>
    </row>
    <row r="31" spans="1:62" x14ac:dyDescent="0.2">
      <c r="A31" s="3">
        <f t="shared" si="0"/>
        <v>1976</v>
      </c>
      <c r="B31">
        <v>6.6E-3</v>
      </c>
      <c r="C31">
        <v>0.17</v>
      </c>
      <c r="D31">
        <v>0.30299999999999999</v>
      </c>
      <c r="E31">
        <v>0.44700000000000001</v>
      </c>
      <c r="F31">
        <v>0.58899999999999997</v>
      </c>
      <c r="G31">
        <v>0.72199999999999998</v>
      </c>
      <c r="H31">
        <v>0.84</v>
      </c>
      <c r="I31">
        <v>0.94199999999999995</v>
      </c>
      <c r="J31">
        <v>1.0289999999999999</v>
      </c>
      <c r="K31">
        <v>1.1020000000000001</v>
      </c>
      <c r="L31">
        <v>1.163</v>
      </c>
      <c r="M31">
        <v>1.212</v>
      </c>
      <c r="N31">
        <v>1.2529999999999999</v>
      </c>
      <c r="O31">
        <v>1.286</v>
      </c>
      <c r="P31">
        <v>1.3120000000000001</v>
      </c>
    </row>
    <row r="32" spans="1:62" x14ac:dyDescent="0.2">
      <c r="A32" s="3">
        <f t="shared" si="0"/>
        <v>1977</v>
      </c>
      <c r="B32">
        <v>6.6E-3</v>
      </c>
      <c r="C32">
        <v>0.17</v>
      </c>
      <c r="D32">
        <v>0.30299999999999999</v>
      </c>
      <c r="E32">
        <v>0.44700000000000001</v>
      </c>
      <c r="F32">
        <v>0.58899999999999997</v>
      </c>
      <c r="G32">
        <v>0.72199999999999998</v>
      </c>
      <c r="H32">
        <v>0.84</v>
      </c>
      <c r="I32">
        <v>0.94199999999999995</v>
      </c>
      <c r="J32">
        <v>1.0289999999999999</v>
      </c>
      <c r="K32">
        <v>1.1020000000000001</v>
      </c>
      <c r="L32">
        <v>1.163</v>
      </c>
      <c r="M32">
        <v>1.212</v>
      </c>
      <c r="N32">
        <v>1.2529999999999999</v>
      </c>
      <c r="O32">
        <v>1.286</v>
      </c>
      <c r="P32">
        <v>1.3120000000000001</v>
      </c>
    </row>
    <row r="33" spans="1:16" x14ac:dyDescent="0.2">
      <c r="A33" s="3">
        <f t="shared" si="0"/>
        <v>1978</v>
      </c>
      <c r="B33">
        <v>6.6E-3</v>
      </c>
      <c r="C33">
        <v>0.17</v>
      </c>
      <c r="D33">
        <v>0.30299999999999999</v>
      </c>
      <c r="E33">
        <v>0.44700000000000001</v>
      </c>
      <c r="F33">
        <v>0.58899999999999997</v>
      </c>
      <c r="G33">
        <v>0.72199999999999998</v>
      </c>
      <c r="H33">
        <v>0.84</v>
      </c>
      <c r="I33">
        <v>0.94199999999999995</v>
      </c>
      <c r="J33">
        <v>1.0289999999999999</v>
      </c>
      <c r="K33">
        <v>1.1020000000000001</v>
      </c>
      <c r="L33">
        <v>1.163</v>
      </c>
      <c r="M33">
        <v>1.212</v>
      </c>
      <c r="N33">
        <v>1.2529999999999999</v>
      </c>
      <c r="O33">
        <v>1.286</v>
      </c>
      <c r="P33">
        <v>1.3120000000000001</v>
      </c>
    </row>
    <row r="34" spans="1:16" x14ac:dyDescent="0.2">
      <c r="A34" s="3">
        <f t="shared" si="0"/>
        <v>1979</v>
      </c>
      <c r="B34">
        <v>6.6E-3</v>
      </c>
      <c r="C34">
        <v>0.17</v>
      </c>
      <c r="D34">
        <v>0.30299999999999999</v>
      </c>
      <c r="E34">
        <v>0.44700000000000001</v>
      </c>
      <c r="F34">
        <v>0.58899999999999997</v>
      </c>
      <c r="G34">
        <v>0.72199999999999998</v>
      </c>
      <c r="H34">
        <v>0.84</v>
      </c>
      <c r="I34">
        <v>0.94199999999999995</v>
      </c>
      <c r="J34">
        <v>1.0289999999999999</v>
      </c>
      <c r="K34">
        <v>1.1020000000000001</v>
      </c>
      <c r="L34">
        <v>1.163</v>
      </c>
      <c r="M34">
        <v>1.212</v>
      </c>
      <c r="N34">
        <v>1.2529999999999999</v>
      </c>
      <c r="O34">
        <v>1.286</v>
      </c>
      <c r="P34">
        <v>1.3120000000000001</v>
      </c>
    </row>
    <row r="35" spans="1:16" x14ac:dyDescent="0.2">
      <c r="A35" s="3">
        <f t="shared" si="0"/>
        <v>1980</v>
      </c>
      <c r="B35">
        <v>6.6E-3</v>
      </c>
      <c r="C35">
        <v>0.17</v>
      </c>
      <c r="D35">
        <v>0.30299999999999999</v>
      </c>
      <c r="E35">
        <v>0.44700000000000001</v>
      </c>
      <c r="F35">
        <v>0.58899999999999997</v>
      </c>
      <c r="G35">
        <v>0.72199999999999998</v>
      </c>
      <c r="H35">
        <v>0.84</v>
      </c>
      <c r="I35">
        <v>0.94199999999999995</v>
      </c>
      <c r="J35">
        <v>1.0289999999999999</v>
      </c>
      <c r="K35">
        <v>1.1020000000000001</v>
      </c>
      <c r="L35">
        <v>1.163</v>
      </c>
      <c r="M35">
        <v>1.212</v>
      </c>
      <c r="N35">
        <v>1.2529999999999999</v>
      </c>
      <c r="O35">
        <v>1.286</v>
      </c>
      <c r="P35">
        <v>1.3120000000000001</v>
      </c>
    </row>
    <row r="36" spans="1:16" x14ac:dyDescent="0.2">
      <c r="A36" s="3">
        <f t="shared" si="0"/>
        <v>1981</v>
      </c>
      <c r="B36">
        <v>6.6E-3</v>
      </c>
      <c r="C36">
        <v>0.17</v>
      </c>
      <c r="D36">
        <v>0.30299999999999999</v>
      </c>
      <c r="E36">
        <v>0.44700000000000001</v>
      </c>
      <c r="F36">
        <v>0.58899999999999997</v>
      </c>
      <c r="G36">
        <v>0.72199999999999998</v>
      </c>
      <c r="H36">
        <v>0.84</v>
      </c>
      <c r="I36">
        <v>0.94199999999999995</v>
      </c>
      <c r="J36">
        <v>1.0289999999999999</v>
      </c>
      <c r="K36">
        <v>1.1020000000000001</v>
      </c>
      <c r="L36">
        <v>1.163</v>
      </c>
      <c r="M36">
        <v>1.212</v>
      </c>
      <c r="N36">
        <v>1.2529999999999999</v>
      </c>
      <c r="O36">
        <v>1.286</v>
      </c>
      <c r="P36">
        <v>1.3120000000000001</v>
      </c>
    </row>
    <row r="37" spans="1:16" x14ac:dyDescent="0.2">
      <c r="A37" s="3">
        <f t="shared" si="0"/>
        <v>1982</v>
      </c>
      <c r="B37">
        <v>6.6E-3</v>
      </c>
      <c r="C37">
        <v>0.17</v>
      </c>
      <c r="D37">
        <v>0.30299999999999999</v>
      </c>
      <c r="E37">
        <v>0.44700000000000001</v>
      </c>
      <c r="F37">
        <v>0.58899999999999997</v>
      </c>
      <c r="G37">
        <v>0.72199999999999998</v>
      </c>
      <c r="H37">
        <v>0.84</v>
      </c>
      <c r="I37">
        <v>0.94199999999999995</v>
      </c>
      <c r="J37">
        <v>1.0289999999999999</v>
      </c>
      <c r="K37">
        <v>1.1020000000000001</v>
      </c>
      <c r="L37">
        <v>1.163</v>
      </c>
      <c r="M37">
        <v>1.212</v>
      </c>
      <c r="N37">
        <v>1.2529999999999999</v>
      </c>
      <c r="O37">
        <v>1.286</v>
      </c>
      <c r="P37">
        <v>1.3120000000000001</v>
      </c>
    </row>
    <row r="38" spans="1:16" x14ac:dyDescent="0.2">
      <c r="A38" s="3">
        <f t="shared" si="0"/>
        <v>1983</v>
      </c>
      <c r="B38">
        <v>6.6E-3</v>
      </c>
      <c r="C38">
        <v>0.17</v>
      </c>
      <c r="D38">
        <v>0.30299999999999999</v>
      </c>
      <c r="E38">
        <v>0.44700000000000001</v>
      </c>
      <c r="F38">
        <v>0.58899999999999997</v>
      </c>
      <c r="G38">
        <v>0.72199999999999998</v>
      </c>
      <c r="H38">
        <v>0.84</v>
      </c>
      <c r="I38">
        <v>0.94199999999999995</v>
      </c>
      <c r="J38">
        <v>1.0289999999999999</v>
      </c>
      <c r="K38">
        <v>1.1020000000000001</v>
      </c>
      <c r="L38">
        <v>1.163</v>
      </c>
      <c r="M38">
        <v>1.212</v>
      </c>
      <c r="N38">
        <v>1.2529999999999999</v>
      </c>
      <c r="O38">
        <v>1.286</v>
      </c>
      <c r="P38">
        <v>1.3120000000000001</v>
      </c>
    </row>
    <row r="39" spans="1:16" x14ac:dyDescent="0.2">
      <c r="A39" s="3">
        <f t="shared" si="0"/>
        <v>1984</v>
      </c>
      <c r="B39">
        <v>6.6E-3</v>
      </c>
      <c r="C39">
        <v>0.17</v>
      </c>
      <c r="D39">
        <v>0.30299999999999999</v>
      </c>
      <c r="E39">
        <v>0.44700000000000001</v>
      </c>
      <c r="F39">
        <v>0.58899999999999997</v>
      </c>
      <c r="G39">
        <v>0.72199999999999998</v>
      </c>
      <c r="H39">
        <v>0.84</v>
      </c>
      <c r="I39">
        <v>0.94199999999999995</v>
      </c>
      <c r="J39">
        <v>1.0289999999999999</v>
      </c>
      <c r="K39">
        <v>1.1020000000000001</v>
      </c>
      <c r="L39">
        <v>1.163</v>
      </c>
      <c r="M39">
        <v>1.212</v>
      </c>
      <c r="N39">
        <v>1.2529999999999999</v>
      </c>
      <c r="O39">
        <v>1.286</v>
      </c>
      <c r="P39">
        <v>1.3120000000000001</v>
      </c>
    </row>
    <row r="40" spans="1:16" x14ac:dyDescent="0.2">
      <c r="A40" s="3">
        <f t="shared" si="0"/>
        <v>1985</v>
      </c>
      <c r="B40">
        <v>6.6E-3</v>
      </c>
      <c r="C40">
        <v>0.17</v>
      </c>
      <c r="D40">
        <v>0.30299999999999999</v>
      </c>
      <c r="E40">
        <v>0.44700000000000001</v>
      </c>
      <c r="F40">
        <v>0.58899999999999997</v>
      </c>
      <c r="G40">
        <v>0.72199999999999998</v>
      </c>
      <c r="H40">
        <v>0.84</v>
      </c>
      <c r="I40">
        <v>0.94199999999999995</v>
      </c>
      <c r="J40">
        <v>1.0289999999999999</v>
      </c>
      <c r="K40">
        <v>1.1020000000000001</v>
      </c>
      <c r="L40">
        <v>1.163</v>
      </c>
      <c r="M40">
        <v>1.212</v>
      </c>
      <c r="N40">
        <v>1.2529999999999999</v>
      </c>
      <c r="O40">
        <v>1.286</v>
      </c>
      <c r="P40">
        <v>1.3120000000000001</v>
      </c>
    </row>
    <row r="41" spans="1:16" x14ac:dyDescent="0.2">
      <c r="A41" s="3">
        <f t="shared" si="0"/>
        <v>1986</v>
      </c>
      <c r="B41">
        <v>6.6E-3</v>
      </c>
      <c r="C41">
        <v>0.17</v>
      </c>
      <c r="D41">
        <v>0.30299999999999999</v>
      </c>
      <c r="E41">
        <v>0.44700000000000001</v>
      </c>
      <c r="F41">
        <v>0.58899999999999997</v>
      </c>
      <c r="G41">
        <v>0.72199999999999998</v>
      </c>
      <c r="H41">
        <v>0.84</v>
      </c>
      <c r="I41">
        <v>0.94199999999999995</v>
      </c>
      <c r="J41">
        <v>1.0289999999999999</v>
      </c>
      <c r="K41">
        <v>1.1020000000000001</v>
      </c>
      <c r="L41">
        <v>1.163</v>
      </c>
      <c r="M41">
        <v>1.212</v>
      </c>
      <c r="N41">
        <v>1.2529999999999999</v>
      </c>
      <c r="O41">
        <v>1.286</v>
      </c>
      <c r="P41">
        <v>1.3120000000000001</v>
      </c>
    </row>
    <row r="42" spans="1:16" x14ac:dyDescent="0.2">
      <c r="A42" s="3">
        <f t="shared" si="0"/>
        <v>1987</v>
      </c>
      <c r="B42">
        <v>6.6E-3</v>
      </c>
      <c r="C42">
        <v>0.17</v>
      </c>
      <c r="D42">
        <v>0.30299999999999999</v>
      </c>
      <c r="E42">
        <v>0.44700000000000001</v>
      </c>
      <c r="F42">
        <v>0.58899999999999997</v>
      </c>
      <c r="G42">
        <v>0.72199999999999998</v>
      </c>
      <c r="H42">
        <v>0.84</v>
      </c>
      <c r="I42">
        <v>0.94199999999999995</v>
      </c>
      <c r="J42">
        <v>1.0289999999999999</v>
      </c>
      <c r="K42">
        <v>1.1020000000000001</v>
      </c>
      <c r="L42">
        <v>1.163</v>
      </c>
      <c r="M42">
        <v>1.212</v>
      </c>
      <c r="N42">
        <v>1.2529999999999999</v>
      </c>
      <c r="O42">
        <v>1.286</v>
      </c>
      <c r="P42">
        <v>1.3120000000000001</v>
      </c>
    </row>
    <row r="43" spans="1:16" x14ac:dyDescent="0.2">
      <c r="A43" s="3">
        <f t="shared" si="0"/>
        <v>1988</v>
      </c>
      <c r="B43">
        <v>6.6E-3</v>
      </c>
      <c r="C43">
        <v>0.17</v>
      </c>
      <c r="D43">
        <v>0.30299999999999999</v>
      </c>
      <c r="E43">
        <v>0.44700000000000001</v>
      </c>
      <c r="F43">
        <v>0.58899999999999997</v>
      </c>
      <c r="G43">
        <v>0.72199999999999998</v>
      </c>
      <c r="H43">
        <v>0.84</v>
      </c>
      <c r="I43">
        <v>0.94199999999999995</v>
      </c>
      <c r="J43">
        <v>1.0289999999999999</v>
      </c>
      <c r="K43">
        <v>1.1020000000000001</v>
      </c>
      <c r="L43">
        <v>1.163</v>
      </c>
      <c r="M43">
        <v>1.212</v>
      </c>
      <c r="N43">
        <v>1.2529999999999999</v>
      </c>
      <c r="O43">
        <v>1.286</v>
      </c>
      <c r="P43">
        <v>1.3120000000000001</v>
      </c>
    </row>
    <row r="44" spans="1:16" x14ac:dyDescent="0.2">
      <c r="A44" s="3">
        <f t="shared" si="0"/>
        <v>1989</v>
      </c>
      <c r="B44">
        <v>6.6E-3</v>
      </c>
      <c r="C44">
        <v>0.17</v>
      </c>
      <c r="D44">
        <v>0.30299999999999999</v>
      </c>
      <c r="E44">
        <v>0.44700000000000001</v>
      </c>
      <c r="F44">
        <v>0.58899999999999997</v>
      </c>
      <c r="G44">
        <v>0.72199999999999998</v>
      </c>
      <c r="H44">
        <v>0.84</v>
      </c>
      <c r="I44">
        <v>0.94199999999999995</v>
      </c>
      <c r="J44">
        <v>1.0289999999999999</v>
      </c>
      <c r="K44">
        <v>1.1020000000000001</v>
      </c>
      <c r="L44">
        <v>1.163</v>
      </c>
      <c r="M44">
        <v>1.212</v>
      </c>
      <c r="N44">
        <v>1.2529999999999999</v>
      </c>
      <c r="O44">
        <v>1.286</v>
      </c>
      <c r="P44">
        <v>1.3120000000000001</v>
      </c>
    </row>
    <row r="45" spans="1:16" x14ac:dyDescent="0.2">
      <c r="A45" s="3">
        <f t="shared" si="0"/>
        <v>1990</v>
      </c>
      <c r="B45">
        <v>6.6E-3</v>
      </c>
      <c r="C45">
        <v>0.17</v>
      </c>
      <c r="D45">
        <v>0.30299999999999999</v>
      </c>
      <c r="E45">
        <v>0.44700000000000001</v>
      </c>
      <c r="F45">
        <v>0.58899999999999997</v>
      </c>
      <c r="G45">
        <v>0.72199999999999998</v>
      </c>
      <c r="H45">
        <v>0.84</v>
      </c>
      <c r="I45">
        <v>0.94199999999999995</v>
      </c>
      <c r="J45">
        <v>1.0289999999999999</v>
      </c>
      <c r="K45">
        <v>1.1020000000000001</v>
      </c>
      <c r="L45">
        <v>1.163</v>
      </c>
      <c r="M45">
        <v>1.212</v>
      </c>
      <c r="N45">
        <v>1.2529999999999999</v>
      </c>
      <c r="O45">
        <v>1.286</v>
      </c>
      <c r="P45">
        <v>1.3120000000000001</v>
      </c>
    </row>
    <row r="46" spans="1:16" x14ac:dyDescent="0.2">
      <c r="A46" s="3">
        <f t="shared" si="0"/>
        <v>1991</v>
      </c>
      <c r="B46">
        <v>6.6E-3</v>
      </c>
      <c r="C46">
        <v>0.149613</v>
      </c>
      <c r="D46">
        <v>0.28452300000000003</v>
      </c>
      <c r="E46">
        <v>0.48249999999999998</v>
      </c>
      <c r="F46">
        <v>0.60438899999999995</v>
      </c>
      <c r="G46">
        <v>0.72995900000000002</v>
      </c>
      <c r="H46">
        <v>0.84377100000000005</v>
      </c>
      <c r="I46">
        <v>0.88239199999999995</v>
      </c>
      <c r="J46">
        <v>1.0201260000000001</v>
      </c>
      <c r="K46">
        <v>1.1225909999999999</v>
      </c>
      <c r="L46">
        <v>1.134854</v>
      </c>
      <c r="M46">
        <v>1.2371589999999999</v>
      </c>
      <c r="N46">
        <v>1.235978</v>
      </c>
      <c r="O46">
        <v>1.2956080000000001</v>
      </c>
      <c r="P46">
        <v>1.2467280000000001</v>
      </c>
    </row>
    <row r="47" spans="1:16" x14ac:dyDescent="0.2">
      <c r="A47" s="3">
        <f t="shared" si="0"/>
        <v>1992</v>
      </c>
      <c r="B47">
        <v>6.6E-3</v>
      </c>
      <c r="C47">
        <v>0.179094</v>
      </c>
      <c r="D47">
        <v>0.39680300000000002</v>
      </c>
      <c r="E47">
        <v>0.46469700000000003</v>
      </c>
      <c r="F47">
        <v>0.65119000000000005</v>
      </c>
      <c r="G47">
        <v>0.71367599999999998</v>
      </c>
      <c r="H47">
        <v>0.81854300000000002</v>
      </c>
      <c r="I47">
        <v>0.98578699999999997</v>
      </c>
      <c r="J47">
        <v>1.0304199999999999</v>
      </c>
      <c r="K47">
        <v>1.199786</v>
      </c>
      <c r="L47">
        <v>1.236505</v>
      </c>
      <c r="M47">
        <v>1.2692399999999999</v>
      </c>
      <c r="N47">
        <v>1.1931400000000001</v>
      </c>
      <c r="O47">
        <v>1.3574299999999999</v>
      </c>
      <c r="P47">
        <v>1.431386</v>
      </c>
    </row>
    <row r="48" spans="1:16" x14ac:dyDescent="0.2">
      <c r="A48" s="3">
        <f t="shared" si="0"/>
        <v>1993</v>
      </c>
      <c r="B48">
        <v>6.6E-3</v>
      </c>
      <c r="C48">
        <v>0.33130999999999999</v>
      </c>
      <c r="D48">
        <v>0.494728</v>
      </c>
      <c r="E48">
        <v>0.61207100000000003</v>
      </c>
      <c r="F48">
        <v>0.65181699999999998</v>
      </c>
      <c r="G48">
        <v>0.77485800000000005</v>
      </c>
      <c r="H48">
        <v>0.93447599999999997</v>
      </c>
      <c r="I48">
        <v>1.062411</v>
      </c>
      <c r="J48">
        <v>1.1977340000000001</v>
      </c>
      <c r="K48">
        <v>1.2404189999999999</v>
      </c>
      <c r="L48">
        <v>1.423335</v>
      </c>
      <c r="M48">
        <v>1.5398320000000001</v>
      </c>
      <c r="N48">
        <v>1.5757289999999999</v>
      </c>
      <c r="O48">
        <v>1.6087020000000001</v>
      </c>
      <c r="P48">
        <v>1.5076879999999999</v>
      </c>
    </row>
    <row r="49" spans="1:16" x14ac:dyDescent="0.2">
      <c r="A49" s="3">
        <f t="shared" si="0"/>
        <v>1994</v>
      </c>
      <c r="B49">
        <v>6.6E-3</v>
      </c>
      <c r="C49">
        <v>0.23309099999999999</v>
      </c>
      <c r="D49">
        <v>0.40005000000000002</v>
      </c>
      <c r="E49">
        <v>0.65162600000000004</v>
      </c>
      <c r="F49">
        <v>0.73238999999999999</v>
      </c>
      <c r="G49">
        <v>0.74580299999999999</v>
      </c>
      <c r="H49">
        <v>0.72697299999999998</v>
      </c>
      <c r="I49">
        <v>1.0700460000000001</v>
      </c>
      <c r="J49">
        <v>1.379894</v>
      </c>
      <c r="K49">
        <v>1.3248629999999999</v>
      </c>
      <c r="L49">
        <v>1.3350200000000001</v>
      </c>
      <c r="M49">
        <v>1.4090069999999999</v>
      </c>
      <c r="N49">
        <v>1.3970400000000001</v>
      </c>
      <c r="O49">
        <v>1.277838</v>
      </c>
      <c r="P49">
        <v>1.369793</v>
      </c>
    </row>
    <row r="50" spans="1:16" x14ac:dyDescent="0.2">
      <c r="A50" s="3">
        <f t="shared" si="0"/>
        <v>1995</v>
      </c>
      <c r="B50">
        <v>6.6E-3</v>
      </c>
      <c r="C50">
        <v>0.15348000000000001</v>
      </c>
      <c r="D50">
        <v>0.38561099999999998</v>
      </c>
      <c r="E50">
        <v>0.50526499999999996</v>
      </c>
      <c r="F50">
        <v>0.728522</v>
      </c>
      <c r="G50">
        <v>0.84324500000000002</v>
      </c>
      <c r="H50">
        <v>0.84729600000000005</v>
      </c>
      <c r="I50">
        <v>0.96959200000000001</v>
      </c>
      <c r="J50">
        <v>1.231843</v>
      </c>
      <c r="K50">
        <v>1.2963020000000001</v>
      </c>
      <c r="L50">
        <v>1.4006780000000001</v>
      </c>
      <c r="M50">
        <v>1.4019509999999999</v>
      </c>
      <c r="N50">
        <v>1.3922330000000001</v>
      </c>
      <c r="O50">
        <v>1.094948</v>
      </c>
      <c r="P50">
        <v>1.305507</v>
      </c>
    </row>
    <row r="51" spans="1:16" x14ac:dyDescent="0.2">
      <c r="A51" s="3">
        <f t="shared" si="0"/>
        <v>1996</v>
      </c>
      <c r="B51">
        <v>6.6E-3</v>
      </c>
      <c r="C51">
        <v>0.29288900000000001</v>
      </c>
      <c r="D51">
        <v>0.33560600000000002</v>
      </c>
      <c r="E51">
        <v>0.44507400000000003</v>
      </c>
      <c r="F51">
        <v>0.68436399999999997</v>
      </c>
      <c r="G51">
        <v>0.79676499999999995</v>
      </c>
      <c r="H51">
        <v>0.94837899999999997</v>
      </c>
      <c r="I51">
        <v>0.95551900000000001</v>
      </c>
      <c r="J51">
        <v>1.025466</v>
      </c>
      <c r="K51">
        <v>1.0996980000000001</v>
      </c>
      <c r="L51">
        <v>1.418002</v>
      </c>
      <c r="M51">
        <v>1.489233</v>
      </c>
      <c r="N51">
        <v>1.520591</v>
      </c>
      <c r="O51">
        <v>1.7019010000000001</v>
      </c>
      <c r="P51">
        <v>1.601963</v>
      </c>
    </row>
    <row r="52" spans="1:16" x14ac:dyDescent="0.2">
      <c r="A52" s="3">
        <f t="shared" si="0"/>
        <v>1997</v>
      </c>
      <c r="B52">
        <v>6.6E-3</v>
      </c>
      <c r="C52">
        <v>0.18718399999999999</v>
      </c>
      <c r="D52">
        <v>0.32671699999999998</v>
      </c>
      <c r="E52">
        <v>0.47687000000000002</v>
      </c>
      <c r="F52">
        <v>0.55904500000000001</v>
      </c>
      <c r="G52">
        <v>0.74756400000000001</v>
      </c>
      <c r="H52">
        <v>0.88880800000000004</v>
      </c>
      <c r="I52">
        <v>1.0740890000000001</v>
      </c>
      <c r="J52">
        <v>1.095178</v>
      </c>
      <c r="K52">
        <v>1.2356579999999999</v>
      </c>
      <c r="L52">
        <v>1.2867249999999999</v>
      </c>
      <c r="M52">
        <v>1.399735</v>
      </c>
      <c r="N52">
        <v>1.5612710000000001</v>
      </c>
      <c r="O52">
        <v>1.363416</v>
      </c>
      <c r="P52">
        <v>1.3377540000000001</v>
      </c>
    </row>
    <row r="53" spans="1:16" x14ac:dyDescent="0.2">
      <c r="A53" s="3">
        <f t="shared" si="0"/>
        <v>1998</v>
      </c>
      <c r="B53">
        <v>6.6E-3</v>
      </c>
      <c r="C53">
        <v>0.19053600000000001</v>
      </c>
      <c r="D53">
        <v>0.36938399999999999</v>
      </c>
      <c r="E53">
        <v>0.58930199999999999</v>
      </c>
      <c r="F53">
        <v>0.61837600000000004</v>
      </c>
      <c r="G53">
        <v>0.62162799999999996</v>
      </c>
      <c r="H53">
        <v>0.77956800000000004</v>
      </c>
      <c r="I53">
        <v>1.0400160000000001</v>
      </c>
      <c r="J53">
        <v>1.169286</v>
      </c>
      <c r="K53">
        <v>1.2758579999999999</v>
      </c>
      <c r="L53">
        <v>1.3161309999999999</v>
      </c>
      <c r="M53">
        <v>1.427718</v>
      </c>
      <c r="N53">
        <v>1.4483630000000001</v>
      </c>
      <c r="O53">
        <v>1.436974</v>
      </c>
      <c r="P53">
        <v>1.5283709999999999</v>
      </c>
    </row>
    <row r="54" spans="1:16" x14ac:dyDescent="0.2">
      <c r="A54" s="3">
        <f t="shared" si="0"/>
        <v>1999</v>
      </c>
      <c r="B54">
        <v>6.6E-3</v>
      </c>
      <c r="C54">
        <v>0.187805</v>
      </c>
      <c r="D54">
        <v>0.40445599999999998</v>
      </c>
      <c r="E54">
        <v>0.50701600000000002</v>
      </c>
      <c r="F54">
        <v>0.64339199999999996</v>
      </c>
      <c r="G54">
        <v>0.70229399999999997</v>
      </c>
      <c r="H54">
        <v>0.72863199999999995</v>
      </c>
      <c r="I54">
        <v>0.89366199999999996</v>
      </c>
      <c r="J54">
        <v>1.0377289999999999</v>
      </c>
      <c r="K54">
        <v>1.2527239999999999</v>
      </c>
      <c r="L54">
        <v>1.2239679999999999</v>
      </c>
      <c r="M54">
        <v>1.42242</v>
      </c>
      <c r="N54">
        <v>0.99487000000000003</v>
      </c>
      <c r="O54">
        <v>1.4022030000000001</v>
      </c>
      <c r="P54">
        <v>1.238645</v>
      </c>
    </row>
    <row r="55" spans="1:16" x14ac:dyDescent="0.2">
      <c r="A55" s="3">
        <f t="shared" si="0"/>
        <v>2000</v>
      </c>
      <c r="B55">
        <v>6.6E-3</v>
      </c>
      <c r="C55">
        <v>0.21770800000000001</v>
      </c>
      <c r="D55">
        <v>0.35296699999999998</v>
      </c>
      <c r="E55">
        <v>0.52565700000000004</v>
      </c>
      <c r="F55">
        <v>0.62991600000000003</v>
      </c>
      <c r="G55">
        <v>0.731738</v>
      </c>
      <c r="H55">
        <v>0.77970799999999996</v>
      </c>
      <c r="I55">
        <v>0.80663799999999997</v>
      </c>
      <c r="J55">
        <v>0.96790500000000002</v>
      </c>
      <c r="K55">
        <v>1.0148429999999999</v>
      </c>
      <c r="L55">
        <v>1.2528760000000001</v>
      </c>
      <c r="M55">
        <v>1.2864180000000001</v>
      </c>
      <c r="N55">
        <v>1.1081369999999999</v>
      </c>
      <c r="O55">
        <v>1.083882</v>
      </c>
      <c r="P55">
        <v>1.358762</v>
      </c>
    </row>
    <row r="56" spans="1:16" x14ac:dyDescent="0.2">
      <c r="A56" s="3">
        <f t="shared" si="0"/>
        <v>2001</v>
      </c>
      <c r="B56">
        <v>6.4999999999999997E-3</v>
      </c>
      <c r="C56">
        <v>0.22672500000000001</v>
      </c>
      <c r="D56">
        <v>0.32898699999999997</v>
      </c>
      <c r="E56">
        <v>0.504776</v>
      </c>
      <c r="F56">
        <v>0.66791199999999995</v>
      </c>
      <c r="G56">
        <v>0.78550399999999998</v>
      </c>
      <c r="H56">
        <v>0.96381399999999995</v>
      </c>
      <c r="I56">
        <v>0.98563999999999996</v>
      </c>
      <c r="J56">
        <v>1.061105</v>
      </c>
      <c r="K56">
        <v>1.132863</v>
      </c>
      <c r="L56">
        <v>1.319515</v>
      </c>
      <c r="M56">
        <v>1.411108</v>
      </c>
      <c r="N56">
        <v>1.568255</v>
      </c>
      <c r="O56">
        <v>1.4723919999999999</v>
      </c>
      <c r="P56">
        <v>1.4949209999999999</v>
      </c>
    </row>
    <row r="57" spans="1:16" x14ac:dyDescent="0.2">
      <c r="A57" s="3">
        <f t="shared" si="0"/>
        <v>2002</v>
      </c>
      <c r="B57">
        <v>6.7000000000000002E-3</v>
      </c>
      <c r="C57">
        <v>0.231265</v>
      </c>
      <c r="D57">
        <v>0.38494299999999998</v>
      </c>
      <c r="E57">
        <v>0.509822</v>
      </c>
      <c r="F57">
        <v>0.66734300000000002</v>
      </c>
      <c r="G57">
        <v>0.798844</v>
      </c>
      <c r="H57">
        <v>0.91085199999999999</v>
      </c>
      <c r="I57">
        <v>1.025741</v>
      </c>
      <c r="J57">
        <v>1.1129640000000001</v>
      </c>
      <c r="K57">
        <v>1.101521</v>
      </c>
      <c r="L57">
        <v>1.283517</v>
      </c>
      <c r="M57">
        <v>1.4421729999999999</v>
      </c>
      <c r="N57">
        <v>1.578749</v>
      </c>
      <c r="O57">
        <v>1.289712</v>
      </c>
      <c r="P57">
        <v>1.5678030000000001</v>
      </c>
    </row>
    <row r="58" spans="1:16" x14ac:dyDescent="0.2">
      <c r="A58" s="3">
        <f t="shared" si="0"/>
        <v>2003</v>
      </c>
      <c r="B58">
        <v>6.4999999999999997E-3</v>
      </c>
      <c r="C58">
        <v>0.27606999999999998</v>
      </c>
      <c r="D58">
        <v>0.48924099999999998</v>
      </c>
      <c r="E58">
        <v>0.54878400000000005</v>
      </c>
      <c r="F58">
        <v>0.65156099999999995</v>
      </c>
      <c r="G58">
        <v>0.76883900000000005</v>
      </c>
      <c r="H58">
        <v>0.86300399999999999</v>
      </c>
      <c r="I58">
        <v>0.95278399999999996</v>
      </c>
      <c r="J58">
        <v>1.08565</v>
      </c>
      <c r="K58">
        <v>1.2015290000000001</v>
      </c>
      <c r="L58">
        <v>1.2115769999999999</v>
      </c>
      <c r="M58">
        <v>1.194453</v>
      </c>
      <c r="N58">
        <v>1.374064</v>
      </c>
      <c r="O58">
        <v>1.354663</v>
      </c>
      <c r="P58">
        <v>1.7094419999999999</v>
      </c>
    </row>
    <row r="59" spans="1:16" x14ac:dyDescent="0.2">
      <c r="A59" s="3">
        <f t="shared" si="0"/>
        <v>2004</v>
      </c>
      <c r="B59">
        <v>6.7000000000000002E-3</v>
      </c>
      <c r="C59">
        <v>0.13478499999999999</v>
      </c>
      <c r="D59">
        <v>0.40848600000000002</v>
      </c>
      <c r="E59">
        <v>0.58389100000000005</v>
      </c>
      <c r="F59">
        <v>0.64124700000000001</v>
      </c>
      <c r="G59">
        <v>0.75987199999999999</v>
      </c>
      <c r="H59">
        <v>0.88763199999999998</v>
      </c>
      <c r="I59">
        <v>0.924377</v>
      </c>
      <c r="J59">
        <v>1.0355049999999999</v>
      </c>
      <c r="K59">
        <v>1.1762520000000001</v>
      </c>
      <c r="L59">
        <v>1.1268119999999999</v>
      </c>
      <c r="M59">
        <v>1.166779</v>
      </c>
      <c r="N59">
        <v>1.3094969999999999</v>
      </c>
      <c r="O59">
        <v>1.2536240000000001</v>
      </c>
      <c r="P59">
        <v>1.184688</v>
      </c>
    </row>
    <row r="60" spans="1:16" x14ac:dyDescent="0.2">
      <c r="A60" s="3">
        <f t="shared" si="0"/>
        <v>2005</v>
      </c>
      <c r="B60">
        <v>6.6E-3</v>
      </c>
      <c r="C60">
        <v>0.28263899999999997</v>
      </c>
      <c r="D60">
        <v>0.35106999999999999</v>
      </c>
      <c r="E60">
        <v>0.50822699999999998</v>
      </c>
      <c r="F60">
        <v>0.64109099999999997</v>
      </c>
      <c r="G60">
        <v>0.74170999999999998</v>
      </c>
      <c r="H60">
        <v>0.88013399999999997</v>
      </c>
      <c r="I60">
        <v>0.959955</v>
      </c>
      <c r="J60">
        <v>1.0616909999999999</v>
      </c>
      <c r="K60">
        <v>1.0742039999999999</v>
      </c>
      <c r="L60">
        <v>1.21628</v>
      </c>
      <c r="M60">
        <v>1.2679849999999999</v>
      </c>
      <c r="N60">
        <v>1.2174879999999999</v>
      </c>
      <c r="O60">
        <v>1.0755049999999999</v>
      </c>
      <c r="P60">
        <v>1.342282</v>
      </c>
    </row>
    <row r="61" spans="1:16" x14ac:dyDescent="0.2">
      <c r="A61" s="3">
        <f t="shared" si="0"/>
        <v>2006</v>
      </c>
      <c r="B61">
        <v>6.6E-3</v>
      </c>
      <c r="C61">
        <v>0.174065</v>
      </c>
      <c r="D61">
        <v>0.30552200000000002</v>
      </c>
      <c r="E61">
        <v>0.44837700000000003</v>
      </c>
      <c r="F61">
        <v>0.60639900000000002</v>
      </c>
      <c r="G61">
        <v>0.75533099999999997</v>
      </c>
      <c r="H61">
        <v>0.85766500000000001</v>
      </c>
      <c r="I61">
        <v>0.95863100000000001</v>
      </c>
      <c r="J61">
        <v>1.0603100000000001</v>
      </c>
      <c r="K61">
        <v>1.116617</v>
      </c>
      <c r="L61">
        <v>1.1901029999999999</v>
      </c>
      <c r="M61">
        <v>1.2182010000000001</v>
      </c>
      <c r="N61">
        <v>1.279677</v>
      </c>
      <c r="O61">
        <v>1.384137</v>
      </c>
      <c r="P61">
        <v>1.4170780000000001</v>
      </c>
    </row>
    <row r="62" spans="1:16" x14ac:dyDescent="0.2">
      <c r="A62" s="3">
        <f t="shared" si="0"/>
        <v>2007</v>
      </c>
      <c r="B62">
        <v>6.6333329999999999E-3</v>
      </c>
      <c r="C62">
        <v>0.154728</v>
      </c>
      <c r="D62">
        <v>0.34900599999999998</v>
      </c>
      <c r="E62">
        <v>0.50743300000000002</v>
      </c>
      <c r="F62">
        <v>0.64234500000000005</v>
      </c>
      <c r="G62">
        <v>0.78293400000000002</v>
      </c>
      <c r="H62">
        <v>0.960534</v>
      </c>
      <c r="I62">
        <v>1.1003240000000001</v>
      </c>
      <c r="J62">
        <v>1.192178</v>
      </c>
      <c r="K62">
        <v>1.266491</v>
      </c>
      <c r="L62">
        <v>1.3268930000000001</v>
      </c>
      <c r="M62">
        <v>1.4877260000000001</v>
      </c>
      <c r="N62">
        <v>1.4437880000000001</v>
      </c>
      <c r="O62">
        <v>1.7285440000000001</v>
      </c>
      <c r="P62">
        <v>1.511781</v>
      </c>
    </row>
    <row r="63" spans="1:16" x14ac:dyDescent="0.2">
      <c r="A63" s="3">
        <f t="shared" si="0"/>
        <v>2008</v>
      </c>
      <c r="B63">
        <v>6.6111110000000002E-3</v>
      </c>
      <c r="C63">
        <v>0.2076326</v>
      </c>
      <c r="D63">
        <v>0.32822200000000001</v>
      </c>
      <c r="E63">
        <v>0.51871400000000001</v>
      </c>
      <c r="F63">
        <v>0.65268899999999996</v>
      </c>
      <c r="G63">
        <v>0.77393699999999999</v>
      </c>
      <c r="H63">
        <v>0.89990499999999995</v>
      </c>
      <c r="I63">
        <v>1.054227</v>
      </c>
      <c r="J63">
        <v>1.1165659999999999</v>
      </c>
      <c r="K63">
        <v>1.288861</v>
      </c>
      <c r="L63">
        <v>1.452421</v>
      </c>
      <c r="M63">
        <v>1.5277050000000001</v>
      </c>
      <c r="N63">
        <v>1.56043</v>
      </c>
      <c r="O63">
        <v>1.8735520000000001</v>
      </c>
      <c r="P63">
        <v>1.6446879999999999</v>
      </c>
    </row>
    <row r="64" spans="1:16" x14ac:dyDescent="0.2">
      <c r="A64" s="3">
        <f t="shared" si="0"/>
        <v>2009</v>
      </c>
      <c r="B64">
        <v>6.6044440000000001E-3</v>
      </c>
      <c r="C64">
        <v>0.135797</v>
      </c>
      <c r="D64">
        <v>0.33960600000000002</v>
      </c>
      <c r="E64">
        <v>0.52512999999999999</v>
      </c>
      <c r="F64">
        <v>0.70476799999999995</v>
      </c>
      <c r="G64">
        <v>0.87862600000000002</v>
      </c>
      <c r="H64">
        <v>0.999417</v>
      </c>
      <c r="I64">
        <v>1.1304920000000001</v>
      </c>
      <c r="J64">
        <v>1.3982870000000001</v>
      </c>
      <c r="K64">
        <v>1.479225</v>
      </c>
      <c r="L64">
        <v>1.5578810000000001</v>
      </c>
      <c r="M64">
        <v>1.576152</v>
      </c>
      <c r="N64">
        <v>1.8069390000000001</v>
      </c>
      <c r="O64">
        <v>2.0257019999999999</v>
      </c>
      <c r="P64">
        <v>2.2220789999999999</v>
      </c>
    </row>
    <row r="65" spans="1:16" x14ac:dyDescent="0.2">
      <c r="A65" s="3">
        <f t="shared" si="0"/>
        <v>2010</v>
      </c>
      <c r="B65">
        <v>4.9767699999999998E-2</v>
      </c>
      <c r="C65">
        <v>0.17485600000000001</v>
      </c>
      <c r="D65">
        <v>0.38077299999999997</v>
      </c>
      <c r="E65">
        <v>0.48998900000000001</v>
      </c>
      <c r="F65">
        <v>0.66752999999999996</v>
      </c>
      <c r="G65">
        <v>0.90904700000000005</v>
      </c>
      <c r="H65">
        <v>1.1142650000000001</v>
      </c>
      <c r="I65">
        <v>1.276856</v>
      </c>
      <c r="J65">
        <v>1.3736079999999999</v>
      </c>
      <c r="K65">
        <v>1.5857559999999999</v>
      </c>
      <c r="L65">
        <v>1.679019</v>
      </c>
      <c r="M65">
        <v>1.9234530000000001</v>
      </c>
      <c r="N65">
        <v>1.9479040000000001</v>
      </c>
      <c r="O65">
        <v>2.0770390000000001</v>
      </c>
      <c r="P65">
        <v>2.2711610000000002</v>
      </c>
    </row>
    <row r="66" spans="1:16" x14ac:dyDescent="0.2">
      <c r="A66" s="3">
        <f t="shared" si="0"/>
        <v>2011</v>
      </c>
      <c r="B66">
        <v>3.0688206999999999E-2</v>
      </c>
      <c r="C66">
        <v>0.204737208</v>
      </c>
      <c r="D66">
        <v>0.29030600000000001</v>
      </c>
      <c r="E66">
        <v>0.50827699999999998</v>
      </c>
      <c r="F66">
        <v>0.66555200000000003</v>
      </c>
      <c r="G66">
        <v>0.80944099999999997</v>
      </c>
      <c r="H66">
        <v>0.97145899999999996</v>
      </c>
      <c r="I66">
        <v>1.223768</v>
      </c>
      <c r="J66">
        <v>1.3421730000000001</v>
      </c>
      <c r="K66">
        <v>1.513015</v>
      </c>
      <c r="L66">
        <v>1.5817399999999999</v>
      </c>
      <c r="M66">
        <v>1.6233379999999999</v>
      </c>
      <c r="N66">
        <v>2.0795689999999998</v>
      </c>
      <c r="O66">
        <v>1.7072309999999999</v>
      </c>
      <c r="P66">
        <v>2.2422369999999998</v>
      </c>
    </row>
    <row r="67" spans="1:16" x14ac:dyDescent="0.2">
      <c r="A67" s="3">
        <f t="shared" si="0"/>
        <v>2012</v>
      </c>
      <c r="B67">
        <v>2.9020117000000002E-2</v>
      </c>
      <c r="C67">
        <v>0.14197272499999999</v>
      </c>
      <c r="D67">
        <v>0.27060800000000002</v>
      </c>
      <c r="E67">
        <v>0.40947600000000001</v>
      </c>
      <c r="F67">
        <v>0.64321300000000003</v>
      </c>
      <c r="G67">
        <v>0.82413800000000004</v>
      </c>
      <c r="H67">
        <v>0.97392000000000001</v>
      </c>
      <c r="I67">
        <v>1.169735</v>
      </c>
      <c r="J67">
        <v>1.302818</v>
      </c>
      <c r="K67">
        <v>1.5094510000000001</v>
      </c>
      <c r="L67">
        <v>1.5988690000000001</v>
      </c>
      <c r="M67">
        <v>1.6366750000000001</v>
      </c>
      <c r="N67">
        <v>1.680013</v>
      </c>
      <c r="O67">
        <v>2.0311520000000001</v>
      </c>
      <c r="P67">
        <v>2.0621330000000002</v>
      </c>
    </row>
    <row r="68" spans="1:16" x14ac:dyDescent="0.2">
      <c r="A68" s="3">
        <f t="shared" si="0"/>
        <v>2013</v>
      </c>
      <c r="B68">
        <v>9.4955100000000001E-2</v>
      </c>
      <c r="C68">
        <v>0.1439405</v>
      </c>
      <c r="D68">
        <v>0.28956500000000002</v>
      </c>
      <c r="E68">
        <v>0.44213799999999998</v>
      </c>
      <c r="F68">
        <v>0.56446200000000002</v>
      </c>
      <c r="G68">
        <v>0.78057200000000004</v>
      </c>
      <c r="H68">
        <v>1.1301079999999999</v>
      </c>
      <c r="I68">
        <v>1.2814719999999999</v>
      </c>
      <c r="J68">
        <v>1.439581</v>
      </c>
      <c r="K68">
        <v>1.684725</v>
      </c>
      <c r="L68">
        <v>1.8273520000000001</v>
      </c>
      <c r="M68">
        <v>1.7857339999999999</v>
      </c>
      <c r="N68">
        <v>1.9339040000000001</v>
      </c>
      <c r="O68">
        <v>2.1590829999999999</v>
      </c>
      <c r="P68">
        <v>2.1821830000000002</v>
      </c>
    </row>
    <row r="69" spans="1:16" x14ac:dyDescent="0.2">
      <c r="A69" s="3">
        <f t="shared" si="0"/>
        <v>2014</v>
      </c>
      <c r="B69">
        <v>1.4342608999999999E-2</v>
      </c>
      <c r="C69">
        <v>0.19287000000000001</v>
      </c>
      <c r="D69">
        <v>0.31882100000000002</v>
      </c>
      <c r="E69">
        <v>0.45413199999999998</v>
      </c>
      <c r="F69">
        <v>0.61687899999999996</v>
      </c>
      <c r="G69">
        <v>0.75125600000000003</v>
      </c>
      <c r="H69">
        <v>0.89385599999999998</v>
      </c>
      <c r="I69">
        <v>1.156345</v>
      </c>
      <c r="J69">
        <v>1.306716</v>
      </c>
      <c r="K69">
        <v>1.386355</v>
      </c>
      <c r="L69">
        <v>1.669198</v>
      </c>
      <c r="M69">
        <v>1.7733479999999999</v>
      </c>
      <c r="N69">
        <v>1.704242</v>
      </c>
      <c r="O69">
        <v>1.623389</v>
      </c>
      <c r="P69">
        <v>2.2152340000000001</v>
      </c>
    </row>
    <row r="70" spans="1:16" x14ac:dyDescent="0.2">
      <c r="A70" s="3">
        <f t="shared" si="0"/>
        <v>2015</v>
      </c>
      <c r="B70">
        <v>2.5182262E-2</v>
      </c>
      <c r="C70">
        <v>0.18132380300000001</v>
      </c>
      <c r="D70">
        <v>0.40399499999999999</v>
      </c>
      <c r="E70">
        <v>0.46221099999999998</v>
      </c>
      <c r="F70">
        <v>0.57057999999999998</v>
      </c>
      <c r="G70">
        <v>0.69025599999999998</v>
      </c>
      <c r="H70">
        <v>0.78607400000000005</v>
      </c>
      <c r="I70">
        <v>0.88670800000000005</v>
      </c>
      <c r="J70">
        <v>1.1407210000000001</v>
      </c>
      <c r="K70">
        <v>1.1952959999999999</v>
      </c>
      <c r="L70">
        <v>1.3154060000000001</v>
      </c>
      <c r="M70">
        <v>1.670917</v>
      </c>
      <c r="N70">
        <v>1.389203</v>
      </c>
      <c r="O70">
        <v>1.5591619999999999</v>
      </c>
      <c r="P70">
        <v>2.6000770000000002</v>
      </c>
    </row>
    <row r="71" spans="1:16" x14ac:dyDescent="0.2">
      <c r="A71" s="3">
        <f t="shared" si="0"/>
        <v>2016</v>
      </c>
      <c r="B71">
        <v>2.5182262E-2</v>
      </c>
      <c r="C71">
        <v>0.18132380300000001</v>
      </c>
      <c r="D71">
        <v>0.40855900000000001</v>
      </c>
      <c r="E71">
        <v>0.53111699999999995</v>
      </c>
      <c r="F71">
        <v>0.55702499999999999</v>
      </c>
      <c r="G71">
        <v>0.64597199999999999</v>
      </c>
      <c r="H71">
        <v>0.73182100000000005</v>
      </c>
      <c r="I71">
        <v>0.799736</v>
      </c>
      <c r="J71">
        <v>0.94050500000000004</v>
      </c>
      <c r="K71">
        <v>1.0434110000000001</v>
      </c>
      <c r="L71">
        <v>1.1779869999999999</v>
      </c>
      <c r="M71">
        <v>0.78776000000000002</v>
      </c>
      <c r="N71">
        <v>0.91117800000000004</v>
      </c>
      <c r="O71">
        <v>1.6839230000000001</v>
      </c>
      <c r="P71">
        <v>1.42947</v>
      </c>
    </row>
    <row r="72" spans="1:16" x14ac:dyDescent="0.2">
      <c r="A72" s="3">
        <f t="shared" si="0"/>
        <v>2017</v>
      </c>
      <c r="B72">
        <v>2.5182262E-2</v>
      </c>
      <c r="C72">
        <v>0.19111972099999999</v>
      </c>
      <c r="D72">
        <v>0.40830699999999998</v>
      </c>
      <c r="E72">
        <v>0.49851600000000001</v>
      </c>
      <c r="F72">
        <v>0.65028699999999995</v>
      </c>
      <c r="G72">
        <v>0.69372100000000003</v>
      </c>
      <c r="H72">
        <v>0.75185199999999996</v>
      </c>
      <c r="I72">
        <v>0.827407</v>
      </c>
      <c r="J72">
        <v>0.89392199999999999</v>
      </c>
      <c r="K72">
        <v>0.91115500000000005</v>
      </c>
      <c r="L72">
        <v>1.027504</v>
      </c>
      <c r="M72">
        <v>0.96131800000000001</v>
      </c>
      <c r="N72">
        <v>1.359364</v>
      </c>
      <c r="O72">
        <v>0.70114799999999999</v>
      </c>
      <c r="P72">
        <v>1.5399970000000001</v>
      </c>
    </row>
    <row r="73" spans="1:16" x14ac:dyDescent="0.2">
      <c r="A73" s="3">
        <f t="shared" si="0"/>
        <v>2018</v>
      </c>
      <c r="B73">
        <v>2.5182262E-2</v>
      </c>
      <c r="C73">
        <v>0.18622176200000001</v>
      </c>
      <c r="D73">
        <v>0.377245</v>
      </c>
      <c r="E73">
        <v>0.46675299999999997</v>
      </c>
      <c r="F73">
        <v>0.57318199999999997</v>
      </c>
      <c r="G73">
        <v>0.73370000000000002</v>
      </c>
      <c r="H73">
        <v>0.808813</v>
      </c>
      <c r="I73">
        <v>0.85316999999999998</v>
      </c>
      <c r="J73">
        <v>0.90635100000000002</v>
      </c>
      <c r="K73">
        <v>1.0388269999999999</v>
      </c>
      <c r="L73">
        <v>0.93559400000000004</v>
      </c>
      <c r="M73">
        <v>1.1100719999999999</v>
      </c>
      <c r="N73">
        <v>1.359364</v>
      </c>
      <c r="O73">
        <v>1.4022030000000001</v>
      </c>
      <c r="P73">
        <v>1.1296409999999999</v>
      </c>
    </row>
    <row r="74" spans="1:16" x14ac:dyDescent="0.2">
      <c r="A74" s="3">
        <f t="shared" si="0"/>
        <v>2019</v>
      </c>
      <c r="B74">
        <v>2.5182262E-2</v>
      </c>
      <c r="C74">
        <v>0.18622176200000001</v>
      </c>
      <c r="D74">
        <v>0.42191200000000001</v>
      </c>
      <c r="E74">
        <v>0.56524700000000005</v>
      </c>
      <c r="F74">
        <v>0.64322500000000005</v>
      </c>
      <c r="G74">
        <v>0.75939800000000002</v>
      </c>
      <c r="H74">
        <v>0.87848300000000001</v>
      </c>
      <c r="I74">
        <v>0.96227600000000002</v>
      </c>
      <c r="J74">
        <v>1.0067980000000001</v>
      </c>
      <c r="K74">
        <v>1.064675</v>
      </c>
      <c r="L74">
        <v>1.034985</v>
      </c>
      <c r="M74">
        <v>1.1818919999999999</v>
      </c>
      <c r="N74">
        <v>0.75417299999999998</v>
      </c>
      <c r="O74">
        <v>1.4022030000000001</v>
      </c>
      <c r="P74">
        <v>1.5399970000000001</v>
      </c>
    </row>
    <row r="75" spans="1:16" x14ac:dyDescent="0.2">
      <c r="A75" s="3">
        <f t="shared" si="0"/>
        <v>2020</v>
      </c>
      <c r="B75">
        <v>2.5182262E-2</v>
      </c>
      <c r="C75">
        <v>0.18622176200000001</v>
      </c>
      <c r="D75">
        <v>0.38727899999999998</v>
      </c>
      <c r="E75">
        <v>0.52157900000000001</v>
      </c>
      <c r="F75">
        <v>0.63198299999999996</v>
      </c>
      <c r="G75">
        <v>0.71557199999999999</v>
      </c>
      <c r="H75">
        <v>0.799211</v>
      </c>
      <c r="I75">
        <v>0.95508099999999996</v>
      </c>
      <c r="J75">
        <v>1.005954</v>
      </c>
      <c r="K75">
        <v>1.0402579999999999</v>
      </c>
      <c r="L75">
        <v>1.189235</v>
      </c>
      <c r="M75">
        <v>1.072451</v>
      </c>
      <c r="N75">
        <v>1.208377</v>
      </c>
      <c r="O75">
        <v>0.96073900000000001</v>
      </c>
      <c r="P75">
        <v>1.5399970000000001</v>
      </c>
    </row>
    <row r="76" spans="1:16" x14ac:dyDescent="0.2">
      <c r="A76" s="3">
        <f t="shared" si="0"/>
        <v>2021</v>
      </c>
      <c r="B76">
        <v>2.5182262E-2</v>
      </c>
      <c r="C76">
        <v>0.18622176200000001</v>
      </c>
      <c r="D76">
        <v>0.393063</v>
      </c>
      <c r="E76">
        <v>0.479856</v>
      </c>
      <c r="F76">
        <v>0.57371499999999997</v>
      </c>
      <c r="G76">
        <v>0.68978200000000001</v>
      </c>
      <c r="H76">
        <v>0.75687300000000002</v>
      </c>
      <c r="I76">
        <v>0.84131599999999995</v>
      </c>
      <c r="J76">
        <v>1.0106580000000001</v>
      </c>
      <c r="K76">
        <v>1.1298109999999999</v>
      </c>
      <c r="L76">
        <v>1.1597489999999999</v>
      </c>
      <c r="M76">
        <v>1.2693300000000001</v>
      </c>
      <c r="N76">
        <v>1.2144999999999999</v>
      </c>
      <c r="O76">
        <v>1.4022030000000001</v>
      </c>
      <c r="P76">
        <v>1.5399970000000001</v>
      </c>
    </row>
    <row r="77" spans="1:16" x14ac:dyDescent="0.2">
      <c r="A77" s="3">
        <f t="shared" si="0"/>
        <v>2022</v>
      </c>
      <c r="B77">
        <v>2.5182262E-2</v>
      </c>
      <c r="C77">
        <v>0.18622176200000001</v>
      </c>
      <c r="D77">
        <v>0.440141</v>
      </c>
      <c r="E77">
        <v>0.50607000000000002</v>
      </c>
      <c r="F77">
        <v>0.57391300000000001</v>
      </c>
      <c r="G77">
        <v>0.72403399999999996</v>
      </c>
      <c r="H77">
        <v>0.83748400000000001</v>
      </c>
      <c r="I77">
        <v>0.88325900000000002</v>
      </c>
      <c r="J77">
        <v>0.98369700000000004</v>
      </c>
      <c r="K77">
        <v>0.97232600000000002</v>
      </c>
      <c r="L77">
        <v>1.271469</v>
      </c>
      <c r="M77">
        <v>1.0442340000000001</v>
      </c>
      <c r="N77">
        <v>1.2345349999999999</v>
      </c>
      <c r="O77">
        <v>0.91030800000000001</v>
      </c>
      <c r="P77">
        <v>1.5399970000000001</v>
      </c>
    </row>
    <row r="78" spans="1:16" x14ac:dyDescent="0.2">
      <c r="A78" s="3">
        <f t="shared" si="0"/>
        <v>2023</v>
      </c>
      <c r="B78">
        <v>2.5182262E-2</v>
      </c>
      <c r="C78">
        <v>0.18622176200000001</v>
      </c>
      <c r="D78">
        <v>0.49244700000000002</v>
      </c>
      <c r="E78">
        <v>0.48164200000000001</v>
      </c>
      <c r="F78">
        <v>0.52442100000000003</v>
      </c>
      <c r="G78">
        <v>0.605881</v>
      </c>
      <c r="H78">
        <v>0.79622999999999999</v>
      </c>
      <c r="I78">
        <v>0.91978199999999999</v>
      </c>
      <c r="J78">
        <v>0.95535499999999995</v>
      </c>
      <c r="K78">
        <v>1.045836</v>
      </c>
      <c r="L78">
        <v>1.0881769999999999</v>
      </c>
      <c r="M78">
        <v>1.267231</v>
      </c>
      <c r="N78">
        <v>1.3546560000000001</v>
      </c>
      <c r="O78">
        <v>1.325267</v>
      </c>
      <c r="P78">
        <v>0.95058200000000004</v>
      </c>
    </row>
    <row r="79" spans="1:16" x14ac:dyDescent="0.2">
      <c r="A79" s="3">
        <f t="shared" si="0"/>
        <v>2024</v>
      </c>
      <c r="B79">
        <v>2.5182262E-2</v>
      </c>
      <c r="C79">
        <v>0.18622176200000001</v>
      </c>
      <c r="D79">
        <v>0.40133600000000003</v>
      </c>
      <c r="E79">
        <v>0.66737299999999999</v>
      </c>
      <c r="F79">
        <v>0.66250399999999998</v>
      </c>
      <c r="G79">
        <v>0.71954600000000002</v>
      </c>
      <c r="H79">
        <v>0.79072900000000002</v>
      </c>
      <c r="I79">
        <v>0.90506799999999998</v>
      </c>
      <c r="J79">
        <v>1.009136</v>
      </c>
      <c r="K79">
        <v>1.061077</v>
      </c>
      <c r="L79">
        <v>1.138288</v>
      </c>
      <c r="M79">
        <v>1.257056</v>
      </c>
      <c r="N79">
        <v>1.2673430000000001</v>
      </c>
      <c r="O79">
        <v>1.2899130000000001</v>
      </c>
      <c r="P79">
        <v>1.3682540000000001</v>
      </c>
    </row>
    <row r="81" spans="1:16" x14ac:dyDescent="0.2">
      <c r="B81" t="s">
        <v>9</v>
      </c>
    </row>
    <row r="82" spans="1:16" x14ac:dyDescent="0.2">
      <c r="A82" s="3">
        <v>1964</v>
      </c>
      <c r="B82">
        <v>8.4881665999999995E-2</v>
      </c>
      <c r="C82">
        <v>0.195868126</v>
      </c>
      <c r="D82">
        <v>0.31376278800000001</v>
      </c>
      <c r="E82">
        <v>0.459295544</v>
      </c>
      <c r="F82">
        <v>0.58862360199999997</v>
      </c>
      <c r="G82">
        <v>0.69781833100000001</v>
      </c>
      <c r="H82">
        <v>0.79679873899999998</v>
      </c>
      <c r="I82">
        <v>0.91486126300000004</v>
      </c>
      <c r="J82">
        <v>1.0569570109999999</v>
      </c>
      <c r="K82">
        <v>1.147231476</v>
      </c>
      <c r="L82">
        <v>1.290106451</v>
      </c>
      <c r="M82">
        <v>1.3879178889999999</v>
      </c>
      <c r="N82">
        <v>1.4316667599999999</v>
      </c>
      <c r="O82">
        <v>1.4070027190000001</v>
      </c>
      <c r="P82">
        <v>1.522866931</v>
      </c>
    </row>
    <row r="83" spans="1:16" x14ac:dyDescent="0.2">
      <c r="A83" s="3">
        <f>A82+1</f>
        <v>1965</v>
      </c>
      <c r="B83">
        <v>8.4881665999999995E-2</v>
      </c>
      <c r="C83">
        <v>0.195868126</v>
      </c>
      <c r="D83">
        <v>0.31376278800000001</v>
      </c>
      <c r="E83">
        <v>0.459295544</v>
      </c>
      <c r="F83">
        <v>0.58862360199999997</v>
      </c>
      <c r="G83">
        <v>0.69781833100000001</v>
      </c>
      <c r="H83">
        <v>0.79679873899999998</v>
      </c>
      <c r="I83">
        <v>0.91486126300000004</v>
      </c>
      <c r="J83">
        <v>1.0569570109999999</v>
      </c>
      <c r="K83">
        <v>1.147231476</v>
      </c>
      <c r="L83">
        <v>1.290106451</v>
      </c>
      <c r="M83">
        <v>1.3879178889999999</v>
      </c>
      <c r="N83">
        <v>1.4316667599999999</v>
      </c>
      <c r="O83">
        <v>1.4070027190000001</v>
      </c>
      <c r="P83">
        <v>1.522866931</v>
      </c>
    </row>
    <row r="84" spans="1:16" x14ac:dyDescent="0.2">
      <c r="A84" s="3">
        <f t="shared" ref="A84:A143" si="1">A83+1</f>
        <v>1966</v>
      </c>
      <c r="B84">
        <v>8.4881665999999995E-2</v>
      </c>
      <c r="C84">
        <v>0.195868126</v>
      </c>
      <c r="D84">
        <v>0.31376278800000001</v>
      </c>
      <c r="E84">
        <v>0.459295544</v>
      </c>
      <c r="F84">
        <v>0.58862360199999997</v>
      </c>
      <c r="G84">
        <v>0.69781833100000001</v>
      </c>
      <c r="H84">
        <v>0.79679873899999998</v>
      </c>
      <c r="I84">
        <v>0.91486126300000004</v>
      </c>
      <c r="J84">
        <v>1.0569570109999999</v>
      </c>
      <c r="K84">
        <v>1.147231476</v>
      </c>
      <c r="L84">
        <v>1.290106451</v>
      </c>
      <c r="M84">
        <v>1.3879178889999999</v>
      </c>
      <c r="N84">
        <v>1.4316667599999999</v>
      </c>
      <c r="O84">
        <v>1.4070027190000001</v>
      </c>
      <c r="P84">
        <v>1.522866931</v>
      </c>
    </row>
    <row r="85" spans="1:16" x14ac:dyDescent="0.2">
      <c r="A85" s="3">
        <f t="shared" si="1"/>
        <v>1967</v>
      </c>
      <c r="B85">
        <v>8.4881665999999995E-2</v>
      </c>
      <c r="C85">
        <v>0.195868126</v>
      </c>
      <c r="D85">
        <v>0.31376278800000001</v>
      </c>
      <c r="E85">
        <v>0.459295544</v>
      </c>
      <c r="F85">
        <v>0.58862360199999997</v>
      </c>
      <c r="G85">
        <v>0.69781833100000001</v>
      </c>
      <c r="H85">
        <v>0.79679873899999998</v>
      </c>
      <c r="I85">
        <v>0.91486126300000004</v>
      </c>
      <c r="J85">
        <v>1.0569570109999999</v>
      </c>
      <c r="K85">
        <v>1.147231476</v>
      </c>
      <c r="L85">
        <v>1.290106451</v>
      </c>
      <c r="M85">
        <v>1.3879178889999999</v>
      </c>
      <c r="N85">
        <v>1.4316667599999999</v>
      </c>
      <c r="O85">
        <v>1.4070027190000001</v>
      </c>
      <c r="P85">
        <v>1.522866931</v>
      </c>
    </row>
    <row r="86" spans="1:16" x14ac:dyDescent="0.2">
      <c r="A86" s="3">
        <f t="shared" si="1"/>
        <v>1968</v>
      </c>
      <c r="B86">
        <v>8.4881665999999995E-2</v>
      </c>
      <c r="C86">
        <v>0.195868126</v>
      </c>
      <c r="D86">
        <v>0.31376278800000001</v>
      </c>
      <c r="E86">
        <v>0.459295544</v>
      </c>
      <c r="F86">
        <v>0.58862360199999997</v>
      </c>
      <c r="G86">
        <v>0.69781833100000001</v>
      </c>
      <c r="H86">
        <v>0.79679873899999998</v>
      </c>
      <c r="I86">
        <v>0.91486126300000004</v>
      </c>
      <c r="J86">
        <v>1.0569570109999999</v>
      </c>
      <c r="K86">
        <v>1.147231476</v>
      </c>
      <c r="L86">
        <v>1.290106451</v>
      </c>
      <c r="M86">
        <v>1.3879178889999999</v>
      </c>
      <c r="N86">
        <v>1.4316667599999999</v>
      </c>
      <c r="O86">
        <v>1.4070027190000001</v>
      </c>
      <c r="P86">
        <v>1.522866931</v>
      </c>
    </row>
    <row r="87" spans="1:16" x14ac:dyDescent="0.2">
      <c r="A87" s="3">
        <f t="shared" si="1"/>
        <v>1969</v>
      </c>
      <c r="B87">
        <v>8.4881665999999995E-2</v>
      </c>
      <c r="C87">
        <v>0.195868126</v>
      </c>
      <c r="D87">
        <v>0.31376278800000001</v>
      </c>
      <c r="E87">
        <v>0.459295544</v>
      </c>
      <c r="F87">
        <v>0.58862360199999997</v>
      </c>
      <c r="G87">
        <v>0.69781833100000001</v>
      </c>
      <c r="H87">
        <v>0.79679873899999998</v>
      </c>
      <c r="I87">
        <v>0.91486126300000004</v>
      </c>
      <c r="J87">
        <v>1.0569570109999999</v>
      </c>
      <c r="K87">
        <v>1.147231476</v>
      </c>
      <c r="L87">
        <v>1.290106451</v>
      </c>
      <c r="M87">
        <v>1.3879178889999999</v>
      </c>
      <c r="N87">
        <v>1.4316667599999999</v>
      </c>
      <c r="O87">
        <v>1.4070027190000001</v>
      </c>
      <c r="P87">
        <v>1.522866931</v>
      </c>
    </row>
    <row r="88" spans="1:16" x14ac:dyDescent="0.2">
      <c r="A88" s="3">
        <f t="shared" si="1"/>
        <v>1970</v>
      </c>
      <c r="B88">
        <v>8.4881665999999995E-2</v>
      </c>
      <c r="C88">
        <v>0.195868126</v>
      </c>
      <c r="D88">
        <v>0.31107200000000002</v>
      </c>
      <c r="E88">
        <v>0.427458</v>
      </c>
      <c r="F88">
        <v>0.55008999999999997</v>
      </c>
      <c r="G88">
        <v>0.67456199999999999</v>
      </c>
      <c r="H88">
        <v>0.79741499999999998</v>
      </c>
      <c r="I88">
        <v>0.91608100000000003</v>
      </c>
      <c r="J88">
        <v>1.028772</v>
      </c>
      <c r="K88">
        <v>1.134344</v>
      </c>
      <c r="L88">
        <v>1.2321569999999999</v>
      </c>
      <c r="M88">
        <v>1.321963</v>
      </c>
      <c r="N88">
        <v>1.403799</v>
      </c>
      <c r="O88">
        <v>1.477905</v>
      </c>
      <c r="P88">
        <v>1.544656</v>
      </c>
    </row>
    <row r="89" spans="1:16" x14ac:dyDescent="0.2">
      <c r="A89" s="3">
        <f t="shared" si="1"/>
        <v>1971</v>
      </c>
      <c r="B89">
        <v>8.4881665999999995E-2</v>
      </c>
      <c r="C89">
        <v>0.195868126</v>
      </c>
      <c r="D89">
        <v>0.307228</v>
      </c>
      <c r="E89">
        <v>0.45231300000000002</v>
      </c>
      <c r="F89">
        <v>0.57627899999999999</v>
      </c>
      <c r="G89">
        <v>0.70114399999999999</v>
      </c>
      <c r="H89">
        <v>0.82364999999999999</v>
      </c>
      <c r="I89">
        <v>0.94142199999999998</v>
      </c>
      <c r="J89">
        <v>1.0528379999999999</v>
      </c>
      <c r="K89">
        <v>1.1568890000000001</v>
      </c>
      <c r="L89">
        <v>1.2530460000000001</v>
      </c>
      <c r="M89">
        <v>1.3411420000000001</v>
      </c>
      <c r="N89">
        <v>1.421276</v>
      </c>
      <c r="O89">
        <v>1.49373</v>
      </c>
      <c r="P89">
        <v>1.5589120000000001</v>
      </c>
    </row>
    <row r="90" spans="1:16" x14ac:dyDescent="0.2">
      <c r="A90" s="3">
        <f t="shared" si="1"/>
        <v>1972</v>
      </c>
      <c r="B90">
        <v>8.4881665999999995E-2</v>
      </c>
      <c r="C90">
        <v>0.195868126</v>
      </c>
      <c r="D90">
        <v>0.32156800000000002</v>
      </c>
      <c r="E90">
        <v>0.433307</v>
      </c>
      <c r="F90">
        <v>0.58515799999999996</v>
      </c>
      <c r="G90">
        <v>0.711117</v>
      </c>
      <c r="H90">
        <v>0.83422799999999997</v>
      </c>
      <c r="I90">
        <v>0.95219900000000002</v>
      </c>
      <c r="J90">
        <v>1.063499</v>
      </c>
      <c r="K90">
        <v>1.1672020000000001</v>
      </c>
      <c r="L90">
        <v>1.2628490000000001</v>
      </c>
      <c r="M90">
        <v>1.3503309999999999</v>
      </c>
      <c r="N90">
        <v>1.4297930000000001</v>
      </c>
      <c r="O90">
        <v>1.5015529999999999</v>
      </c>
      <c r="P90">
        <v>1.566041</v>
      </c>
    </row>
    <row r="91" spans="1:16" x14ac:dyDescent="0.2">
      <c r="A91" s="3">
        <f t="shared" si="1"/>
        <v>1973</v>
      </c>
      <c r="B91">
        <v>8.4881665999999995E-2</v>
      </c>
      <c r="C91">
        <v>0.195868126</v>
      </c>
      <c r="D91">
        <v>0.313585</v>
      </c>
      <c r="E91">
        <v>0.46498899999999999</v>
      </c>
      <c r="F91">
        <v>0.58442499999999997</v>
      </c>
      <c r="G91">
        <v>0.73854399999999998</v>
      </c>
      <c r="H91">
        <v>0.86250700000000002</v>
      </c>
      <c r="I91">
        <v>0.98045899999999997</v>
      </c>
      <c r="J91">
        <v>1.0910679999999999</v>
      </c>
      <c r="K91">
        <v>1.193594</v>
      </c>
      <c r="L91">
        <v>1.2877369999999999</v>
      </c>
      <c r="M91">
        <v>1.373516</v>
      </c>
      <c r="N91">
        <v>1.4511769999999999</v>
      </c>
      <c r="O91">
        <v>1.5211129999999999</v>
      </c>
      <c r="P91">
        <v>1.5838099999999999</v>
      </c>
    </row>
    <row r="92" spans="1:16" x14ac:dyDescent="0.2">
      <c r="A92" s="3">
        <f t="shared" si="1"/>
        <v>1974</v>
      </c>
      <c r="B92">
        <v>8.4881665999999995E-2</v>
      </c>
      <c r="C92">
        <v>0.195868126</v>
      </c>
      <c r="D92">
        <v>0.32985199999999998</v>
      </c>
      <c r="E92">
        <v>0.45718900000000001</v>
      </c>
      <c r="F92">
        <v>0.61629999999999996</v>
      </c>
      <c r="G92">
        <v>0.73800699999999997</v>
      </c>
      <c r="H92">
        <v>0.890127</v>
      </c>
      <c r="I92">
        <v>1.0089250000000001</v>
      </c>
      <c r="J92">
        <v>1.119505</v>
      </c>
      <c r="K92">
        <v>1.2213290000000001</v>
      </c>
      <c r="L92">
        <v>1.3142830000000001</v>
      </c>
      <c r="M92">
        <v>1.3985449999999999</v>
      </c>
      <c r="N92">
        <v>1.4744900000000001</v>
      </c>
      <c r="O92">
        <v>1.542613</v>
      </c>
      <c r="P92">
        <v>1.603475</v>
      </c>
    </row>
    <row r="93" spans="1:16" x14ac:dyDescent="0.2">
      <c r="A93" s="3">
        <f t="shared" si="1"/>
        <v>1975</v>
      </c>
      <c r="B93">
        <v>8.4881665999999995E-2</v>
      </c>
      <c r="C93">
        <v>0.195868126</v>
      </c>
      <c r="D93">
        <v>0.29899100000000001</v>
      </c>
      <c r="E93">
        <v>0.57931299999999997</v>
      </c>
      <c r="F93">
        <v>0.72003899999999998</v>
      </c>
      <c r="G93">
        <v>0.88309400000000005</v>
      </c>
      <c r="H93">
        <v>1.0013289999999999</v>
      </c>
      <c r="I93">
        <v>1.144476</v>
      </c>
      <c r="J93">
        <v>1.2504690000000001</v>
      </c>
      <c r="K93">
        <v>1.3457870000000001</v>
      </c>
      <c r="L93">
        <v>1.430982</v>
      </c>
      <c r="M93">
        <v>1.5067729999999999</v>
      </c>
      <c r="N93">
        <v>1.573952</v>
      </c>
      <c r="O93">
        <v>1.6333279999999999</v>
      </c>
      <c r="P93">
        <v>1.685689</v>
      </c>
    </row>
    <row r="94" spans="1:16" x14ac:dyDescent="0.2">
      <c r="A94" s="3">
        <f t="shared" si="1"/>
        <v>1976</v>
      </c>
      <c r="B94">
        <v>8.4881665999999995E-2</v>
      </c>
      <c r="C94">
        <v>0.195868126</v>
      </c>
      <c r="D94">
        <v>0.33272800000000002</v>
      </c>
      <c r="E94">
        <v>0.44198300000000001</v>
      </c>
      <c r="F94">
        <v>0.72997900000000004</v>
      </c>
      <c r="G94">
        <v>0.87296600000000002</v>
      </c>
      <c r="H94">
        <v>1.0340309999999999</v>
      </c>
      <c r="I94">
        <v>1.1471229999999999</v>
      </c>
      <c r="J94">
        <v>1.2829299999999999</v>
      </c>
      <c r="K94">
        <v>1.380174</v>
      </c>
      <c r="L94">
        <v>1.4659610000000001</v>
      </c>
      <c r="M94">
        <v>1.5413190000000001</v>
      </c>
      <c r="N94">
        <v>1.6073170000000001</v>
      </c>
      <c r="O94">
        <v>1.6649989999999999</v>
      </c>
      <c r="P94">
        <v>1.7153400000000001</v>
      </c>
    </row>
    <row r="95" spans="1:16" x14ac:dyDescent="0.2">
      <c r="A95" s="3">
        <f t="shared" si="1"/>
        <v>1977</v>
      </c>
      <c r="B95">
        <v>8.4881665999999995E-2</v>
      </c>
      <c r="C95">
        <v>0.195868126</v>
      </c>
      <c r="D95">
        <v>0.29436899999999999</v>
      </c>
      <c r="E95">
        <v>0.63373000000000002</v>
      </c>
      <c r="F95">
        <v>0.75913900000000001</v>
      </c>
      <c r="G95">
        <v>1.051895</v>
      </c>
      <c r="H95">
        <v>1.1906920000000001</v>
      </c>
      <c r="I95">
        <v>1.3409310000000001</v>
      </c>
      <c r="J95">
        <v>1.438571</v>
      </c>
      <c r="K95">
        <v>1.555963</v>
      </c>
      <c r="L95">
        <v>1.633143</v>
      </c>
      <c r="M95">
        <v>1.698221</v>
      </c>
      <c r="N95">
        <v>1.752966</v>
      </c>
      <c r="O95">
        <v>1.798972</v>
      </c>
      <c r="P95">
        <v>1.837634</v>
      </c>
    </row>
    <row r="96" spans="1:16" x14ac:dyDescent="0.2">
      <c r="A96" s="3">
        <f t="shared" si="1"/>
        <v>1978</v>
      </c>
      <c r="B96">
        <v>8.4881665999999995E-2</v>
      </c>
      <c r="C96">
        <v>0.195868126</v>
      </c>
      <c r="D96">
        <v>0.32497500000000001</v>
      </c>
      <c r="E96">
        <v>0.42569899999999999</v>
      </c>
      <c r="F96">
        <v>0.77210800000000002</v>
      </c>
      <c r="G96">
        <v>0.89959299999999998</v>
      </c>
      <c r="H96">
        <v>1.1905209999999999</v>
      </c>
      <c r="I96">
        <v>1.324595</v>
      </c>
      <c r="J96">
        <v>1.468092</v>
      </c>
      <c r="K96">
        <v>1.5576970000000001</v>
      </c>
      <c r="L96">
        <v>1.666336</v>
      </c>
      <c r="M96">
        <v>1.73448</v>
      </c>
      <c r="N96">
        <v>1.790565</v>
      </c>
      <c r="O96">
        <v>1.836587</v>
      </c>
      <c r="P96">
        <v>1.8742939999999999</v>
      </c>
    </row>
    <row r="97" spans="1:16" x14ac:dyDescent="0.2">
      <c r="A97" s="3">
        <f t="shared" si="1"/>
        <v>1979</v>
      </c>
      <c r="B97">
        <v>8.4881665999999995E-2</v>
      </c>
      <c r="C97">
        <v>0.195868126</v>
      </c>
      <c r="D97">
        <v>0.32522000000000001</v>
      </c>
      <c r="E97">
        <v>0.48336699999999999</v>
      </c>
      <c r="F97">
        <v>0.59259099999999998</v>
      </c>
      <c r="G97">
        <v>0.94150500000000004</v>
      </c>
      <c r="H97">
        <v>1.066786</v>
      </c>
      <c r="I97">
        <v>1.352017</v>
      </c>
      <c r="J97">
        <v>1.477959</v>
      </c>
      <c r="K97">
        <v>1.6117669999999999</v>
      </c>
      <c r="L97">
        <v>1.690814</v>
      </c>
      <c r="M97">
        <v>1.7885549999999999</v>
      </c>
      <c r="N97">
        <v>1.845853</v>
      </c>
      <c r="O97">
        <v>1.8914169999999999</v>
      </c>
      <c r="P97">
        <v>1.92743</v>
      </c>
    </row>
    <row r="98" spans="1:16" x14ac:dyDescent="0.2">
      <c r="A98" s="3">
        <f t="shared" si="1"/>
        <v>1980</v>
      </c>
      <c r="B98">
        <v>8.4881665999999995E-2</v>
      </c>
      <c r="C98">
        <v>0.195868126</v>
      </c>
      <c r="D98">
        <v>0.30943599999999999</v>
      </c>
      <c r="E98">
        <v>0.56751600000000002</v>
      </c>
      <c r="F98">
        <v>0.73866699999999996</v>
      </c>
      <c r="G98">
        <v>0.85172300000000001</v>
      </c>
      <c r="H98">
        <v>1.1972640000000001</v>
      </c>
      <c r="I98">
        <v>1.3138300000000001</v>
      </c>
      <c r="J98">
        <v>1.5866229999999999</v>
      </c>
      <c r="K98">
        <v>1.6977420000000001</v>
      </c>
      <c r="L98">
        <v>1.8153980000000001</v>
      </c>
      <c r="M98">
        <v>1.8777759999999999</v>
      </c>
      <c r="N98">
        <v>1.9589240000000001</v>
      </c>
      <c r="O98">
        <v>2.0001289999999998</v>
      </c>
      <c r="P98">
        <v>2.030383</v>
      </c>
    </row>
    <row r="99" spans="1:16" x14ac:dyDescent="0.2">
      <c r="A99" s="3">
        <f t="shared" si="1"/>
        <v>1981</v>
      </c>
      <c r="B99">
        <v>8.4881665999999995E-2</v>
      </c>
      <c r="C99">
        <v>0.195868126</v>
      </c>
      <c r="D99">
        <v>0.29829</v>
      </c>
      <c r="E99">
        <v>0.499527</v>
      </c>
      <c r="F99">
        <v>0.76780899999999996</v>
      </c>
      <c r="G99">
        <v>0.94196500000000005</v>
      </c>
      <c r="H99">
        <v>1.0523750000000001</v>
      </c>
      <c r="I99">
        <v>1.391079</v>
      </c>
      <c r="J99">
        <v>1.497887</v>
      </c>
      <c r="K99">
        <v>1.7590509999999999</v>
      </c>
      <c r="L99">
        <v>1.857499</v>
      </c>
      <c r="M99">
        <v>1.9620770000000001</v>
      </c>
      <c r="N99">
        <v>2.0114369999999999</v>
      </c>
      <c r="O99">
        <v>2.0799590000000001</v>
      </c>
      <c r="P99">
        <v>2.1091530000000001</v>
      </c>
    </row>
    <row r="100" spans="1:16" x14ac:dyDescent="0.2">
      <c r="A100" s="3">
        <f t="shared" si="1"/>
        <v>1982</v>
      </c>
      <c r="B100">
        <v>8.4881665999999995E-2</v>
      </c>
      <c r="C100">
        <v>0.195868126</v>
      </c>
      <c r="D100">
        <v>0.28816000000000003</v>
      </c>
      <c r="E100">
        <v>0.42455599999999999</v>
      </c>
      <c r="F100">
        <v>0.63256900000000005</v>
      </c>
      <c r="G100">
        <v>0.90284799999999998</v>
      </c>
      <c r="H100">
        <v>1.0752470000000001</v>
      </c>
      <c r="I100">
        <v>1.1811149999999999</v>
      </c>
      <c r="J100">
        <v>1.5133380000000001</v>
      </c>
      <c r="K100">
        <v>1.6124210000000001</v>
      </c>
      <c r="L100">
        <v>1.8651679999999999</v>
      </c>
      <c r="M100">
        <v>1.9549289999999999</v>
      </c>
      <c r="N100">
        <v>2.0508600000000001</v>
      </c>
      <c r="O100">
        <v>2.0918329999999998</v>
      </c>
      <c r="P100">
        <v>2.152377</v>
      </c>
    </row>
    <row r="101" spans="1:16" x14ac:dyDescent="0.2">
      <c r="A101" s="3">
        <f t="shared" si="1"/>
        <v>1983</v>
      </c>
      <c r="B101">
        <v>8.4881665999999995E-2</v>
      </c>
      <c r="C101">
        <v>0.195868126</v>
      </c>
      <c r="D101">
        <v>0.33803499999999997</v>
      </c>
      <c r="E101">
        <v>0.465312</v>
      </c>
      <c r="F101">
        <v>0.61121599999999998</v>
      </c>
      <c r="G101">
        <v>0.82203000000000004</v>
      </c>
      <c r="H101">
        <v>1.089842</v>
      </c>
      <c r="I101">
        <v>1.25587</v>
      </c>
      <c r="J101">
        <v>1.3526450000000001</v>
      </c>
      <c r="K101">
        <v>1.674029</v>
      </c>
      <c r="L101">
        <v>1.761304</v>
      </c>
      <c r="M101">
        <v>2.0018630000000002</v>
      </c>
      <c r="N101">
        <v>2.0794920000000001</v>
      </c>
      <c r="O101">
        <v>2.1636570000000002</v>
      </c>
      <c r="P101">
        <v>2.1934369999999999</v>
      </c>
    </row>
    <row r="102" spans="1:16" x14ac:dyDescent="0.2">
      <c r="A102" s="3">
        <f t="shared" si="1"/>
        <v>1984</v>
      </c>
      <c r="B102">
        <v>8.4881665999999995E-2</v>
      </c>
      <c r="C102">
        <v>0.195868126</v>
      </c>
      <c r="D102">
        <v>0.33325199999999999</v>
      </c>
      <c r="E102">
        <v>0.43940000000000001</v>
      </c>
      <c r="F102">
        <v>0.57211699999999999</v>
      </c>
      <c r="G102">
        <v>0.71962400000000004</v>
      </c>
      <c r="H102">
        <v>0.92902700000000005</v>
      </c>
      <c r="I102">
        <v>1.1931940000000001</v>
      </c>
      <c r="J102">
        <v>1.3540179999999999</v>
      </c>
      <c r="K102">
        <v>1.444591</v>
      </c>
      <c r="L102">
        <v>1.7592190000000001</v>
      </c>
      <c r="M102">
        <v>1.8395189999999999</v>
      </c>
      <c r="N102">
        <v>2.073137</v>
      </c>
      <c r="O102">
        <v>2.144034</v>
      </c>
      <c r="P102">
        <v>2.221794</v>
      </c>
    </row>
    <row r="103" spans="1:16" x14ac:dyDescent="0.2">
      <c r="A103" s="3">
        <f t="shared" si="1"/>
        <v>1985</v>
      </c>
      <c r="B103">
        <v>8.4881665999999995E-2</v>
      </c>
      <c r="C103">
        <v>0.195868126</v>
      </c>
      <c r="D103">
        <v>0.36990499999999998</v>
      </c>
      <c r="E103">
        <v>0.47498000000000001</v>
      </c>
      <c r="F103">
        <v>0.58873399999999998</v>
      </c>
      <c r="G103">
        <v>0.723692</v>
      </c>
      <c r="H103">
        <v>0.86922699999999997</v>
      </c>
      <c r="I103">
        <v>1.0735319999999999</v>
      </c>
      <c r="J103">
        <v>1.3304240000000001</v>
      </c>
      <c r="K103">
        <v>1.482577</v>
      </c>
      <c r="L103">
        <v>1.5637030000000001</v>
      </c>
      <c r="M103">
        <v>1.868579</v>
      </c>
      <c r="N103">
        <v>1.9391750000000001</v>
      </c>
      <c r="O103">
        <v>2.1633779999999998</v>
      </c>
      <c r="P103">
        <v>2.22532</v>
      </c>
    </row>
    <row r="104" spans="1:16" x14ac:dyDescent="0.2">
      <c r="A104" s="3">
        <f t="shared" si="1"/>
        <v>1986</v>
      </c>
      <c r="B104">
        <v>8.4881665999999995E-2</v>
      </c>
      <c r="C104">
        <v>0.195868126</v>
      </c>
      <c r="D104">
        <v>0.30423099999999997</v>
      </c>
      <c r="E104">
        <v>0.439473</v>
      </c>
      <c r="F104">
        <v>0.54828200000000005</v>
      </c>
      <c r="G104">
        <v>0.66313599999999995</v>
      </c>
      <c r="H104">
        <v>0.797126</v>
      </c>
      <c r="I104">
        <v>0.94015800000000005</v>
      </c>
      <c r="J104">
        <v>1.1408929999999999</v>
      </c>
      <c r="K104">
        <v>1.3935280000000001</v>
      </c>
      <c r="L104">
        <v>1.5410440000000001</v>
      </c>
      <c r="M104">
        <v>1.617383</v>
      </c>
      <c r="N104">
        <v>1.9174960000000001</v>
      </c>
      <c r="O104">
        <v>1.9834700000000001</v>
      </c>
      <c r="P104">
        <v>2.2032790000000002</v>
      </c>
    </row>
    <row r="105" spans="1:16" x14ac:dyDescent="0.2">
      <c r="A105" s="3">
        <f t="shared" si="1"/>
        <v>1987</v>
      </c>
      <c r="B105">
        <v>8.4881665999999995E-2</v>
      </c>
      <c r="C105">
        <v>0.195868126</v>
      </c>
      <c r="D105">
        <v>0.34939900000000002</v>
      </c>
      <c r="E105">
        <v>0.40203</v>
      </c>
      <c r="F105">
        <v>0.54252100000000003</v>
      </c>
      <c r="G105">
        <v>0.65287700000000004</v>
      </c>
      <c r="H105">
        <v>0.76637</v>
      </c>
      <c r="I105">
        <v>0.89684200000000003</v>
      </c>
      <c r="J105">
        <v>1.034853</v>
      </c>
      <c r="K105">
        <v>1.2296050000000001</v>
      </c>
      <c r="L105">
        <v>1.4757210000000001</v>
      </c>
      <c r="M105">
        <v>1.6165080000000001</v>
      </c>
      <c r="N105">
        <v>1.68615</v>
      </c>
      <c r="O105">
        <v>1.9797670000000001</v>
      </c>
      <c r="P105">
        <v>2.0395620000000001</v>
      </c>
    </row>
    <row r="106" spans="1:16" x14ac:dyDescent="0.2">
      <c r="A106" s="3">
        <f t="shared" si="1"/>
        <v>1988</v>
      </c>
      <c r="B106">
        <v>8.4881665999999995E-2</v>
      </c>
      <c r="C106">
        <v>0.195868126</v>
      </c>
      <c r="D106">
        <v>0.32156800000000002</v>
      </c>
      <c r="E106">
        <v>0.43080099999999999</v>
      </c>
      <c r="F106">
        <v>0.48780099999999998</v>
      </c>
      <c r="G106">
        <v>0.62958000000000003</v>
      </c>
      <c r="H106">
        <v>0.73880199999999996</v>
      </c>
      <c r="I106">
        <v>0.84936699999999998</v>
      </c>
      <c r="J106">
        <v>0.97565999999999997</v>
      </c>
      <c r="K106">
        <v>1.108692</v>
      </c>
      <c r="L106">
        <v>1.298017</v>
      </c>
      <c r="M106">
        <v>1.5385329999999999</v>
      </c>
      <c r="N106">
        <v>1.673746</v>
      </c>
      <c r="O106">
        <v>1.737981</v>
      </c>
      <c r="P106">
        <v>2.0264540000000002</v>
      </c>
    </row>
    <row r="107" spans="1:16" x14ac:dyDescent="0.2">
      <c r="A107" s="3">
        <f t="shared" si="1"/>
        <v>1989</v>
      </c>
      <c r="B107">
        <v>8.4881665999999995E-2</v>
      </c>
      <c r="C107">
        <v>0.195868126</v>
      </c>
      <c r="D107">
        <v>0.275451</v>
      </c>
      <c r="E107">
        <v>0.41253499999999999</v>
      </c>
      <c r="F107">
        <v>0.52664999999999995</v>
      </c>
      <c r="G107">
        <v>0.58508800000000005</v>
      </c>
      <c r="H107">
        <v>0.72560100000000005</v>
      </c>
      <c r="I107">
        <v>0.83155100000000004</v>
      </c>
      <c r="J107">
        <v>0.93744700000000003</v>
      </c>
      <c r="K107">
        <v>1.0581750000000001</v>
      </c>
      <c r="L107">
        <v>1.1851430000000001</v>
      </c>
      <c r="M107">
        <v>1.368209</v>
      </c>
      <c r="N107">
        <v>1.602495</v>
      </c>
      <c r="O107">
        <v>1.7316659999999999</v>
      </c>
      <c r="P107">
        <v>1.790154</v>
      </c>
    </row>
    <row r="108" spans="1:16" x14ac:dyDescent="0.2">
      <c r="A108" s="3">
        <f t="shared" si="1"/>
        <v>1990</v>
      </c>
      <c r="B108">
        <v>8.4881665999999995E-2</v>
      </c>
      <c r="C108">
        <v>0.195868126</v>
      </c>
      <c r="D108">
        <v>0.28947000000000001</v>
      </c>
      <c r="E108">
        <v>0.42264800000000002</v>
      </c>
      <c r="F108">
        <v>0.567631</v>
      </c>
      <c r="G108">
        <v>0.68407399999999996</v>
      </c>
      <c r="H108">
        <v>0.74046400000000001</v>
      </c>
      <c r="I108">
        <v>0.87568199999999996</v>
      </c>
      <c r="J108">
        <v>0.97407600000000005</v>
      </c>
      <c r="K108">
        <v>1.0709660000000001</v>
      </c>
      <c r="L108">
        <v>1.1818820000000001</v>
      </c>
      <c r="M108">
        <v>1.2987230000000001</v>
      </c>
      <c r="N108">
        <v>1.4717100000000001</v>
      </c>
      <c r="O108">
        <v>1.6962189999999999</v>
      </c>
      <c r="P108">
        <v>1.8160890000000001</v>
      </c>
    </row>
    <row r="109" spans="1:16" x14ac:dyDescent="0.2">
      <c r="A109" s="3">
        <f t="shared" si="1"/>
        <v>1991</v>
      </c>
      <c r="B109">
        <v>8.4881665999999995E-2</v>
      </c>
      <c r="C109">
        <v>0.195868126</v>
      </c>
      <c r="D109">
        <v>0.30399500000000002</v>
      </c>
      <c r="E109">
        <v>0.454876</v>
      </c>
      <c r="F109">
        <v>0.59636999999999996</v>
      </c>
      <c r="G109">
        <v>0.743919</v>
      </c>
      <c r="H109">
        <v>0.85839399999999999</v>
      </c>
      <c r="I109">
        <v>0.90829300000000002</v>
      </c>
      <c r="J109">
        <v>1.035525</v>
      </c>
      <c r="K109">
        <v>1.1239589999999999</v>
      </c>
      <c r="L109">
        <v>1.2105319999999999</v>
      </c>
      <c r="M109">
        <v>1.310894</v>
      </c>
      <c r="N109">
        <v>1.417143</v>
      </c>
      <c r="O109">
        <v>1.58039</v>
      </c>
      <c r="P109">
        <v>1.79565</v>
      </c>
    </row>
    <row r="110" spans="1:16" x14ac:dyDescent="0.2">
      <c r="A110" s="3">
        <f t="shared" si="1"/>
        <v>1992</v>
      </c>
      <c r="B110">
        <v>8.4881665999999995E-2</v>
      </c>
      <c r="C110">
        <v>0.195868126</v>
      </c>
      <c r="D110">
        <v>0.34101300000000001</v>
      </c>
      <c r="E110">
        <v>0.39259100000000002</v>
      </c>
      <c r="F110">
        <v>0.54838399999999998</v>
      </c>
      <c r="G110">
        <v>0.691492</v>
      </c>
      <c r="H110">
        <v>0.83804100000000004</v>
      </c>
      <c r="I110">
        <v>0.94955599999999996</v>
      </c>
      <c r="J110">
        <v>0.99511300000000003</v>
      </c>
      <c r="K110">
        <v>1.117097</v>
      </c>
      <c r="L110">
        <v>1.1997599999999999</v>
      </c>
      <c r="M110">
        <v>1.2803359999999999</v>
      </c>
      <c r="N110">
        <v>1.374692</v>
      </c>
      <c r="O110">
        <v>1.4750859999999999</v>
      </c>
      <c r="P110">
        <v>1.6327370000000001</v>
      </c>
    </row>
    <row r="111" spans="1:16" x14ac:dyDescent="0.2">
      <c r="A111" s="3">
        <f t="shared" si="1"/>
        <v>1993</v>
      </c>
      <c r="B111">
        <v>8.4881665999999995E-2</v>
      </c>
      <c r="C111">
        <v>0.195868126</v>
      </c>
      <c r="D111">
        <v>0.39328999999999997</v>
      </c>
      <c r="E111">
        <v>0.51637599999999995</v>
      </c>
      <c r="F111">
        <v>0.57767900000000005</v>
      </c>
      <c r="G111">
        <v>0.73666600000000004</v>
      </c>
      <c r="H111">
        <v>0.87779300000000005</v>
      </c>
      <c r="I111">
        <v>1.0184850000000001</v>
      </c>
      <c r="J111">
        <v>1.121405</v>
      </c>
      <c r="K111">
        <v>1.1565730000000001</v>
      </c>
      <c r="L111">
        <v>1.267136</v>
      </c>
      <c r="M111">
        <v>1.3379270000000001</v>
      </c>
      <c r="N111">
        <v>1.4066149999999999</v>
      </c>
      <c r="O111">
        <v>1.489382</v>
      </c>
      <c r="P111">
        <v>1.5786990000000001</v>
      </c>
    </row>
    <row r="112" spans="1:16" x14ac:dyDescent="0.2">
      <c r="A112" s="3">
        <f t="shared" si="1"/>
        <v>1994</v>
      </c>
      <c r="B112">
        <v>8.4881665999999995E-2</v>
      </c>
      <c r="C112">
        <v>0.195868126</v>
      </c>
      <c r="D112">
        <v>0.36175499999999999</v>
      </c>
      <c r="E112">
        <v>0.53427500000000006</v>
      </c>
      <c r="F112">
        <v>0.66517899999999996</v>
      </c>
      <c r="G112">
        <v>0.72904899999999995</v>
      </c>
      <c r="H112">
        <v>0.88644400000000001</v>
      </c>
      <c r="I112">
        <v>1.0228630000000001</v>
      </c>
      <c r="J112">
        <v>1.156644</v>
      </c>
      <c r="K112">
        <v>1.251212</v>
      </c>
      <c r="L112">
        <v>1.277199</v>
      </c>
      <c r="M112">
        <v>1.3782160000000001</v>
      </c>
      <c r="N112">
        <v>1.439451</v>
      </c>
      <c r="O112">
        <v>1.498821</v>
      </c>
      <c r="P112">
        <v>1.5726830000000001</v>
      </c>
    </row>
    <row r="113" spans="1:16" x14ac:dyDescent="0.2">
      <c r="A113" s="3">
        <f t="shared" si="1"/>
        <v>1995</v>
      </c>
      <c r="B113">
        <v>8.4881665999999995E-2</v>
      </c>
      <c r="C113">
        <v>0.195868126</v>
      </c>
      <c r="D113">
        <v>0.31687599999999999</v>
      </c>
      <c r="E113">
        <v>0.47104099999999999</v>
      </c>
      <c r="F113">
        <v>0.64961999999999998</v>
      </c>
      <c r="G113">
        <v>0.78251499999999996</v>
      </c>
      <c r="H113">
        <v>0.84515099999999999</v>
      </c>
      <c r="I113">
        <v>0.99889600000000001</v>
      </c>
      <c r="J113">
        <v>1.129958</v>
      </c>
      <c r="K113">
        <v>1.2572650000000001</v>
      </c>
      <c r="L113">
        <v>1.344716</v>
      </c>
      <c r="M113">
        <v>1.3633029999999999</v>
      </c>
      <c r="N113">
        <v>1.4569129999999999</v>
      </c>
      <c r="O113">
        <v>1.5109250000000001</v>
      </c>
      <c r="P113">
        <v>1.5633919999999999</v>
      </c>
    </row>
    <row r="114" spans="1:16" x14ac:dyDescent="0.2">
      <c r="A114" s="3">
        <f t="shared" si="1"/>
        <v>1996</v>
      </c>
      <c r="B114">
        <v>8.4881665999999995E-2</v>
      </c>
      <c r="C114">
        <v>0.195868126</v>
      </c>
      <c r="D114">
        <v>0.33452999999999999</v>
      </c>
      <c r="E114">
        <v>0.39113799999999999</v>
      </c>
      <c r="F114">
        <v>0.54942000000000002</v>
      </c>
      <c r="G114">
        <v>0.729352</v>
      </c>
      <c r="H114">
        <v>0.86140799999999995</v>
      </c>
      <c r="I114">
        <v>0.92156400000000005</v>
      </c>
      <c r="J114">
        <v>1.071669</v>
      </c>
      <c r="K114">
        <v>1.198332</v>
      </c>
      <c r="L114">
        <v>1.3208029999999999</v>
      </c>
      <c r="M114">
        <v>1.4032260000000001</v>
      </c>
      <c r="N114">
        <v>1.416779</v>
      </c>
      <c r="O114">
        <v>1.5054810000000001</v>
      </c>
      <c r="P114">
        <v>1.554802</v>
      </c>
    </row>
    <row r="115" spans="1:16" x14ac:dyDescent="0.2">
      <c r="A115" s="3">
        <f t="shared" si="1"/>
        <v>1997</v>
      </c>
      <c r="B115">
        <v>8.4881665999999995E-2</v>
      </c>
      <c r="C115">
        <v>0.195868126</v>
      </c>
      <c r="D115">
        <v>0.35469299999999998</v>
      </c>
      <c r="E115">
        <v>0.444994</v>
      </c>
      <c r="F115">
        <v>0.50772700000000004</v>
      </c>
      <c r="G115">
        <v>0.66802099999999998</v>
      </c>
      <c r="H115">
        <v>0.84670599999999996</v>
      </c>
      <c r="I115">
        <v>0.97507299999999997</v>
      </c>
      <c r="J115">
        <v>1.029814</v>
      </c>
      <c r="K115">
        <v>1.1733750000000001</v>
      </c>
      <c r="L115">
        <v>1.292843</v>
      </c>
      <c r="M115">
        <v>1.4078360000000001</v>
      </c>
      <c r="N115">
        <v>1.4827710000000001</v>
      </c>
      <c r="O115">
        <v>1.4890239999999999</v>
      </c>
      <c r="P115">
        <v>1.570748</v>
      </c>
    </row>
    <row r="116" spans="1:16" x14ac:dyDescent="0.2">
      <c r="A116" s="3">
        <f t="shared" si="1"/>
        <v>1998</v>
      </c>
      <c r="B116">
        <v>8.4881665999999995E-2</v>
      </c>
      <c r="C116">
        <v>0.195868126</v>
      </c>
      <c r="D116">
        <v>0.31020399999999998</v>
      </c>
      <c r="E116">
        <v>0.40112999999999999</v>
      </c>
      <c r="F116">
        <v>0.49400500000000003</v>
      </c>
      <c r="G116">
        <v>0.55758399999999997</v>
      </c>
      <c r="H116">
        <v>0.71735400000000005</v>
      </c>
      <c r="I116">
        <v>0.89448799999999995</v>
      </c>
      <c r="J116">
        <v>1.020578</v>
      </c>
      <c r="K116">
        <v>1.072568</v>
      </c>
      <c r="L116">
        <v>1.213106</v>
      </c>
      <c r="M116">
        <v>1.3294299999999999</v>
      </c>
      <c r="N116">
        <v>1.4412750000000001</v>
      </c>
      <c r="O116">
        <v>1.5131410000000001</v>
      </c>
      <c r="P116">
        <v>1.5164610000000001</v>
      </c>
    </row>
    <row r="117" spans="1:16" x14ac:dyDescent="0.2">
      <c r="A117" s="3">
        <f t="shared" si="1"/>
        <v>1999</v>
      </c>
      <c r="B117">
        <v>8.4881665999999995E-2</v>
      </c>
      <c r="C117">
        <v>0.195868126</v>
      </c>
      <c r="D117">
        <v>0.32985700000000001</v>
      </c>
      <c r="E117">
        <v>0.43161100000000002</v>
      </c>
      <c r="F117">
        <v>0.52926899999999999</v>
      </c>
      <c r="G117">
        <v>0.62435600000000002</v>
      </c>
      <c r="H117">
        <v>0.68656399999999995</v>
      </c>
      <c r="I117">
        <v>0.842279</v>
      </c>
      <c r="J117">
        <v>1.0134620000000001</v>
      </c>
      <c r="K117">
        <v>1.13236</v>
      </c>
      <c r="L117">
        <v>1.1764429999999999</v>
      </c>
      <c r="M117">
        <v>1.3087610000000001</v>
      </c>
      <c r="N117">
        <v>1.416855</v>
      </c>
      <c r="O117">
        <v>1.5206770000000001</v>
      </c>
      <c r="P117">
        <v>1.5848739999999999</v>
      </c>
    </row>
    <row r="118" spans="1:16" x14ac:dyDescent="0.2">
      <c r="A118" s="3">
        <f t="shared" si="1"/>
        <v>2000</v>
      </c>
      <c r="B118">
        <v>8.4881665999999995E-2</v>
      </c>
      <c r="C118">
        <v>0.195868126</v>
      </c>
      <c r="D118">
        <v>0.30130200000000001</v>
      </c>
      <c r="E118">
        <v>0.40886</v>
      </c>
      <c r="F118">
        <v>0.51499499999999998</v>
      </c>
      <c r="G118">
        <v>0.61409199999999997</v>
      </c>
      <c r="H118">
        <v>0.70828599999999997</v>
      </c>
      <c r="I118">
        <v>0.76785599999999998</v>
      </c>
      <c r="J118">
        <v>0.91969800000000002</v>
      </c>
      <c r="K118">
        <v>1.086201</v>
      </c>
      <c r="L118">
        <v>1.199954</v>
      </c>
      <c r="M118">
        <v>1.2386889999999999</v>
      </c>
      <c r="N118">
        <v>1.3656509999999999</v>
      </c>
      <c r="O118">
        <v>1.4685250000000001</v>
      </c>
      <c r="P118">
        <v>1.567356</v>
      </c>
    </row>
    <row r="119" spans="1:16" x14ac:dyDescent="0.2">
      <c r="A119" s="3">
        <f t="shared" si="1"/>
        <v>2001</v>
      </c>
      <c r="B119">
        <v>8.4881665999999995E-2</v>
      </c>
      <c r="C119">
        <v>0.195868126</v>
      </c>
      <c r="D119">
        <v>0.33871499999999999</v>
      </c>
      <c r="E119">
        <v>0.45316699999999999</v>
      </c>
      <c r="F119">
        <v>0.56914600000000004</v>
      </c>
      <c r="G119">
        <v>0.67804699999999996</v>
      </c>
      <c r="H119">
        <v>0.77542900000000003</v>
      </c>
      <c r="I119">
        <v>0.86455199999999999</v>
      </c>
      <c r="J119">
        <v>0.91667699999999996</v>
      </c>
      <c r="K119">
        <v>1.059523</v>
      </c>
      <c r="L119">
        <v>1.216135</v>
      </c>
      <c r="M119">
        <v>1.319607</v>
      </c>
      <c r="N119">
        <v>1.348047</v>
      </c>
      <c r="O119">
        <v>1.4649730000000001</v>
      </c>
      <c r="P119">
        <v>1.558254</v>
      </c>
    </row>
    <row r="120" spans="1:16" x14ac:dyDescent="0.2">
      <c r="A120" s="3">
        <f t="shared" si="1"/>
        <v>2002</v>
      </c>
      <c r="B120">
        <v>8.4881665999999995E-2</v>
      </c>
      <c r="C120">
        <v>0.195868126</v>
      </c>
      <c r="D120">
        <v>0.33280100000000001</v>
      </c>
      <c r="E120">
        <v>0.44964199999999999</v>
      </c>
      <c r="F120">
        <v>0.570245</v>
      </c>
      <c r="G120">
        <v>0.68824399999999997</v>
      </c>
      <c r="H120">
        <v>0.79589200000000004</v>
      </c>
      <c r="I120">
        <v>0.88956999999999997</v>
      </c>
      <c r="J120">
        <v>0.97325499999999998</v>
      </c>
      <c r="K120">
        <v>1.01881</v>
      </c>
      <c r="L120">
        <v>1.154431</v>
      </c>
      <c r="M120">
        <v>1.3035330000000001</v>
      </c>
      <c r="N120">
        <v>1.399486</v>
      </c>
      <c r="O120">
        <v>1.4205950000000001</v>
      </c>
      <c r="P120">
        <v>1.5305139999999999</v>
      </c>
    </row>
    <row r="121" spans="1:16" x14ac:dyDescent="0.2">
      <c r="A121" s="3">
        <f t="shared" si="1"/>
        <v>2003</v>
      </c>
      <c r="B121">
        <v>8.4881665999999995E-2</v>
      </c>
      <c r="C121">
        <v>0.195868126</v>
      </c>
      <c r="D121">
        <v>0.34610200000000002</v>
      </c>
      <c r="E121">
        <v>0.44203599999999998</v>
      </c>
      <c r="F121">
        <v>0.56493400000000005</v>
      </c>
      <c r="G121">
        <v>0.68752599999999997</v>
      </c>
      <c r="H121">
        <v>0.80429200000000001</v>
      </c>
      <c r="I121">
        <v>0.90829199999999999</v>
      </c>
      <c r="J121">
        <v>0.99661500000000003</v>
      </c>
      <c r="K121">
        <v>1.0738289999999999</v>
      </c>
      <c r="L121">
        <v>1.112269</v>
      </c>
      <c r="M121">
        <v>1.2404949999999999</v>
      </c>
      <c r="N121">
        <v>1.382193</v>
      </c>
      <c r="O121">
        <v>1.470926</v>
      </c>
      <c r="P121">
        <v>1.485136</v>
      </c>
    </row>
    <row r="122" spans="1:16" x14ac:dyDescent="0.2">
      <c r="A122" s="3">
        <f t="shared" si="1"/>
        <v>2004</v>
      </c>
      <c r="B122">
        <v>8.4881665999999995E-2</v>
      </c>
      <c r="C122">
        <v>0.195868126</v>
      </c>
      <c r="D122">
        <v>0.33404899999999998</v>
      </c>
      <c r="E122">
        <v>0.49804300000000001</v>
      </c>
      <c r="F122">
        <v>0.60240199999999999</v>
      </c>
      <c r="G122">
        <v>0.72806700000000002</v>
      </c>
      <c r="H122">
        <v>0.84894400000000003</v>
      </c>
      <c r="I122">
        <v>0.96063500000000002</v>
      </c>
      <c r="J122">
        <v>1.0571870000000001</v>
      </c>
      <c r="K122">
        <v>1.1365099999999999</v>
      </c>
      <c r="L122">
        <v>1.2038279999999999</v>
      </c>
      <c r="M122">
        <v>1.2319819999999999</v>
      </c>
      <c r="N122">
        <v>1.3499080000000001</v>
      </c>
      <c r="O122">
        <v>1.4815640000000001</v>
      </c>
      <c r="P122">
        <v>1.5607009999999999</v>
      </c>
    </row>
    <row r="123" spans="1:16" x14ac:dyDescent="0.2">
      <c r="A123" s="3">
        <f t="shared" si="1"/>
        <v>2005</v>
      </c>
      <c r="B123">
        <v>8.4881665999999995E-2</v>
      </c>
      <c r="C123">
        <v>0.195868126</v>
      </c>
      <c r="D123">
        <v>0.27844999999999998</v>
      </c>
      <c r="E123">
        <v>0.40367199999999998</v>
      </c>
      <c r="F123">
        <v>0.57152700000000001</v>
      </c>
      <c r="G123">
        <v>0.67715400000000003</v>
      </c>
      <c r="H123">
        <v>0.802033</v>
      </c>
      <c r="I123">
        <v>0.92058399999999996</v>
      </c>
      <c r="J123">
        <v>1.0288619999999999</v>
      </c>
      <c r="K123">
        <v>1.1212899999999999</v>
      </c>
      <c r="L123">
        <v>1.196078</v>
      </c>
      <c r="M123">
        <v>1.258683</v>
      </c>
      <c r="N123">
        <v>1.282117</v>
      </c>
      <c r="O123">
        <v>1.395443</v>
      </c>
      <c r="P123">
        <v>1.5227010000000001</v>
      </c>
    </row>
    <row r="124" spans="1:16" x14ac:dyDescent="0.2">
      <c r="A124" s="3">
        <f t="shared" si="1"/>
        <v>2006</v>
      </c>
      <c r="B124">
        <v>8.4881665999999995E-2</v>
      </c>
      <c r="C124">
        <v>0.195868126</v>
      </c>
      <c r="D124">
        <v>0.308139</v>
      </c>
      <c r="E124">
        <v>0.443718</v>
      </c>
      <c r="F124">
        <v>0.57810399999999995</v>
      </c>
      <c r="G124">
        <v>0.748969</v>
      </c>
      <c r="H124">
        <v>0.85272999999999999</v>
      </c>
      <c r="I124">
        <v>0.97208899999999998</v>
      </c>
      <c r="J124">
        <v>1.0825389999999999</v>
      </c>
      <c r="K124">
        <v>1.181028</v>
      </c>
      <c r="L124">
        <v>1.262691</v>
      </c>
      <c r="M124">
        <v>1.3262910000000001</v>
      </c>
      <c r="N124">
        <v>1.3776930000000001</v>
      </c>
      <c r="O124">
        <v>1.390204</v>
      </c>
      <c r="P124">
        <v>1.4930909999999999</v>
      </c>
    </row>
    <row r="125" spans="1:16" x14ac:dyDescent="0.2">
      <c r="A125" s="3">
        <f t="shared" si="1"/>
        <v>2007</v>
      </c>
      <c r="B125">
        <v>8.4881665999999995E-2</v>
      </c>
      <c r="C125">
        <v>0.195868126</v>
      </c>
      <c r="D125">
        <v>0.30641600000000002</v>
      </c>
      <c r="E125">
        <v>0.49271999999999999</v>
      </c>
      <c r="F125">
        <v>0.63853499999999996</v>
      </c>
      <c r="G125">
        <v>0.77628200000000003</v>
      </c>
      <c r="H125">
        <v>0.94506299999999999</v>
      </c>
      <c r="I125">
        <v>1.042659</v>
      </c>
      <c r="J125">
        <v>1.1529700000000001</v>
      </c>
      <c r="K125">
        <v>1.2524869999999999</v>
      </c>
      <c r="L125">
        <v>1.3389530000000001</v>
      </c>
      <c r="M125">
        <v>1.40812</v>
      </c>
      <c r="N125">
        <v>1.4592080000000001</v>
      </c>
      <c r="O125">
        <v>1.4984109999999999</v>
      </c>
      <c r="P125">
        <v>1.4992639999999999</v>
      </c>
    </row>
    <row r="126" spans="1:16" x14ac:dyDescent="0.2">
      <c r="A126" s="3">
        <f t="shared" si="1"/>
        <v>2008</v>
      </c>
      <c r="B126">
        <v>8.4881665999999995E-2</v>
      </c>
      <c r="C126">
        <v>0.195868126</v>
      </c>
      <c r="D126">
        <v>0.30710300000000001</v>
      </c>
      <c r="E126">
        <v>0.45609699999999997</v>
      </c>
      <c r="F126">
        <v>0.65070099999999997</v>
      </c>
      <c r="G126">
        <v>0.79924099999999998</v>
      </c>
      <c r="H126">
        <v>0.93529799999999996</v>
      </c>
      <c r="I126">
        <v>1.0990800000000001</v>
      </c>
      <c r="J126">
        <v>1.1893389999999999</v>
      </c>
      <c r="K126">
        <v>1.2907839999999999</v>
      </c>
      <c r="L126">
        <v>1.380552</v>
      </c>
      <c r="M126">
        <v>1.456885</v>
      </c>
      <c r="N126">
        <v>1.515906</v>
      </c>
      <c r="O126">
        <v>1.5571010000000001</v>
      </c>
      <c r="P126">
        <v>1.5868500000000001</v>
      </c>
    </row>
    <row r="127" spans="1:16" x14ac:dyDescent="0.2">
      <c r="A127" s="3">
        <f t="shared" si="1"/>
        <v>2009</v>
      </c>
      <c r="B127">
        <v>8.4881665999999995E-2</v>
      </c>
      <c r="C127">
        <v>0.195868126</v>
      </c>
      <c r="D127">
        <v>0.35264299999999998</v>
      </c>
      <c r="E127">
        <v>0.53325699999999998</v>
      </c>
      <c r="F127">
        <v>0.69479199999999997</v>
      </c>
      <c r="G127">
        <v>0.89351400000000003</v>
      </c>
      <c r="H127">
        <v>1.039501</v>
      </c>
      <c r="I127">
        <v>1.168005</v>
      </c>
      <c r="J127">
        <v>1.3207009999999999</v>
      </c>
      <c r="K127">
        <v>1.397564</v>
      </c>
      <c r="L127">
        <v>1.4842789999999999</v>
      </c>
      <c r="M127">
        <v>1.5587359999999999</v>
      </c>
      <c r="N127">
        <v>1.619739</v>
      </c>
      <c r="O127">
        <v>1.6638139999999999</v>
      </c>
      <c r="P127">
        <v>1.6907239999999999</v>
      </c>
    </row>
    <row r="128" spans="1:16" x14ac:dyDescent="0.2">
      <c r="A128" s="3">
        <f t="shared" si="1"/>
        <v>2010</v>
      </c>
      <c r="B128">
        <v>8.4881665999999995E-2</v>
      </c>
      <c r="C128">
        <v>0.195868126</v>
      </c>
      <c r="D128">
        <v>0.26981699999999997</v>
      </c>
      <c r="E128">
        <v>0.44695499999999999</v>
      </c>
      <c r="F128">
        <v>0.632799</v>
      </c>
      <c r="G128">
        <v>0.79605099999999995</v>
      </c>
      <c r="H128">
        <v>0.99370899999999995</v>
      </c>
      <c r="I128">
        <v>1.1365460000000001</v>
      </c>
      <c r="J128">
        <v>1.260427</v>
      </c>
      <c r="K128">
        <v>1.4075359999999999</v>
      </c>
      <c r="L128">
        <v>1.478256</v>
      </c>
      <c r="M128">
        <v>1.558586</v>
      </c>
      <c r="N128">
        <v>1.6266499999999999</v>
      </c>
      <c r="O128">
        <v>1.6814199999999999</v>
      </c>
      <c r="P128">
        <v>1.719538</v>
      </c>
    </row>
    <row r="129" spans="1:63" x14ac:dyDescent="0.2">
      <c r="A129" s="3">
        <f t="shared" si="1"/>
        <v>2011</v>
      </c>
      <c r="B129">
        <v>8.4881665999999995E-2</v>
      </c>
      <c r="C129">
        <v>0.195868126</v>
      </c>
      <c r="D129">
        <v>0.24698800000000001</v>
      </c>
      <c r="E129">
        <v>0.431149</v>
      </c>
      <c r="F129">
        <v>0.61723300000000003</v>
      </c>
      <c r="G129">
        <v>0.80601500000000004</v>
      </c>
      <c r="H129">
        <v>0.96744600000000003</v>
      </c>
      <c r="I129">
        <v>1.1597150000000001</v>
      </c>
      <c r="J129">
        <v>1.2946439999999999</v>
      </c>
      <c r="K129">
        <v>1.408968</v>
      </c>
      <c r="L129">
        <v>1.545569</v>
      </c>
      <c r="M129">
        <v>1.605367</v>
      </c>
      <c r="N129">
        <v>1.6747609999999999</v>
      </c>
      <c r="O129">
        <v>1.7321629999999999</v>
      </c>
      <c r="P129">
        <v>1.776743</v>
      </c>
    </row>
    <row r="130" spans="1:63" x14ac:dyDescent="0.2">
      <c r="A130" s="3">
        <f t="shared" si="1"/>
        <v>2012</v>
      </c>
      <c r="B130">
        <v>8.4881665999999995E-2</v>
      </c>
      <c r="C130">
        <v>0.195868126</v>
      </c>
      <c r="D130">
        <v>0.27789999999999998</v>
      </c>
      <c r="E130">
        <v>0.39443800000000001</v>
      </c>
      <c r="F130">
        <v>0.58677500000000005</v>
      </c>
      <c r="G130">
        <v>0.77554500000000004</v>
      </c>
      <c r="H130">
        <v>0.96266200000000002</v>
      </c>
      <c r="I130">
        <v>1.1191679999999999</v>
      </c>
      <c r="J130">
        <v>1.304209</v>
      </c>
      <c r="K130">
        <v>1.430404</v>
      </c>
      <c r="L130">
        <v>1.5351250000000001</v>
      </c>
      <c r="M130">
        <v>1.6617440000000001</v>
      </c>
      <c r="N130">
        <v>1.711546</v>
      </c>
      <c r="O130">
        <v>1.771196</v>
      </c>
      <c r="P130">
        <v>1.8192839999999999</v>
      </c>
    </row>
    <row r="131" spans="1:63" x14ac:dyDescent="0.2">
      <c r="A131" s="3">
        <f t="shared" si="1"/>
        <v>2013</v>
      </c>
      <c r="B131">
        <v>8.4881665999999995E-2</v>
      </c>
      <c r="C131">
        <v>0.195868126</v>
      </c>
      <c r="D131">
        <v>0.34531600000000001</v>
      </c>
      <c r="E131">
        <v>0.43754799999999999</v>
      </c>
      <c r="F131">
        <v>0.56294</v>
      </c>
      <c r="G131">
        <v>0.75818399999999997</v>
      </c>
      <c r="H131">
        <v>0.94515099999999996</v>
      </c>
      <c r="I131">
        <v>1.1269359999999999</v>
      </c>
      <c r="J131">
        <v>1.275617</v>
      </c>
      <c r="K131">
        <v>1.451201</v>
      </c>
      <c r="L131">
        <v>1.5669979999999999</v>
      </c>
      <c r="M131">
        <v>1.6609100000000001</v>
      </c>
      <c r="N131">
        <v>1.776707</v>
      </c>
      <c r="O131">
        <v>1.8159590000000001</v>
      </c>
      <c r="P131">
        <v>1.865524</v>
      </c>
    </row>
    <row r="132" spans="1:63" x14ac:dyDescent="0.2">
      <c r="A132" s="3">
        <f t="shared" si="1"/>
        <v>2014</v>
      </c>
      <c r="B132">
        <v>8.4881665999999995E-2</v>
      </c>
      <c r="C132">
        <v>0.195868126</v>
      </c>
      <c r="D132">
        <v>0.411665</v>
      </c>
      <c r="E132">
        <v>0.48963000000000001</v>
      </c>
      <c r="F132">
        <v>0.58986499999999997</v>
      </c>
      <c r="G132">
        <v>0.71788399999999997</v>
      </c>
      <c r="H132">
        <v>0.91149899999999995</v>
      </c>
      <c r="I132">
        <v>1.0936459999999999</v>
      </c>
      <c r="J132">
        <v>1.268357</v>
      </c>
      <c r="K132">
        <v>1.4084890000000001</v>
      </c>
      <c r="L132">
        <v>1.574675</v>
      </c>
      <c r="M132">
        <v>1.680701</v>
      </c>
      <c r="N132">
        <v>1.764831</v>
      </c>
      <c r="O132">
        <v>1.8710899999999999</v>
      </c>
      <c r="P132">
        <v>1.901227</v>
      </c>
    </row>
    <row r="133" spans="1:63" x14ac:dyDescent="0.2">
      <c r="A133" s="3">
        <f t="shared" si="1"/>
        <v>2015</v>
      </c>
      <c r="B133">
        <v>8.4881665999999995E-2</v>
      </c>
      <c r="C133">
        <v>0.195868126</v>
      </c>
      <c r="D133">
        <v>0.37410199999999999</v>
      </c>
      <c r="E133">
        <v>0.44882699999999998</v>
      </c>
      <c r="F133">
        <v>0.52885300000000002</v>
      </c>
      <c r="G133">
        <v>0.62976500000000002</v>
      </c>
      <c r="H133">
        <v>0.75736499999999995</v>
      </c>
      <c r="I133">
        <v>0.949739</v>
      </c>
      <c r="J133">
        <v>1.130064</v>
      </c>
      <c r="K133">
        <v>1.3025739999999999</v>
      </c>
      <c r="L133">
        <v>1.440285</v>
      </c>
      <c r="M133">
        <v>1.603955</v>
      </c>
      <c r="N133">
        <v>1.707462</v>
      </c>
      <c r="O133">
        <v>1.7891360000000001</v>
      </c>
      <c r="P133">
        <v>1.8930480000000001</v>
      </c>
    </row>
    <row r="134" spans="1:63" x14ac:dyDescent="0.2">
      <c r="A134" s="3">
        <f t="shared" si="1"/>
        <v>2016</v>
      </c>
      <c r="B134">
        <v>8.4881665999999995E-2</v>
      </c>
      <c r="C134">
        <v>0.195868126</v>
      </c>
      <c r="D134">
        <v>0.30038199999999998</v>
      </c>
      <c r="E134">
        <v>0.43488399999999999</v>
      </c>
      <c r="F134">
        <v>0.51297999999999999</v>
      </c>
      <c r="G134">
        <v>0.594113</v>
      </c>
      <c r="H134">
        <v>0.69433800000000001</v>
      </c>
      <c r="I134">
        <v>0.81990799999999997</v>
      </c>
      <c r="J134">
        <v>1.0093019999999999</v>
      </c>
      <c r="K134">
        <v>1.1860269999999999</v>
      </c>
      <c r="L134">
        <v>1.3545780000000001</v>
      </c>
      <c r="M134">
        <v>1.488175</v>
      </c>
      <c r="N134">
        <v>1.647724</v>
      </c>
      <c r="O134">
        <v>1.747214</v>
      </c>
      <c r="P134">
        <v>1.825048</v>
      </c>
    </row>
    <row r="135" spans="1:63" x14ac:dyDescent="0.2">
      <c r="A135" s="3">
        <f t="shared" si="1"/>
        <v>2017</v>
      </c>
      <c r="B135">
        <v>8.4881665999999995E-2</v>
      </c>
      <c r="C135">
        <v>0.195868126</v>
      </c>
      <c r="D135">
        <v>0.33590100000000001</v>
      </c>
      <c r="E135">
        <v>0.41707899999999998</v>
      </c>
      <c r="F135">
        <v>0.55805199999999999</v>
      </c>
      <c r="G135">
        <v>0.63827299999999998</v>
      </c>
      <c r="H135">
        <v>0.71808899999999998</v>
      </c>
      <c r="I135">
        <v>0.81441600000000003</v>
      </c>
      <c r="J135">
        <v>0.93426600000000004</v>
      </c>
      <c r="K135">
        <v>1.1167480000000001</v>
      </c>
      <c r="L135">
        <v>1.2858719999999999</v>
      </c>
      <c r="M135">
        <v>1.4465220000000001</v>
      </c>
      <c r="N135">
        <v>1.572208</v>
      </c>
      <c r="O135">
        <v>1.724045</v>
      </c>
      <c r="P135">
        <v>1.8161639999999999</v>
      </c>
    </row>
    <row r="136" spans="1:63" x14ac:dyDescent="0.2">
      <c r="A136" s="3">
        <f t="shared" si="1"/>
        <v>2018</v>
      </c>
      <c r="B136">
        <v>8.4881665999999995E-2</v>
      </c>
      <c r="C136">
        <v>0.195868126</v>
      </c>
      <c r="D136">
        <v>0.36114200000000002</v>
      </c>
      <c r="E136">
        <v>0.43115700000000001</v>
      </c>
      <c r="F136">
        <v>0.51761800000000002</v>
      </c>
      <c r="G136">
        <v>0.66032500000000005</v>
      </c>
      <c r="H136">
        <v>0.73947099999999999</v>
      </c>
      <c r="I136">
        <v>0.81610499999999997</v>
      </c>
      <c r="J136">
        <v>0.90776299999999999</v>
      </c>
      <c r="K136">
        <v>1.021971</v>
      </c>
      <c r="L136">
        <v>1.198248</v>
      </c>
      <c r="M136">
        <v>1.3609230000000001</v>
      </c>
      <c r="N136">
        <v>1.515117</v>
      </c>
      <c r="O136">
        <v>1.6345069999999999</v>
      </c>
      <c r="P136">
        <v>1.780327</v>
      </c>
    </row>
    <row r="137" spans="1:63" x14ac:dyDescent="0.2">
      <c r="A137" s="3">
        <f t="shared" si="1"/>
        <v>2019</v>
      </c>
      <c r="B137">
        <v>8.4881665999999995E-2</v>
      </c>
      <c r="C137">
        <v>0.195868126</v>
      </c>
      <c r="D137">
        <v>0.434892</v>
      </c>
      <c r="E137">
        <v>0.54907399999999995</v>
      </c>
      <c r="F137">
        <v>0.62951000000000001</v>
      </c>
      <c r="G137">
        <v>0.71939299999999995</v>
      </c>
      <c r="H137">
        <v>0.85997900000000005</v>
      </c>
      <c r="I137">
        <v>0.93284800000000001</v>
      </c>
      <c r="J137">
        <v>1.00027</v>
      </c>
      <c r="K137">
        <v>1.0807960000000001</v>
      </c>
      <c r="L137">
        <v>1.182763</v>
      </c>
      <c r="M137">
        <v>1.346317</v>
      </c>
      <c r="N137">
        <v>1.4962530000000001</v>
      </c>
      <c r="O137">
        <v>1.6380269999999999</v>
      </c>
      <c r="P137">
        <v>1.745547</v>
      </c>
    </row>
    <row r="138" spans="1:63" x14ac:dyDescent="0.2">
      <c r="A138" s="3">
        <f t="shared" si="1"/>
        <v>2020</v>
      </c>
      <c r="B138">
        <v>8.4881665999999995E-2</v>
      </c>
      <c r="C138">
        <v>0.195868126</v>
      </c>
      <c r="D138">
        <v>0.36076999999999998</v>
      </c>
      <c r="E138">
        <v>0.485898</v>
      </c>
      <c r="F138">
        <v>0.602908</v>
      </c>
      <c r="G138">
        <v>0.68427300000000002</v>
      </c>
      <c r="H138">
        <v>0.77358000000000005</v>
      </c>
      <c r="I138">
        <v>0.912462</v>
      </c>
      <c r="J138">
        <v>0.98283100000000001</v>
      </c>
      <c r="K138">
        <v>1.047231</v>
      </c>
      <c r="L138">
        <v>1.124436</v>
      </c>
      <c r="M138">
        <v>1.2229490000000001</v>
      </c>
      <c r="N138">
        <v>1.383046</v>
      </c>
      <c r="O138">
        <v>1.5296110000000001</v>
      </c>
      <c r="P138">
        <v>1.6681630000000001</v>
      </c>
    </row>
    <row r="139" spans="1:63" x14ac:dyDescent="0.2">
      <c r="A139" s="3">
        <f t="shared" si="1"/>
        <v>2021</v>
      </c>
      <c r="B139">
        <v>8.4881665999999995E-2</v>
      </c>
      <c r="C139">
        <v>0.195868126</v>
      </c>
      <c r="D139">
        <v>0.30450700000000003</v>
      </c>
      <c r="E139">
        <v>0.41280600000000001</v>
      </c>
      <c r="F139">
        <v>0.54081900000000005</v>
      </c>
      <c r="G139">
        <v>0.65877699999999995</v>
      </c>
      <c r="H139">
        <v>0.73955400000000004</v>
      </c>
      <c r="I139">
        <v>0.82712300000000005</v>
      </c>
      <c r="J139">
        <v>0.96345499999999995</v>
      </c>
      <c r="K139">
        <v>1.0307409999999999</v>
      </c>
      <c r="L139">
        <v>1.091753</v>
      </c>
      <c r="M139">
        <v>1.1654340000000001</v>
      </c>
      <c r="N139">
        <v>1.2604200000000001</v>
      </c>
      <c r="O139">
        <v>1.4170780000000001</v>
      </c>
      <c r="P139">
        <v>1.560357</v>
      </c>
    </row>
    <row r="140" spans="1:63" x14ac:dyDescent="0.2">
      <c r="A140" s="3">
        <f t="shared" si="1"/>
        <v>2022</v>
      </c>
      <c r="B140">
        <v>8.4881665999999995E-2</v>
      </c>
      <c r="C140">
        <v>0.195868126</v>
      </c>
      <c r="D140">
        <v>0.36486499999999999</v>
      </c>
      <c r="E140">
        <v>0.44442399999999999</v>
      </c>
      <c r="F140">
        <v>0.56048200000000004</v>
      </c>
      <c r="G140">
        <v>0.69104299999999996</v>
      </c>
      <c r="H140">
        <v>0.80742100000000006</v>
      </c>
      <c r="I140">
        <v>0.88352600000000003</v>
      </c>
      <c r="J140">
        <v>0.96423599999999998</v>
      </c>
      <c r="K140">
        <v>1.0922799999999999</v>
      </c>
      <c r="L140">
        <v>1.1504529999999999</v>
      </c>
      <c r="M140">
        <v>1.2019919999999999</v>
      </c>
      <c r="N140">
        <v>1.266189</v>
      </c>
      <c r="O140">
        <v>1.351928</v>
      </c>
      <c r="P140">
        <v>1.4997480000000001</v>
      </c>
    </row>
    <row r="141" spans="1:63" x14ac:dyDescent="0.2">
      <c r="A141" s="3">
        <f t="shared" si="1"/>
        <v>2023</v>
      </c>
      <c r="B141">
        <v>8.4881665999999995E-2</v>
      </c>
      <c r="C141">
        <v>0.195868126</v>
      </c>
      <c r="D141">
        <v>0.34967300000000001</v>
      </c>
      <c r="E141">
        <v>0.42628899999999997</v>
      </c>
      <c r="F141">
        <v>0.50925500000000001</v>
      </c>
      <c r="G141">
        <v>0.62643099999999996</v>
      </c>
      <c r="H141">
        <v>0.75629900000000005</v>
      </c>
      <c r="I141">
        <v>0.87062499999999998</v>
      </c>
      <c r="J141">
        <v>0.94371899999999997</v>
      </c>
      <c r="K141">
        <v>1.020791</v>
      </c>
      <c r="L141">
        <v>1.1448339999999999</v>
      </c>
      <c r="M141">
        <v>1.1988490000000001</v>
      </c>
      <c r="N141">
        <v>1.246224</v>
      </c>
      <c r="O141">
        <v>1.3063610000000001</v>
      </c>
      <c r="P141">
        <v>1.3882209999999999</v>
      </c>
    </row>
    <row r="142" spans="1:63" x14ac:dyDescent="0.2">
      <c r="A142" s="3">
        <f t="shared" si="1"/>
        <v>2024</v>
      </c>
      <c r="B142">
        <v>8.4881665999999995E-2</v>
      </c>
      <c r="C142">
        <v>0.195868126</v>
      </c>
      <c r="D142">
        <v>0.321552</v>
      </c>
      <c r="E142">
        <v>0.53394399999999997</v>
      </c>
      <c r="F142">
        <v>0.62077899999999997</v>
      </c>
      <c r="G142">
        <v>0.70709999999999995</v>
      </c>
      <c r="H142">
        <v>0.82219600000000004</v>
      </c>
      <c r="I142">
        <v>0.945909</v>
      </c>
      <c r="J142">
        <v>1.0512030000000001</v>
      </c>
      <c r="K142">
        <v>1.113381</v>
      </c>
      <c r="L142">
        <v>1.1784509999999999</v>
      </c>
      <c r="M142">
        <v>1.290019</v>
      </c>
      <c r="N142">
        <v>1.331542</v>
      </c>
      <c r="O142">
        <v>1.3667389999999999</v>
      </c>
      <c r="P142">
        <v>1.415238</v>
      </c>
    </row>
    <row r="143" spans="1:63" x14ac:dyDescent="0.2">
      <c r="A143" s="3">
        <f t="shared" si="1"/>
        <v>2025</v>
      </c>
    </row>
    <row r="144" spans="1:63" x14ac:dyDescent="0.2">
      <c r="B144" t="s">
        <v>10</v>
      </c>
      <c r="C144">
        <v>1965</v>
      </c>
      <c r="D144">
        <v>1966</v>
      </c>
      <c r="E144">
        <v>1967</v>
      </c>
      <c r="F144">
        <v>1968</v>
      </c>
      <c r="G144">
        <v>1969</v>
      </c>
      <c r="H144">
        <v>1970</v>
      </c>
      <c r="I144">
        <v>1971</v>
      </c>
      <c r="J144">
        <v>1972</v>
      </c>
      <c r="K144">
        <v>1973</v>
      </c>
      <c r="L144">
        <v>1974</v>
      </c>
      <c r="M144">
        <v>1975</v>
      </c>
      <c r="N144">
        <v>1976</v>
      </c>
      <c r="O144">
        <v>1977</v>
      </c>
      <c r="P144">
        <v>1978</v>
      </c>
      <c r="Q144">
        <v>1979</v>
      </c>
      <c r="R144">
        <v>1980</v>
      </c>
      <c r="S144">
        <v>1981</v>
      </c>
      <c r="T144">
        <v>1982</v>
      </c>
      <c r="U144">
        <v>1983</v>
      </c>
      <c r="V144">
        <v>1984</v>
      </c>
      <c r="W144">
        <v>1985</v>
      </c>
      <c r="X144">
        <v>1986</v>
      </c>
      <c r="Y144">
        <v>1987</v>
      </c>
      <c r="Z144">
        <v>1988</v>
      </c>
      <c r="AA144">
        <v>1989</v>
      </c>
      <c r="AB144">
        <v>1990</v>
      </c>
      <c r="AC144">
        <v>1991</v>
      </c>
      <c r="AD144">
        <v>1992</v>
      </c>
      <c r="AE144">
        <v>1993</v>
      </c>
      <c r="AF144">
        <v>1994</v>
      </c>
      <c r="AG144">
        <v>1995</v>
      </c>
      <c r="AH144">
        <v>1996</v>
      </c>
      <c r="AI144">
        <v>1997</v>
      </c>
      <c r="AJ144">
        <v>1998</v>
      </c>
      <c r="AK144">
        <v>1999</v>
      </c>
      <c r="AL144">
        <v>2000</v>
      </c>
      <c r="AM144">
        <v>2001</v>
      </c>
      <c r="AN144">
        <v>2002</v>
      </c>
      <c r="AO144">
        <v>2003</v>
      </c>
      <c r="AP144">
        <v>2004</v>
      </c>
      <c r="AQ144">
        <v>2005</v>
      </c>
      <c r="AR144">
        <v>2006</v>
      </c>
      <c r="AS144">
        <v>2007</v>
      </c>
      <c r="AT144">
        <v>2008</v>
      </c>
      <c r="AU144">
        <v>2009</v>
      </c>
      <c r="AV144">
        <v>2010</v>
      </c>
      <c r="AW144">
        <v>2011</v>
      </c>
      <c r="AX144">
        <v>2012</v>
      </c>
      <c r="AY144">
        <v>2013</v>
      </c>
      <c r="AZ144">
        <v>2014</v>
      </c>
      <c r="BA144">
        <v>2015</v>
      </c>
      <c r="BB144">
        <v>2016</v>
      </c>
      <c r="BC144">
        <v>2017</v>
      </c>
      <c r="BD144">
        <v>2018</v>
      </c>
      <c r="BE144">
        <v>2019</v>
      </c>
      <c r="BF144">
        <v>2020</v>
      </c>
      <c r="BG144">
        <v>2021</v>
      </c>
      <c r="BH144">
        <v>2022</v>
      </c>
      <c r="BI144">
        <v>2023</v>
      </c>
      <c r="BJ144">
        <v>2024</v>
      </c>
      <c r="BK144">
        <v>2025</v>
      </c>
    </row>
    <row r="145" spans="2:63" x14ac:dyDescent="0.2">
      <c r="B145">
        <v>174.792</v>
      </c>
      <c r="C145">
        <v>230.55099999999999</v>
      </c>
      <c r="D145">
        <v>261.678</v>
      </c>
      <c r="E145">
        <v>550.36199999999997</v>
      </c>
      <c r="F145">
        <v>702.18100000000004</v>
      </c>
      <c r="G145">
        <v>862.78899999999999</v>
      </c>
      <c r="H145">
        <v>1256.5650000000001</v>
      </c>
      <c r="I145">
        <v>1743.7629999999999</v>
      </c>
      <c r="J145">
        <v>1874.5340000000001</v>
      </c>
      <c r="K145">
        <v>1758.9190000000001</v>
      </c>
      <c r="L145">
        <v>1588.39</v>
      </c>
      <c r="M145">
        <v>1356.7360000000001</v>
      </c>
      <c r="N145">
        <v>1177.8219999999999</v>
      </c>
      <c r="O145">
        <v>978.37</v>
      </c>
      <c r="P145">
        <v>979.43100000000004</v>
      </c>
      <c r="Q145">
        <v>935.71400000000006</v>
      </c>
      <c r="R145">
        <v>958.28</v>
      </c>
      <c r="S145">
        <v>973.50199999999995</v>
      </c>
      <c r="T145">
        <v>955.96400000000006</v>
      </c>
      <c r="U145">
        <v>981.45</v>
      </c>
      <c r="V145">
        <v>1092.0550000000001</v>
      </c>
      <c r="W145">
        <v>1139.6759999999999</v>
      </c>
      <c r="X145">
        <v>1141.9929999999999</v>
      </c>
      <c r="Y145">
        <v>859.41600000000005</v>
      </c>
      <c r="Z145">
        <v>1228.721</v>
      </c>
      <c r="AA145">
        <v>1229.5999999999999</v>
      </c>
      <c r="AB145">
        <v>1455.193</v>
      </c>
      <c r="AC145">
        <v>1195.6639299999999</v>
      </c>
      <c r="AD145">
        <v>1390.30916</v>
      </c>
      <c r="AE145">
        <v>1326.60896</v>
      </c>
      <c r="AF145">
        <v>1329.35166</v>
      </c>
      <c r="AG145">
        <v>1264.2468899999999</v>
      </c>
      <c r="AH145">
        <v>1192.7810899999999</v>
      </c>
      <c r="AI145">
        <v>1124.4330500000001</v>
      </c>
      <c r="AJ145">
        <v>1102.15914</v>
      </c>
      <c r="AK145">
        <v>989.68030999999996</v>
      </c>
      <c r="AL145">
        <v>1132.70985</v>
      </c>
      <c r="AM145">
        <v>1387.1970200000001</v>
      </c>
      <c r="AN145">
        <v>1480.77611</v>
      </c>
      <c r="AO145">
        <v>1490.779227</v>
      </c>
      <c r="AP145">
        <v>1480.5516689999999</v>
      </c>
      <c r="AQ145">
        <v>1483.0218090000001</v>
      </c>
      <c r="AR145">
        <v>1488.0310449999999</v>
      </c>
      <c r="AS145">
        <v>1354.5017889999999</v>
      </c>
      <c r="AT145">
        <v>990.57806800000003</v>
      </c>
      <c r="AU145">
        <v>810.78434600000003</v>
      </c>
      <c r="AV145">
        <v>810.18576129999997</v>
      </c>
      <c r="AW145">
        <v>1199.0311400000001</v>
      </c>
      <c r="AX145">
        <v>1205.2143759999999</v>
      </c>
      <c r="AY145">
        <v>1270.7603730000001</v>
      </c>
      <c r="AZ145">
        <v>1297.417183</v>
      </c>
      <c r="BA145">
        <v>1321.5737039999999</v>
      </c>
      <c r="BB145">
        <v>1352.681133</v>
      </c>
      <c r="BC145">
        <v>1359.1806509999999</v>
      </c>
      <c r="BD145">
        <v>1379.287814</v>
      </c>
      <c r="BE145">
        <v>1409.346415</v>
      </c>
      <c r="BF145">
        <v>1367.2358160000001</v>
      </c>
      <c r="BG145">
        <v>1376.2577120000001</v>
      </c>
      <c r="BH145">
        <v>1105.4185259999999</v>
      </c>
      <c r="BI145">
        <v>1310.5920309999999</v>
      </c>
      <c r="BJ145">
        <v>1311.2607399999999</v>
      </c>
      <c r="BK145">
        <v>1326.192225</v>
      </c>
    </row>
    <row r="147" spans="2:63" x14ac:dyDescent="0.2">
      <c r="B147" t="s">
        <v>11</v>
      </c>
    </row>
    <row r="148" spans="2:63" x14ac:dyDescent="0.2">
      <c r="B148">
        <v>0.56384999999999996</v>
      </c>
      <c r="C148">
        <v>0.38424999999999998</v>
      </c>
      <c r="D148">
        <v>0.35361999999999999</v>
      </c>
      <c r="E148">
        <v>0.67945999999999995</v>
      </c>
      <c r="F148">
        <v>0.62695000000000001</v>
      </c>
      <c r="G148">
        <v>0.60335000000000005</v>
      </c>
      <c r="H148">
        <v>1.0384800000000001</v>
      </c>
      <c r="I148">
        <v>1.5569299999999999</v>
      </c>
      <c r="J148">
        <v>1.5365</v>
      </c>
      <c r="K148">
        <v>1.7244299999999999</v>
      </c>
      <c r="L148">
        <v>1.5726599999999999</v>
      </c>
      <c r="M148">
        <v>1.49092</v>
      </c>
      <c r="N148">
        <v>1.28024</v>
      </c>
      <c r="O148">
        <v>1.526946667</v>
      </c>
      <c r="P148">
        <v>1.5219494440000001</v>
      </c>
      <c r="Q148">
        <v>1.5195243519999999</v>
      </c>
      <c r="R148">
        <v>1.48537341</v>
      </c>
      <c r="S148">
        <v>1.48537341</v>
      </c>
      <c r="T148">
        <v>1.48537341</v>
      </c>
      <c r="U148">
        <v>1.48537341</v>
      </c>
      <c r="V148">
        <v>1.48537341</v>
      </c>
      <c r="W148">
        <v>1.48537341</v>
      </c>
      <c r="X148">
        <v>1.48537341</v>
      </c>
      <c r="Y148">
        <v>1.48537341</v>
      </c>
      <c r="Z148">
        <v>1.48537341</v>
      </c>
      <c r="AA148">
        <v>1.48537341</v>
      </c>
      <c r="AB148">
        <v>1.48537341</v>
      </c>
      <c r="AC148">
        <v>1.48537341</v>
      </c>
      <c r="AD148">
        <v>1.48537341</v>
      </c>
      <c r="AE148">
        <v>1.48537341</v>
      </c>
      <c r="AF148">
        <v>1.48537341</v>
      </c>
      <c r="AG148">
        <v>1.48537341</v>
      </c>
      <c r="AH148">
        <v>1.48537341</v>
      </c>
      <c r="AI148">
        <v>1.48537341</v>
      </c>
      <c r="AJ148">
        <v>1.48537341</v>
      </c>
      <c r="AK148">
        <v>1.48537341</v>
      </c>
      <c r="AL148">
        <v>1.48537341</v>
      </c>
      <c r="AM148">
        <v>1.48537341</v>
      </c>
      <c r="AN148">
        <v>1.48537341</v>
      </c>
      <c r="AO148">
        <v>1.5</v>
      </c>
      <c r="AP148">
        <v>1.5</v>
      </c>
      <c r="AQ148">
        <v>1.5</v>
      </c>
      <c r="AR148">
        <v>1.5</v>
      </c>
      <c r="AS148">
        <v>1.5</v>
      </c>
      <c r="AT148">
        <v>1.5</v>
      </c>
      <c r="AU148">
        <v>1.5</v>
      </c>
      <c r="AV148">
        <v>1.5</v>
      </c>
      <c r="AW148">
        <v>1.5</v>
      </c>
      <c r="AX148">
        <v>1.5</v>
      </c>
      <c r="AY148">
        <v>1.5</v>
      </c>
      <c r="AZ148">
        <v>1.5</v>
      </c>
      <c r="BA148">
        <v>1.5</v>
      </c>
      <c r="BB148">
        <v>1.5</v>
      </c>
      <c r="BC148">
        <v>1.5</v>
      </c>
      <c r="BD148">
        <v>1.5</v>
      </c>
      <c r="BE148">
        <v>1.5</v>
      </c>
      <c r="BF148">
        <v>1.5</v>
      </c>
      <c r="BG148">
        <v>1.5</v>
      </c>
      <c r="BH148">
        <v>1.5</v>
      </c>
      <c r="BI148">
        <v>1.4</v>
      </c>
      <c r="BJ148">
        <v>1.4</v>
      </c>
      <c r="BK148">
        <v>1.4</v>
      </c>
    </row>
    <row r="149" spans="2:63" x14ac:dyDescent="0.2">
      <c r="B149" t="s">
        <v>12</v>
      </c>
    </row>
    <row r="150" spans="2:63" x14ac:dyDescent="0.2">
      <c r="B150">
        <v>12</v>
      </c>
    </row>
    <row r="151" spans="2:63" x14ac:dyDescent="0.2">
      <c r="B151" t="s">
        <v>13</v>
      </c>
    </row>
    <row r="152" spans="2:63" x14ac:dyDescent="0.2">
      <c r="B152">
        <v>1965</v>
      </c>
      <c r="C152">
        <v>1966</v>
      </c>
      <c r="D152">
        <v>1967</v>
      </c>
      <c r="E152">
        <v>1968</v>
      </c>
      <c r="F152">
        <v>1969</v>
      </c>
      <c r="G152">
        <v>1970</v>
      </c>
      <c r="H152">
        <v>1971</v>
      </c>
      <c r="I152">
        <v>1972</v>
      </c>
      <c r="J152">
        <v>1973</v>
      </c>
      <c r="K152">
        <v>1974</v>
      </c>
      <c r="L152">
        <v>1975</v>
      </c>
      <c r="M152">
        <v>1976</v>
      </c>
    </row>
    <row r="153" spans="2:63" x14ac:dyDescent="0.2">
      <c r="B153" t="s">
        <v>14</v>
      </c>
    </row>
    <row r="154" spans="2:63" x14ac:dyDescent="0.2">
      <c r="B154">
        <v>2816.4374280000002</v>
      </c>
      <c r="C154">
        <v>3473.5804750000002</v>
      </c>
      <c r="D154">
        <v>3802.169891</v>
      </c>
      <c r="E154">
        <v>5257.3046009999998</v>
      </c>
      <c r="F154">
        <v>6712.4684180000004</v>
      </c>
      <c r="G154">
        <v>5679.8098280000004</v>
      </c>
      <c r="H154">
        <v>5257.3312830000004</v>
      </c>
      <c r="I154">
        <v>5726.7434839999996</v>
      </c>
      <c r="J154">
        <v>4787.923949</v>
      </c>
      <c r="K154">
        <v>4740.9925880000001</v>
      </c>
      <c r="L154">
        <v>4271.5744599999998</v>
      </c>
      <c r="M154">
        <v>4318.5230579999998</v>
      </c>
    </row>
    <row r="155" spans="2:63" x14ac:dyDescent="0.2">
      <c r="B155" t="s">
        <v>15</v>
      </c>
    </row>
    <row r="156" spans="2:63" x14ac:dyDescent="0.2">
      <c r="B156">
        <v>563.28748559999997</v>
      </c>
      <c r="C156">
        <v>694.716095</v>
      </c>
      <c r="D156">
        <v>760.43397809999999</v>
      </c>
      <c r="E156">
        <v>1051.46092</v>
      </c>
      <c r="F156">
        <v>1342.493684</v>
      </c>
      <c r="G156">
        <v>1135.9619660000001</v>
      </c>
      <c r="H156">
        <v>1051.466257</v>
      </c>
      <c r="I156">
        <v>1145.3486969999999</v>
      </c>
      <c r="J156">
        <v>957.58478979999995</v>
      </c>
      <c r="K156">
        <v>948.19851759999995</v>
      </c>
      <c r="L156">
        <v>854.31489190000002</v>
      </c>
      <c r="M156">
        <v>863.70461160000002</v>
      </c>
    </row>
    <row r="157" spans="2:63" x14ac:dyDescent="0.2">
      <c r="B157" t="s">
        <v>16</v>
      </c>
    </row>
    <row r="158" spans="2:63" x14ac:dyDescent="0.2">
      <c r="B158">
        <v>19</v>
      </c>
    </row>
    <row r="159" spans="2:63" x14ac:dyDescent="0.2">
      <c r="B159" t="s">
        <v>17</v>
      </c>
    </row>
    <row r="160" spans="2:63" x14ac:dyDescent="0.2">
      <c r="B160">
        <v>2006</v>
      </c>
      <c r="C160">
        <v>2007</v>
      </c>
      <c r="D160">
        <v>2008</v>
      </c>
      <c r="E160">
        <v>2009</v>
      </c>
      <c r="F160">
        <v>2010</v>
      </c>
      <c r="G160">
        <v>2011</v>
      </c>
      <c r="H160">
        <v>2012</v>
      </c>
      <c r="I160">
        <v>2013</v>
      </c>
      <c r="J160">
        <v>2014</v>
      </c>
      <c r="K160">
        <v>2015</v>
      </c>
      <c r="L160">
        <v>2016</v>
      </c>
      <c r="M160">
        <v>2017</v>
      </c>
      <c r="N160">
        <v>2018</v>
      </c>
      <c r="O160">
        <v>2019</v>
      </c>
      <c r="P160">
        <v>2021</v>
      </c>
      <c r="Q160">
        <v>2022</v>
      </c>
      <c r="R160">
        <v>2023</v>
      </c>
      <c r="S160">
        <v>2024</v>
      </c>
      <c r="T160">
        <v>2025</v>
      </c>
    </row>
    <row r="161" spans="1:20" x14ac:dyDescent="0.2">
      <c r="B161" t="s">
        <v>18</v>
      </c>
    </row>
    <row r="162" spans="1:20" x14ac:dyDescent="0.2">
      <c r="B162">
        <v>1.7414761030000001</v>
      </c>
      <c r="C162">
        <v>2.0019130700000001</v>
      </c>
      <c r="D162">
        <v>0.99154315100000001</v>
      </c>
      <c r="E162">
        <v>0.69510000000000005</v>
      </c>
      <c r="F162">
        <v>1.9218</v>
      </c>
      <c r="G162">
        <v>1.7038225659999999</v>
      </c>
      <c r="H162">
        <v>1.5206</v>
      </c>
      <c r="I162">
        <v>2.1776295779999999</v>
      </c>
      <c r="J162">
        <v>3.0769000000000002</v>
      </c>
      <c r="K162">
        <v>3.5926999999999998</v>
      </c>
      <c r="L162">
        <v>2.8319000000000001</v>
      </c>
      <c r="M162">
        <v>2.2629999999999999</v>
      </c>
      <c r="N162">
        <v>2.0840999999999998</v>
      </c>
      <c r="O162">
        <v>2.8292000000000002</v>
      </c>
      <c r="P162">
        <v>2.4100999999999999</v>
      </c>
      <c r="Q162">
        <v>2.9030999999999998</v>
      </c>
      <c r="R162">
        <v>2.4809999999999999</v>
      </c>
      <c r="S162">
        <v>2.00700959</v>
      </c>
      <c r="T162" s="2"/>
    </row>
    <row r="163" spans="1:20" x14ac:dyDescent="0.2">
      <c r="B163" t="s">
        <v>19</v>
      </c>
    </row>
    <row r="164" spans="1:20" x14ac:dyDescent="0.2">
      <c r="B164">
        <v>0.40797433100000002</v>
      </c>
      <c r="C164">
        <v>0.79543823999999996</v>
      </c>
      <c r="D164">
        <v>0.29286517699999998</v>
      </c>
      <c r="E164">
        <v>0.390095688</v>
      </c>
      <c r="F164">
        <v>0.57919325099999996</v>
      </c>
      <c r="G164">
        <v>0.44767777800000003</v>
      </c>
      <c r="H164">
        <v>0.37193844500000001</v>
      </c>
      <c r="I164">
        <v>0.39011599499999999</v>
      </c>
      <c r="J164">
        <v>0.58024587000000005</v>
      </c>
      <c r="K164">
        <v>0.406257388</v>
      </c>
      <c r="L164">
        <v>0.379092753</v>
      </c>
      <c r="M164">
        <v>0.31738924499999999</v>
      </c>
      <c r="N164">
        <v>0.25496050199999998</v>
      </c>
      <c r="O164">
        <v>0.63539506000000001</v>
      </c>
      <c r="P164">
        <v>0.52992878399999999</v>
      </c>
      <c r="Q164">
        <v>0.45478031600000002</v>
      </c>
      <c r="R164">
        <v>0.33534919200000002</v>
      </c>
      <c r="S164">
        <v>0.25081446499999999</v>
      </c>
      <c r="T164" s="2"/>
    </row>
    <row r="165" spans="1:20" x14ac:dyDescent="0.2">
      <c r="B165" t="s">
        <v>21</v>
      </c>
    </row>
    <row r="166" spans="1:20" x14ac:dyDescent="0.2">
      <c r="A166" s="3">
        <v>2006</v>
      </c>
      <c r="B166">
        <v>1.9380752000000001E-2</v>
      </c>
      <c r="C166">
        <v>0.10145982200000001</v>
      </c>
      <c r="D166">
        <v>0.24414475499999999</v>
      </c>
      <c r="E166">
        <v>0.37814567100000002</v>
      </c>
      <c r="F166">
        <v>0.52699222899999998</v>
      </c>
      <c r="G166">
        <v>0.65206661499999996</v>
      </c>
      <c r="H166">
        <v>0.76360385099999994</v>
      </c>
      <c r="I166">
        <v>0.84666801899999999</v>
      </c>
      <c r="J166">
        <v>0.93351983299999997</v>
      </c>
      <c r="K166">
        <v>0.97143749400000001</v>
      </c>
      <c r="L166">
        <v>1.0011509190000001</v>
      </c>
      <c r="M166">
        <v>1.1495346909999999</v>
      </c>
      <c r="N166">
        <v>1.2116872009999999</v>
      </c>
      <c r="O166">
        <v>1.281049807</v>
      </c>
      <c r="P166">
        <v>1.179917849</v>
      </c>
    </row>
    <row r="167" spans="1:20" x14ac:dyDescent="0.2">
      <c r="A167" s="3">
        <v>2007</v>
      </c>
      <c r="B167">
        <v>1.8495648999999999E-2</v>
      </c>
      <c r="C167">
        <v>8.7193363999999995E-2</v>
      </c>
      <c r="D167">
        <v>0.279247415</v>
      </c>
      <c r="E167">
        <v>0.43718783300000003</v>
      </c>
      <c r="F167">
        <v>0.58248880300000005</v>
      </c>
      <c r="G167">
        <v>0.68663239899999995</v>
      </c>
      <c r="H167">
        <v>0.78823631599999999</v>
      </c>
      <c r="I167">
        <v>0.87099972599999997</v>
      </c>
      <c r="J167">
        <v>0.970100191</v>
      </c>
      <c r="K167">
        <v>1.1027085160000001</v>
      </c>
      <c r="L167">
        <v>1.1056714510000001</v>
      </c>
      <c r="M167">
        <v>1.2369484479999999</v>
      </c>
      <c r="N167">
        <v>1.2354868450000001</v>
      </c>
      <c r="O167">
        <v>1.749460306</v>
      </c>
      <c r="P167">
        <v>1.230626606</v>
      </c>
    </row>
    <row r="168" spans="1:20" x14ac:dyDescent="0.2">
      <c r="A168" s="3">
        <v>2008</v>
      </c>
      <c r="B168">
        <v>2.2553568E-2</v>
      </c>
      <c r="C168">
        <v>8.3533376000000006E-2</v>
      </c>
      <c r="D168">
        <v>0.21397105999999999</v>
      </c>
      <c r="E168">
        <v>0.40660791499999999</v>
      </c>
      <c r="F168">
        <v>0.57580060799999999</v>
      </c>
      <c r="G168">
        <v>0.68906324200000002</v>
      </c>
      <c r="H168">
        <v>0.80522349299999996</v>
      </c>
      <c r="I168">
        <v>0.98197084899999998</v>
      </c>
      <c r="J168">
        <v>0.96832022399999995</v>
      </c>
      <c r="K168">
        <v>1.262557586</v>
      </c>
      <c r="L168">
        <v>1.2472124309999999</v>
      </c>
      <c r="M168">
        <v>1.2466489679999999</v>
      </c>
      <c r="N168">
        <v>1.389705798</v>
      </c>
      <c r="O168">
        <v>1.6380326970000001</v>
      </c>
      <c r="P168">
        <v>1.2469683009999999</v>
      </c>
    </row>
    <row r="169" spans="1:20" x14ac:dyDescent="0.2">
      <c r="A169" s="3">
        <v>2009</v>
      </c>
      <c r="B169">
        <v>2.0319990999999999E-2</v>
      </c>
      <c r="C169">
        <v>0.10850145999999999</v>
      </c>
      <c r="D169">
        <v>0.24195861900000001</v>
      </c>
      <c r="E169">
        <v>0.41645069600000001</v>
      </c>
      <c r="F169">
        <v>0.64661924500000001</v>
      </c>
      <c r="G169">
        <v>0.78533266300000004</v>
      </c>
      <c r="H169">
        <v>0.95014345300000003</v>
      </c>
      <c r="I169">
        <v>1.0306215750000001</v>
      </c>
      <c r="J169">
        <v>1.0640246280000001</v>
      </c>
      <c r="K169">
        <v>1.3283554529999999</v>
      </c>
      <c r="L169">
        <v>1.326541881</v>
      </c>
      <c r="M169">
        <v>1.5470371329999999</v>
      </c>
      <c r="N169">
        <v>1.5565858539999999</v>
      </c>
      <c r="O169">
        <v>1.5368162080000001</v>
      </c>
      <c r="P169">
        <v>1.7437159609999999</v>
      </c>
    </row>
    <row r="170" spans="1:20" x14ac:dyDescent="0.2">
      <c r="A170" s="3">
        <v>2010</v>
      </c>
      <c r="B170">
        <v>3.1689083999999999E-2</v>
      </c>
      <c r="C170">
        <v>0.11734314799999999</v>
      </c>
      <c r="D170">
        <v>0.221257593</v>
      </c>
      <c r="E170">
        <v>0.44114833799999997</v>
      </c>
      <c r="F170">
        <v>0.56523318099999997</v>
      </c>
      <c r="G170">
        <v>0.72191307000000005</v>
      </c>
      <c r="H170">
        <v>0.93679943799999998</v>
      </c>
      <c r="I170">
        <v>1.3365648569999999</v>
      </c>
      <c r="J170">
        <v>1.574484153</v>
      </c>
      <c r="K170">
        <v>1.6224372220000001</v>
      </c>
      <c r="L170">
        <v>1.692529159</v>
      </c>
      <c r="M170">
        <v>1.895356839</v>
      </c>
      <c r="N170">
        <v>1.9269976470000001</v>
      </c>
      <c r="O170">
        <v>1.9414515240000001</v>
      </c>
      <c r="P170">
        <v>1.96177442</v>
      </c>
    </row>
    <row r="171" spans="1:20" x14ac:dyDescent="0.2">
      <c r="A171" s="3">
        <v>2011</v>
      </c>
      <c r="B171">
        <v>2.9375575000000001E-2</v>
      </c>
      <c r="C171">
        <v>0.106631395</v>
      </c>
      <c r="D171">
        <v>0.20897274199999999</v>
      </c>
      <c r="E171">
        <v>0.40841345800000001</v>
      </c>
      <c r="F171">
        <v>0.54885837500000001</v>
      </c>
      <c r="G171">
        <v>0.70586089699999999</v>
      </c>
      <c r="H171">
        <v>0.88746961899999999</v>
      </c>
      <c r="I171">
        <v>1.1324740360000001</v>
      </c>
      <c r="J171">
        <v>1.4220402940000001</v>
      </c>
      <c r="K171">
        <v>1.444774336</v>
      </c>
      <c r="L171">
        <v>1.510418611</v>
      </c>
      <c r="M171">
        <v>1.6415487989999999</v>
      </c>
      <c r="N171">
        <v>1.6941674689999999</v>
      </c>
      <c r="O171">
        <v>1.853097483</v>
      </c>
      <c r="P171">
        <v>1.8597176419999999</v>
      </c>
    </row>
    <row r="172" spans="1:20" x14ac:dyDescent="0.2">
      <c r="A172" s="3">
        <v>2012</v>
      </c>
      <c r="B172">
        <v>2.7062065E-2</v>
      </c>
      <c r="C172">
        <v>9.5919641999999999E-2</v>
      </c>
      <c r="D172">
        <v>0.196687891</v>
      </c>
      <c r="E172">
        <v>0.37567857900000001</v>
      </c>
      <c r="F172">
        <v>0.53248356900000005</v>
      </c>
      <c r="G172">
        <v>0.68980872500000001</v>
      </c>
      <c r="H172">
        <v>0.83813980099999996</v>
      </c>
      <c r="I172">
        <v>0.92838321599999996</v>
      </c>
      <c r="J172">
        <v>1.269596435</v>
      </c>
      <c r="K172">
        <v>1.2671114489999999</v>
      </c>
      <c r="L172">
        <v>1.3283080629999999</v>
      </c>
      <c r="M172">
        <v>1.3877407589999999</v>
      </c>
      <c r="N172">
        <v>1.461337291</v>
      </c>
      <c r="O172">
        <v>1.764743441</v>
      </c>
      <c r="P172">
        <v>1.757660864</v>
      </c>
    </row>
    <row r="173" spans="1:20" x14ac:dyDescent="0.2">
      <c r="A173" s="3">
        <v>2013</v>
      </c>
      <c r="B173">
        <v>2.9375575000000001E-2</v>
      </c>
      <c r="C173">
        <v>0.106631395</v>
      </c>
      <c r="D173">
        <v>0.20897274199999999</v>
      </c>
      <c r="E173">
        <v>0.40841345800000001</v>
      </c>
      <c r="F173">
        <v>0.54885837500000001</v>
      </c>
      <c r="G173">
        <v>0.70586089699999999</v>
      </c>
      <c r="H173">
        <v>0.88746961899999999</v>
      </c>
      <c r="I173">
        <v>1.1324740360000001</v>
      </c>
      <c r="J173">
        <v>1.4220402940000001</v>
      </c>
      <c r="K173">
        <v>1.444774336</v>
      </c>
      <c r="L173">
        <v>1.510418611</v>
      </c>
      <c r="M173">
        <v>1.6415487989999999</v>
      </c>
      <c r="N173">
        <v>1.6941674689999999</v>
      </c>
      <c r="O173">
        <v>1.853097483</v>
      </c>
      <c r="P173">
        <v>1.8597176419999999</v>
      </c>
    </row>
    <row r="174" spans="1:20" x14ac:dyDescent="0.2">
      <c r="A174" s="3">
        <v>2014</v>
      </c>
      <c r="B174">
        <v>2.5225422000000001E-2</v>
      </c>
      <c r="C174">
        <v>0.13456103799999999</v>
      </c>
      <c r="D174">
        <v>0.22362502000000001</v>
      </c>
      <c r="E174">
        <v>0.39429725100000002</v>
      </c>
      <c r="F174">
        <v>0.54727595100000004</v>
      </c>
      <c r="G174">
        <v>0.69453373399999996</v>
      </c>
      <c r="H174">
        <v>0.76282845600000004</v>
      </c>
      <c r="I174">
        <v>0.99709786499999997</v>
      </c>
      <c r="J174">
        <v>1.142014088</v>
      </c>
      <c r="K174">
        <v>1.2663642900000001</v>
      </c>
      <c r="L174">
        <v>1.4441065390000001</v>
      </c>
      <c r="M174">
        <v>1.7110011249999999</v>
      </c>
      <c r="N174">
        <v>1.9030163040000001</v>
      </c>
      <c r="O174">
        <v>1.7945568460000001</v>
      </c>
      <c r="P174">
        <v>1.7766869240000001</v>
      </c>
    </row>
    <row r="175" spans="1:20" x14ac:dyDescent="0.2">
      <c r="A175" s="3">
        <v>2015</v>
      </c>
      <c r="B175">
        <v>2.2663922E-2</v>
      </c>
      <c r="C175">
        <v>7.6370721000000003E-2</v>
      </c>
      <c r="D175">
        <v>0.20628748999999999</v>
      </c>
      <c r="E175">
        <v>0.38888217200000003</v>
      </c>
      <c r="F175">
        <v>0.57437083799999999</v>
      </c>
      <c r="G175">
        <v>0.62703836000000002</v>
      </c>
      <c r="H175">
        <v>0.80576405200000001</v>
      </c>
      <c r="I175">
        <v>0.94094098999999998</v>
      </c>
      <c r="J175">
        <v>1.0459384430000001</v>
      </c>
      <c r="K175">
        <v>1.065510102</v>
      </c>
      <c r="L175">
        <v>1.30555602</v>
      </c>
      <c r="M175">
        <v>1.6099144869999999</v>
      </c>
      <c r="N175">
        <v>1.4115746499999999</v>
      </c>
      <c r="O175">
        <v>1.6114570420000001</v>
      </c>
      <c r="P175">
        <v>2.2200154310000002</v>
      </c>
    </row>
    <row r="176" spans="1:20" x14ac:dyDescent="0.2">
      <c r="A176" s="3">
        <v>2016</v>
      </c>
      <c r="B176">
        <v>3.3300215000000001E-2</v>
      </c>
      <c r="C176">
        <v>0.109915022</v>
      </c>
      <c r="D176">
        <v>0.26589982299999998</v>
      </c>
      <c r="E176">
        <v>0.48098001200000001</v>
      </c>
      <c r="F176">
        <v>0.53885808499999999</v>
      </c>
      <c r="G176">
        <v>0.63233835000000005</v>
      </c>
      <c r="H176">
        <v>0.69664412799999997</v>
      </c>
      <c r="I176">
        <v>0.78559349499999998</v>
      </c>
      <c r="J176">
        <v>0.84670904400000002</v>
      </c>
      <c r="K176">
        <v>0.96047921300000005</v>
      </c>
      <c r="L176">
        <v>1.166773547</v>
      </c>
      <c r="M176">
        <v>1.3694739359999999</v>
      </c>
      <c r="N176">
        <v>1.6232018939999999</v>
      </c>
      <c r="O176">
        <v>1.6847912089999999</v>
      </c>
      <c r="P176">
        <v>1.738218</v>
      </c>
    </row>
    <row r="177" spans="1:16" x14ac:dyDescent="0.2">
      <c r="A177" s="3">
        <v>2017</v>
      </c>
      <c r="B177">
        <v>2.1695848E-2</v>
      </c>
      <c r="C177">
        <v>9.8126926000000003E-2</v>
      </c>
      <c r="D177">
        <v>0.19830637300000001</v>
      </c>
      <c r="E177">
        <v>0.39827524800000003</v>
      </c>
      <c r="F177">
        <v>0.52798778899999999</v>
      </c>
      <c r="G177">
        <v>0.595204387</v>
      </c>
      <c r="H177">
        <v>0.68596759900000004</v>
      </c>
      <c r="I177">
        <v>0.73654037900000002</v>
      </c>
      <c r="J177">
        <v>0.81809528600000003</v>
      </c>
      <c r="K177">
        <v>0.81914845199999997</v>
      </c>
      <c r="L177">
        <v>0.94734698799999995</v>
      </c>
      <c r="M177">
        <v>0.81578620099999999</v>
      </c>
      <c r="N177">
        <v>1.182831599</v>
      </c>
      <c r="O177">
        <v>1.3194748160000001</v>
      </c>
      <c r="P177">
        <v>1.5784266300000001</v>
      </c>
    </row>
    <row r="178" spans="1:16" x14ac:dyDescent="0.2">
      <c r="A178" s="3">
        <v>2018</v>
      </c>
      <c r="B178">
        <v>2.9279013E-2</v>
      </c>
      <c r="C178">
        <v>0.113887513</v>
      </c>
      <c r="D178">
        <v>0.25112267500000002</v>
      </c>
      <c r="E178">
        <v>0.40643369000000001</v>
      </c>
      <c r="F178">
        <v>0.51202235500000004</v>
      </c>
      <c r="G178">
        <v>0.59579568500000002</v>
      </c>
      <c r="H178">
        <v>0.67860015600000001</v>
      </c>
      <c r="I178">
        <v>0.72186286099999997</v>
      </c>
      <c r="J178">
        <v>0.81782518000000004</v>
      </c>
      <c r="K178">
        <v>0.874899121</v>
      </c>
      <c r="L178">
        <v>0.97760769599999997</v>
      </c>
      <c r="M178">
        <v>1.044707584</v>
      </c>
      <c r="N178">
        <v>1.1519333899999999</v>
      </c>
      <c r="O178">
        <v>1.389053393</v>
      </c>
      <c r="P178">
        <v>1.6261733949999999</v>
      </c>
    </row>
    <row r="179" spans="1:16" x14ac:dyDescent="0.2">
      <c r="A179" s="3">
        <v>2019</v>
      </c>
      <c r="B179">
        <v>2.9279013E-2</v>
      </c>
      <c r="C179">
        <v>0.113887513</v>
      </c>
      <c r="D179">
        <v>0.25112267500000002</v>
      </c>
      <c r="E179">
        <v>0.40643369000000001</v>
      </c>
      <c r="F179">
        <v>0.51202235500000004</v>
      </c>
      <c r="G179">
        <v>0.59579568500000002</v>
      </c>
      <c r="H179">
        <v>0.67860015600000001</v>
      </c>
      <c r="I179">
        <v>0.72186286099999997</v>
      </c>
      <c r="J179">
        <v>0.81782518000000004</v>
      </c>
      <c r="K179">
        <v>0.874899121</v>
      </c>
      <c r="L179">
        <v>0.97760769599999997</v>
      </c>
      <c r="M179">
        <v>1.044707584</v>
      </c>
      <c r="N179">
        <v>1.1519333899999999</v>
      </c>
      <c r="O179">
        <v>1.389053393</v>
      </c>
      <c r="P179">
        <v>1.6261733949999999</v>
      </c>
    </row>
    <row r="180" spans="1:16" x14ac:dyDescent="0.2">
      <c r="A180" s="3">
        <v>2021</v>
      </c>
      <c r="B180">
        <v>1.8974039000000002E-2</v>
      </c>
      <c r="C180">
        <v>0.10028049</v>
      </c>
      <c r="D180">
        <v>0.20869992300000001</v>
      </c>
      <c r="E180">
        <v>0.36956144800000001</v>
      </c>
      <c r="F180">
        <v>0.48770335999999997</v>
      </c>
      <c r="G180">
        <v>0.61428291400000001</v>
      </c>
      <c r="H180">
        <v>0.70489551399999995</v>
      </c>
      <c r="I180">
        <v>0.76874035399999996</v>
      </c>
      <c r="J180">
        <v>0.89059718099999996</v>
      </c>
      <c r="K180">
        <v>1.0320896150000001</v>
      </c>
      <c r="L180">
        <v>0.975926501</v>
      </c>
      <c r="M180">
        <v>1.0844194890000001</v>
      </c>
      <c r="N180">
        <v>1.34031024</v>
      </c>
      <c r="O180">
        <v>1.2279804139999999</v>
      </c>
      <c r="P180">
        <v>2.0478092769999998</v>
      </c>
    </row>
    <row r="181" spans="1:16" x14ac:dyDescent="0.2">
      <c r="A181" s="3">
        <v>2022</v>
      </c>
      <c r="B181">
        <v>1.8974039000000002E-2</v>
      </c>
      <c r="C181">
        <v>0.10028049</v>
      </c>
      <c r="D181">
        <v>0.20869992300000001</v>
      </c>
      <c r="E181">
        <v>0.36956144800000001</v>
      </c>
      <c r="F181">
        <v>0.48770335999999997</v>
      </c>
      <c r="G181">
        <v>0.61428291400000001</v>
      </c>
      <c r="H181">
        <v>0.70489551399999995</v>
      </c>
      <c r="I181">
        <v>0.76874035399999996</v>
      </c>
      <c r="J181">
        <v>0.89059718099999996</v>
      </c>
      <c r="K181">
        <v>1.0320896150000001</v>
      </c>
      <c r="L181">
        <v>0.975926501</v>
      </c>
      <c r="M181">
        <v>1.0844194890000001</v>
      </c>
      <c r="N181">
        <v>1.34031024</v>
      </c>
      <c r="O181">
        <v>1.2279804139999999</v>
      </c>
      <c r="P181">
        <v>2.0478092769999998</v>
      </c>
    </row>
    <row r="182" spans="1:16" x14ac:dyDescent="0.2">
      <c r="A182" s="3">
        <v>2023</v>
      </c>
      <c r="B182">
        <v>2.2340125999999998E-2</v>
      </c>
      <c r="C182">
        <v>0.16307050200000001</v>
      </c>
      <c r="D182">
        <v>0.28087430200000002</v>
      </c>
      <c r="E182">
        <v>0.37731543899999997</v>
      </c>
      <c r="F182">
        <v>0.47539210599999998</v>
      </c>
      <c r="G182">
        <v>0.56840108600000006</v>
      </c>
      <c r="H182">
        <v>0.73328093900000002</v>
      </c>
      <c r="I182">
        <v>0.80313542400000004</v>
      </c>
      <c r="J182">
        <v>0.84026475199999995</v>
      </c>
      <c r="K182">
        <v>0.95574643400000003</v>
      </c>
      <c r="L182">
        <v>1.077189269</v>
      </c>
      <c r="M182">
        <v>0.99408522200000005</v>
      </c>
      <c r="N182">
        <v>1.21649973</v>
      </c>
      <c r="O182">
        <v>1.350697939</v>
      </c>
      <c r="P182">
        <v>1.969390269</v>
      </c>
    </row>
    <row r="183" spans="1:16" x14ac:dyDescent="0.2">
      <c r="A183" s="3">
        <v>2024</v>
      </c>
      <c r="B183">
        <v>1.6258696999999999E-2</v>
      </c>
      <c r="C183">
        <v>8.6594742000000002E-2</v>
      </c>
      <c r="D183">
        <v>0.30182416400000001</v>
      </c>
      <c r="E183">
        <v>0.429249251</v>
      </c>
      <c r="F183">
        <v>0.50915456000000003</v>
      </c>
      <c r="G183">
        <v>0.54300278400000002</v>
      </c>
      <c r="H183">
        <v>0.622477159</v>
      </c>
      <c r="I183">
        <v>0.739921418</v>
      </c>
      <c r="J183">
        <v>0.84854919900000003</v>
      </c>
      <c r="K183">
        <v>0.89023341600000006</v>
      </c>
      <c r="L183">
        <v>0.96316922800000004</v>
      </c>
      <c r="M183">
        <v>1.0248896320000001</v>
      </c>
      <c r="N183">
        <v>1.139446553</v>
      </c>
      <c r="O183">
        <v>0.97998985500000002</v>
      </c>
      <c r="P183">
        <v>2.4030599449999999</v>
      </c>
    </row>
    <row r="184" spans="1:16" x14ac:dyDescent="0.2">
      <c r="A184" s="3">
        <v>2025</v>
      </c>
      <c r="B184">
        <v>1.6258696999999999E-2</v>
      </c>
      <c r="C184">
        <v>8.6594742000000002E-2</v>
      </c>
      <c r="D184">
        <v>0.30182416400000001</v>
      </c>
      <c r="E184">
        <v>0.429249251</v>
      </c>
      <c r="F184">
        <v>0.50915456000000003</v>
      </c>
      <c r="G184">
        <v>0.54300278400000002</v>
      </c>
      <c r="H184">
        <v>0.622477159</v>
      </c>
      <c r="I184">
        <v>0.739921418</v>
      </c>
      <c r="J184">
        <v>0.84854919900000003</v>
      </c>
      <c r="K184">
        <v>0.89023341600000006</v>
      </c>
      <c r="L184">
        <v>0.96316922800000004</v>
      </c>
      <c r="M184">
        <v>1.0248896320000001</v>
      </c>
      <c r="N184">
        <v>1.139446553</v>
      </c>
      <c r="O184">
        <v>0.97998985500000002</v>
      </c>
      <c r="P184">
        <v>2.4030599449999999</v>
      </c>
    </row>
    <row r="185" spans="1:16" x14ac:dyDescent="0.2">
      <c r="B185" t="s">
        <v>22</v>
      </c>
    </row>
    <row r="186" spans="1:16" x14ac:dyDescent="0.2">
      <c r="B186">
        <v>3</v>
      </c>
    </row>
    <row r="187" spans="1:16" x14ac:dyDescent="0.2">
      <c r="B187" t="s">
        <v>23</v>
      </c>
    </row>
    <row r="188" spans="1:16" x14ac:dyDescent="0.2">
      <c r="B188">
        <v>1</v>
      </c>
      <c r="C188">
        <v>1</v>
      </c>
      <c r="D188">
        <v>1</v>
      </c>
    </row>
    <row r="189" spans="1:16" x14ac:dyDescent="0.2">
      <c r="B189" t="s">
        <v>24</v>
      </c>
    </row>
    <row r="190" spans="1:16" x14ac:dyDescent="0.2">
      <c r="B190">
        <v>61</v>
      </c>
    </row>
    <row r="191" spans="1:16" x14ac:dyDescent="0.2">
      <c r="B191" t="s">
        <v>25</v>
      </c>
    </row>
    <row r="192" spans="1:16" x14ac:dyDescent="0.2">
      <c r="B192">
        <v>43</v>
      </c>
    </row>
    <row r="193" spans="2:62" x14ac:dyDescent="0.2">
      <c r="B193" t="s">
        <v>26</v>
      </c>
    </row>
    <row r="194" spans="2:62" x14ac:dyDescent="0.2">
      <c r="B194">
        <v>19</v>
      </c>
    </row>
    <row r="195" spans="2:62" x14ac:dyDescent="0.2">
      <c r="B195" t="s">
        <v>27</v>
      </c>
    </row>
    <row r="196" spans="2:62" x14ac:dyDescent="0.2">
      <c r="B196">
        <v>1964</v>
      </c>
      <c r="C196">
        <v>1965</v>
      </c>
      <c r="D196">
        <v>1966</v>
      </c>
      <c r="E196">
        <v>1967</v>
      </c>
      <c r="F196">
        <v>1968</v>
      </c>
      <c r="G196">
        <v>1969</v>
      </c>
      <c r="H196">
        <v>1970</v>
      </c>
      <c r="I196">
        <v>1971</v>
      </c>
      <c r="J196">
        <v>1972</v>
      </c>
      <c r="K196">
        <v>1973</v>
      </c>
      <c r="L196">
        <v>1974</v>
      </c>
      <c r="M196">
        <v>1975</v>
      </c>
      <c r="N196">
        <v>1976</v>
      </c>
      <c r="O196">
        <v>1977</v>
      </c>
      <c r="P196">
        <v>1978</v>
      </c>
      <c r="Q196">
        <v>1979</v>
      </c>
      <c r="R196">
        <v>1980</v>
      </c>
      <c r="S196">
        <v>1981</v>
      </c>
      <c r="T196">
        <v>1982</v>
      </c>
      <c r="U196">
        <v>1983</v>
      </c>
      <c r="V196">
        <v>1984</v>
      </c>
      <c r="W196">
        <v>1985</v>
      </c>
      <c r="X196">
        <v>1986</v>
      </c>
      <c r="Y196">
        <v>1987</v>
      </c>
      <c r="Z196">
        <v>1988</v>
      </c>
      <c r="AA196">
        <v>1989</v>
      </c>
      <c r="AB196">
        <v>1990</v>
      </c>
      <c r="AC196">
        <v>1991</v>
      </c>
      <c r="AD196">
        <v>1992</v>
      </c>
      <c r="AE196">
        <v>1993</v>
      </c>
      <c r="AF196">
        <v>1994</v>
      </c>
      <c r="AG196">
        <v>1995</v>
      </c>
      <c r="AH196">
        <v>1996</v>
      </c>
      <c r="AI196">
        <v>1997</v>
      </c>
      <c r="AJ196">
        <v>1998</v>
      </c>
      <c r="AK196">
        <v>1999</v>
      </c>
      <c r="AL196">
        <v>2000</v>
      </c>
      <c r="AM196">
        <v>2001</v>
      </c>
      <c r="AN196">
        <v>2002</v>
      </c>
      <c r="AO196">
        <v>2003</v>
      </c>
      <c r="AP196">
        <v>2004</v>
      </c>
      <c r="AQ196">
        <v>2005</v>
      </c>
      <c r="AR196">
        <v>2006</v>
      </c>
      <c r="AS196">
        <v>2007</v>
      </c>
      <c r="AT196">
        <v>2008</v>
      </c>
      <c r="AU196">
        <v>2009</v>
      </c>
      <c r="AV196">
        <v>2010</v>
      </c>
      <c r="AW196">
        <v>2011</v>
      </c>
      <c r="AX196">
        <v>2012</v>
      </c>
      <c r="AY196">
        <v>2013</v>
      </c>
      <c r="AZ196">
        <v>2014</v>
      </c>
      <c r="BA196">
        <v>2015</v>
      </c>
      <c r="BB196">
        <v>2016</v>
      </c>
      <c r="BC196">
        <v>2017</v>
      </c>
      <c r="BD196">
        <v>2018</v>
      </c>
      <c r="BE196">
        <v>2019</v>
      </c>
      <c r="BF196">
        <v>2020</v>
      </c>
      <c r="BG196">
        <v>2021</v>
      </c>
      <c r="BH196">
        <v>2022</v>
      </c>
      <c r="BI196">
        <v>2023</v>
      </c>
      <c r="BJ196">
        <v>2024</v>
      </c>
    </row>
    <row r="197" spans="2:62" x14ac:dyDescent="0.2">
      <c r="B197" t="s">
        <v>28</v>
      </c>
    </row>
    <row r="198" spans="2:62" x14ac:dyDescent="0.2">
      <c r="B198">
        <v>1982</v>
      </c>
      <c r="C198">
        <v>1983</v>
      </c>
      <c r="D198">
        <v>1984</v>
      </c>
      <c r="E198">
        <v>1985</v>
      </c>
      <c r="F198">
        <v>1986</v>
      </c>
      <c r="G198">
        <v>1987</v>
      </c>
      <c r="H198">
        <v>1988</v>
      </c>
      <c r="I198">
        <v>1989</v>
      </c>
      <c r="J198">
        <v>1990</v>
      </c>
      <c r="K198">
        <v>1991</v>
      </c>
      <c r="L198">
        <v>1992</v>
      </c>
      <c r="M198">
        <v>1993</v>
      </c>
      <c r="N198">
        <v>1994</v>
      </c>
      <c r="O198">
        <v>1995</v>
      </c>
      <c r="P198">
        <v>1996</v>
      </c>
      <c r="Q198">
        <v>1997</v>
      </c>
      <c r="R198">
        <v>1998</v>
      </c>
      <c r="S198">
        <v>1999</v>
      </c>
      <c r="T198">
        <v>2000</v>
      </c>
      <c r="U198">
        <v>2001</v>
      </c>
      <c r="V198">
        <v>2002</v>
      </c>
      <c r="W198">
        <v>2003</v>
      </c>
      <c r="X198">
        <v>2004</v>
      </c>
      <c r="Y198">
        <v>2005</v>
      </c>
      <c r="Z198">
        <v>2006</v>
      </c>
      <c r="AA198">
        <v>2007</v>
      </c>
      <c r="AB198">
        <v>2008</v>
      </c>
      <c r="AC198">
        <v>2009</v>
      </c>
      <c r="AD198">
        <v>2010</v>
      </c>
      <c r="AE198">
        <v>2011</v>
      </c>
      <c r="AF198">
        <v>2012</v>
      </c>
      <c r="AG198">
        <v>2013</v>
      </c>
      <c r="AH198">
        <v>2014</v>
      </c>
      <c r="AI198">
        <v>2015</v>
      </c>
      <c r="AJ198">
        <v>2016</v>
      </c>
      <c r="AK198">
        <v>2017</v>
      </c>
      <c r="AL198">
        <v>2018</v>
      </c>
      <c r="AM198">
        <v>2019</v>
      </c>
      <c r="AN198">
        <v>2021</v>
      </c>
      <c r="AO198">
        <v>2022</v>
      </c>
      <c r="AP198">
        <v>2023</v>
      </c>
      <c r="AQ198">
        <v>2024</v>
      </c>
      <c r="AR198">
        <v>2025</v>
      </c>
    </row>
    <row r="199" spans="2:62" x14ac:dyDescent="0.2">
      <c r="B199" t="s">
        <v>30</v>
      </c>
    </row>
    <row r="200" spans="2:62" x14ac:dyDescent="0.2">
      <c r="B200">
        <v>1994</v>
      </c>
      <c r="C200">
        <v>1996</v>
      </c>
      <c r="D200">
        <v>1997</v>
      </c>
      <c r="E200">
        <v>1999</v>
      </c>
      <c r="F200">
        <v>2000</v>
      </c>
      <c r="G200">
        <v>2002</v>
      </c>
      <c r="H200">
        <v>2004</v>
      </c>
      <c r="I200">
        <v>2006</v>
      </c>
      <c r="J200">
        <v>2007</v>
      </c>
      <c r="K200">
        <v>2008</v>
      </c>
      <c r="L200">
        <v>2009</v>
      </c>
      <c r="M200">
        <v>2010</v>
      </c>
      <c r="N200">
        <v>2012</v>
      </c>
      <c r="O200">
        <v>2014</v>
      </c>
      <c r="P200">
        <v>2016</v>
      </c>
      <c r="Q200">
        <v>2018</v>
      </c>
      <c r="R200">
        <v>2020</v>
      </c>
      <c r="S200">
        <v>2022</v>
      </c>
      <c r="T200">
        <v>2024</v>
      </c>
    </row>
    <row r="201" spans="2:62" x14ac:dyDescent="0.2">
      <c r="B201" t="s">
        <v>31</v>
      </c>
    </row>
    <row r="202" spans="2:62" x14ac:dyDescent="0.2">
      <c r="B202">
        <v>10</v>
      </c>
      <c r="C202">
        <v>10</v>
      </c>
      <c r="D202">
        <v>10</v>
      </c>
      <c r="E202">
        <v>10</v>
      </c>
      <c r="F202">
        <v>10</v>
      </c>
      <c r="G202">
        <v>10</v>
      </c>
      <c r="H202">
        <v>10</v>
      </c>
      <c r="I202">
        <v>10</v>
      </c>
      <c r="J202">
        <v>10</v>
      </c>
      <c r="K202">
        <v>10</v>
      </c>
      <c r="L202">
        <v>10</v>
      </c>
      <c r="M202">
        <v>10</v>
      </c>
      <c r="N202">
        <v>10</v>
      </c>
      <c r="O202">
        <v>10</v>
      </c>
      <c r="P202">
        <v>39</v>
      </c>
      <c r="Q202">
        <v>39</v>
      </c>
      <c r="R202">
        <v>39</v>
      </c>
      <c r="S202">
        <v>39</v>
      </c>
      <c r="T202">
        <v>39</v>
      </c>
      <c r="U202">
        <v>39</v>
      </c>
      <c r="V202">
        <v>39</v>
      </c>
      <c r="W202">
        <v>39</v>
      </c>
      <c r="X202">
        <v>39</v>
      </c>
      <c r="Y202">
        <v>39</v>
      </c>
      <c r="Z202">
        <v>39</v>
      </c>
      <c r="AA202">
        <v>39</v>
      </c>
      <c r="AB202">
        <v>39</v>
      </c>
      <c r="AC202">
        <v>260.3021832</v>
      </c>
      <c r="AD202">
        <v>228.0450879</v>
      </c>
      <c r="AE202">
        <v>344.44546309999998</v>
      </c>
      <c r="AF202">
        <v>286.35591540000001</v>
      </c>
      <c r="AG202">
        <v>256.9467042</v>
      </c>
      <c r="AH202">
        <v>189.0802194</v>
      </c>
      <c r="AI202">
        <v>318.67807069999998</v>
      </c>
      <c r="AJ202">
        <v>354.5667004</v>
      </c>
      <c r="AK202">
        <v>476.13649880000003</v>
      </c>
      <c r="AL202">
        <v>482.43441919999998</v>
      </c>
      <c r="AM202">
        <v>328.16988229999998</v>
      </c>
      <c r="AN202">
        <v>486.5633942</v>
      </c>
      <c r="AO202">
        <v>440.91364370000002</v>
      </c>
      <c r="AP202">
        <v>390.51744869999999</v>
      </c>
      <c r="AQ202">
        <v>494.38214040000003</v>
      </c>
      <c r="AR202">
        <v>506.21057109999998</v>
      </c>
      <c r="AS202">
        <v>500.21563070000002</v>
      </c>
      <c r="AT202">
        <v>523.64997500000004</v>
      </c>
      <c r="AU202">
        <v>420.03010790000002</v>
      </c>
      <c r="AV202">
        <v>549.40555719999998</v>
      </c>
      <c r="AW202">
        <v>728.07409010000003</v>
      </c>
      <c r="AX202">
        <v>607.45925350000005</v>
      </c>
      <c r="AY202">
        <v>753.27130060000002</v>
      </c>
      <c r="AZ202">
        <v>606.34391779999999</v>
      </c>
      <c r="BA202">
        <v>821.2348389</v>
      </c>
      <c r="BB202">
        <v>704.11018360000003</v>
      </c>
      <c r="BC202">
        <v>606.72007980000001</v>
      </c>
      <c r="BD202">
        <v>667.8408369</v>
      </c>
      <c r="BE202">
        <v>700.79587489999994</v>
      </c>
      <c r="BF202">
        <v>565.24328149999997</v>
      </c>
      <c r="BG202">
        <v>817.57808990000001</v>
      </c>
      <c r="BH202">
        <v>641.23529429999996</v>
      </c>
      <c r="BI202">
        <v>443.04334460000001</v>
      </c>
      <c r="BJ202">
        <v>300</v>
      </c>
    </row>
    <row r="203" spans="2:62" x14ac:dyDescent="0.2">
      <c r="B203" t="s">
        <v>32</v>
      </c>
    </row>
    <row r="204" spans="2:62" x14ac:dyDescent="0.2">
      <c r="B204">
        <v>162.0393239</v>
      </c>
      <c r="C204">
        <v>130.70066270000001</v>
      </c>
      <c r="D204">
        <v>63.273125280000002</v>
      </c>
      <c r="E204">
        <v>73.535708060000005</v>
      </c>
      <c r="F204">
        <v>151.9481692</v>
      </c>
      <c r="G204">
        <v>61.214699510000003</v>
      </c>
      <c r="H204">
        <v>82.232543699999994</v>
      </c>
      <c r="I204">
        <v>53.191369819999998</v>
      </c>
      <c r="J204">
        <v>48.26632231</v>
      </c>
      <c r="K204">
        <v>79.424271750000003</v>
      </c>
      <c r="L204">
        <v>85.220463620000004</v>
      </c>
      <c r="M204">
        <v>91.983613980000001</v>
      </c>
      <c r="N204">
        <v>86.851384019999998</v>
      </c>
      <c r="O204">
        <v>104.8977063</v>
      </c>
      <c r="P204">
        <v>226.4696079</v>
      </c>
      <c r="Q204">
        <v>73.384804239999994</v>
      </c>
      <c r="R204">
        <v>65.188310139999999</v>
      </c>
      <c r="S204">
        <v>95.428970410000005</v>
      </c>
      <c r="T204">
        <v>90.693427020000001</v>
      </c>
      <c r="U204">
        <v>183.0103987</v>
      </c>
      <c r="V204">
        <v>186.32525670000001</v>
      </c>
      <c r="W204">
        <v>125.65945429999999</v>
      </c>
      <c r="X204">
        <v>188.6575824</v>
      </c>
      <c r="Y204">
        <v>194.4902529</v>
      </c>
      <c r="Z204">
        <v>329.6148551</v>
      </c>
      <c r="AA204">
        <v>192.69521510000001</v>
      </c>
      <c r="AB204">
        <v>235.40601810000001</v>
      </c>
      <c r="AC204">
        <v>144.7225262</v>
      </c>
      <c r="AD204">
        <v>107.88944069999999</v>
      </c>
      <c r="AE204">
        <v>165.26886630000001</v>
      </c>
      <c r="AF204">
        <v>107.1237964</v>
      </c>
      <c r="AG204">
        <v>66.526541449999996</v>
      </c>
      <c r="AH204">
        <v>117.66416890000001</v>
      </c>
      <c r="AI204">
        <v>103.6700104</v>
      </c>
      <c r="AJ204">
        <v>122.8399641</v>
      </c>
      <c r="AK204">
        <v>234.588978</v>
      </c>
      <c r="AL204">
        <v>158.32033670000001</v>
      </c>
      <c r="AM204">
        <v>120.6785752</v>
      </c>
      <c r="AN204">
        <v>149.47929600000001</v>
      </c>
      <c r="AO204">
        <v>172.83410019999999</v>
      </c>
      <c r="AP204">
        <v>126.77730939999999</v>
      </c>
      <c r="AQ204">
        <v>64.214082270000006</v>
      </c>
      <c r="AR204">
        <v>100</v>
      </c>
    </row>
    <row r="205" spans="2:62" x14ac:dyDescent="0.2">
      <c r="B205" t="s">
        <v>34</v>
      </c>
    </row>
    <row r="206" spans="2:62" x14ac:dyDescent="0.2">
      <c r="B206">
        <v>43</v>
      </c>
      <c r="C206">
        <v>32</v>
      </c>
      <c r="D206">
        <v>49</v>
      </c>
      <c r="E206">
        <v>67</v>
      </c>
      <c r="F206">
        <v>70</v>
      </c>
      <c r="G206">
        <v>72</v>
      </c>
      <c r="H206">
        <v>51</v>
      </c>
      <c r="I206">
        <v>47</v>
      </c>
      <c r="J206">
        <v>39</v>
      </c>
      <c r="K206">
        <v>35</v>
      </c>
      <c r="L206">
        <v>26</v>
      </c>
      <c r="M206">
        <v>34</v>
      </c>
      <c r="N206">
        <v>44</v>
      </c>
      <c r="O206">
        <v>79</v>
      </c>
      <c r="P206">
        <v>61</v>
      </c>
      <c r="Q206">
        <v>50</v>
      </c>
      <c r="R206">
        <v>1</v>
      </c>
      <c r="S206">
        <v>52</v>
      </c>
      <c r="T206">
        <v>79</v>
      </c>
    </row>
    <row r="207" spans="2:62" x14ac:dyDescent="0.2">
      <c r="B207" t="s">
        <v>35</v>
      </c>
    </row>
    <row r="208" spans="2:62" x14ac:dyDescent="0.2">
      <c r="B208">
        <v>1</v>
      </c>
      <c r="C208">
        <v>1</v>
      </c>
      <c r="D208">
        <v>1</v>
      </c>
      <c r="E208">
        <v>1</v>
      </c>
      <c r="F208">
        <v>1</v>
      </c>
      <c r="G208">
        <v>1</v>
      </c>
      <c r="H208">
        <v>1</v>
      </c>
      <c r="I208">
        <v>1</v>
      </c>
      <c r="J208">
        <v>1</v>
      </c>
      <c r="K208">
        <v>1</v>
      </c>
      <c r="L208">
        <v>1</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row>
    <row r="209" spans="1:44" x14ac:dyDescent="0.2">
      <c r="B209" t="s">
        <v>36</v>
      </c>
    </row>
    <row r="210" spans="1:44" x14ac:dyDescent="0.2">
      <c r="B210">
        <v>1</v>
      </c>
      <c r="C210">
        <v>1</v>
      </c>
      <c r="D210">
        <v>1</v>
      </c>
      <c r="E210">
        <v>1</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c r="AD210">
        <v>1</v>
      </c>
      <c r="AE210">
        <v>1</v>
      </c>
      <c r="AF210">
        <v>1</v>
      </c>
      <c r="AG210">
        <v>1</v>
      </c>
      <c r="AH210">
        <v>1</v>
      </c>
      <c r="AI210">
        <v>1</v>
      </c>
      <c r="AJ210">
        <v>1</v>
      </c>
      <c r="AK210">
        <v>1</v>
      </c>
      <c r="AL210">
        <v>1</v>
      </c>
      <c r="AM210">
        <v>1</v>
      </c>
      <c r="AN210">
        <v>1</v>
      </c>
      <c r="AO210">
        <v>1</v>
      </c>
      <c r="AP210">
        <v>1</v>
      </c>
      <c r="AQ210">
        <v>1</v>
      </c>
      <c r="AR210">
        <v>1</v>
      </c>
    </row>
    <row r="211" spans="1:44" x14ac:dyDescent="0.2">
      <c r="B211" t="s">
        <v>38</v>
      </c>
    </row>
    <row r="212" spans="1:44" x14ac:dyDescent="0.2">
      <c r="B212">
        <v>1</v>
      </c>
      <c r="C212">
        <v>1</v>
      </c>
      <c r="D212">
        <v>1</v>
      </c>
      <c r="E212">
        <v>1</v>
      </c>
      <c r="F212">
        <v>1</v>
      </c>
      <c r="G212">
        <v>1</v>
      </c>
      <c r="H212">
        <v>1</v>
      </c>
      <c r="I212">
        <v>1</v>
      </c>
      <c r="J212">
        <v>1</v>
      </c>
      <c r="K212">
        <v>1</v>
      </c>
      <c r="L212">
        <v>1</v>
      </c>
      <c r="M212">
        <v>1</v>
      </c>
      <c r="N212">
        <v>1</v>
      </c>
      <c r="O212">
        <v>1</v>
      </c>
      <c r="P212">
        <v>1</v>
      </c>
      <c r="Q212">
        <v>1</v>
      </c>
      <c r="R212">
        <v>1</v>
      </c>
      <c r="S212">
        <v>1</v>
      </c>
      <c r="T212">
        <v>1</v>
      </c>
    </row>
    <row r="213" spans="1:44" x14ac:dyDescent="0.2">
      <c r="B213" t="s">
        <v>39</v>
      </c>
    </row>
    <row r="214" spans="1:44" x14ac:dyDescent="0.2">
      <c r="A214" s="37">
        <v>1964</v>
      </c>
      <c r="B214">
        <v>2.5321E-2</v>
      </c>
      <c r="C214">
        <v>0.105571</v>
      </c>
      <c r="D214">
        <v>0.16556299999999999</v>
      </c>
      <c r="E214">
        <v>0.19361100000000001</v>
      </c>
      <c r="F214">
        <v>9.5441999999999999E-2</v>
      </c>
      <c r="G214">
        <v>0.26840700000000001</v>
      </c>
      <c r="H214">
        <v>0.120764</v>
      </c>
      <c r="I214">
        <v>2.5321E-2</v>
      </c>
      <c r="J214">
        <v>0</v>
      </c>
      <c r="K214">
        <v>0</v>
      </c>
      <c r="L214">
        <v>0</v>
      </c>
      <c r="M214">
        <v>0</v>
      </c>
      <c r="N214">
        <v>0</v>
      </c>
      <c r="O214">
        <v>0</v>
      </c>
      <c r="P214">
        <v>0</v>
      </c>
    </row>
    <row r="215" spans="1:44" x14ac:dyDescent="0.2">
      <c r="A215" s="37">
        <v>1965</v>
      </c>
      <c r="B215">
        <v>1.417E-2</v>
      </c>
      <c r="C215">
        <v>1.5327E-2</v>
      </c>
      <c r="D215">
        <v>0.20416400000000001</v>
      </c>
      <c r="E215">
        <v>0.55031799999999997</v>
      </c>
      <c r="F215">
        <v>0.13475999999999999</v>
      </c>
      <c r="G215">
        <v>3.3544999999999998E-2</v>
      </c>
      <c r="H215">
        <v>3.2389000000000001E-2</v>
      </c>
      <c r="I215">
        <v>1.5327E-2</v>
      </c>
      <c r="J215">
        <v>0</v>
      </c>
      <c r="K215">
        <v>0</v>
      </c>
      <c r="L215">
        <v>0</v>
      </c>
      <c r="M215">
        <v>0</v>
      </c>
      <c r="N215">
        <v>0</v>
      </c>
      <c r="O215">
        <v>0</v>
      </c>
      <c r="P215">
        <v>0</v>
      </c>
    </row>
    <row r="216" spans="1:44" x14ac:dyDescent="0.2">
      <c r="A216" s="37">
        <v>1966</v>
      </c>
      <c r="B216">
        <v>2.8427999999999998E-2</v>
      </c>
      <c r="C216">
        <v>0.16830200000000001</v>
      </c>
      <c r="D216">
        <v>5.7357999999999999E-2</v>
      </c>
      <c r="E216">
        <v>0.420126</v>
      </c>
      <c r="F216">
        <v>0.26490599999999997</v>
      </c>
      <c r="G216">
        <v>2.4150999999999999E-2</v>
      </c>
      <c r="H216">
        <v>2.6415000000000001E-2</v>
      </c>
      <c r="I216">
        <v>1.0314E-2</v>
      </c>
      <c r="J216">
        <v>0</v>
      </c>
      <c r="K216">
        <v>0</v>
      </c>
      <c r="L216">
        <v>0</v>
      </c>
      <c r="M216">
        <v>0</v>
      </c>
      <c r="N216">
        <v>0</v>
      </c>
      <c r="O216">
        <v>0</v>
      </c>
      <c r="P216">
        <v>0</v>
      </c>
    </row>
    <row r="217" spans="1:44" x14ac:dyDescent="0.2">
      <c r="A217" s="37">
        <v>1967</v>
      </c>
      <c r="B217">
        <v>9.4669999999999997E-3</v>
      </c>
      <c r="C217">
        <v>0.110178</v>
      </c>
      <c r="D217">
        <v>0.577515</v>
      </c>
      <c r="E217">
        <v>8.7692000000000006E-2</v>
      </c>
      <c r="F217">
        <v>0.16</v>
      </c>
      <c r="G217">
        <v>3.7988000000000001E-2</v>
      </c>
      <c r="H217">
        <v>1.1479E-2</v>
      </c>
      <c r="I217">
        <v>5.6800000000000002E-3</v>
      </c>
      <c r="J217">
        <v>0</v>
      </c>
      <c r="K217">
        <v>0</v>
      </c>
      <c r="L217">
        <v>0</v>
      </c>
      <c r="M217">
        <v>0</v>
      </c>
      <c r="N217">
        <v>0</v>
      </c>
      <c r="O217">
        <v>0</v>
      </c>
      <c r="P217">
        <v>0</v>
      </c>
    </row>
    <row r="218" spans="1:44" x14ac:dyDescent="0.2">
      <c r="A218" s="37">
        <v>1968</v>
      </c>
      <c r="B218">
        <v>3.2939000000000003E-2</v>
      </c>
      <c r="C218">
        <v>0.178617</v>
      </c>
      <c r="D218">
        <v>0.14021800000000001</v>
      </c>
      <c r="E218">
        <v>0.46851700000000002</v>
      </c>
      <c r="F218">
        <v>0.10736999999999999</v>
      </c>
      <c r="G218">
        <v>3.0572999999999999E-2</v>
      </c>
      <c r="H218">
        <v>3.6579E-2</v>
      </c>
      <c r="I218">
        <v>5.1869999999999998E-3</v>
      </c>
      <c r="J218">
        <v>0</v>
      </c>
      <c r="K218">
        <v>0</v>
      </c>
      <c r="L218">
        <v>0</v>
      </c>
      <c r="M218">
        <v>0</v>
      </c>
      <c r="N218">
        <v>0</v>
      </c>
      <c r="O218">
        <v>0</v>
      </c>
      <c r="P218">
        <v>0</v>
      </c>
    </row>
    <row r="219" spans="1:44" x14ac:dyDescent="0.2">
      <c r="A219" s="37">
        <v>1969</v>
      </c>
      <c r="B219">
        <v>1.4678E-2</v>
      </c>
      <c r="C219">
        <v>7.9766000000000004E-2</v>
      </c>
      <c r="D219">
        <v>0.459233</v>
      </c>
      <c r="E219">
        <v>0.31568400000000002</v>
      </c>
      <c r="F219">
        <v>0.10843</v>
      </c>
      <c r="G219">
        <v>2.3050000000000002E-3</v>
      </c>
      <c r="H219">
        <v>1.2142E-2</v>
      </c>
      <c r="I219">
        <v>7.7609999999999997E-3</v>
      </c>
      <c r="J219">
        <v>0</v>
      </c>
      <c r="K219">
        <v>0</v>
      </c>
      <c r="L219">
        <v>0</v>
      </c>
      <c r="M219">
        <v>0</v>
      </c>
      <c r="N219">
        <v>0</v>
      </c>
      <c r="O219">
        <v>0</v>
      </c>
      <c r="P219">
        <v>0</v>
      </c>
    </row>
    <row r="220" spans="1:44" x14ac:dyDescent="0.2">
      <c r="A220" s="37">
        <v>1970</v>
      </c>
      <c r="B220">
        <v>0.15676200000000001</v>
      </c>
      <c r="C220">
        <v>0.238147</v>
      </c>
      <c r="D220">
        <v>0.37426300000000001</v>
      </c>
      <c r="E220">
        <v>0.17669899999999999</v>
      </c>
      <c r="F220">
        <v>3.4247E-2</v>
      </c>
      <c r="G220">
        <v>1.1143E-2</v>
      </c>
      <c r="H220">
        <v>5.5710000000000004E-3</v>
      </c>
      <c r="I220">
        <v>3.1679999999999998E-3</v>
      </c>
      <c r="J220">
        <v>0</v>
      </c>
      <c r="K220">
        <v>0</v>
      </c>
      <c r="L220">
        <v>0</v>
      </c>
      <c r="M220">
        <v>0</v>
      </c>
      <c r="N220">
        <v>0</v>
      </c>
      <c r="O220">
        <v>0</v>
      </c>
      <c r="P220">
        <v>0</v>
      </c>
    </row>
    <row r="221" spans="1:44" x14ac:dyDescent="0.2">
      <c r="A221" s="37">
        <v>1971</v>
      </c>
      <c r="B221">
        <v>0.165462</v>
      </c>
      <c r="C221">
        <v>4.9415000000000001E-2</v>
      </c>
      <c r="D221">
        <v>0.27603</v>
      </c>
      <c r="E221">
        <v>0.18528700000000001</v>
      </c>
      <c r="F221">
        <v>0.27468900000000002</v>
      </c>
      <c r="G221">
        <v>2.6682999999999998E-2</v>
      </c>
      <c r="H221">
        <v>1.7514999999999999E-2</v>
      </c>
      <c r="I221">
        <v>4.9189999999999998E-3</v>
      </c>
      <c r="J221">
        <v>0</v>
      </c>
      <c r="K221">
        <v>0</v>
      </c>
      <c r="L221">
        <v>0</v>
      </c>
      <c r="M221">
        <v>0</v>
      </c>
      <c r="N221">
        <v>0</v>
      </c>
      <c r="O221">
        <v>0</v>
      </c>
      <c r="P221">
        <v>0</v>
      </c>
    </row>
    <row r="222" spans="1:44" x14ac:dyDescent="0.2">
      <c r="A222" s="37">
        <v>1972</v>
      </c>
      <c r="B222">
        <v>3.1427999999999998E-2</v>
      </c>
      <c r="C222">
        <v>0.15159600000000001</v>
      </c>
      <c r="D222">
        <v>0.349715</v>
      </c>
      <c r="E222">
        <v>0.28007900000000002</v>
      </c>
      <c r="F222">
        <v>0.11734700000000001</v>
      </c>
      <c r="G222">
        <v>4.6027999999999999E-2</v>
      </c>
      <c r="H222">
        <v>1.7471E-2</v>
      </c>
      <c r="I222">
        <v>6.3350000000000004E-3</v>
      </c>
      <c r="J222">
        <v>0</v>
      </c>
      <c r="K222">
        <v>0</v>
      </c>
      <c r="L222">
        <v>0</v>
      </c>
      <c r="M222">
        <v>0</v>
      </c>
      <c r="N222">
        <v>0</v>
      </c>
      <c r="O222">
        <v>0</v>
      </c>
      <c r="P222">
        <v>0</v>
      </c>
    </row>
    <row r="223" spans="1:44" x14ac:dyDescent="0.2">
      <c r="A223" s="37">
        <v>1973</v>
      </c>
      <c r="B223">
        <v>1.1129E-2</v>
      </c>
      <c r="C223">
        <v>0.100338</v>
      </c>
      <c r="D223">
        <v>0.121466</v>
      </c>
      <c r="E223">
        <v>0.26405400000000001</v>
      </c>
      <c r="F223">
        <v>0.202123</v>
      </c>
      <c r="G223">
        <v>0.13807</v>
      </c>
      <c r="H223">
        <v>7.6822000000000001E-2</v>
      </c>
      <c r="I223">
        <v>5.5642999999999998E-2</v>
      </c>
      <c r="J223">
        <v>2.4972000000000001E-2</v>
      </c>
      <c r="K223">
        <v>4.4980000000000003E-3</v>
      </c>
      <c r="L223">
        <v>5.6599999999999999E-4</v>
      </c>
      <c r="M223">
        <v>1.4999999999999999E-4</v>
      </c>
      <c r="N223">
        <v>3.2499999999999997E-5</v>
      </c>
      <c r="O223">
        <v>1.3799999999999999E-4</v>
      </c>
      <c r="P223">
        <v>0</v>
      </c>
    </row>
    <row r="224" spans="1:44" x14ac:dyDescent="0.2">
      <c r="A224" s="37">
        <v>1974</v>
      </c>
      <c r="B224">
        <v>2.4247000000000001E-2</v>
      </c>
      <c r="C224">
        <v>0.52727900000000005</v>
      </c>
      <c r="D224">
        <v>0.19487099999999999</v>
      </c>
      <c r="E224">
        <v>5.5426999999999997E-2</v>
      </c>
      <c r="F224">
        <v>7.4453000000000005E-2</v>
      </c>
      <c r="G224">
        <v>4.0191999999999999E-2</v>
      </c>
      <c r="H224">
        <v>2.5745000000000001E-2</v>
      </c>
      <c r="I224">
        <v>2.1690000000000001E-2</v>
      </c>
      <c r="J224">
        <v>2.1288999999999999E-2</v>
      </c>
      <c r="K224">
        <v>8.9540000000000002E-3</v>
      </c>
      <c r="L224">
        <v>3.6380000000000002E-3</v>
      </c>
      <c r="M224">
        <v>9.5E-4</v>
      </c>
      <c r="N224">
        <v>9.4799999999999995E-4</v>
      </c>
      <c r="O224">
        <v>1.6899999999999999E-4</v>
      </c>
      <c r="P224">
        <v>1.47E-4</v>
      </c>
    </row>
    <row r="225" spans="1:16" x14ac:dyDescent="0.2">
      <c r="A225" s="37">
        <v>1975</v>
      </c>
      <c r="B225">
        <v>8.5430000000000002E-3</v>
      </c>
      <c r="C225">
        <v>0.150288</v>
      </c>
      <c r="D225">
        <v>0.69184299999999999</v>
      </c>
      <c r="E225">
        <v>5.3185000000000003E-2</v>
      </c>
      <c r="F225">
        <v>1.4149E-2</v>
      </c>
      <c r="G225">
        <v>2.6572999999999999E-2</v>
      </c>
      <c r="H225">
        <v>2.5451999999999999E-2</v>
      </c>
      <c r="I225">
        <v>1.3868999999999999E-2</v>
      </c>
      <c r="J225">
        <v>8.1620000000000009E-3</v>
      </c>
      <c r="K225">
        <v>5.7470000000000004E-3</v>
      </c>
      <c r="L225">
        <v>1.421E-3</v>
      </c>
      <c r="M225">
        <v>5.62E-4</v>
      </c>
      <c r="N225">
        <v>9.0400000000000002E-5</v>
      </c>
      <c r="O225">
        <v>1.16E-4</v>
      </c>
      <c r="P225">
        <v>0</v>
      </c>
    </row>
    <row r="226" spans="1:16" x14ac:dyDescent="0.2">
      <c r="A226" s="37">
        <v>1976</v>
      </c>
      <c r="B226">
        <v>2.0000000000000001E-4</v>
      </c>
      <c r="C226">
        <v>0.120162</v>
      </c>
      <c r="D226">
        <v>0.45461600000000002</v>
      </c>
      <c r="E226">
        <v>0.30598599999999998</v>
      </c>
      <c r="F226">
        <v>3.0152000000000002E-2</v>
      </c>
      <c r="G226">
        <v>1.3916E-2</v>
      </c>
      <c r="H226">
        <v>1.9279000000000001E-2</v>
      </c>
      <c r="I226">
        <v>2.2363000000000001E-2</v>
      </c>
      <c r="J226">
        <v>1.7395999999999998E-2</v>
      </c>
      <c r="K226">
        <v>8.5719999999999998E-3</v>
      </c>
      <c r="L226">
        <v>3.9560000000000003E-3</v>
      </c>
      <c r="M226">
        <v>2.7060000000000001E-3</v>
      </c>
      <c r="N226">
        <v>6.9700000000000003E-4</v>
      </c>
      <c r="O226">
        <v>0</v>
      </c>
      <c r="P226">
        <v>0</v>
      </c>
    </row>
    <row r="227" spans="1:16" x14ac:dyDescent="0.2">
      <c r="A227" s="37">
        <v>1977</v>
      </c>
      <c r="B227">
        <v>3.7671999999999997E-2</v>
      </c>
      <c r="C227">
        <v>0.247673</v>
      </c>
      <c r="D227">
        <v>0.331098</v>
      </c>
      <c r="E227">
        <v>0.23990500000000001</v>
      </c>
      <c r="F227">
        <v>8.6128999999999997E-2</v>
      </c>
      <c r="G227">
        <v>1.9158000000000001E-2</v>
      </c>
      <c r="H227">
        <v>7.0299999999999998E-3</v>
      </c>
      <c r="I227">
        <v>1.0141000000000001E-2</v>
      </c>
      <c r="J227">
        <v>8.1110000000000002E-3</v>
      </c>
      <c r="K227">
        <v>6.5139999999999998E-3</v>
      </c>
      <c r="L227">
        <v>3.3600000000000001E-3</v>
      </c>
      <c r="M227">
        <v>1.6670000000000001E-3</v>
      </c>
      <c r="N227">
        <v>1.2290000000000001E-3</v>
      </c>
      <c r="O227">
        <v>2.4499999999999999E-4</v>
      </c>
      <c r="P227">
        <v>6.7799999999999995E-5</v>
      </c>
    </row>
    <row r="228" spans="1:16" x14ac:dyDescent="0.2">
      <c r="A228" s="37">
        <v>1978</v>
      </c>
      <c r="B228">
        <v>1.2042000000000001E-2</v>
      </c>
      <c r="C228">
        <v>0.186306</v>
      </c>
      <c r="D228">
        <v>0.308118</v>
      </c>
      <c r="E228">
        <v>0.26135900000000001</v>
      </c>
      <c r="F228">
        <v>0.15068000000000001</v>
      </c>
      <c r="G228">
        <v>4.0794999999999998E-2</v>
      </c>
      <c r="H228">
        <v>1.1771999999999999E-2</v>
      </c>
      <c r="I228">
        <v>7.0980000000000001E-3</v>
      </c>
      <c r="J228">
        <v>8.0470000000000003E-3</v>
      </c>
      <c r="K228">
        <v>6.4710000000000002E-3</v>
      </c>
      <c r="L228">
        <v>4.5589999999999997E-3</v>
      </c>
      <c r="M228">
        <v>1.7409999999999999E-3</v>
      </c>
      <c r="N228">
        <v>7.2199999999999999E-4</v>
      </c>
      <c r="O228">
        <v>2.2100000000000001E-4</v>
      </c>
      <c r="P228">
        <v>6.9200000000000002E-5</v>
      </c>
    </row>
    <row r="229" spans="1:16" x14ac:dyDescent="0.2">
      <c r="A229" s="37">
        <v>1979</v>
      </c>
      <c r="B229">
        <v>3.95E-2</v>
      </c>
      <c r="C229">
        <v>0.21152499999999999</v>
      </c>
      <c r="D229">
        <v>0.28037299999999998</v>
      </c>
      <c r="E229">
        <v>0.16364799999999999</v>
      </c>
      <c r="F229">
        <v>0.152892</v>
      </c>
      <c r="G229">
        <v>8.3939E-2</v>
      </c>
      <c r="H229">
        <v>2.1921E-2</v>
      </c>
      <c r="I229">
        <v>1.0012E-2</v>
      </c>
      <c r="J229">
        <v>1.3972999999999999E-2</v>
      </c>
      <c r="K229">
        <v>1.0706E-2</v>
      </c>
      <c r="L229">
        <v>6.862E-3</v>
      </c>
      <c r="M229">
        <v>3.0690000000000001E-3</v>
      </c>
      <c r="N229">
        <v>1.1529999999999999E-3</v>
      </c>
      <c r="O229">
        <v>2.0599999999999999E-4</v>
      </c>
      <c r="P229">
        <v>2.22E-4</v>
      </c>
    </row>
    <row r="230" spans="1:16" x14ac:dyDescent="0.2">
      <c r="A230" s="37">
        <v>1980</v>
      </c>
      <c r="B230">
        <v>4.0340000000000003E-3</v>
      </c>
      <c r="C230">
        <v>0.19093199999999999</v>
      </c>
      <c r="D230">
        <v>0.33992600000000001</v>
      </c>
      <c r="E230">
        <v>0.183116</v>
      </c>
      <c r="F230">
        <v>0.10412399999999999</v>
      </c>
      <c r="G230">
        <v>8.7117E-2</v>
      </c>
      <c r="H230">
        <v>3.4571999999999999E-2</v>
      </c>
      <c r="I230">
        <v>1.5525000000000001E-2</v>
      </c>
      <c r="J230">
        <v>8.9809999999999994E-3</v>
      </c>
      <c r="K230">
        <v>9.8770000000000004E-3</v>
      </c>
      <c r="L230">
        <v>1.0508E-2</v>
      </c>
      <c r="M230">
        <v>6.561E-3</v>
      </c>
      <c r="N230">
        <v>3.192E-3</v>
      </c>
      <c r="O230">
        <v>1.036E-3</v>
      </c>
      <c r="P230">
        <v>5.0000000000000001E-4</v>
      </c>
    </row>
    <row r="231" spans="1:16" x14ac:dyDescent="0.2">
      <c r="A231" s="37">
        <v>1981</v>
      </c>
      <c r="B231">
        <v>2.6200000000000003E-4</v>
      </c>
      <c r="C231">
        <v>3.3202000000000002E-2</v>
      </c>
      <c r="D231">
        <v>0.46571299999999999</v>
      </c>
      <c r="E231">
        <v>0.29335</v>
      </c>
      <c r="F231">
        <v>0.10438699999999999</v>
      </c>
      <c r="G231">
        <v>4.7308000000000003E-2</v>
      </c>
      <c r="H231">
        <v>2.3758000000000001E-2</v>
      </c>
      <c r="I231">
        <v>1.3610000000000001E-2</v>
      </c>
      <c r="J231">
        <v>7.4029999999999999E-3</v>
      </c>
      <c r="K231">
        <v>4.2989999999999999E-3</v>
      </c>
      <c r="L231">
        <v>3.4529999999999999E-3</v>
      </c>
      <c r="M231">
        <v>2.1150000000000001E-3</v>
      </c>
      <c r="N231">
        <v>6.9899999999999997E-4</v>
      </c>
      <c r="O231">
        <v>2.9E-4</v>
      </c>
      <c r="P231">
        <v>1.5200000000000001E-4</v>
      </c>
    </row>
    <row r="232" spans="1:16" x14ac:dyDescent="0.2">
      <c r="A232" s="37">
        <v>1982</v>
      </c>
      <c r="B232">
        <v>2.3700000000000001E-3</v>
      </c>
      <c r="C232">
        <v>1.2649000000000001E-2</v>
      </c>
      <c r="D232">
        <v>8.0549999999999997E-2</v>
      </c>
      <c r="E232">
        <v>0.58499100000000004</v>
      </c>
      <c r="F232">
        <v>0.21074300000000001</v>
      </c>
      <c r="G232">
        <v>5.1754000000000001E-2</v>
      </c>
      <c r="H232">
        <v>1.7953E-2</v>
      </c>
      <c r="I232">
        <v>1.7972999999999999E-2</v>
      </c>
      <c r="J232">
        <v>1.0743000000000001E-2</v>
      </c>
      <c r="K232">
        <v>4.5310000000000003E-3</v>
      </c>
      <c r="L232">
        <v>2.7039999999999998E-3</v>
      </c>
      <c r="M232">
        <v>1.5870000000000001E-3</v>
      </c>
      <c r="N232">
        <v>9.2800000000000001E-4</v>
      </c>
      <c r="O232">
        <v>3.4400000000000001E-4</v>
      </c>
      <c r="P232">
        <v>1.8000000000000001E-4</v>
      </c>
    </row>
    <row r="233" spans="1:16" x14ac:dyDescent="0.2">
      <c r="A233" s="37">
        <v>1983</v>
      </c>
      <c r="B233">
        <v>2.9060000000000002E-3</v>
      </c>
      <c r="C233">
        <v>6.7964999999999998E-2</v>
      </c>
      <c r="D233">
        <v>9.0430999999999997E-2</v>
      </c>
      <c r="E233">
        <v>0.17937800000000001</v>
      </c>
      <c r="F233">
        <v>0.46820899999999999</v>
      </c>
      <c r="G233">
        <v>0.12509300000000001</v>
      </c>
      <c r="H233">
        <v>2.3737999999999999E-2</v>
      </c>
      <c r="I233">
        <v>1.4167000000000001E-2</v>
      </c>
      <c r="J233">
        <v>1.1353E-2</v>
      </c>
      <c r="K233">
        <v>6.3619999999999996E-3</v>
      </c>
      <c r="L233">
        <v>4.3559999999999996E-3</v>
      </c>
      <c r="M233">
        <v>2.8080000000000002E-3</v>
      </c>
      <c r="N233">
        <v>2.0170000000000001E-3</v>
      </c>
      <c r="O233">
        <v>9.9700000000000006E-4</v>
      </c>
      <c r="P233">
        <v>2.1800000000000001E-4</v>
      </c>
    </row>
    <row r="234" spans="1:16" x14ac:dyDescent="0.2">
      <c r="A234" s="37">
        <v>1984</v>
      </c>
      <c r="B234">
        <v>1.0820000000000001E-3</v>
      </c>
      <c r="C234">
        <v>2.3623000000000002E-2</v>
      </c>
      <c r="D234">
        <v>4.5693999999999999E-2</v>
      </c>
      <c r="E234">
        <v>0.22206999999999999</v>
      </c>
      <c r="F234">
        <v>0.25354900000000002</v>
      </c>
      <c r="G234">
        <v>0.33724700000000002</v>
      </c>
      <c r="H234">
        <v>6.9013000000000005E-2</v>
      </c>
      <c r="I234">
        <v>1.8339999999999999E-2</v>
      </c>
      <c r="J234">
        <v>1.2938E-2</v>
      </c>
      <c r="K234">
        <v>8.0669999999999995E-3</v>
      </c>
      <c r="L234">
        <v>3.6600000000000001E-3</v>
      </c>
      <c r="M234">
        <v>1.299E-3</v>
      </c>
      <c r="N234">
        <v>1.5100000000000001E-3</v>
      </c>
      <c r="O234">
        <v>8.61E-4</v>
      </c>
      <c r="P234">
        <v>1.0460000000000001E-3</v>
      </c>
    </row>
    <row r="235" spans="1:16" x14ac:dyDescent="0.2">
      <c r="A235" s="37">
        <v>1985</v>
      </c>
      <c r="B235">
        <v>1.377E-3</v>
      </c>
      <c r="C235">
        <v>2.8742E-2</v>
      </c>
      <c r="D235">
        <v>0.198541</v>
      </c>
      <c r="E235">
        <v>6.3409999999999994E-2</v>
      </c>
      <c r="F235">
        <v>0.190469</v>
      </c>
      <c r="G235">
        <v>0.16742599999999999</v>
      </c>
      <c r="H235">
        <v>0.23080999999999999</v>
      </c>
      <c r="I235">
        <v>5.8574000000000001E-2</v>
      </c>
      <c r="J235">
        <v>1.9047999999999999E-2</v>
      </c>
      <c r="K235">
        <v>1.3448999999999999E-2</v>
      </c>
      <c r="L235">
        <v>1.2929E-2</v>
      </c>
      <c r="M235">
        <v>5.5529999999999998E-3</v>
      </c>
      <c r="N235">
        <v>4.9090000000000002E-3</v>
      </c>
      <c r="O235">
        <v>2.088E-3</v>
      </c>
      <c r="P235">
        <v>2.6749999999999999E-3</v>
      </c>
    </row>
    <row r="236" spans="1:16" x14ac:dyDescent="0.2">
      <c r="A236" s="37">
        <v>1986</v>
      </c>
      <c r="B236">
        <v>1.5139999999999999E-3</v>
      </c>
      <c r="C236">
        <v>4.2153999999999997E-2</v>
      </c>
      <c r="D236">
        <v>4.5221999999999998E-2</v>
      </c>
      <c r="E236">
        <v>0.36684699999999998</v>
      </c>
      <c r="F236">
        <v>0.10492600000000001</v>
      </c>
      <c r="G236">
        <v>0.18529300000000001</v>
      </c>
      <c r="H236">
        <v>0.108734</v>
      </c>
      <c r="I236">
        <v>0.105004</v>
      </c>
      <c r="J236">
        <v>2.9249000000000001E-2</v>
      </c>
      <c r="K236">
        <v>7.4400000000000004E-3</v>
      </c>
      <c r="L236">
        <v>1.637E-3</v>
      </c>
      <c r="M236">
        <v>1.2639999999999999E-3</v>
      </c>
      <c r="N236">
        <v>1.3200000000000001E-4</v>
      </c>
      <c r="O236">
        <v>5.8299999999999997E-4</v>
      </c>
      <c r="P236">
        <v>0</v>
      </c>
    </row>
    <row r="237" spans="1:16" x14ac:dyDescent="0.2">
      <c r="A237" s="37">
        <v>1987</v>
      </c>
      <c r="B237">
        <v>0</v>
      </c>
      <c r="C237">
        <v>1.4352999999999999E-2</v>
      </c>
      <c r="D237">
        <v>8.0902000000000002E-2</v>
      </c>
      <c r="E237">
        <v>5.6279000000000003E-2</v>
      </c>
      <c r="F237">
        <v>0.29985800000000001</v>
      </c>
      <c r="G237">
        <v>0.100715</v>
      </c>
      <c r="H237">
        <v>8.8820999999999997E-2</v>
      </c>
      <c r="I237">
        <v>6.5741999999999995E-2</v>
      </c>
      <c r="J237">
        <v>0.179309</v>
      </c>
      <c r="K237">
        <v>3.9206999999999999E-2</v>
      </c>
      <c r="L237">
        <v>2.8063999999999999E-2</v>
      </c>
      <c r="M237">
        <v>1.5557E-2</v>
      </c>
      <c r="N237">
        <v>2.0974E-2</v>
      </c>
      <c r="O237">
        <v>4.4209999999999996E-3</v>
      </c>
      <c r="P237">
        <v>5.7990000000000003E-3</v>
      </c>
    </row>
    <row r="238" spans="1:16" x14ac:dyDescent="0.2">
      <c r="A238" s="37">
        <v>1988</v>
      </c>
      <c r="B238">
        <v>0</v>
      </c>
      <c r="C238">
        <v>4.8669999999999998E-3</v>
      </c>
      <c r="D238">
        <v>0.20707800000000001</v>
      </c>
      <c r="E238">
        <v>0.19230800000000001</v>
      </c>
      <c r="F238">
        <v>0.115004</v>
      </c>
      <c r="G238">
        <v>0.24830199999999999</v>
      </c>
      <c r="H238">
        <v>0.10252699999999999</v>
      </c>
      <c r="I238">
        <v>4.7865999999999999E-2</v>
      </c>
      <c r="J238">
        <v>1.7871999999999999E-2</v>
      </c>
      <c r="K238">
        <v>4.4149000000000001E-2</v>
      </c>
      <c r="L238">
        <v>8.3239999999999998E-3</v>
      </c>
      <c r="M238">
        <v>4.6579999999999998E-3</v>
      </c>
      <c r="N238">
        <v>1.7149999999999999E-3</v>
      </c>
      <c r="O238">
        <v>2.506E-3</v>
      </c>
      <c r="P238">
        <v>2.8249999999999998E-3</v>
      </c>
    </row>
    <row r="239" spans="1:16" x14ac:dyDescent="0.2">
      <c r="A239" s="37">
        <v>1989</v>
      </c>
      <c r="B239">
        <v>0</v>
      </c>
      <c r="C239">
        <v>2.6710000000000002E-3</v>
      </c>
      <c r="D239">
        <v>3.0904000000000001E-2</v>
      </c>
      <c r="E239">
        <v>8.3527000000000004E-2</v>
      </c>
      <c r="F239">
        <v>0.25288300000000002</v>
      </c>
      <c r="G239">
        <v>9.3473000000000001E-2</v>
      </c>
      <c r="H239">
        <v>0.32077600000000001</v>
      </c>
      <c r="I239">
        <v>5.3997000000000003E-2</v>
      </c>
      <c r="J239">
        <v>5.8166000000000002E-2</v>
      </c>
      <c r="K239">
        <v>1.8176000000000001E-2</v>
      </c>
      <c r="L239">
        <v>7.2330000000000005E-2</v>
      </c>
      <c r="M239">
        <v>6.1019999999999998E-3</v>
      </c>
      <c r="N239">
        <v>2.235E-3</v>
      </c>
      <c r="O239">
        <v>1.436E-3</v>
      </c>
      <c r="P239">
        <v>3.3249999999999998E-3</v>
      </c>
    </row>
    <row r="240" spans="1:16" x14ac:dyDescent="0.2">
      <c r="A240" s="37">
        <v>1990</v>
      </c>
      <c r="B240">
        <v>7.5199999999999996E-4</v>
      </c>
      <c r="C240">
        <v>1.8901000000000001E-2</v>
      </c>
      <c r="D240">
        <v>3.2625000000000001E-2</v>
      </c>
      <c r="E240">
        <v>0.12570799999999999</v>
      </c>
      <c r="F240">
        <v>0.114964</v>
      </c>
      <c r="G240">
        <v>0.27363300000000002</v>
      </c>
      <c r="H240">
        <v>7.4005000000000001E-2</v>
      </c>
      <c r="I240">
        <v>0.21101500000000001</v>
      </c>
      <c r="J240">
        <v>3.7631999999999999E-2</v>
      </c>
      <c r="K240">
        <v>5.8368000000000003E-2</v>
      </c>
      <c r="L240">
        <v>5.1780000000000003E-3</v>
      </c>
      <c r="M240">
        <v>3.4402000000000002E-2</v>
      </c>
      <c r="N240">
        <v>4.8650000000000004E-3</v>
      </c>
      <c r="O240">
        <v>2.6770000000000001E-3</v>
      </c>
      <c r="P240">
        <v>5.2750000000000002E-3</v>
      </c>
    </row>
    <row r="241" spans="1:16" x14ac:dyDescent="0.2">
      <c r="A241" s="37">
        <v>1991</v>
      </c>
      <c r="B241">
        <v>683577.68649999995</v>
      </c>
      <c r="C241">
        <v>112880087.59999999</v>
      </c>
      <c r="D241">
        <v>43777914.009999998</v>
      </c>
      <c r="E241">
        <v>90273357.909999996</v>
      </c>
      <c r="F241">
        <v>153872046.09999999</v>
      </c>
      <c r="G241">
        <v>184421829</v>
      </c>
      <c r="H241">
        <v>497488473</v>
      </c>
      <c r="I241">
        <v>78130957.209999993</v>
      </c>
      <c r="J241">
        <v>288014647</v>
      </c>
      <c r="K241">
        <v>28863692.300000001</v>
      </c>
      <c r="L241">
        <v>144079922</v>
      </c>
      <c r="M241">
        <v>18687566.960000001</v>
      </c>
      <c r="N241">
        <v>91160640.010000005</v>
      </c>
      <c r="O241">
        <v>22766499.420000002</v>
      </c>
      <c r="P241">
        <v>53323878.909999996</v>
      </c>
    </row>
    <row r="242" spans="1:16" x14ac:dyDescent="0.2">
      <c r="A242" s="37">
        <v>1992</v>
      </c>
      <c r="B242">
        <v>1102622.71</v>
      </c>
      <c r="C242">
        <v>84678150.409999996</v>
      </c>
      <c r="D242">
        <v>675761780</v>
      </c>
      <c r="E242">
        <v>130066975.59999999</v>
      </c>
      <c r="F242">
        <v>79592747.510000005</v>
      </c>
      <c r="G242">
        <v>108673587.09999999</v>
      </c>
      <c r="H242">
        <v>133759837.09999999</v>
      </c>
      <c r="I242">
        <v>253630159.09999999</v>
      </c>
      <c r="J242">
        <v>102288403.2</v>
      </c>
      <c r="K242">
        <v>147011284.09999999</v>
      </c>
      <c r="L242">
        <v>57951820.509999998</v>
      </c>
      <c r="M242">
        <v>46342257.420000002</v>
      </c>
      <c r="N242">
        <v>13434732.359999999</v>
      </c>
      <c r="O242">
        <v>43823793.020000003</v>
      </c>
      <c r="P242">
        <v>34480566.710000001</v>
      </c>
    </row>
    <row r="243" spans="1:16" x14ac:dyDescent="0.2">
      <c r="A243" s="37">
        <v>1993</v>
      </c>
      <c r="B243">
        <v>66176.086200000005</v>
      </c>
      <c r="C243">
        <v>7426337.108</v>
      </c>
      <c r="D243">
        <v>260512446</v>
      </c>
      <c r="E243">
        <v>1146678408</v>
      </c>
      <c r="F243">
        <v>102976394.2</v>
      </c>
      <c r="G243">
        <v>66160521.509999998</v>
      </c>
      <c r="H243">
        <v>66364140.509999998</v>
      </c>
      <c r="I243">
        <v>56464135.009999998</v>
      </c>
      <c r="J243">
        <v>86182155.409999996</v>
      </c>
      <c r="K243">
        <v>21160222.48</v>
      </c>
      <c r="L243">
        <v>32683045.300000001</v>
      </c>
      <c r="M243">
        <v>12357607.93</v>
      </c>
      <c r="N243">
        <v>13469629.880000001</v>
      </c>
      <c r="O243">
        <v>6761918.4649999999</v>
      </c>
      <c r="P243">
        <v>16115377.16</v>
      </c>
    </row>
    <row r="244" spans="1:16" x14ac:dyDescent="0.2">
      <c r="A244" s="37">
        <v>1994</v>
      </c>
      <c r="B244">
        <v>749518.42200000002</v>
      </c>
      <c r="C244">
        <v>30188763.760000002</v>
      </c>
      <c r="D244">
        <v>55145321.109999999</v>
      </c>
      <c r="E244">
        <v>361151313</v>
      </c>
      <c r="F244">
        <v>1059660052</v>
      </c>
      <c r="G244">
        <v>175694392.09999999</v>
      </c>
      <c r="H244">
        <v>53531420.310000002</v>
      </c>
      <c r="I244">
        <v>19105978.469999999</v>
      </c>
      <c r="J244">
        <v>13140716.68</v>
      </c>
      <c r="K244">
        <v>20163830.98</v>
      </c>
      <c r="L244">
        <v>9715240.3139999993</v>
      </c>
      <c r="M244">
        <v>9381880.6300000008</v>
      </c>
      <c r="N244">
        <v>7554972.6100000003</v>
      </c>
      <c r="O244">
        <v>3964841.733</v>
      </c>
      <c r="P244">
        <v>8296523.9560000002</v>
      </c>
    </row>
    <row r="245" spans="1:16" x14ac:dyDescent="0.2">
      <c r="A245" s="37">
        <v>1995</v>
      </c>
      <c r="B245">
        <v>10.01</v>
      </c>
      <c r="C245">
        <v>514348.73129999998</v>
      </c>
      <c r="D245">
        <v>72906750.010000005</v>
      </c>
      <c r="E245">
        <v>146786648.09999999</v>
      </c>
      <c r="F245">
        <v>395472518</v>
      </c>
      <c r="G245">
        <v>761106423</v>
      </c>
      <c r="H245">
        <v>136271215.59999999</v>
      </c>
      <c r="I245">
        <v>34575493.259999998</v>
      </c>
      <c r="J245">
        <v>12271419.880000001</v>
      </c>
      <c r="K245">
        <v>7501928.1119999997</v>
      </c>
      <c r="L245">
        <v>17477639.98</v>
      </c>
      <c r="M245">
        <v>5003650.858</v>
      </c>
      <c r="N245">
        <v>5813572.4649999999</v>
      </c>
      <c r="O245">
        <v>1657103.0390000001</v>
      </c>
      <c r="P245">
        <v>8920126.6319999993</v>
      </c>
    </row>
    <row r="246" spans="1:16" x14ac:dyDescent="0.2">
      <c r="A246" s="37">
        <v>1996</v>
      </c>
      <c r="B246">
        <v>10.01</v>
      </c>
      <c r="C246">
        <v>21661749.059999999</v>
      </c>
      <c r="D246">
        <v>48084775.630000003</v>
      </c>
      <c r="E246">
        <v>71786097.109999999</v>
      </c>
      <c r="F246">
        <v>160974891.40000001</v>
      </c>
      <c r="G246">
        <v>361906141</v>
      </c>
      <c r="H246">
        <v>481726893</v>
      </c>
      <c r="I246">
        <v>184638424</v>
      </c>
      <c r="J246">
        <v>33635762.390000001</v>
      </c>
      <c r="K246">
        <v>13448442.539999999</v>
      </c>
      <c r="L246">
        <v>7948499.9060000004</v>
      </c>
      <c r="M246">
        <v>8813779.6840000004</v>
      </c>
      <c r="N246">
        <v>4335450.8320000004</v>
      </c>
      <c r="O246">
        <v>5834544.733</v>
      </c>
      <c r="P246">
        <v>5304501.818</v>
      </c>
    </row>
    <row r="247" spans="1:16" x14ac:dyDescent="0.2">
      <c r="A247" s="37">
        <v>1997</v>
      </c>
      <c r="B247">
        <v>1030661.437</v>
      </c>
      <c r="C247">
        <v>77692162.959999993</v>
      </c>
      <c r="D247">
        <v>40326288.640000001</v>
      </c>
      <c r="E247">
        <v>118974612.2</v>
      </c>
      <c r="F247">
        <v>455137955</v>
      </c>
      <c r="G247">
        <v>288956822</v>
      </c>
      <c r="H247">
        <v>256371888</v>
      </c>
      <c r="I247">
        <v>198555207.90000001</v>
      </c>
      <c r="J247">
        <v>64018159.780000001</v>
      </c>
      <c r="K247">
        <v>13335152.93</v>
      </c>
      <c r="L247">
        <v>5970266.6279999996</v>
      </c>
      <c r="M247">
        <v>4646495.4380000001</v>
      </c>
      <c r="N247">
        <v>2894759.389</v>
      </c>
      <c r="O247">
        <v>4781315.8990000002</v>
      </c>
      <c r="P247">
        <v>9119169.1989999991</v>
      </c>
    </row>
    <row r="248" spans="1:16" x14ac:dyDescent="0.2">
      <c r="A248" s="37">
        <v>1998</v>
      </c>
      <c r="B248">
        <v>288387.87599999999</v>
      </c>
      <c r="C248">
        <v>42025190.850000001</v>
      </c>
      <c r="D248">
        <v>84532243.609999999</v>
      </c>
      <c r="E248">
        <v>70495498.310000002</v>
      </c>
      <c r="F248">
        <v>153354716.30000001</v>
      </c>
      <c r="G248">
        <v>702792242</v>
      </c>
      <c r="H248">
        <v>199570187</v>
      </c>
      <c r="I248">
        <v>131723436.59999999</v>
      </c>
      <c r="J248">
        <v>110744188.2</v>
      </c>
      <c r="K248">
        <v>27795326.129999999</v>
      </c>
      <c r="L248">
        <v>6145318.7350000003</v>
      </c>
      <c r="M248">
        <v>5564851.3229999999</v>
      </c>
      <c r="N248">
        <v>2554789.2949999999</v>
      </c>
      <c r="O248">
        <v>2502242.6039999998</v>
      </c>
      <c r="P248">
        <v>4485326.16</v>
      </c>
    </row>
    <row r="249" spans="1:16" x14ac:dyDescent="0.2">
      <c r="A249" s="37">
        <v>1999</v>
      </c>
      <c r="B249">
        <v>232574.122</v>
      </c>
      <c r="C249">
        <v>10347391.939999999</v>
      </c>
      <c r="D249">
        <v>298714375</v>
      </c>
      <c r="E249">
        <v>225033344</v>
      </c>
      <c r="F249">
        <v>103037474.59999999</v>
      </c>
      <c r="G249">
        <v>157017987</v>
      </c>
      <c r="H249">
        <v>469737146</v>
      </c>
      <c r="I249">
        <v>130998451.90000001</v>
      </c>
      <c r="J249">
        <v>56503034.210000001</v>
      </c>
      <c r="K249">
        <v>33180522.91</v>
      </c>
      <c r="L249">
        <v>3960079.81</v>
      </c>
      <c r="M249">
        <v>2183842.693</v>
      </c>
      <c r="N249">
        <v>856727.32369999995</v>
      </c>
      <c r="O249">
        <v>477398.84600000002</v>
      </c>
      <c r="P249">
        <v>2061280.6310000001</v>
      </c>
    </row>
    <row r="250" spans="1:16" x14ac:dyDescent="0.2">
      <c r="A250" s="37">
        <v>2000</v>
      </c>
      <c r="B250">
        <v>10.01</v>
      </c>
      <c r="C250">
        <v>16076799.82</v>
      </c>
      <c r="D250">
        <v>82441649.609999999</v>
      </c>
      <c r="E250">
        <v>428501215</v>
      </c>
      <c r="F250">
        <v>346512365</v>
      </c>
      <c r="G250">
        <v>106681580.3</v>
      </c>
      <c r="H250">
        <v>168385380</v>
      </c>
      <c r="I250">
        <v>357715947</v>
      </c>
      <c r="J250">
        <v>84913329.409999996</v>
      </c>
      <c r="K250">
        <v>29722613.809999999</v>
      </c>
      <c r="L250">
        <v>22045490.030000001</v>
      </c>
      <c r="M250">
        <v>5245899.7439999999</v>
      </c>
      <c r="N250">
        <v>1418259.091</v>
      </c>
      <c r="O250">
        <v>608842.92599999998</v>
      </c>
      <c r="P250">
        <v>953442.44400000002</v>
      </c>
    </row>
    <row r="251" spans="1:16" x14ac:dyDescent="0.2">
      <c r="A251" s="37">
        <v>2001</v>
      </c>
      <c r="B251">
        <v>10.01</v>
      </c>
      <c r="C251">
        <v>3213822.02</v>
      </c>
      <c r="D251">
        <v>42795561.009999998</v>
      </c>
      <c r="E251">
        <v>154501107</v>
      </c>
      <c r="F251">
        <v>581039831</v>
      </c>
      <c r="G251">
        <v>415044527</v>
      </c>
      <c r="H251">
        <v>137184794</v>
      </c>
      <c r="I251">
        <v>129002921.09999999</v>
      </c>
      <c r="J251">
        <v>157229590</v>
      </c>
      <c r="K251">
        <v>57854815.909999996</v>
      </c>
      <c r="L251">
        <v>33643741.509999998</v>
      </c>
      <c r="M251">
        <v>16205780.640000001</v>
      </c>
      <c r="N251">
        <v>5486037.2319999998</v>
      </c>
      <c r="O251">
        <v>3091053.1239999998</v>
      </c>
      <c r="P251">
        <v>1948606.281</v>
      </c>
    </row>
    <row r="252" spans="1:16" x14ac:dyDescent="0.2">
      <c r="A252" s="37">
        <v>2002</v>
      </c>
      <c r="B252">
        <v>773336.06900000002</v>
      </c>
      <c r="C252">
        <v>47047125.409999996</v>
      </c>
      <c r="D252">
        <v>108051655.90000001</v>
      </c>
      <c r="E252">
        <v>217818117</v>
      </c>
      <c r="F252">
        <v>287550103</v>
      </c>
      <c r="G252">
        <v>606330902</v>
      </c>
      <c r="H252">
        <v>267955745</v>
      </c>
      <c r="I252">
        <v>98464239.409999996</v>
      </c>
      <c r="J252">
        <v>85885590.810000002</v>
      </c>
      <c r="K252">
        <v>93924689.409999996</v>
      </c>
      <c r="L252">
        <v>34608141.210000001</v>
      </c>
      <c r="M252">
        <v>14401940.32</v>
      </c>
      <c r="N252">
        <v>11043775.810000001</v>
      </c>
      <c r="O252">
        <v>2955356.071</v>
      </c>
      <c r="P252">
        <v>1814928.1310000001</v>
      </c>
    </row>
    <row r="253" spans="1:16" x14ac:dyDescent="0.2">
      <c r="A253" s="37">
        <v>2003</v>
      </c>
      <c r="B253">
        <v>10.01</v>
      </c>
      <c r="C253">
        <v>14537705.939999999</v>
      </c>
      <c r="D253">
        <v>411772506</v>
      </c>
      <c r="E253">
        <v>324118314</v>
      </c>
      <c r="F253">
        <v>360408645</v>
      </c>
      <c r="G253">
        <v>301476089</v>
      </c>
      <c r="H253">
        <v>337593895</v>
      </c>
      <c r="I253">
        <v>158551811</v>
      </c>
      <c r="J253">
        <v>49422631.710000001</v>
      </c>
      <c r="K253">
        <v>39279391.710000001</v>
      </c>
      <c r="L253">
        <v>35708840.710000001</v>
      </c>
      <c r="M253">
        <v>22936312.140000001</v>
      </c>
      <c r="N253">
        <v>6619177.4100000001</v>
      </c>
      <c r="O253">
        <v>3644751.7930000001</v>
      </c>
      <c r="P253">
        <v>3185389.2280000001</v>
      </c>
    </row>
    <row r="254" spans="1:16" x14ac:dyDescent="0.2">
      <c r="A254" s="37">
        <v>2004</v>
      </c>
      <c r="B254">
        <v>10.01</v>
      </c>
      <c r="C254">
        <v>539189.04579999996</v>
      </c>
      <c r="D254">
        <v>89601071.609999999</v>
      </c>
      <c r="E254">
        <v>831121296</v>
      </c>
      <c r="F254">
        <v>480648050</v>
      </c>
      <c r="G254">
        <v>236817934</v>
      </c>
      <c r="H254">
        <v>169278792</v>
      </c>
      <c r="I254">
        <v>156280836</v>
      </c>
      <c r="J254">
        <v>64958948.409999996</v>
      </c>
      <c r="K254">
        <v>16118106.199999999</v>
      </c>
      <c r="L254">
        <v>17061328.109999999</v>
      </c>
      <c r="M254">
        <v>25272130.73</v>
      </c>
      <c r="N254">
        <v>9448394.4450000003</v>
      </c>
      <c r="O254">
        <v>5918670.2810000004</v>
      </c>
      <c r="P254">
        <v>6872391.2050000001</v>
      </c>
    </row>
    <row r="255" spans="1:16" x14ac:dyDescent="0.2">
      <c r="A255" s="37">
        <v>2005</v>
      </c>
      <c r="B255">
        <v>10.01</v>
      </c>
      <c r="C255">
        <v>4794922.7249999996</v>
      </c>
      <c r="D255">
        <v>52152254.310000002</v>
      </c>
      <c r="E255">
        <v>392851182</v>
      </c>
      <c r="F255">
        <v>863793397</v>
      </c>
      <c r="G255">
        <v>484636439</v>
      </c>
      <c r="H255">
        <v>159461867.80000001</v>
      </c>
      <c r="I255">
        <v>68082212.709999993</v>
      </c>
      <c r="J255">
        <v>66622232.710000001</v>
      </c>
      <c r="K255">
        <v>30103697.510000002</v>
      </c>
      <c r="L255">
        <v>9999117.6500000004</v>
      </c>
      <c r="M255">
        <v>9143208.4179999996</v>
      </c>
      <c r="N255">
        <v>3193846.0109999999</v>
      </c>
      <c r="O255">
        <v>2482031.6839999999</v>
      </c>
      <c r="P255">
        <v>3407546.6519999998</v>
      </c>
    </row>
    <row r="256" spans="1:16" x14ac:dyDescent="0.2">
      <c r="A256" s="37">
        <v>2006</v>
      </c>
      <c r="B256">
        <v>10.01</v>
      </c>
      <c r="C256">
        <v>9895886.5199999996</v>
      </c>
      <c r="D256">
        <v>84176891.909999996</v>
      </c>
      <c r="E256">
        <v>295759678</v>
      </c>
      <c r="F256">
        <v>619632534</v>
      </c>
      <c r="G256">
        <v>597614109</v>
      </c>
      <c r="H256">
        <v>278588973</v>
      </c>
      <c r="I256">
        <v>107342919.8</v>
      </c>
      <c r="J256">
        <v>48018542.609999999</v>
      </c>
      <c r="K256">
        <v>38365705.909999996</v>
      </c>
      <c r="L256">
        <v>17699070.449999999</v>
      </c>
      <c r="M256">
        <v>8242374.8880000003</v>
      </c>
      <c r="N256">
        <v>8312301.5719999997</v>
      </c>
      <c r="O256">
        <v>5320452.8049999997</v>
      </c>
      <c r="P256">
        <v>7217231.5690000001</v>
      </c>
    </row>
    <row r="257" spans="1:16" x14ac:dyDescent="0.2">
      <c r="A257" s="37">
        <v>2007</v>
      </c>
      <c r="B257">
        <v>1659659.51</v>
      </c>
      <c r="C257">
        <v>15740402.41</v>
      </c>
      <c r="D257">
        <v>59186795.609999999</v>
      </c>
      <c r="E257">
        <v>139160578.09999999</v>
      </c>
      <c r="F257">
        <v>389416425</v>
      </c>
      <c r="G257">
        <v>511985965</v>
      </c>
      <c r="H257">
        <v>300781142</v>
      </c>
      <c r="I257">
        <v>137084477.09999999</v>
      </c>
      <c r="J257">
        <v>47608280.409999996</v>
      </c>
      <c r="K257">
        <v>27511730.010000002</v>
      </c>
      <c r="L257">
        <v>21870333.649999999</v>
      </c>
      <c r="M257">
        <v>8918290.4299999997</v>
      </c>
      <c r="N257">
        <v>6530115.4550000001</v>
      </c>
      <c r="O257">
        <v>3405030.449</v>
      </c>
      <c r="P257">
        <v>10792885.029999999</v>
      </c>
    </row>
    <row r="258" spans="1:16" x14ac:dyDescent="0.2">
      <c r="A258" s="37">
        <v>2008</v>
      </c>
      <c r="B258">
        <v>10.01</v>
      </c>
      <c r="C258">
        <v>25191428.109999999</v>
      </c>
      <c r="D258">
        <v>58819667.409999996</v>
      </c>
      <c r="E258">
        <v>79220410.510000005</v>
      </c>
      <c r="F258">
        <v>147007514</v>
      </c>
      <c r="G258">
        <v>309671751</v>
      </c>
      <c r="H258">
        <v>242289071</v>
      </c>
      <c r="I258">
        <v>148734019</v>
      </c>
      <c r="J258">
        <v>84275085.909999996</v>
      </c>
      <c r="K258">
        <v>22177833.210000001</v>
      </c>
      <c r="L258">
        <v>17567691.48</v>
      </c>
      <c r="M258">
        <v>14435328.119999999</v>
      </c>
      <c r="N258">
        <v>8632981.3900000006</v>
      </c>
      <c r="O258">
        <v>2769452.5060000001</v>
      </c>
      <c r="P258">
        <v>12654646.67</v>
      </c>
    </row>
    <row r="259" spans="1:16" x14ac:dyDescent="0.2">
      <c r="A259" s="37">
        <v>2009</v>
      </c>
      <c r="B259">
        <v>10.01</v>
      </c>
      <c r="C259">
        <v>1316264.335</v>
      </c>
      <c r="D259">
        <v>175524081</v>
      </c>
      <c r="E259">
        <v>200579592</v>
      </c>
      <c r="F259">
        <v>82553813.310000002</v>
      </c>
      <c r="G259">
        <v>114443557.09999999</v>
      </c>
      <c r="H259">
        <v>124315764.40000001</v>
      </c>
      <c r="I259">
        <v>104320639.09999999</v>
      </c>
      <c r="J259">
        <v>66639422.909999996</v>
      </c>
      <c r="K259">
        <v>40218133.210000001</v>
      </c>
      <c r="L259">
        <v>23534400.190000001</v>
      </c>
      <c r="M259">
        <v>7615950.9469999997</v>
      </c>
      <c r="N259">
        <v>7466164.9579999996</v>
      </c>
      <c r="O259">
        <v>2709725.9580000001</v>
      </c>
      <c r="P259">
        <v>8729662.1789999995</v>
      </c>
    </row>
    <row r="260" spans="1:16" x14ac:dyDescent="0.2">
      <c r="A260" s="37">
        <v>2010</v>
      </c>
      <c r="B260">
        <v>1080865.9709999999</v>
      </c>
      <c r="C260">
        <v>26460160.579999998</v>
      </c>
      <c r="D260">
        <v>31848667.649999999</v>
      </c>
      <c r="E260">
        <v>559371810</v>
      </c>
      <c r="F260">
        <v>220484882</v>
      </c>
      <c r="G260">
        <v>54738225.909999996</v>
      </c>
      <c r="H260">
        <v>43008810.310000002</v>
      </c>
      <c r="I260">
        <v>57679465.310000002</v>
      </c>
      <c r="J260">
        <v>51779004.609999999</v>
      </c>
      <c r="K260">
        <v>31823597.710000001</v>
      </c>
      <c r="L260">
        <v>15964115.779999999</v>
      </c>
      <c r="M260">
        <v>8632812.9600000009</v>
      </c>
      <c r="N260">
        <v>5960336.977</v>
      </c>
      <c r="O260">
        <v>4375459.932</v>
      </c>
      <c r="P260">
        <v>5104523.9400000004</v>
      </c>
    </row>
    <row r="261" spans="1:16" x14ac:dyDescent="0.2">
      <c r="A261" s="37">
        <v>2011</v>
      </c>
      <c r="B261">
        <v>382132.80099999998</v>
      </c>
      <c r="C261">
        <v>10353313.85</v>
      </c>
      <c r="D261">
        <v>193325234</v>
      </c>
      <c r="E261">
        <v>115370308.09999999</v>
      </c>
      <c r="F261">
        <v>809168093</v>
      </c>
      <c r="G261">
        <v>284700260</v>
      </c>
      <c r="H261">
        <v>63564863.710000001</v>
      </c>
      <c r="I261">
        <v>37514185.310000002</v>
      </c>
      <c r="J261">
        <v>38494702.210000001</v>
      </c>
      <c r="K261">
        <v>41410187.909999996</v>
      </c>
      <c r="L261">
        <v>25804157.68</v>
      </c>
      <c r="M261">
        <v>12465707.98</v>
      </c>
      <c r="N261">
        <v>1758179.183</v>
      </c>
      <c r="O261">
        <v>3976205.4019999998</v>
      </c>
      <c r="P261">
        <v>4329527.4709999999</v>
      </c>
    </row>
    <row r="262" spans="1:16" x14ac:dyDescent="0.2">
      <c r="A262" s="37">
        <v>2012</v>
      </c>
      <c r="B262">
        <v>10.01</v>
      </c>
      <c r="C262">
        <v>22271670.350000001</v>
      </c>
      <c r="D262">
        <v>116748216.59999999</v>
      </c>
      <c r="E262">
        <v>946698186</v>
      </c>
      <c r="F262">
        <v>172786112</v>
      </c>
      <c r="G262">
        <v>432561298</v>
      </c>
      <c r="H262">
        <v>141550739.19999999</v>
      </c>
      <c r="I262">
        <v>36681205.210000001</v>
      </c>
      <c r="J262">
        <v>17431762.809999999</v>
      </c>
      <c r="K262">
        <v>14602365.66</v>
      </c>
      <c r="L262">
        <v>15918743.07</v>
      </c>
      <c r="M262">
        <v>13491820.460000001</v>
      </c>
      <c r="N262">
        <v>7408031.7189999996</v>
      </c>
      <c r="O262">
        <v>6143460.6160000004</v>
      </c>
      <c r="P262">
        <v>3331263.8760000002</v>
      </c>
    </row>
    <row r="263" spans="1:16" x14ac:dyDescent="0.2">
      <c r="A263" s="37">
        <v>2013</v>
      </c>
      <c r="B263">
        <v>1845981.1070000001</v>
      </c>
      <c r="C263">
        <v>972163.06389999995</v>
      </c>
      <c r="D263">
        <v>63950723.609999999</v>
      </c>
      <c r="E263">
        <v>342392381</v>
      </c>
      <c r="F263">
        <v>955865746</v>
      </c>
      <c r="G263">
        <v>194432701</v>
      </c>
      <c r="H263">
        <v>156538329.59999999</v>
      </c>
      <c r="I263">
        <v>69971108.609999999</v>
      </c>
      <c r="J263">
        <v>20678954.109999999</v>
      </c>
      <c r="K263">
        <v>12750152.460000001</v>
      </c>
      <c r="L263">
        <v>12754855.85</v>
      </c>
      <c r="M263">
        <v>10850689.279999999</v>
      </c>
      <c r="N263">
        <v>7832136.4019999998</v>
      </c>
      <c r="O263">
        <v>4806117.2829999998</v>
      </c>
      <c r="P263">
        <v>5704861.8530000001</v>
      </c>
    </row>
    <row r="264" spans="1:16" x14ac:dyDescent="0.2">
      <c r="A264" s="37">
        <v>2014</v>
      </c>
      <c r="B264">
        <v>10.01</v>
      </c>
      <c r="C264">
        <v>39223065.109999999</v>
      </c>
      <c r="D264">
        <v>31030785.399999999</v>
      </c>
      <c r="E264">
        <v>167779249</v>
      </c>
      <c r="F264">
        <v>399292361</v>
      </c>
      <c r="G264">
        <v>751755415</v>
      </c>
      <c r="H264">
        <v>210227072</v>
      </c>
      <c r="I264">
        <v>86232072.609999999</v>
      </c>
      <c r="J264">
        <v>29830652.170000002</v>
      </c>
      <c r="K264">
        <v>8966021.1750000007</v>
      </c>
      <c r="L264">
        <v>4490470.2709999997</v>
      </c>
      <c r="M264">
        <v>4525356.6689999998</v>
      </c>
      <c r="N264">
        <v>4564547.716</v>
      </c>
      <c r="O264">
        <v>2764189.6949999998</v>
      </c>
      <c r="P264">
        <v>6021388.966</v>
      </c>
    </row>
    <row r="265" spans="1:16" x14ac:dyDescent="0.2">
      <c r="A265" s="37">
        <v>2015</v>
      </c>
      <c r="B265">
        <v>10.01</v>
      </c>
      <c r="C265">
        <v>15473070.68</v>
      </c>
      <c r="D265">
        <v>632440232</v>
      </c>
      <c r="E265">
        <v>196403930</v>
      </c>
      <c r="F265">
        <v>228574623</v>
      </c>
      <c r="G265">
        <v>384287025</v>
      </c>
      <c r="H265">
        <v>510140133</v>
      </c>
      <c r="I265">
        <v>88813654.209999993</v>
      </c>
      <c r="J265">
        <v>42130083.609999999</v>
      </c>
      <c r="K265">
        <v>17652618.170000002</v>
      </c>
      <c r="L265">
        <v>2935556.8650000002</v>
      </c>
      <c r="M265">
        <v>2054431.4029999999</v>
      </c>
      <c r="N265">
        <v>3094457.0559999999</v>
      </c>
      <c r="O265">
        <v>2657477.94</v>
      </c>
      <c r="P265">
        <v>1223314.7120000001</v>
      </c>
    </row>
    <row r="266" spans="1:16" x14ac:dyDescent="0.2">
      <c r="A266" s="37">
        <v>2016</v>
      </c>
      <c r="B266">
        <v>10.01</v>
      </c>
      <c r="C266">
        <v>497356.55</v>
      </c>
      <c r="D266">
        <v>90562431.010000005</v>
      </c>
      <c r="E266">
        <v>1390295060</v>
      </c>
      <c r="F266">
        <v>159881714</v>
      </c>
      <c r="G266">
        <v>174494884</v>
      </c>
      <c r="H266">
        <v>174787363.80000001</v>
      </c>
      <c r="I266">
        <v>224671818</v>
      </c>
      <c r="J266">
        <v>34077950.469999999</v>
      </c>
      <c r="K266">
        <v>13820848.689999999</v>
      </c>
      <c r="L266">
        <v>7996324.7050000001</v>
      </c>
      <c r="M266">
        <v>485203.34</v>
      </c>
      <c r="N266">
        <v>1177049.9310000001</v>
      </c>
      <c r="O266">
        <v>669340.65859999997</v>
      </c>
      <c r="P266">
        <v>995900.79200000002</v>
      </c>
    </row>
    <row r="267" spans="1:16" x14ac:dyDescent="0.2">
      <c r="A267" s="37">
        <v>2017</v>
      </c>
      <c r="B267">
        <v>10.01</v>
      </c>
      <c r="C267">
        <v>2176131.844</v>
      </c>
      <c r="D267">
        <v>28170152.850000001</v>
      </c>
      <c r="E267">
        <v>549073706</v>
      </c>
      <c r="F267">
        <v>899023001</v>
      </c>
      <c r="G267">
        <v>215492501</v>
      </c>
      <c r="H267">
        <v>147563028.90000001</v>
      </c>
      <c r="I267">
        <v>122129148.2</v>
      </c>
      <c r="J267">
        <v>97250345.909999996</v>
      </c>
      <c r="K267">
        <v>21756105.02</v>
      </c>
      <c r="L267">
        <v>7215204.8289999999</v>
      </c>
      <c r="M267">
        <v>5605538.0329999998</v>
      </c>
      <c r="N267">
        <v>493501.16100000002</v>
      </c>
      <c r="O267">
        <v>244975.31289999999</v>
      </c>
      <c r="P267">
        <v>126429.88069999999</v>
      </c>
    </row>
    <row r="268" spans="1:16" x14ac:dyDescent="0.2">
      <c r="A268" s="37">
        <v>2018</v>
      </c>
      <c r="B268">
        <v>10.01</v>
      </c>
      <c r="C268">
        <v>1297287.3089999999</v>
      </c>
      <c r="D268">
        <v>13801701.369999999</v>
      </c>
      <c r="E268">
        <v>115017723.7</v>
      </c>
      <c r="F268">
        <v>1216103650</v>
      </c>
      <c r="G268">
        <v>506565156</v>
      </c>
      <c r="H268">
        <v>104803470.5</v>
      </c>
      <c r="I268">
        <v>81982744.709999993</v>
      </c>
      <c r="J268">
        <v>60624830.609999999</v>
      </c>
      <c r="K268">
        <v>25893995.109999999</v>
      </c>
      <c r="L268">
        <v>4271129.1440000003</v>
      </c>
      <c r="M268">
        <v>1098497.814</v>
      </c>
      <c r="N268">
        <v>362962.71360000002</v>
      </c>
      <c r="O268">
        <v>636166.82200000004</v>
      </c>
      <c r="P268">
        <v>496008.41700000002</v>
      </c>
    </row>
    <row r="269" spans="1:16" x14ac:dyDescent="0.2">
      <c r="A269" s="37">
        <v>2019</v>
      </c>
      <c r="B269">
        <v>695024.07700000005</v>
      </c>
      <c r="C269">
        <v>10900812.699999999</v>
      </c>
      <c r="D269">
        <v>12311938.07</v>
      </c>
      <c r="E269">
        <v>18362616.07</v>
      </c>
      <c r="F269">
        <v>157598985</v>
      </c>
      <c r="G269">
        <v>916763100</v>
      </c>
      <c r="H269">
        <v>422457032</v>
      </c>
      <c r="I269">
        <v>93181390.310000002</v>
      </c>
      <c r="J269">
        <v>52142666.210000001</v>
      </c>
      <c r="K269">
        <v>52991770.710000001</v>
      </c>
      <c r="L269">
        <v>10059287.880000001</v>
      </c>
      <c r="M269">
        <v>2908105.3169999998</v>
      </c>
      <c r="N269">
        <v>842910.49600000004</v>
      </c>
      <c r="O269">
        <v>10.01</v>
      </c>
      <c r="P269">
        <v>10.01</v>
      </c>
    </row>
    <row r="270" spans="1:16" x14ac:dyDescent="0.2">
      <c r="A270" s="37">
        <v>2020</v>
      </c>
      <c r="B270">
        <v>3476126.51</v>
      </c>
      <c r="C270">
        <v>247726422</v>
      </c>
      <c r="D270">
        <v>85517629.109999999</v>
      </c>
      <c r="E270">
        <v>101053199.09999999</v>
      </c>
      <c r="F270">
        <v>135160730.69999999</v>
      </c>
      <c r="G270">
        <v>551129278</v>
      </c>
      <c r="H270">
        <v>597816179</v>
      </c>
      <c r="I270">
        <v>123958081.90000001</v>
      </c>
      <c r="J270">
        <v>52764647.310000002</v>
      </c>
      <c r="K270">
        <v>38639087.409999996</v>
      </c>
      <c r="L270">
        <v>27260537.210000001</v>
      </c>
      <c r="M270">
        <v>6787570.8090000004</v>
      </c>
      <c r="N270">
        <v>1787349.26</v>
      </c>
      <c r="O270">
        <v>1134716.9380000001</v>
      </c>
      <c r="P270">
        <v>10.01</v>
      </c>
    </row>
    <row r="271" spans="1:16" x14ac:dyDescent="0.2">
      <c r="A271" s="37">
        <v>2021</v>
      </c>
      <c r="B271">
        <v>10.01</v>
      </c>
      <c r="C271">
        <v>111454376.40000001</v>
      </c>
      <c r="D271">
        <v>1296951490</v>
      </c>
      <c r="E271">
        <v>144173547.69999999</v>
      </c>
      <c r="F271">
        <v>110067421.90000001</v>
      </c>
      <c r="G271">
        <v>107224523.8</v>
      </c>
      <c r="H271">
        <v>309628227</v>
      </c>
      <c r="I271">
        <v>296046660</v>
      </c>
      <c r="J271">
        <v>72136752.109999999</v>
      </c>
      <c r="K271">
        <v>26546165.710000001</v>
      </c>
      <c r="L271">
        <v>16152710.33</v>
      </c>
      <c r="M271">
        <v>8510700.1799999997</v>
      </c>
      <c r="N271">
        <v>2052297.4350000001</v>
      </c>
      <c r="O271">
        <v>10.01</v>
      </c>
      <c r="P271">
        <v>420558.35700000002</v>
      </c>
    </row>
    <row r="272" spans="1:16" x14ac:dyDescent="0.2">
      <c r="A272" s="37">
        <v>2022</v>
      </c>
      <c r="B272">
        <v>10.01</v>
      </c>
      <c r="C272">
        <v>62263751.710000001</v>
      </c>
      <c r="D272">
        <v>174468598</v>
      </c>
      <c r="E272">
        <v>1035401758</v>
      </c>
      <c r="F272">
        <v>183671217</v>
      </c>
      <c r="G272">
        <v>70439397.709999993</v>
      </c>
      <c r="H272">
        <v>79535291.209999993</v>
      </c>
      <c r="I272">
        <v>141917897</v>
      </c>
      <c r="J272">
        <v>81128750.609999999</v>
      </c>
      <c r="K272">
        <v>16332880.01</v>
      </c>
      <c r="L272">
        <v>11268962.82</v>
      </c>
      <c r="M272">
        <v>4077990.375</v>
      </c>
      <c r="N272">
        <v>5964372.7910000002</v>
      </c>
      <c r="O272">
        <v>1022329.703</v>
      </c>
      <c r="P272">
        <v>10.01</v>
      </c>
    </row>
    <row r="273" spans="1:44" x14ac:dyDescent="0.2">
      <c r="A273" s="37">
        <v>2023</v>
      </c>
      <c r="B273">
        <v>0</v>
      </c>
      <c r="C273">
        <v>25232198.77</v>
      </c>
      <c r="D273">
        <v>86614446.099999994</v>
      </c>
      <c r="E273">
        <v>263022799</v>
      </c>
      <c r="F273">
        <v>1473087580</v>
      </c>
      <c r="G273">
        <v>227246260</v>
      </c>
      <c r="H273">
        <v>29365171.41</v>
      </c>
      <c r="I273">
        <v>45350426.100000001</v>
      </c>
      <c r="J273">
        <v>63553232.299999997</v>
      </c>
      <c r="K273">
        <v>42627308.700000003</v>
      </c>
      <c r="L273">
        <v>18819884.960000001</v>
      </c>
      <c r="M273">
        <v>5427190.2690000003</v>
      </c>
      <c r="N273">
        <v>8562165.3169999998</v>
      </c>
      <c r="O273">
        <v>2600553.2519999999</v>
      </c>
      <c r="P273">
        <v>360089.97399999999</v>
      </c>
    </row>
    <row r="274" spans="1:44" x14ac:dyDescent="0.2">
      <c r="A274" s="37">
        <v>2024</v>
      </c>
      <c r="B274" s="2"/>
      <c r="C274" s="2"/>
      <c r="D274" s="2"/>
      <c r="E274" s="2"/>
      <c r="F274" s="2"/>
      <c r="G274" s="2"/>
      <c r="H274" s="2"/>
      <c r="I274" s="2"/>
      <c r="J274" s="2"/>
      <c r="K274" s="2"/>
      <c r="L274" s="2"/>
      <c r="M274" s="2"/>
      <c r="N274" s="2"/>
      <c r="O274" s="2"/>
      <c r="P274" s="2"/>
    </row>
    <row r="275" spans="1:44" x14ac:dyDescent="0.2">
      <c r="A275" s="37">
        <v>2025</v>
      </c>
      <c r="B275" t="s">
        <v>40</v>
      </c>
    </row>
    <row r="276" spans="1:44" x14ac:dyDescent="0.2">
      <c r="B276">
        <v>3871.0459390000001</v>
      </c>
      <c r="C276">
        <v>8918.5511019999994</v>
      </c>
      <c r="D276">
        <v>6575.0151669999996</v>
      </c>
      <c r="E276">
        <v>7504.611645</v>
      </c>
      <c r="F276">
        <v>7235.8775230000001</v>
      </c>
      <c r="G276">
        <v>7576.0389709999999</v>
      </c>
      <c r="H276">
        <v>11799.52504</v>
      </c>
      <c r="I276">
        <v>9942.6019049999995</v>
      </c>
      <c r="J276">
        <v>11581.25353</v>
      </c>
      <c r="K276">
        <v>7129.5871820000002</v>
      </c>
      <c r="L276">
        <v>6643.4370959999997</v>
      </c>
      <c r="M276">
        <v>7849.2699270000003</v>
      </c>
      <c r="N276">
        <v>7094.434902</v>
      </c>
      <c r="O276">
        <v>6597.1877519999998</v>
      </c>
      <c r="P276">
        <v>3954.2552799999999</v>
      </c>
      <c r="Q276">
        <v>4371.5177819999999</v>
      </c>
      <c r="R276">
        <v>3417.6068089999999</v>
      </c>
      <c r="S276">
        <v>5613.6441930000001</v>
      </c>
      <c r="T276">
        <v>7246.347745</v>
      </c>
      <c r="U276">
        <v>6066.5698199999997</v>
      </c>
      <c r="V276">
        <v>6740.6031629999998</v>
      </c>
      <c r="W276">
        <v>11239.16293</v>
      </c>
      <c r="X276">
        <v>5499.9549989999996</v>
      </c>
      <c r="Y276">
        <v>6972.3812310000003</v>
      </c>
      <c r="Z276">
        <v>4190.3456269999997</v>
      </c>
      <c r="AA276">
        <v>6777.4522699999998</v>
      </c>
      <c r="AB276">
        <v>4293.2609899999998</v>
      </c>
      <c r="AC276">
        <v>2820.2155029999999</v>
      </c>
      <c r="AD276">
        <v>5271.6197169999996</v>
      </c>
      <c r="AE276">
        <v>4505.989345</v>
      </c>
      <c r="AF276">
        <v>5144.3933059999999</v>
      </c>
      <c r="AG276">
        <v>6712.5897660000001</v>
      </c>
      <c r="AH276">
        <v>11616.5106</v>
      </c>
      <c r="AI276">
        <v>11215.70685</v>
      </c>
      <c r="AJ276">
        <v>8274.5087000000003</v>
      </c>
      <c r="AK276">
        <v>8855.0421580000002</v>
      </c>
      <c r="AL276">
        <v>4266.8753660000002</v>
      </c>
      <c r="AM276">
        <v>9257.4193520000008</v>
      </c>
      <c r="AN276">
        <v>4889.1625469999999</v>
      </c>
      <c r="AO276">
        <v>6531.4320889999999</v>
      </c>
      <c r="AP276">
        <v>4945.3875310000003</v>
      </c>
      <c r="AQ276">
        <v>9407.4635710000002</v>
      </c>
      <c r="AR276" s="2"/>
    </row>
    <row r="277" spans="1:44" x14ac:dyDescent="0.2">
      <c r="B277" t="s">
        <v>41</v>
      </c>
    </row>
    <row r="278" spans="1:44" x14ac:dyDescent="0.2">
      <c r="B278">
        <v>281.13569210000003</v>
      </c>
      <c r="C278">
        <v>574.06930350000005</v>
      </c>
      <c r="D278">
        <v>438.60937469999999</v>
      </c>
      <c r="E278">
        <v>557.25301330000002</v>
      </c>
      <c r="F278">
        <v>526.32568679999997</v>
      </c>
      <c r="G278">
        <v>594.56968830000005</v>
      </c>
      <c r="H278">
        <v>965.78152769999997</v>
      </c>
      <c r="I278">
        <v>696.62167780000004</v>
      </c>
      <c r="J278">
        <v>990.0872961</v>
      </c>
      <c r="K278">
        <v>486.41921810000002</v>
      </c>
      <c r="L278">
        <v>458.54205830000001</v>
      </c>
      <c r="M278">
        <v>499.25335669999998</v>
      </c>
      <c r="N278">
        <v>464.27843180000002</v>
      </c>
      <c r="O278">
        <v>546.7804003</v>
      </c>
      <c r="P278">
        <v>242.12354640000001</v>
      </c>
      <c r="Q278">
        <v>275.2375045</v>
      </c>
      <c r="R278">
        <v>209.0911189</v>
      </c>
      <c r="S278">
        <v>401.89762359999997</v>
      </c>
      <c r="T278">
        <v>511.59845639999998</v>
      </c>
      <c r="U278">
        <v>398.99012049999999</v>
      </c>
      <c r="V278">
        <v>392.63135160000002</v>
      </c>
      <c r="W278">
        <v>769.00304640000002</v>
      </c>
      <c r="X278">
        <v>347.54762240000002</v>
      </c>
      <c r="Y278">
        <v>464.20517080000002</v>
      </c>
      <c r="Z278">
        <v>271.5997729</v>
      </c>
      <c r="AA278">
        <v>542.32208539999999</v>
      </c>
      <c r="AB278">
        <v>335.08472410000002</v>
      </c>
      <c r="AC278">
        <v>227.81612200000001</v>
      </c>
      <c r="AD278">
        <v>412.13555769999999</v>
      </c>
      <c r="AE278">
        <v>320.49609959999998</v>
      </c>
      <c r="AF278">
        <v>332.15342989999999</v>
      </c>
      <c r="AG278">
        <v>434.54029430000003</v>
      </c>
      <c r="AH278">
        <v>651.81257489999996</v>
      </c>
      <c r="AI278">
        <v>670.47600030000001</v>
      </c>
      <c r="AJ278">
        <v>575.77145989999997</v>
      </c>
      <c r="AK278">
        <v>451.64322670000001</v>
      </c>
      <c r="AL278">
        <v>289.69253459999999</v>
      </c>
      <c r="AM278">
        <v>464.46042060000002</v>
      </c>
      <c r="AN278">
        <v>262.57897120000001</v>
      </c>
      <c r="AO278">
        <v>383.79352060000002</v>
      </c>
      <c r="AP278">
        <v>282.47037769999997</v>
      </c>
      <c r="AQ278">
        <v>723.62849979999999</v>
      </c>
      <c r="AR278" s="2"/>
    </row>
    <row r="279" spans="1:44" x14ac:dyDescent="0.2">
      <c r="B279" t="s">
        <v>42</v>
      </c>
    </row>
    <row r="280" spans="1:44" x14ac:dyDescent="0.2">
      <c r="A280" s="3">
        <v>1982</v>
      </c>
      <c r="B280">
        <v>2.6205768000000001E-2</v>
      </c>
      <c r="C280">
        <v>7.7368661000000005E-2</v>
      </c>
      <c r="D280">
        <v>0.17984087800000001</v>
      </c>
      <c r="E280">
        <v>0.366963227</v>
      </c>
      <c r="F280">
        <v>0.54007476799999998</v>
      </c>
      <c r="G280">
        <v>0.89063094300000001</v>
      </c>
      <c r="H280">
        <v>1.203765355</v>
      </c>
      <c r="I280">
        <v>1.364782969</v>
      </c>
      <c r="J280">
        <v>1.5027682449999999</v>
      </c>
      <c r="K280">
        <v>1.6698665109999999</v>
      </c>
      <c r="L280">
        <v>1.820886754</v>
      </c>
      <c r="M280">
        <v>1.8721143229999999</v>
      </c>
      <c r="N280">
        <v>2.151916398</v>
      </c>
      <c r="O280">
        <v>1.824851478</v>
      </c>
      <c r="P280">
        <v>2.662642918</v>
      </c>
    </row>
    <row r="281" spans="1:44" x14ac:dyDescent="0.2">
      <c r="A281" s="3">
        <f>A280+1</f>
        <v>1983</v>
      </c>
      <c r="B281">
        <v>1.6466601000000001E-2</v>
      </c>
      <c r="C281">
        <v>0.104628044</v>
      </c>
      <c r="D281">
        <v>0.18543451699999999</v>
      </c>
      <c r="E281">
        <v>0.36118306700000002</v>
      </c>
      <c r="F281">
        <v>0.52095705999999997</v>
      </c>
      <c r="G281">
        <v>0.715944162</v>
      </c>
      <c r="H281">
        <v>1.020339407</v>
      </c>
      <c r="I281">
        <v>1.3065891869999999</v>
      </c>
      <c r="J281">
        <v>1.5105197400000001</v>
      </c>
      <c r="K281">
        <v>1.5784693489999999</v>
      </c>
      <c r="L281">
        <v>1.6312528340000001</v>
      </c>
      <c r="M281">
        <v>1.5707958950000001</v>
      </c>
      <c r="N281">
        <v>1.812921652</v>
      </c>
      <c r="O281">
        <v>1.5555354690000001</v>
      </c>
      <c r="P281">
        <v>1.986161761</v>
      </c>
    </row>
    <row r="282" spans="1:44" x14ac:dyDescent="0.2">
      <c r="A282" s="3">
        <f t="shared" ref="A282:A317" si="2">A281+1</f>
        <v>1984</v>
      </c>
      <c r="B282">
        <v>1.6306696999999998E-2</v>
      </c>
      <c r="C282">
        <v>6.7560013000000002E-2</v>
      </c>
      <c r="D282">
        <v>0.19641513399999999</v>
      </c>
      <c r="E282">
        <v>0.30668409699999999</v>
      </c>
      <c r="F282">
        <v>0.48488267099999999</v>
      </c>
      <c r="G282">
        <v>0.59752616400000003</v>
      </c>
      <c r="H282">
        <v>0.93047187200000003</v>
      </c>
      <c r="I282">
        <v>1.3781207600000001</v>
      </c>
      <c r="J282">
        <v>1.5135625610000001</v>
      </c>
      <c r="K282">
        <v>1.7310353590000001</v>
      </c>
      <c r="L282">
        <v>1.8698850810000001</v>
      </c>
      <c r="M282">
        <v>1.85181423</v>
      </c>
      <c r="N282">
        <v>1.9701181720000001</v>
      </c>
      <c r="O282">
        <v>1.7446386119999999</v>
      </c>
      <c r="P282">
        <v>2.1247449719999998</v>
      </c>
    </row>
    <row r="283" spans="1:44" x14ac:dyDescent="0.2">
      <c r="A283" s="3">
        <f t="shared" si="2"/>
        <v>1985</v>
      </c>
      <c r="B283">
        <v>1.7032291000000001E-2</v>
      </c>
      <c r="C283">
        <v>8.2113336999999995E-2</v>
      </c>
      <c r="D283">
        <v>0.21258432199999999</v>
      </c>
      <c r="E283">
        <v>0.33632737499999998</v>
      </c>
      <c r="F283">
        <v>0.47324341399999997</v>
      </c>
      <c r="G283">
        <v>0.68096711200000004</v>
      </c>
      <c r="H283">
        <v>0.89133258199999998</v>
      </c>
      <c r="I283">
        <v>1.23159788</v>
      </c>
      <c r="J283">
        <v>1.649457554</v>
      </c>
      <c r="K283">
        <v>1.6080990719999999</v>
      </c>
      <c r="L283">
        <v>1.721454654</v>
      </c>
      <c r="M283">
        <v>2.0162687799999999</v>
      </c>
      <c r="N283">
        <v>2.1048367689999998</v>
      </c>
      <c r="O283">
        <v>1.8017955800000001</v>
      </c>
      <c r="P283">
        <v>2.4895722830000002</v>
      </c>
    </row>
    <row r="284" spans="1:44" x14ac:dyDescent="0.2">
      <c r="A284" s="3">
        <f t="shared" si="2"/>
        <v>1986</v>
      </c>
      <c r="B284">
        <v>1.2679101E-2</v>
      </c>
      <c r="C284">
        <v>6.2722584999999997E-2</v>
      </c>
      <c r="D284">
        <v>0.145053921</v>
      </c>
      <c r="E284">
        <v>0.32711326400000001</v>
      </c>
      <c r="F284">
        <v>0.41958097799999999</v>
      </c>
      <c r="G284">
        <v>0.61127763899999998</v>
      </c>
      <c r="H284">
        <v>0.819130464</v>
      </c>
      <c r="I284">
        <v>1.029566921</v>
      </c>
      <c r="J284">
        <v>1.3097433489999999</v>
      </c>
      <c r="K284">
        <v>1.6253411019999999</v>
      </c>
      <c r="L284">
        <v>1.7353881330000001</v>
      </c>
      <c r="M284">
        <v>1.939612087</v>
      </c>
      <c r="N284">
        <v>2.2206107980000001</v>
      </c>
      <c r="O284">
        <v>2.2816760779999998</v>
      </c>
      <c r="P284">
        <v>2.431324563</v>
      </c>
    </row>
    <row r="285" spans="1:44" x14ac:dyDescent="0.2">
      <c r="A285" s="3">
        <f t="shared" si="2"/>
        <v>1987</v>
      </c>
      <c r="B285">
        <v>2.5633854000000001E-2</v>
      </c>
      <c r="C285">
        <v>0.10646168</v>
      </c>
      <c r="D285">
        <v>0.24569975999999999</v>
      </c>
      <c r="E285">
        <v>0.29384310200000002</v>
      </c>
      <c r="F285">
        <v>0.426304919</v>
      </c>
      <c r="G285">
        <v>0.52330365499999998</v>
      </c>
      <c r="H285">
        <v>0.69169735600000004</v>
      </c>
      <c r="I285">
        <v>0.82563259600000005</v>
      </c>
      <c r="J285">
        <v>0.97431406899999995</v>
      </c>
      <c r="K285">
        <v>1.1805090090000001</v>
      </c>
      <c r="L285">
        <v>1.4936963940000001</v>
      </c>
      <c r="M285">
        <v>1.516868573</v>
      </c>
      <c r="N285">
        <v>1.9276494799999999</v>
      </c>
      <c r="O285">
        <v>2.2288836879999998</v>
      </c>
      <c r="P285">
        <v>2.3730768439999999</v>
      </c>
    </row>
    <row r="286" spans="1:44" x14ac:dyDescent="0.2">
      <c r="A286" s="3">
        <f t="shared" si="2"/>
        <v>1988</v>
      </c>
      <c r="B286">
        <v>1.6132698000000001E-2</v>
      </c>
      <c r="C286">
        <v>9.5171864999999994E-2</v>
      </c>
      <c r="D286">
        <v>0.274750983</v>
      </c>
      <c r="E286">
        <v>0.32317442200000002</v>
      </c>
      <c r="F286">
        <v>0.42643288600000001</v>
      </c>
      <c r="G286">
        <v>0.50128528299999997</v>
      </c>
      <c r="H286">
        <v>0.66056901099999998</v>
      </c>
      <c r="I286">
        <v>0.87735348499999999</v>
      </c>
      <c r="J286">
        <v>0.89016780200000001</v>
      </c>
      <c r="K286">
        <v>1.107946833</v>
      </c>
      <c r="L286">
        <v>1.3440925930000001</v>
      </c>
      <c r="M286">
        <v>1.38421145</v>
      </c>
      <c r="N286">
        <v>1.9046604730000001</v>
      </c>
      <c r="O286">
        <v>1.160382759</v>
      </c>
      <c r="P286">
        <v>1.7444946889999999</v>
      </c>
    </row>
    <row r="287" spans="1:44" x14ac:dyDescent="0.2">
      <c r="A287" s="3">
        <f t="shared" si="2"/>
        <v>1989</v>
      </c>
      <c r="B287">
        <v>1.8833545E-2</v>
      </c>
      <c r="C287">
        <v>8.9662270000000002E-2</v>
      </c>
      <c r="D287">
        <v>0.16816857099999999</v>
      </c>
      <c r="E287">
        <v>0.30527029700000002</v>
      </c>
      <c r="F287">
        <v>0.39071365200000002</v>
      </c>
      <c r="G287">
        <v>0.505015302</v>
      </c>
      <c r="H287">
        <v>0.71004223799999999</v>
      </c>
      <c r="I287">
        <v>0.80356768300000003</v>
      </c>
      <c r="J287">
        <v>1.0999787700000001</v>
      </c>
      <c r="K287">
        <v>1.088726796</v>
      </c>
      <c r="L287">
        <v>1.2255463900000001</v>
      </c>
      <c r="M287">
        <v>1.3119255270000001</v>
      </c>
      <c r="N287">
        <v>1.289961422</v>
      </c>
      <c r="O287">
        <v>1.2903493770000001</v>
      </c>
      <c r="P287">
        <v>1.480734835</v>
      </c>
    </row>
    <row r="288" spans="1:44" x14ac:dyDescent="0.2">
      <c r="A288" s="3">
        <f t="shared" si="2"/>
        <v>1990</v>
      </c>
      <c r="B288">
        <v>1.4413264E-2</v>
      </c>
      <c r="C288">
        <v>0.171056386</v>
      </c>
      <c r="D288">
        <v>0.18121031000000001</v>
      </c>
      <c r="E288">
        <v>0.35206067200000002</v>
      </c>
      <c r="F288">
        <v>0.43324722700000001</v>
      </c>
      <c r="G288">
        <v>0.54502220199999996</v>
      </c>
      <c r="H288">
        <v>0.62258190400000002</v>
      </c>
      <c r="I288">
        <v>0.76155810599999996</v>
      </c>
      <c r="J288">
        <v>0.89588118400000005</v>
      </c>
      <c r="K288">
        <v>1.1052711289999999</v>
      </c>
      <c r="L288">
        <v>1.1424813840000001</v>
      </c>
      <c r="M288">
        <v>1.3111779770000001</v>
      </c>
      <c r="N288">
        <v>1.375501581</v>
      </c>
      <c r="O288">
        <v>1.4868107070000001</v>
      </c>
      <c r="P288">
        <v>1.777956954</v>
      </c>
    </row>
    <row r="289" spans="1:16" x14ac:dyDescent="0.2">
      <c r="A289" s="3">
        <f t="shared" si="2"/>
        <v>1991</v>
      </c>
      <c r="B289">
        <v>2.0605993E-2</v>
      </c>
      <c r="C289">
        <v>0.13638903599999999</v>
      </c>
      <c r="D289">
        <v>0.19937223600000001</v>
      </c>
      <c r="E289">
        <v>0.35376234899999998</v>
      </c>
      <c r="F289">
        <v>0.56350198600000001</v>
      </c>
      <c r="G289">
        <v>0.63794209999999996</v>
      </c>
      <c r="H289">
        <v>0.72004131299999996</v>
      </c>
      <c r="I289">
        <v>0.81701103500000005</v>
      </c>
      <c r="J289">
        <v>0.98209054100000004</v>
      </c>
      <c r="K289">
        <v>1.080051063</v>
      </c>
      <c r="L289">
        <v>1.32773491</v>
      </c>
      <c r="M289">
        <v>1.4135750709999999</v>
      </c>
      <c r="N289">
        <v>1.5711975789999999</v>
      </c>
      <c r="O289">
        <v>1.8148823270000001</v>
      </c>
      <c r="P289">
        <v>1.97972021</v>
      </c>
    </row>
    <row r="290" spans="1:16" x14ac:dyDescent="0.2">
      <c r="A290" s="3">
        <f t="shared" si="2"/>
        <v>1992</v>
      </c>
      <c r="B290">
        <v>1.6772385000000001E-2</v>
      </c>
      <c r="C290">
        <v>0.12973220799999999</v>
      </c>
      <c r="D290">
        <v>0.29996991499999998</v>
      </c>
      <c r="E290">
        <v>0.40907178799999999</v>
      </c>
      <c r="F290">
        <v>0.50467968600000002</v>
      </c>
      <c r="G290">
        <v>0.58947542600000002</v>
      </c>
      <c r="H290">
        <v>0.77752687399999998</v>
      </c>
      <c r="I290">
        <v>0.86999925300000003</v>
      </c>
      <c r="J290">
        <v>0.971669593</v>
      </c>
      <c r="K290">
        <v>1.0802559899999999</v>
      </c>
      <c r="L290">
        <v>1.225985103</v>
      </c>
      <c r="M290">
        <v>1.471686512</v>
      </c>
      <c r="N290">
        <v>1.6762203309999999</v>
      </c>
      <c r="O290">
        <v>1.730285869</v>
      </c>
      <c r="P290">
        <v>1.6934578149999999</v>
      </c>
    </row>
    <row r="291" spans="1:16" x14ac:dyDescent="0.2">
      <c r="A291" s="3">
        <f t="shared" si="2"/>
        <v>1993</v>
      </c>
      <c r="B291">
        <v>1.2209558000000001E-2</v>
      </c>
      <c r="C291">
        <v>0.10251025699999999</v>
      </c>
      <c r="D291">
        <v>0.28949641199999998</v>
      </c>
      <c r="E291">
        <v>0.46988783000000001</v>
      </c>
      <c r="F291">
        <v>0.52522104199999997</v>
      </c>
      <c r="G291">
        <v>0.64543159000000005</v>
      </c>
      <c r="H291">
        <v>0.739190609</v>
      </c>
      <c r="I291">
        <v>0.86636090099999996</v>
      </c>
      <c r="J291">
        <v>1.0621985549999999</v>
      </c>
      <c r="K291">
        <v>1.0990736059999999</v>
      </c>
      <c r="L291">
        <v>1.2925776229999999</v>
      </c>
      <c r="M291">
        <v>1.407762722</v>
      </c>
      <c r="N291">
        <v>1.607572934</v>
      </c>
      <c r="O291">
        <v>1.689083076</v>
      </c>
      <c r="P291">
        <v>1.810988702</v>
      </c>
    </row>
    <row r="292" spans="1:16" x14ac:dyDescent="0.2">
      <c r="A292" s="3">
        <f t="shared" si="2"/>
        <v>1994</v>
      </c>
      <c r="B292">
        <v>1.7732800999999999E-2</v>
      </c>
      <c r="C292">
        <v>8.9098397999999995E-2</v>
      </c>
      <c r="D292">
        <v>0.227857636</v>
      </c>
      <c r="E292">
        <v>0.414425355</v>
      </c>
      <c r="F292">
        <v>0.57280505500000001</v>
      </c>
      <c r="G292">
        <v>0.70886323799999995</v>
      </c>
      <c r="H292">
        <v>0.74684259900000005</v>
      </c>
      <c r="I292">
        <v>1.086522193</v>
      </c>
      <c r="J292">
        <v>1.303317839</v>
      </c>
      <c r="K292">
        <v>1.2357686029999999</v>
      </c>
      <c r="L292">
        <v>1.3463448730000001</v>
      </c>
      <c r="M292">
        <v>1.440091985</v>
      </c>
      <c r="N292">
        <v>1.4919087209999999</v>
      </c>
      <c r="O292">
        <v>1.670797444</v>
      </c>
      <c r="P292">
        <v>1.7429203710000001</v>
      </c>
    </row>
    <row r="293" spans="1:16" x14ac:dyDescent="0.2">
      <c r="A293" s="3">
        <f t="shared" si="2"/>
        <v>1995</v>
      </c>
      <c r="B293">
        <v>1.7411934E-2</v>
      </c>
      <c r="C293">
        <v>6.3233781000000003E-2</v>
      </c>
      <c r="D293">
        <v>0.145335303</v>
      </c>
      <c r="E293">
        <v>0.33988341599999999</v>
      </c>
      <c r="F293">
        <v>0.48033315799999998</v>
      </c>
      <c r="G293">
        <v>0.656844078</v>
      </c>
      <c r="H293">
        <v>0.68022790499999997</v>
      </c>
      <c r="I293">
        <v>0.89685029500000002</v>
      </c>
      <c r="J293">
        <v>1.07491263</v>
      </c>
      <c r="K293">
        <v>1.3630232339999999</v>
      </c>
      <c r="L293">
        <v>1.307658838</v>
      </c>
      <c r="M293">
        <v>1.4014582069999999</v>
      </c>
      <c r="N293">
        <v>1.517432294</v>
      </c>
      <c r="O293">
        <v>1.5107963129999999</v>
      </c>
      <c r="P293">
        <v>1.765896538</v>
      </c>
    </row>
    <row r="294" spans="1:16" x14ac:dyDescent="0.2">
      <c r="A294" s="3">
        <f t="shared" si="2"/>
        <v>1996</v>
      </c>
      <c r="B294">
        <v>1.8715707000000002E-2</v>
      </c>
      <c r="C294">
        <v>8.0421812999999995E-2</v>
      </c>
      <c r="D294">
        <v>0.150870544</v>
      </c>
      <c r="E294">
        <v>0.29967250499999998</v>
      </c>
      <c r="F294">
        <v>0.50891044600000002</v>
      </c>
      <c r="G294">
        <v>0.63350346099999999</v>
      </c>
      <c r="H294">
        <v>0.780044815</v>
      </c>
      <c r="I294">
        <v>0.87126710600000001</v>
      </c>
      <c r="J294">
        <v>1.027445449</v>
      </c>
      <c r="K294">
        <v>1.166684923</v>
      </c>
      <c r="L294">
        <v>1.3867580319999999</v>
      </c>
      <c r="M294">
        <v>1.5029125800000001</v>
      </c>
      <c r="N294">
        <v>1.6643796479999999</v>
      </c>
      <c r="O294">
        <v>1.692425616</v>
      </c>
      <c r="P294">
        <v>1.821512169</v>
      </c>
    </row>
    <row r="295" spans="1:16" x14ac:dyDescent="0.2">
      <c r="A295" s="3">
        <f t="shared" si="2"/>
        <v>1997</v>
      </c>
      <c r="B295">
        <v>1.5412472E-2</v>
      </c>
      <c r="C295">
        <v>8.3028836999999994E-2</v>
      </c>
      <c r="D295">
        <v>0.20099866699999999</v>
      </c>
      <c r="E295">
        <v>0.30008810299999999</v>
      </c>
      <c r="F295">
        <v>0.36966813599999998</v>
      </c>
      <c r="G295">
        <v>0.60630300299999995</v>
      </c>
      <c r="H295">
        <v>0.74987458500000004</v>
      </c>
      <c r="I295">
        <v>0.86803150699999998</v>
      </c>
      <c r="J295">
        <v>1.144302454</v>
      </c>
      <c r="K295">
        <v>1.2174555060000001</v>
      </c>
      <c r="L295">
        <v>1.3488556389999999</v>
      </c>
      <c r="M295">
        <v>1.5321502520000001</v>
      </c>
      <c r="N295">
        <v>1.601512359</v>
      </c>
      <c r="O295">
        <v>1.621868138</v>
      </c>
      <c r="P295">
        <v>1.7962071690000001</v>
      </c>
    </row>
    <row r="296" spans="1:16" x14ac:dyDescent="0.2">
      <c r="A296" s="3">
        <f t="shared" si="2"/>
        <v>1998</v>
      </c>
      <c r="B296">
        <v>1.4883778E-2</v>
      </c>
      <c r="C296">
        <v>7.6274764999999994E-2</v>
      </c>
      <c r="D296">
        <v>0.19454517299999999</v>
      </c>
      <c r="E296">
        <v>0.31556663099999999</v>
      </c>
      <c r="F296">
        <v>0.457147474</v>
      </c>
      <c r="G296">
        <v>0.52549741299999997</v>
      </c>
      <c r="H296">
        <v>0.84027326599999996</v>
      </c>
      <c r="I296">
        <v>0.93873483199999996</v>
      </c>
      <c r="J296">
        <v>1.0123137310000001</v>
      </c>
      <c r="K296">
        <v>1.0868387749999999</v>
      </c>
      <c r="L296">
        <v>1.2627063629999999</v>
      </c>
      <c r="M296">
        <v>1.3974489029999999</v>
      </c>
      <c r="N296">
        <v>1.5188571879999999</v>
      </c>
      <c r="O296">
        <v>1.896615275</v>
      </c>
      <c r="P296">
        <v>1.908907667</v>
      </c>
    </row>
    <row r="297" spans="1:16" x14ac:dyDescent="0.2">
      <c r="A297" s="3">
        <f t="shared" si="2"/>
        <v>1999</v>
      </c>
      <c r="B297">
        <v>1.3097441E-2</v>
      </c>
      <c r="C297">
        <v>9.0593727999999998E-2</v>
      </c>
      <c r="D297">
        <v>0.2055833</v>
      </c>
      <c r="E297">
        <v>0.363419355</v>
      </c>
      <c r="F297">
        <v>0.419938596</v>
      </c>
      <c r="G297">
        <v>0.57229012099999998</v>
      </c>
      <c r="H297">
        <v>0.68535040599999997</v>
      </c>
      <c r="I297">
        <v>0.89972289599999999</v>
      </c>
      <c r="J297">
        <v>1.1090658840000001</v>
      </c>
      <c r="K297">
        <v>1.160822182</v>
      </c>
      <c r="L297">
        <v>1.3005268670000001</v>
      </c>
      <c r="M297">
        <v>1.3743154280000001</v>
      </c>
      <c r="N297">
        <v>1.822747616</v>
      </c>
      <c r="O297">
        <v>1.7903409379999999</v>
      </c>
      <c r="P297">
        <v>2.085790045</v>
      </c>
    </row>
    <row r="298" spans="1:16" x14ac:dyDescent="0.2">
      <c r="A298" s="3">
        <f t="shared" si="2"/>
        <v>2000</v>
      </c>
      <c r="B298">
        <v>1.1637049999999999E-2</v>
      </c>
      <c r="C298">
        <v>9.0123892999999997E-2</v>
      </c>
      <c r="D298">
        <v>0.23149510200000001</v>
      </c>
      <c r="E298">
        <v>0.43161498100000001</v>
      </c>
      <c r="F298">
        <v>0.471825153</v>
      </c>
      <c r="G298">
        <v>0.56671080299999999</v>
      </c>
      <c r="H298">
        <v>0.70561068699999996</v>
      </c>
      <c r="I298">
        <v>0.79994725899999997</v>
      </c>
      <c r="J298">
        <v>0.94677266299999996</v>
      </c>
      <c r="K298">
        <v>1.1941958260000001</v>
      </c>
      <c r="L298">
        <v>1.4278748020000001</v>
      </c>
      <c r="M298">
        <v>1.469941044</v>
      </c>
      <c r="N298">
        <v>1.714141073</v>
      </c>
      <c r="O298">
        <v>1.766919237</v>
      </c>
      <c r="P298">
        <v>2.01645918</v>
      </c>
    </row>
    <row r="299" spans="1:16" x14ac:dyDescent="0.2">
      <c r="A299" s="3">
        <f t="shared" si="2"/>
        <v>2001</v>
      </c>
      <c r="B299">
        <v>1.4819031999999999E-2</v>
      </c>
      <c r="C299">
        <v>7.5871477000000007E-2</v>
      </c>
      <c r="D299">
        <v>0.180162881</v>
      </c>
      <c r="E299">
        <v>0.37537758300000001</v>
      </c>
      <c r="F299">
        <v>0.54885313400000002</v>
      </c>
      <c r="G299">
        <v>0.69227147</v>
      </c>
      <c r="H299">
        <v>0.80503041799999997</v>
      </c>
      <c r="I299">
        <v>0.87329105399999996</v>
      </c>
      <c r="J299">
        <v>0.95773300699999997</v>
      </c>
      <c r="K299">
        <v>1.098838669</v>
      </c>
      <c r="L299">
        <v>1.323208763</v>
      </c>
      <c r="M299">
        <v>1.535166037</v>
      </c>
      <c r="N299">
        <v>1.614760881</v>
      </c>
      <c r="O299">
        <v>1.8138578030000001</v>
      </c>
      <c r="P299">
        <v>1.968966266</v>
      </c>
    </row>
    <row r="300" spans="1:16" x14ac:dyDescent="0.2">
      <c r="A300" s="3">
        <f t="shared" si="2"/>
        <v>2002</v>
      </c>
      <c r="B300">
        <v>1.2825707E-2</v>
      </c>
      <c r="C300">
        <v>9.3839211000000006E-2</v>
      </c>
      <c r="D300">
        <v>0.25933848300000001</v>
      </c>
      <c r="E300">
        <v>0.38673792400000001</v>
      </c>
      <c r="F300">
        <v>0.533319871</v>
      </c>
      <c r="G300">
        <v>0.67867990899999997</v>
      </c>
      <c r="H300">
        <v>0.74603496700000005</v>
      </c>
      <c r="I300">
        <v>0.920296742</v>
      </c>
      <c r="J300">
        <v>1.033386787</v>
      </c>
      <c r="K300">
        <v>1.12700847</v>
      </c>
      <c r="L300">
        <v>1.1459053850000001</v>
      </c>
      <c r="M300">
        <v>1.4447696699999999</v>
      </c>
      <c r="N300">
        <v>1.6310632970000001</v>
      </c>
      <c r="O300">
        <v>1.7958416660000001</v>
      </c>
      <c r="P300">
        <v>1.979239674</v>
      </c>
    </row>
    <row r="301" spans="1:16" x14ac:dyDescent="0.2">
      <c r="A301" s="3">
        <f t="shared" si="2"/>
        <v>2003</v>
      </c>
      <c r="B301">
        <v>2.1351905000000001E-2</v>
      </c>
      <c r="C301">
        <v>0.113824816</v>
      </c>
      <c r="D301">
        <v>0.28777276600000001</v>
      </c>
      <c r="E301">
        <v>0.45095919899999998</v>
      </c>
      <c r="F301">
        <v>0.64469695000000005</v>
      </c>
      <c r="G301">
        <v>0.75425557099999996</v>
      </c>
      <c r="H301">
        <v>0.83725454099999996</v>
      </c>
      <c r="I301">
        <v>0.96355008399999997</v>
      </c>
      <c r="J301">
        <v>1.03918135</v>
      </c>
      <c r="K301">
        <v>1.2105844429999999</v>
      </c>
      <c r="L301">
        <v>1.218794696</v>
      </c>
      <c r="M301">
        <v>1.4005882590000001</v>
      </c>
      <c r="N301">
        <v>1.591850599</v>
      </c>
      <c r="O301">
        <v>1.528388329</v>
      </c>
      <c r="P301">
        <v>1.8675553709999999</v>
      </c>
    </row>
    <row r="302" spans="1:16" x14ac:dyDescent="0.2">
      <c r="A302" s="3">
        <f t="shared" si="2"/>
        <v>2004</v>
      </c>
      <c r="B302">
        <v>1.9468921E-2</v>
      </c>
      <c r="C302">
        <v>0.10359455200000001</v>
      </c>
      <c r="D302">
        <v>0.28146998099999998</v>
      </c>
      <c r="E302">
        <v>0.44964078400000002</v>
      </c>
      <c r="F302">
        <v>0.59186642899999997</v>
      </c>
      <c r="G302">
        <v>0.72534732800000001</v>
      </c>
      <c r="H302">
        <v>0.84710008199999998</v>
      </c>
      <c r="I302">
        <v>0.96588868900000002</v>
      </c>
      <c r="J302">
        <v>1.0764126899999999</v>
      </c>
      <c r="K302">
        <v>1.146818728</v>
      </c>
      <c r="L302">
        <v>1.1919266580000001</v>
      </c>
      <c r="M302">
        <v>1.3048035929999999</v>
      </c>
      <c r="N302">
        <v>1.5072477099999999</v>
      </c>
      <c r="O302">
        <v>1.807074788</v>
      </c>
      <c r="P302">
        <v>1.8272597159999999</v>
      </c>
    </row>
    <row r="303" spans="1:16" x14ac:dyDescent="0.2">
      <c r="A303" s="3">
        <f t="shared" si="2"/>
        <v>2005</v>
      </c>
      <c r="B303">
        <v>2.0195642999999999E-2</v>
      </c>
      <c r="C303">
        <v>0.10749329000000001</v>
      </c>
      <c r="D303">
        <v>0.237541588</v>
      </c>
      <c r="E303">
        <v>0.41234004699999999</v>
      </c>
      <c r="F303">
        <v>0.55378121700000005</v>
      </c>
      <c r="G303">
        <v>0.66987158099999999</v>
      </c>
      <c r="H303">
        <v>0.84306256899999998</v>
      </c>
      <c r="I303">
        <v>0.95761748099999999</v>
      </c>
      <c r="J303">
        <v>1.018600798</v>
      </c>
      <c r="K303">
        <v>1.0822203370000001</v>
      </c>
      <c r="L303">
        <v>1.335743272</v>
      </c>
      <c r="M303">
        <v>1.280105152</v>
      </c>
      <c r="N303">
        <v>1.304511116</v>
      </c>
      <c r="O303">
        <v>1.482807896</v>
      </c>
      <c r="P303">
        <v>1.6038478869999999</v>
      </c>
    </row>
    <row r="304" spans="1:16" x14ac:dyDescent="0.2">
      <c r="A304" s="3">
        <f t="shared" si="2"/>
        <v>2006</v>
      </c>
      <c r="B304">
        <v>9.3771810000000001E-3</v>
      </c>
      <c r="C304">
        <v>9.9581011999999997E-2</v>
      </c>
      <c r="D304">
        <v>0.189480278</v>
      </c>
      <c r="E304">
        <v>0.43836275400000002</v>
      </c>
      <c r="F304">
        <v>0.61177803500000005</v>
      </c>
      <c r="G304">
        <v>0.68941212200000002</v>
      </c>
      <c r="H304">
        <v>0.82408302099999997</v>
      </c>
      <c r="I304">
        <v>0.90074247100000004</v>
      </c>
      <c r="J304">
        <v>1.0494041620000001</v>
      </c>
      <c r="K304">
        <v>1.17710191</v>
      </c>
      <c r="L304">
        <v>1.26028283</v>
      </c>
      <c r="M304">
        <v>1.3780132890000001</v>
      </c>
      <c r="N304">
        <v>1.448149645</v>
      </c>
      <c r="O304">
        <v>1.43614168</v>
      </c>
      <c r="P304">
        <v>1.509469248</v>
      </c>
    </row>
    <row r="305" spans="1:16" x14ac:dyDescent="0.2">
      <c r="A305" s="3">
        <f t="shared" si="2"/>
        <v>2007</v>
      </c>
      <c r="B305">
        <v>1.2513048000000001E-2</v>
      </c>
      <c r="C305">
        <v>0.102927192</v>
      </c>
      <c r="D305">
        <v>0.28960623499999999</v>
      </c>
      <c r="E305">
        <v>0.51464886399999998</v>
      </c>
      <c r="F305">
        <v>0.63919193799999996</v>
      </c>
      <c r="G305">
        <v>0.80280689400000005</v>
      </c>
      <c r="H305">
        <v>0.90530019900000003</v>
      </c>
      <c r="I305">
        <v>1.027573547</v>
      </c>
      <c r="J305">
        <v>1.1223742729999999</v>
      </c>
      <c r="K305">
        <v>1.391968933</v>
      </c>
      <c r="L305">
        <v>1.3485866019999999</v>
      </c>
      <c r="M305">
        <v>1.3854662929999999</v>
      </c>
      <c r="N305">
        <v>1.6990055399999999</v>
      </c>
      <c r="O305">
        <v>1.593753508</v>
      </c>
      <c r="P305">
        <v>1.658296709</v>
      </c>
    </row>
    <row r="306" spans="1:16" x14ac:dyDescent="0.2">
      <c r="A306" s="3">
        <f t="shared" si="2"/>
        <v>2008</v>
      </c>
      <c r="B306">
        <v>1.2618844000000001E-2</v>
      </c>
      <c r="C306">
        <v>6.0552624999999999E-2</v>
      </c>
      <c r="D306">
        <v>0.25535377999999997</v>
      </c>
      <c r="E306">
        <v>0.47399979599999997</v>
      </c>
      <c r="F306">
        <v>0.61003273300000005</v>
      </c>
      <c r="G306">
        <v>0.74239033300000001</v>
      </c>
      <c r="H306">
        <v>0.86404741699999998</v>
      </c>
      <c r="I306">
        <v>0.99537622800000003</v>
      </c>
      <c r="J306">
        <v>1.0655210829999999</v>
      </c>
      <c r="K306">
        <v>1.1997013110000001</v>
      </c>
      <c r="L306">
        <v>1.477860146</v>
      </c>
      <c r="M306">
        <v>1.431163634</v>
      </c>
      <c r="N306">
        <v>1.650207067</v>
      </c>
      <c r="O306">
        <v>1.792224196</v>
      </c>
      <c r="P306">
        <v>1.877247898</v>
      </c>
    </row>
    <row r="307" spans="1:16" x14ac:dyDescent="0.2">
      <c r="A307" s="3">
        <f t="shared" si="2"/>
        <v>2009</v>
      </c>
      <c r="B307">
        <v>1.1047579E-2</v>
      </c>
      <c r="C307">
        <v>6.6319806999999995E-2</v>
      </c>
      <c r="D307">
        <v>0.24992973299999999</v>
      </c>
      <c r="E307">
        <v>0.50350271800000002</v>
      </c>
      <c r="F307">
        <v>0.69671087499999995</v>
      </c>
      <c r="G307">
        <v>0.79058750899999997</v>
      </c>
      <c r="H307">
        <v>0.99411662899999997</v>
      </c>
      <c r="I307">
        <v>1.1071269539999999</v>
      </c>
      <c r="J307">
        <v>1.179341763</v>
      </c>
      <c r="K307">
        <v>1.4432048630000001</v>
      </c>
      <c r="L307">
        <v>1.524578427</v>
      </c>
      <c r="M307">
        <v>1.6869990859999999</v>
      </c>
      <c r="N307">
        <v>1.9426008340000001</v>
      </c>
      <c r="O307">
        <v>2.2266515189999998</v>
      </c>
      <c r="P307">
        <v>2.3172332280000001</v>
      </c>
    </row>
    <row r="308" spans="1:16" x14ac:dyDescent="0.2">
      <c r="A308" s="3">
        <f t="shared" si="2"/>
        <v>2010</v>
      </c>
      <c r="B308">
        <v>1.7537099E-2</v>
      </c>
      <c r="C308">
        <v>8.4274742999999999E-2</v>
      </c>
      <c r="D308">
        <v>0.26608799599999999</v>
      </c>
      <c r="E308">
        <v>0.51878576499999995</v>
      </c>
      <c r="F308">
        <v>0.69009796599999995</v>
      </c>
      <c r="G308">
        <v>0.88848652699999997</v>
      </c>
      <c r="H308">
        <v>1.0839435230000001</v>
      </c>
      <c r="I308">
        <v>1.181065609</v>
      </c>
      <c r="J308">
        <v>1.2236274540000001</v>
      </c>
      <c r="K308">
        <v>1.3106357200000001</v>
      </c>
      <c r="L308">
        <v>1.4314389789999999</v>
      </c>
      <c r="M308">
        <v>1.599465903</v>
      </c>
      <c r="N308">
        <v>1.8183167929999999</v>
      </c>
      <c r="O308">
        <v>2.1394781009999999</v>
      </c>
      <c r="P308">
        <v>2.4438840669999999</v>
      </c>
    </row>
    <row r="309" spans="1:16" x14ac:dyDescent="0.2">
      <c r="A309" s="3">
        <f t="shared" si="2"/>
        <v>2011</v>
      </c>
      <c r="B309">
        <v>1.4907673E-2</v>
      </c>
      <c r="C309">
        <v>8.2344510999999995E-2</v>
      </c>
      <c r="D309">
        <v>0.22974241100000001</v>
      </c>
      <c r="E309">
        <v>0.51185188000000004</v>
      </c>
      <c r="F309">
        <v>0.66165793500000003</v>
      </c>
      <c r="G309">
        <v>0.77502012399999998</v>
      </c>
      <c r="H309">
        <v>0.92435939600000006</v>
      </c>
      <c r="I309">
        <v>1.096737107</v>
      </c>
      <c r="J309">
        <v>1.2319078859999999</v>
      </c>
      <c r="K309">
        <v>1.2770545179999999</v>
      </c>
      <c r="L309">
        <v>1.4259580460000001</v>
      </c>
      <c r="M309">
        <v>1.4890254060000001</v>
      </c>
      <c r="N309">
        <v>1.61092028</v>
      </c>
      <c r="O309">
        <v>1.7573364339999999</v>
      </c>
      <c r="P309">
        <v>2.0580836140000001</v>
      </c>
    </row>
    <row r="310" spans="1:16" x14ac:dyDescent="0.2">
      <c r="A310" s="3">
        <f t="shared" si="2"/>
        <v>2012</v>
      </c>
      <c r="B310">
        <v>1.3099156000000001E-2</v>
      </c>
      <c r="C310">
        <v>7.9277365000000002E-2</v>
      </c>
      <c r="D310">
        <v>0.201646568</v>
      </c>
      <c r="E310">
        <v>0.42138328400000002</v>
      </c>
      <c r="F310">
        <v>0.61116787500000003</v>
      </c>
      <c r="G310">
        <v>0.77438195700000001</v>
      </c>
      <c r="H310">
        <v>0.92079347</v>
      </c>
      <c r="I310">
        <v>1.1325586599999999</v>
      </c>
      <c r="J310">
        <v>1.3091590710000001</v>
      </c>
      <c r="K310">
        <v>1.379382348</v>
      </c>
      <c r="L310">
        <v>1.4175076099999999</v>
      </c>
      <c r="M310">
        <v>1.48060097</v>
      </c>
      <c r="N310">
        <v>1.5438558659999999</v>
      </c>
      <c r="O310">
        <v>1.8390101889999999</v>
      </c>
      <c r="P310">
        <v>2.0709838540000001</v>
      </c>
    </row>
    <row r="311" spans="1:16" x14ac:dyDescent="0.2">
      <c r="A311" s="3">
        <f t="shared" si="2"/>
        <v>2013</v>
      </c>
      <c r="B311">
        <v>1.5229169000000001E-2</v>
      </c>
      <c r="C311">
        <v>8.0877860999999995E-2</v>
      </c>
      <c r="D311">
        <v>0.21232815999999999</v>
      </c>
      <c r="E311">
        <v>0.50512228299999995</v>
      </c>
      <c r="F311">
        <v>0.58176433900000002</v>
      </c>
      <c r="G311">
        <v>0.73618253700000003</v>
      </c>
      <c r="H311">
        <v>0.97732283900000005</v>
      </c>
      <c r="I311">
        <v>1.1637561439999999</v>
      </c>
      <c r="J311">
        <v>1.3240096640000001</v>
      </c>
      <c r="K311">
        <v>1.414813887</v>
      </c>
      <c r="L311">
        <v>1.5147018699999999</v>
      </c>
      <c r="M311">
        <v>1.5422469299999999</v>
      </c>
      <c r="N311">
        <v>1.6925614179999999</v>
      </c>
      <c r="O311">
        <v>1.91325714</v>
      </c>
      <c r="P311">
        <v>1.9960119919999999</v>
      </c>
    </row>
    <row r="312" spans="1:16" x14ac:dyDescent="0.2">
      <c r="A312" s="3">
        <f t="shared" si="2"/>
        <v>2014</v>
      </c>
      <c r="B312">
        <v>1.6606909999999999E-2</v>
      </c>
      <c r="C312">
        <v>0.113968322</v>
      </c>
      <c r="D312">
        <v>0.25779954799999999</v>
      </c>
      <c r="E312">
        <v>0.45087539700000001</v>
      </c>
      <c r="F312">
        <v>0.58217253700000005</v>
      </c>
      <c r="G312">
        <v>0.72889451599999999</v>
      </c>
      <c r="H312">
        <v>0.80253578400000003</v>
      </c>
      <c r="I312">
        <v>1.1136074309999999</v>
      </c>
      <c r="J312">
        <v>1.245900088</v>
      </c>
      <c r="K312">
        <v>1.4623503069999999</v>
      </c>
      <c r="L312">
        <v>1.7057377300000001</v>
      </c>
      <c r="M312">
        <v>1.618668065</v>
      </c>
      <c r="N312">
        <v>1.7117289929999999</v>
      </c>
      <c r="O312">
        <v>1.9325002410000001</v>
      </c>
      <c r="P312">
        <v>1.99686019</v>
      </c>
    </row>
    <row r="313" spans="1:16" x14ac:dyDescent="0.2">
      <c r="A313" s="3">
        <f t="shared" si="2"/>
        <v>2015</v>
      </c>
      <c r="B313">
        <v>1.7457806999999999E-2</v>
      </c>
      <c r="C313">
        <v>8.7281453999999994E-2</v>
      </c>
      <c r="D313">
        <v>0.33240676899999999</v>
      </c>
      <c r="E313">
        <v>0.44892154899999998</v>
      </c>
      <c r="F313">
        <v>0.59033473299999994</v>
      </c>
      <c r="G313">
        <v>0.68935601000000002</v>
      </c>
      <c r="H313">
        <v>0.79507287299999996</v>
      </c>
      <c r="I313">
        <v>0.92242361399999995</v>
      </c>
      <c r="J313">
        <v>1.216320525</v>
      </c>
      <c r="K313">
        <v>1.2428098480000001</v>
      </c>
      <c r="L313">
        <v>1.583862621</v>
      </c>
      <c r="M313">
        <v>1.5267266049999999</v>
      </c>
      <c r="N313">
        <v>1.493158188</v>
      </c>
      <c r="O313">
        <v>1.554710899</v>
      </c>
      <c r="P313">
        <v>1.810758085</v>
      </c>
    </row>
    <row r="314" spans="1:16" x14ac:dyDescent="0.2">
      <c r="A314" s="3">
        <f t="shared" si="2"/>
        <v>2016</v>
      </c>
      <c r="B314">
        <v>2.1930009E-2</v>
      </c>
      <c r="C314">
        <v>8.1925659999999997E-2</v>
      </c>
      <c r="D314">
        <v>0.29884989899999997</v>
      </c>
      <c r="E314">
        <v>0.53027141099999997</v>
      </c>
      <c r="F314">
        <v>0.60493638400000005</v>
      </c>
      <c r="G314">
        <v>0.70050390799999995</v>
      </c>
      <c r="H314">
        <v>0.77865002900000002</v>
      </c>
      <c r="I314">
        <v>0.835739393</v>
      </c>
      <c r="J314">
        <v>0.94074926599999997</v>
      </c>
      <c r="K314">
        <v>0.99969551499999998</v>
      </c>
      <c r="L314">
        <v>1.21421307</v>
      </c>
      <c r="M314">
        <v>1.5942524730000001</v>
      </c>
      <c r="N314">
        <v>1.400980127</v>
      </c>
      <c r="O314">
        <v>1.6820231109999999</v>
      </c>
      <c r="P314">
        <v>1.4709501089999999</v>
      </c>
    </row>
    <row r="315" spans="1:16" x14ac:dyDescent="0.2">
      <c r="A315" s="3">
        <f t="shared" si="2"/>
        <v>2017</v>
      </c>
      <c r="B315">
        <v>2.0955313999999999E-2</v>
      </c>
      <c r="C315">
        <v>0.104074519</v>
      </c>
      <c r="D315">
        <v>0.25368745399999998</v>
      </c>
      <c r="E315">
        <v>0.47203782300000002</v>
      </c>
      <c r="F315">
        <v>0.63360878700000001</v>
      </c>
      <c r="G315">
        <v>0.67283380999999998</v>
      </c>
      <c r="H315">
        <v>0.75734475199999995</v>
      </c>
      <c r="I315">
        <v>0.82078781199999995</v>
      </c>
      <c r="J315">
        <v>0.90365742500000001</v>
      </c>
      <c r="K315">
        <v>0.92189874100000002</v>
      </c>
      <c r="L315">
        <v>1.0767441550000001</v>
      </c>
      <c r="M315">
        <v>1.031173667</v>
      </c>
      <c r="N315">
        <v>1.2739005729999999</v>
      </c>
      <c r="O315">
        <v>1.1479984400000001</v>
      </c>
      <c r="P315">
        <v>1.548965234</v>
      </c>
    </row>
    <row r="316" spans="1:16" x14ac:dyDescent="0.2">
      <c r="A316" s="3">
        <f t="shared" si="2"/>
        <v>2018</v>
      </c>
      <c r="B316">
        <v>2.2427235E-2</v>
      </c>
      <c r="C316">
        <v>9.5396352000000004E-2</v>
      </c>
      <c r="D316">
        <v>0.22572931399999999</v>
      </c>
      <c r="E316">
        <v>0.43454261799999999</v>
      </c>
      <c r="F316">
        <v>0.59955498799999996</v>
      </c>
      <c r="G316">
        <v>0.69586606200000001</v>
      </c>
      <c r="H316">
        <v>0.77650391900000004</v>
      </c>
      <c r="I316">
        <v>0.826305391</v>
      </c>
      <c r="J316">
        <v>0.93655476900000001</v>
      </c>
      <c r="K316">
        <v>0.95807750999999997</v>
      </c>
      <c r="L316">
        <v>1.0842714920000001</v>
      </c>
      <c r="M316">
        <v>0.93573701399999998</v>
      </c>
      <c r="N316">
        <v>1.5071627359999999</v>
      </c>
      <c r="O316">
        <v>1.2152703929999999</v>
      </c>
      <c r="P316">
        <v>1.5194145649999999</v>
      </c>
    </row>
    <row r="317" spans="1:16" x14ac:dyDescent="0.2">
      <c r="A317" s="3">
        <f t="shared" si="2"/>
        <v>2019</v>
      </c>
      <c r="B317">
        <v>2.1557386000000001E-2</v>
      </c>
      <c r="C317">
        <v>0.113355704</v>
      </c>
      <c r="D317">
        <v>0.29701389099999997</v>
      </c>
      <c r="E317">
        <v>0.500947684</v>
      </c>
      <c r="F317">
        <v>0.63674065400000002</v>
      </c>
      <c r="G317">
        <v>0.74142538899999999</v>
      </c>
      <c r="H317">
        <v>0.83064097000000003</v>
      </c>
      <c r="I317">
        <v>0.94639468100000002</v>
      </c>
      <c r="J317">
        <v>0.95985969000000004</v>
      </c>
      <c r="K317">
        <v>1.0437957289999999</v>
      </c>
      <c r="L317">
        <v>1.0124745740000001</v>
      </c>
      <c r="M317">
        <v>1.0564221760000001</v>
      </c>
      <c r="N317">
        <v>1.042425385</v>
      </c>
      <c r="O317">
        <v>1.2825423460000001</v>
      </c>
      <c r="P317">
        <v>1.4509489120000001</v>
      </c>
    </row>
    <row r="318" spans="1:16" x14ac:dyDescent="0.2">
      <c r="A318" s="3">
        <v>2021</v>
      </c>
      <c r="B318">
        <v>2.2498681E-2</v>
      </c>
      <c r="C318">
        <v>0.102473863</v>
      </c>
      <c r="D318">
        <v>0.238745871</v>
      </c>
      <c r="E318">
        <v>0.446959989</v>
      </c>
      <c r="F318">
        <v>0.58457981400000003</v>
      </c>
      <c r="G318">
        <v>0.71277142800000004</v>
      </c>
      <c r="H318">
        <v>0.80419877299999998</v>
      </c>
      <c r="I318">
        <v>0.85590951599999998</v>
      </c>
      <c r="J318">
        <v>0.98023942600000002</v>
      </c>
      <c r="K318">
        <v>1.15010082</v>
      </c>
      <c r="L318">
        <v>1.0649628010000001</v>
      </c>
      <c r="M318">
        <v>1.1514637670000001</v>
      </c>
      <c r="N318">
        <v>1.312588568</v>
      </c>
      <c r="O318">
        <v>1.0260876029999999</v>
      </c>
      <c r="P318">
        <v>1.382483259</v>
      </c>
    </row>
    <row r="319" spans="1:16" x14ac:dyDescent="0.2">
      <c r="A319" s="3">
        <f>A318+1</f>
        <v>2022</v>
      </c>
      <c r="B319">
        <v>1.7285352E-2</v>
      </c>
      <c r="C319">
        <v>0.11726235</v>
      </c>
      <c r="D319">
        <v>0.26733573100000002</v>
      </c>
      <c r="E319">
        <v>0.44318864699999999</v>
      </c>
      <c r="F319">
        <v>0.59097485299999997</v>
      </c>
      <c r="G319">
        <v>0.70946782399999997</v>
      </c>
      <c r="H319">
        <v>0.78059251100000004</v>
      </c>
      <c r="I319">
        <v>0.88119505499999995</v>
      </c>
      <c r="J319">
        <v>0.97573352000000002</v>
      </c>
      <c r="K319">
        <v>1.0701158390000001</v>
      </c>
      <c r="L319">
        <v>1.3270858400000001</v>
      </c>
      <c r="M319">
        <v>1.305127428</v>
      </c>
      <c r="N319">
        <v>1.356249187</v>
      </c>
      <c r="O319">
        <v>1.2389392029999999</v>
      </c>
      <c r="P319">
        <v>1.8623408349999999</v>
      </c>
    </row>
    <row r="320" spans="1:16" x14ac:dyDescent="0.2">
      <c r="A320" s="3">
        <f>A319+1</f>
        <v>2023</v>
      </c>
      <c r="B320">
        <v>1.6290282999999999E-2</v>
      </c>
      <c r="C320">
        <v>0.117301586</v>
      </c>
      <c r="D320">
        <v>0.27139620199999998</v>
      </c>
      <c r="E320">
        <v>0.41687564700000002</v>
      </c>
      <c r="F320">
        <v>0.53343194100000002</v>
      </c>
      <c r="G320">
        <v>0.66030587399999996</v>
      </c>
      <c r="H320">
        <v>0.80251331599999998</v>
      </c>
      <c r="I320">
        <v>0.93535796999999998</v>
      </c>
      <c r="J320">
        <v>0.96296479099999999</v>
      </c>
      <c r="K320">
        <v>1.0104948730000001</v>
      </c>
      <c r="L320">
        <v>1.1503331510000001</v>
      </c>
      <c r="M320">
        <v>1.140265777</v>
      </c>
      <c r="N320">
        <v>1.4628116840000001</v>
      </c>
      <c r="O320">
        <v>1.8926323169999999</v>
      </c>
      <c r="P320">
        <v>1.5068638000000001</v>
      </c>
    </row>
    <row r="321" spans="1:43" x14ac:dyDescent="0.2">
      <c r="A321" s="3">
        <f>A320+1</f>
        <v>2024</v>
      </c>
      <c r="B321">
        <v>1.7541582999999999E-2</v>
      </c>
      <c r="C321">
        <v>9.4822855999999997E-2</v>
      </c>
      <c r="D321">
        <v>0.32923135999999997</v>
      </c>
      <c r="E321">
        <v>0.475756919</v>
      </c>
      <c r="F321">
        <v>0.57828801699999999</v>
      </c>
      <c r="G321">
        <v>0.61925245900000003</v>
      </c>
      <c r="H321">
        <v>0.70358279199999996</v>
      </c>
      <c r="I321">
        <v>0.94511421399999995</v>
      </c>
      <c r="J321">
        <v>1.0050599389999999</v>
      </c>
      <c r="K321">
        <v>1.0410178800000001</v>
      </c>
      <c r="L321">
        <v>1.1376506580000001</v>
      </c>
      <c r="M321">
        <v>1.2058032190000001</v>
      </c>
      <c r="N321">
        <v>1.3140828959999999</v>
      </c>
      <c r="O321">
        <v>1.435521971</v>
      </c>
      <c r="P321">
        <v>1.791366217</v>
      </c>
    </row>
    <row r="322" spans="1:43" x14ac:dyDescent="0.2">
      <c r="A322" s="3">
        <f>A321+1</f>
        <v>2025</v>
      </c>
      <c r="B322" s="2"/>
      <c r="C322" s="2"/>
      <c r="D322" s="2"/>
      <c r="E322" s="2"/>
      <c r="F322" s="2"/>
      <c r="G322" s="2"/>
      <c r="H322" s="2"/>
      <c r="I322" s="2"/>
      <c r="J322" s="2"/>
      <c r="K322" s="2"/>
      <c r="L322" s="2"/>
      <c r="M322" s="2"/>
      <c r="N322" s="2"/>
      <c r="O322" s="2"/>
      <c r="P322" s="2"/>
    </row>
    <row r="323" spans="1:43" x14ac:dyDescent="0.2">
      <c r="B323" t="s">
        <v>44</v>
      </c>
    </row>
    <row r="324" spans="1:43" x14ac:dyDescent="0.2">
      <c r="B324">
        <v>133.8753624</v>
      </c>
      <c r="C324">
        <v>261.23537069999998</v>
      </c>
      <c r="D324">
        <v>129.9274978</v>
      </c>
      <c r="E324">
        <v>207.3789889</v>
      </c>
      <c r="F324">
        <v>169.57258210000001</v>
      </c>
      <c r="G324">
        <v>141.3046415</v>
      </c>
      <c r="H324">
        <v>234.22250740000001</v>
      </c>
      <c r="I324">
        <v>208.38171940000001</v>
      </c>
      <c r="J324">
        <v>218.49562130000001</v>
      </c>
      <c r="K324">
        <v>131.2796424</v>
      </c>
      <c r="L324">
        <v>108.6154631</v>
      </c>
      <c r="M324">
        <v>143.64864610000001</v>
      </c>
      <c r="N324">
        <v>138.62286259999999</v>
      </c>
      <c r="O324">
        <v>158.01057420000001</v>
      </c>
      <c r="P324">
        <v>80.360578899999993</v>
      </c>
      <c r="Q324">
        <v>103.3743302</v>
      </c>
      <c r="R324">
        <v>77.261254260000001</v>
      </c>
      <c r="S324">
        <v>113.23781510000001</v>
      </c>
      <c r="T324">
        <v>137.0867519</v>
      </c>
      <c r="U324">
        <v>113.81314829999999</v>
      </c>
      <c r="V324">
        <v>109.0820387</v>
      </c>
      <c r="W324">
        <v>143.6577341</v>
      </c>
      <c r="X324">
        <v>80.196992789999996</v>
      </c>
      <c r="Y324">
        <v>102.6670926</v>
      </c>
      <c r="Z324">
        <v>69.07583545</v>
      </c>
      <c r="AA324">
        <v>126.2522417</v>
      </c>
      <c r="AB324">
        <v>62.380885540000001</v>
      </c>
      <c r="AC324">
        <v>48.953417999999999</v>
      </c>
      <c r="AD324">
        <v>89.604418659999993</v>
      </c>
      <c r="AE324">
        <v>68.873173350000002</v>
      </c>
      <c r="AF324">
        <v>99.885084180000007</v>
      </c>
      <c r="AG324">
        <v>110.2425664</v>
      </c>
      <c r="AH324">
        <v>194.86114950000001</v>
      </c>
      <c r="AI324">
        <v>175.94693559999999</v>
      </c>
      <c r="AJ324">
        <v>142.98992190000001</v>
      </c>
      <c r="AK324">
        <v>139.2323839</v>
      </c>
      <c r="AL324">
        <v>80.163447860000005</v>
      </c>
      <c r="AM324">
        <v>166.5205813</v>
      </c>
      <c r="AN324">
        <v>92.843794110000005</v>
      </c>
      <c r="AO324">
        <v>117.2551515</v>
      </c>
      <c r="AP324">
        <v>83.198430779999995</v>
      </c>
      <c r="AQ324">
        <v>164.8672282</v>
      </c>
    </row>
    <row r="325" spans="1:43" x14ac:dyDescent="0.2">
      <c r="B325" t="s">
        <v>45</v>
      </c>
    </row>
    <row r="326" spans="1:43" x14ac:dyDescent="0.2">
      <c r="B326">
        <v>10950974.449999999</v>
      </c>
      <c r="C326">
        <v>27660832.93</v>
      </c>
      <c r="D326">
        <v>32223232.539999999</v>
      </c>
      <c r="E326">
        <v>43530572.020000003</v>
      </c>
      <c r="F326">
        <v>14753173.75</v>
      </c>
      <c r="G326">
        <v>1969658.2760000001</v>
      </c>
      <c r="H326">
        <v>1271123.068</v>
      </c>
      <c r="I326">
        <v>609063.76229999994</v>
      </c>
      <c r="J326">
        <v>377022.65909999999</v>
      </c>
      <c r="K326">
        <v>237253.75719999999</v>
      </c>
      <c r="L326">
        <v>146091.80979999999</v>
      </c>
      <c r="M326">
        <v>86449.242050000001</v>
      </c>
      <c r="N326">
        <v>32206.852419999999</v>
      </c>
      <c r="O326">
        <v>14018.78011</v>
      </c>
      <c r="P326">
        <v>13688.46048</v>
      </c>
    </row>
    <row r="327" spans="1:43" x14ac:dyDescent="0.2">
      <c r="B327">
        <v>45353039.799999997</v>
      </c>
      <c r="C327">
        <v>10716107.48</v>
      </c>
      <c r="D327">
        <v>29198382.120000001</v>
      </c>
      <c r="E327">
        <v>45573178.350000001</v>
      </c>
      <c r="F327">
        <v>93820499.109999999</v>
      </c>
      <c r="G327">
        <v>27078547.879999999</v>
      </c>
      <c r="H327">
        <v>4594651.2300000004</v>
      </c>
      <c r="I327">
        <v>2078541.9750000001</v>
      </c>
      <c r="J327">
        <v>951270.13170000003</v>
      </c>
      <c r="K327">
        <v>854355.81660000002</v>
      </c>
      <c r="L327">
        <v>608218.13659999997</v>
      </c>
      <c r="M327">
        <v>220494.39619999999</v>
      </c>
      <c r="N327">
        <v>81075.456959999996</v>
      </c>
      <c r="O327">
        <v>72832.256770000007</v>
      </c>
      <c r="P327">
        <v>34176.513890000002</v>
      </c>
    </row>
    <row r="328" spans="1:43" x14ac:dyDescent="0.2">
      <c r="B328">
        <v>4810111.3779999996</v>
      </c>
      <c r="C328">
        <v>3952848.94</v>
      </c>
      <c r="D328">
        <v>7983445.9510000004</v>
      </c>
      <c r="E328">
        <v>22444469.960000001</v>
      </c>
      <c r="F328">
        <v>24850572.300000001</v>
      </c>
      <c r="G328">
        <v>52883234.630000003</v>
      </c>
      <c r="H328">
        <v>9357925.4989999998</v>
      </c>
      <c r="I328">
        <v>2004008.8870000001</v>
      </c>
      <c r="J328">
        <v>913114.08349999995</v>
      </c>
      <c r="K328">
        <v>305593.10159999999</v>
      </c>
      <c r="L328">
        <v>208697.44279999999</v>
      </c>
      <c r="M328">
        <v>78424.252529999998</v>
      </c>
      <c r="N328">
        <v>47197.236570000001</v>
      </c>
      <c r="O328">
        <v>58861.790780000003</v>
      </c>
      <c r="P328">
        <v>28992.309010000001</v>
      </c>
    </row>
    <row r="329" spans="1:43" x14ac:dyDescent="0.2">
      <c r="B329">
        <v>49329672.640000001</v>
      </c>
      <c r="C329">
        <v>7897975.7369999997</v>
      </c>
      <c r="D329">
        <v>38994179.740000002</v>
      </c>
      <c r="E329">
        <v>13798730.35</v>
      </c>
      <c r="F329">
        <v>45398935.829999998</v>
      </c>
      <c r="G329">
        <v>27954403.850000001</v>
      </c>
      <c r="H329">
        <v>18475998.030000001</v>
      </c>
      <c r="I329">
        <v>3514636.1269999999</v>
      </c>
      <c r="J329">
        <v>858065.09959999996</v>
      </c>
      <c r="K329">
        <v>725771.70070000004</v>
      </c>
      <c r="L329">
        <v>252889.85800000001</v>
      </c>
      <c r="M329">
        <v>79355.011419999995</v>
      </c>
      <c r="N329">
        <v>84589.511469999998</v>
      </c>
      <c r="O329">
        <v>7114.1537280000002</v>
      </c>
      <c r="P329">
        <v>6671.2463120000002</v>
      </c>
    </row>
    <row r="330" spans="1:43" x14ac:dyDescent="0.2">
      <c r="B330">
        <v>29490315.260000002</v>
      </c>
      <c r="C330">
        <v>9771055.2670000009</v>
      </c>
      <c r="D330">
        <v>7912883.3310000002</v>
      </c>
      <c r="E330">
        <v>33510131.100000001</v>
      </c>
      <c r="F330">
        <v>17077324.719999999</v>
      </c>
      <c r="G330">
        <v>25786652.469999999</v>
      </c>
      <c r="H330">
        <v>21402885.629999999</v>
      </c>
      <c r="I330">
        <v>17865634.079999998</v>
      </c>
      <c r="J330">
        <v>5324409.4469999997</v>
      </c>
      <c r="K330">
        <v>822842.70270000002</v>
      </c>
      <c r="L330">
        <v>369154.61349999998</v>
      </c>
      <c r="M330">
        <v>162599.26680000001</v>
      </c>
      <c r="N330">
        <v>14854.90726</v>
      </c>
      <c r="O330">
        <v>45447.414689999998</v>
      </c>
      <c r="P330">
        <v>16391.890039999998</v>
      </c>
    </row>
    <row r="331" spans="1:43" x14ac:dyDescent="0.2">
      <c r="B331">
        <v>4901555.37</v>
      </c>
      <c r="C331">
        <v>6880152.2089999998</v>
      </c>
      <c r="D331">
        <v>11747969.220000001</v>
      </c>
      <c r="E331">
        <v>9240663.5219999999</v>
      </c>
      <c r="F331">
        <v>55681133.399999999</v>
      </c>
      <c r="G331">
        <v>14563847.779999999</v>
      </c>
      <c r="H331">
        <v>13287612.689999999</v>
      </c>
      <c r="I331">
        <v>5162855.0039999997</v>
      </c>
      <c r="J331">
        <v>16110202.949999999</v>
      </c>
      <c r="K331">
        <v>2540705.4350000001</v>
      </c>
      <c r="L331">
        <v>778630.04200000002</v>
      </c>
      <c r="M331">
        <v>296073.17460000003</v>
      </c>
      <c r="N331">
        <v>58611.269030000003</v>
      </c>
      <c r="O331">
        <v>28788.91433</v>
      </c>
      <c r="P331">
        <v>25840.481070000002</v>
      </c>
    </row>
    <row r="332" spans="1:43" x14ac:dyDescent="0.2">
      <c r="B332">
        <v>15721198.77</v>
      </c>
      <c r="C332">
        <v>7773880.3729999997</v>
      </c>
      <c r="D332">
        <v>24314713.390000001</v>
      </c>
      <c r="E332">
        <v>47640041.880000003</v>
      </c>
      <c r="F332">
        <v>20536960.59</v>
      </c>
      <c r="G332">
        <v>63389846.640000001</v>
      </c>
      <c r="H332">
        <v>16983185.829999998</v>
      </c>
      <c r="I332">
        <v>12027275.470000001</v>
      </c>
      <c r="J332">
        <v>6679708.2599999998</v>
      </c>
      <c r="K332">
        <v>16101297</v>
      </c>
      <c r="L332">
        <v>1550733.672</v>
      </c>
      <c r="M332">
        <v>912335.02280000004</v>
      </c>
      <c r="N332">
        <v>202453.01809999999</v>
      </c>
      <c r="O332">
        <v>244655.4227</v>
      </c>
      <c r="P332">
        <v>144222.06570000001</v>
      </c>
    </row>
    <row r="333" spans="1:43" x14ac:dyDescent="0.2">
      <c r="B333">
        <v>9045388.6050000004</v>
      </c>
      <c r="C333">
        <v>5451633.6809999999</v>
      </c>
      <c r="D333">
        <v>9594897.443</v>
      </c>
      <c r="E333">
        <v>30531376.530000001</v>
      </c>
      <c r="F333">
        <v>67674814.829999998</v>
      </c>
      <c r="G333">
        <v>12756643.939999999</v>
      </c>
      <c r="H333">
        <v>45028752.909999996</v>
      </c>
      <c r="I333">
        <v>6319707.9479999999</v>
      </c>
      <c r="J333">
        <v>7001089.8470000001</v>
      </c>
      <c r="K333">
        <v>2617073.2919999999</v>
      </c>
      <c r="L333">
        <v>8197902.3669999996</v>
      </c>
      <c r="M333">
        <v>1401273.9439999999</v>
      </c>
      <c r="N333">
        <v>1251940.774</v>
      </c>
      <c r="O333">
        <v>585919.88100000005</v>
      </c>
      <c r="P333">
        <v>923303.44279999996</v>
      </c>
    </row>
    <row r="334" spans="1:43" x14ac:dyDescent="0.2">
      <c r="B334">
        <v>22226901.34</v>
      </c>
      <c r="C334">
        <v>2761070.0210000002</v>
      </c>
      <c r="D334">
        <v>1099600.74</v>
      </c>
      <c r="E334">
        <v>11388230.140000001</v>
      </c>
      <c r="F334">
        <v>25704041.48</v>
      </c>
      <c r="G334">
        <v>83172249.359999999</v>
      </c>
      <c r="H334">
        <v>15303101.08</v>
      </c>
      <c r="I334">
        <v>36320255.450000003</v>
      </c>
      <c r="J334">
        <v>3435531.122</v>
      </c>
      <c r="K334">
        <v>5911134.7230000002</v>
      </c>
      <c r="L334">
        <v>894996.43700000003</v>
      </c>
      <c r="M334">
        <v>8323377.5779999997</v>
      </c>
      <c r="N334">
        <v>715854.66769999999</v>
      </c>
      <c r="O334">
        <v>521652.13179999997</v>
      </c>
      <c r="P334">
        <v>717625.05229999998</v>
      </c>
    </row>
    <row r="335" spans="1:43" x14ac:dyDescent="0.2">
      <c r="B335">
        <v>32298906.469999999</v>
      </c>
      <c r="C335">
        <v>9281835.6579999998</v>
      </c>
      <c r="D335">
        <v>3572292.7370000002</v>
      </c>
      <c r="E335">
        <v>1395060.73</v>
      </c>
      <c r="F335">
        <v>9842053.6140000001</v>
      </c>
      <c r="G335">
        <v>8416663.3949999996</v>
      </c>
      <c r="H335">
        <v>25137376.329999998</v>
      </c>
      <c r="I335">
        <v>8746967.2909999993</v>
      </c>
      <c r="J335">
        <v>16907442.370000001</v>
      </c>
      <c r="K335">
        <v>4270043.2419999996</v>
      </c>
      <c r="L335">
        <v>5703730.4560000002</v>
      </c>
      <c r="M335">
        <v>1169580.3670000001</v>
      </c>
      <c r="N335">
        <v>3425863.3489999999</v>
      </c>
      <c r="O335">
        <v>520338.50319999998</v>
      </c>
      <c r="P335">
        <v>591487.84640000004</v>
      </c>
    </row>
    <row r="336" spans="1:43" x14ac:dyDescent="0.2">
      <c r="B336">
        <v>15591259.43</v>
      </c>
      <c r="C336">
        <v>4378480.4939999999</v>
      </c>
      <c r="D336">
        <v>29295026.23</v>
      </c>
      <c r="E336">
        <v>4359981.4620000003</v>
      </c>
      <c r="F336">
        <v>5255429.7010000004</v>
      </c>
      <c r="G336">
        <v>8508346.0319999997</v>
      </c>
      <c r="H336">
        <v>7572848.9479999999</v>
      </c>
      <c r="I336">
        <v>10551672.65</v>
      </c>
      <c r="J336">
        <v>4535727.898</v>
      </c>
      <c r="K336">
        <v>8386234.0300000003</v>
      </c>
      <c r="L336">
        <v>2888373.7080000001</v>
      </c>
      <c r="M336">
        <v>3589960.4739999999</v>
      </c>
      <c r="N336">
        <v>1531445.3910000001</v>
      </c>
      <c r="O336">
        <v>1205642.243</v>
      </c>
      <c r="P336">
        <v>965034.38300000003</v>
      </c>
    </row>
    <row r="337" spans="2:16" x14ac:dyDescent="0.2">
      <c r="B337">
        <v>26831974.609999999</v>
      </c>
      <c r="C337">
        <v>4429513.8789999997</v>
      </c>
      <c r="D337">
        <v>11510462.08</v>
      </c>
      <c r="E337">
        <v>51257439.299999997</v>
      </c>
      <c r="F337">
        <v>10664547.73</v>
      </c>
      <c r="G337">
        <v>8107782.773</v>
      </c>
      <c r="H337">
        <v>4050373.3909999998</v>
      </c>
      <c r="I337">
        <v>5309957.1689999998</v>
      </c>
      <c r="J337">
        <v>6725902.1950000003</v>
      </c>
      <c r="K337">
        <v>4106511.7790000001</v>
      </c>
      <c r="L337">
        <v>3551802.9270000001</v>
      </c>
      <c r="M337">
        <v>2575157.6189999999</v>
      </c>
      <c r="N337">
        <v>2052403.6910000001</v>
      </c>
      <c r="O337">
        <v>1119582.2720000001</v>
      </c>
      <c r="P337">
        <v>1355234.682</v>
      </c>
    </row>
    <row r="338" spans="2:16" x14ac:dyDescent="0.2">
      <c r="B338">
        <v>16300489.779999999</v>
      </c>
      <c r="C338">
        <v>7250175.216</v>
      </c>
      <c r="D338">
        <v>5317648.4400000004</v>
      </c>
      <c r="E338">
        <v>20643527.030000001</v>
      </c>
      <c r="F338">
        <v>60111518.859999999</v>
      </c>
      <c r="G338">
        <v>9773969.6270000003</v>
      </c>
      <c r="H338">
        <v>2348752.182</v>
      </c>
      <c r="I338">
        <v>1811381.429</v>
      </c>
      <c r="J338">
        <v>1958684.7180000001</v>
      </c>
      <c r="K338">
        <v>3618517.6719999998</v>
      </c>
      <c r="L338">
        <v>2207971.9709999999</v>
      </c>
      <c r="M338">
        <v>3053850.875</v>
      </c>
      <c r="N338">
        <v>1164088.7339999999</v>
      </c>
      <c r="O338">
        <v>1141679.362</v>
      </c>
      <c r="P338">
        <v>1920606.6839999999</v>
      </c>
    </row>
    <row r="339" spans="2:16" x14ac:dyDescent="0.2">
      <c r="B339">
        <v>16172066.369999999</v>
      </c>
      <c r="C339">
        <v>2163197.3739999998</v>
      </c>
      <c r="D339">
        <v>4766678.9050000003</v>
      </c>
      <c r="E339">
        <v>20039763.280000001</v>
      </c>
      <c r="F339">
        <v>29276360.75</v>
      </c>
      <c r="G339">
        <v>51039895.670000002</v>
      </c>
      <c r="H339">
        <v>18719841.16</v>
      </c>
      <c r="I339">
        <v>4046350.57</v>
      </c>
      <c r="J339">
        <v>2352040.037</v>
      </c>
      <c r="K339">
        <v>1480145.77</v>
      </c>
      <c r="L339">
        <v>2718517.3369999998</v>
      </c>
      <c r="M339">
        <v>1101165.2109999999</v>
      </c>
      <c r="N339">
        <v>2015442.473</v>
      </c>
      <c r="O339">
        <v>821290.59730000002</v>
      </c>
      <c r="P339">
        <v>1297818.68</v>
      </c>
    </row>
    <row r="340" spans="2:16" x14ac:dyDescent="0.2">
      <c r="B340">
        <v>19509804.109999999</v>
      </c>
      <c r="C340">
        <v>4281948.54</v>
      </c>
      <c r="D340">
        <v>1998104.7279999999</v>
      </c>
      <c r="E340">
        <v>4089532.344</v>
      </c>
      <c r="F340">
        <v>11371114.789999999</v>
      </c>
      <c r="G340">
        <v>15092896.210000001</v>
      </c>
      <c r="H340">
        <v>12896445.4</v>
      </c>
      <c r="I340">
        <v>4250633.7939999998</v>
      </c>
      <c r="J340">
        <v>1028539.257</v>
      </c>
      <c r="K340">
        <v>1113077.0859999999</v>
      </c>
      <c r="L340">
        <v>743345.21829999995</v>
      </c>
      <c r="M340">
        <v>1420222.4410000001</v>
      </c>
      <c r="N340">
        <v>476942.76699999999</v>
      </c>
      <c r="O340">
        <v>854141.71840000001</v>
      </c>
      <c r="P340">
        <v>1233830.5020000001</v>
      </c>
    </row>
    <row r="341" spans="2:16" x14ac:dyDescent="0.2">
      <c r="B341">
        <v>23321877.34</v>
      </c>
      <c r="C341">
        <v>4056464.3820000002</v>
      </c>
      <c r="D341">
        <v>2202758.2370000002</v>
      </c>
      <c r="E341">
        <v>2686353.952</v>
      </c>
      <c r="F341">
        <v>30780661</v>
      </c>
      <c r="G341">
        <v>14116880.029999999</v>
      </c>
      <c r="H341">
        <v>8291227.943</v>
      </c>
      <c r="I341">
        <v>10663663.630000001</v>
      </c>
      <c r="J341">
        <v>1842194.9839999999</v>
      </c>
      <c r="K341">
        <v>927184.348</v>
      </c>
      <c r="L341">
        <v>672693.77800000005</v>
      </c>
      <c r="M341">
        <v>721163.0699</v>
      </c>
      <c r="N341">
        <v>1228555.8870000001</v>
      </c>
      <c r="O341">
        <v>393507.46870000003</v>
      </c>
      <c r="P341">
        <v>1469144.16</v>
      </c>
    </row>
    <row r="342" spans="2:16" x14ac:dyDescent="0.2">
      <c r="B342">
        <v>8710506.4690000005</v>
      </c>
      <c r="C342">
        <v>6882750.6969999997</v>
      </c>
      <c r="D342">
        <v>3709754.0410000002</v>
      </c>
      <c r="E342">
        <v>2666862.75</v>
      </c>
      <c r="F342">
        <v>5566325.4220000003</v>
      </c>
      <c r="G342">
        <v>30576666.710000001</v>
      </c>
      <c r="H342">
        <v>7836743.335</v>
      </c>
      <c r="I342">
        <v>4743927.84</v>
      </c>
      <c r="J342">
        <v>3602094.23</v>
      </c>
      <c r="K342">
        <v>925925.35889999999</v>
      </c>
      <c r="L342">
        <v>408505.21899999998</v>
      </c>
      <c r="M342">
        <v>139881.5814</v>
      </c>
      <c r="N342">
        <v>318779.5477</v>
      </c>
      <c r="O342">
        <v>343422.18599999999</v>
      </c>
      <c r="P342">
        <v>829108.86710000003</v>
      </c>
    </row>
    <row r="343" spans="2:16" x14ac:dyDescent="0.2">
      <c r="B343">
        <v>9913042.8279999997</v>
      </c>
      <c r="C343">
        <v>11126238.65</v>
      </c>
      <c r="D343">
        <v>12972902.59</v>
      </c>
      <c r="E343">
        <v>12336593.1</v>
      </c>
      <c r="F343">
        <v>6847299.0039999997</v>
      </c>
      <c r="G343">
        <v>12601727.57</v>
      </c>
      <c r="H343">
        <v>29493827.84</v>
      </c>
      <c r="I343">
        <v>7567610.2060000002</v>
      </c>
      <c r="J343">
        <v>3601764.588</v>
      </c>
      <c r="K343">
        <v>3327253.267</v>
      </c>
      <c r="L343">
        <v>1243839.983</v>
      </c>
      <c r="M343">
        <v>527149.87479999999</v>
      </c>
      <c r="N343">
        <v>215165.87299999999</v>
      </c>
      <c r="O343">
        <v>318112.0514</v>
      </c>
      <c r="P343">
        <v>1145287.639</v>
      </c>
    </row>
    <row r="344" spans="2:16" x14ac:dyDescent="0.2">
      <c r="B344">
        <v>10448664.91</v>
      </c>
      <c r="C344">
        <v>3755297.923</v>
      </c>
      <c r="D344">
        <v>6910062.9680000003</v>
      </c>
      <c r="E344">
        <v>21500309.210000001</v>
      </c>
      <c r="F344">
        <v>21595549.190000001</v>
      </c>
      <c r="G344">
        <v>11989499.15</v>
      </c>
      <c r="H344">
        <v>9536075.9680000003</v>
      </c>
      <c r="I344">
        <v>28947090.609999999</v>
      </c>
      <c r="J344">
        <v>10961417.66</v>
      </c>
      <c r="K344">
        <v>5720885.0080000004</v>
      </c>
      <c r="L344">
        <v>2449524.0860000001</v>
      </c>
      <c r="M344">
        <v>1568135.3119999999</v>
      </c>
      <c r="N344">
        <v>491503.26319999999</v>
      </c>
      <c r="O344">
        <v>222767.51550000001</v>
      </c>
      <c r="P344">
        <v>989969.152</v>
      </c>
    </row>
    <row r="345" spans="2:16" x14ac:dyDescent="0.2">
      <c r="B345">
        <v>19866054.300000001</v>
      </c>
      <c r="C345">
        <v>12222795.74</v>
      </c>
      <c r="D345">
        <v>7257354.2740000002</v>
      </c>
      <c r="E345">
        <v>7027317.9460000005</v>
      </c>
      <c r="F345">
        <v>16891582.84</v>
      </c>
      <c r="G345">
        <v>16558361.16</v>
      </c>
      <c r="H345">
        <v>6898437.483</v>
      </c>
      <c r="I345">
        <v>3352512.4</v>
      </c>
      <c r="J345">
        <v>9955198.0529999994</v>
      </c>
      <c r="K345">
        <v>7114905.852</v>
      </c>
      <c r="L345">
        <v>2710397.216</v>
      </c>
      <c r="M345">
        <v>2113402.2009999999</v>
      </c>
      <c r="N345">
        <v>732768.05220000003</v>
      </c>
      <c r="O345">
        <v>303873.95909999998</v>
      </c>
      <c r="P345">
        <v>808186.80839999998</v>
      </c>
    </row>
    <row r="346" spans="2:16" x14ac:dyDescent="0.2">
      <c r="B346">
        <v>13635855.02</v>
      </c>
      <c r="C346">
        <v>3947946.2239999999</v>
      </c>
      <c r="D346">
        <v>7954137.7280000001</v>
      </c>
      <c r="E346">
        <v>12397079.289999999</v>
      </c>
      <c r="F346">
        <v>13675553.01</v>
      </c>
      <c r="G346">
        <v>17717869.800000001</v>
      </c>
      <c r="H346">
        <v>8844064.1329999994</v>
      </c>
      <c r="I346">
        <v>4275741.9950000001</v>
      </c>
      <c r="J346">
        <v>5723709.1560000004</v>
      </c>
      <c r="K346">
        <v>10676031.98</v>
      </c>
      <c r="L346">
        <v>5321374.6100000003</v>
      </c>
      <c r="M346">
        <v>2448024.602</v>
      </c>
      <c r="N346">
        <v>1459013.987</v>
      </c>
      <c r="O346">
        <v>460654.73590000003</v>
      </c>
      <c r="P346">
        <v>544982.4142</v>
      </c>
    </row>
    <row r="347" spans="2:16" x14ac:dyDescent="0.2">
      <c r="B347">
        <v>5737576.96</v>
      </c>
      <c r="C347">
        <v>1659415.142</v>
      </c>
      <c r="D347">
        <v>10661073.539999999</v>
      </c>
      <c r="E347">
        <v>18279647.399999999</v>
      </c>
      <c r="F347">
        <v>21598012.620000001</v>
      </c>
      <c r="G347">
        <v>17999136.579999998</v>
      </c>
      <c r="H347">
        <v>22581250.93</v>
      </c>
      <c r="I347">
        <v>11663681.34</v>
      </c>
      <c r="J347">
        <v>4860659.6330000004</v>
      </c>
      <c r="K347">
        <v>6354239.9680000003</v>
      </c>
      <c r="L347">
        <v>12371856.75</v>
      </c>
      <c r="M347">
        <v>5597357.0959999999</v>
      </c>
      <c r="N347">
        <v>2320152.2149999999</v>
      </c>
      <c r="O347">
        <v>954650.86510000005</v>
      </c>
      <c r="P347">
        <v>1019023.019</v>
      </c>
    </row>
    <row r="348" spans="2:16" x14ac:dyDescent="0.2">
      <c r="B348">
        <v>3971309.628</v>
      </c>
      <c r="C348">
        <v>2661212.6779999998</v>
      </c>
      <c r="D348">
        <v>1887508.0919999999</v>
      </c>
      <c r="E348">
        <v>16144529.58</v>
      </c>
      <c r="F348">
        <v>15888686.050000001</v>
      </c>
      <c r="G348">
        <v>11776407.939999999</v>
      </c>
      <c r="H348">
        <v>6574297.3890000004</v>
      </c>
      <c r="I348">
        <v>6943471.4840000002</v>
      </c>
      <c r="J348">
        <v>3435546.6639999999</v>
      </c>
      <c r="K348">
        <v>2168119.4419999998</v>
      </c>
      <c r="L348">
        <v>2169458.4559999998</v>
      </c>
      <c r="M348">
        <v>3976304.1880000001</v>
      </c>
      <c r="N348">
        <v>1762489.4979999999</v>
      </c>
      <c r="O348">
        <v>455624.56640000001</v>
      </c>
      <c r="P348">
        <v>382027.12929999997</v>
      </c>
    </row>
    <row r="349" spans="2:16" x14ac:dyDescent="0.2">
      <c r="B349">
        <v>4008208.162</v>
      </c>
      <c r="C349">
        <v>1475001.811</v>
      </c>
      <c r="D349">
        <v>2199280.0090000001</v>
      </c>
      <c r="E349">
        <v>11044908.869999999</v>
      </c>
      <c r="F349">
        <v>32386920.079999998</v>
      </c>
      <c r="G349">
        <v>21787234.57</v>
      </c>
      <c r="H349">
        <v>11405131.18</v>
      </c>
      <c r="I349">
        <v>4548673.9519999996</v>
      </c>
      <c r="J349">
        <v>3869508.8160000001</v>
      </c>
      <c r="K349">
        <v>2702438.7560000001</v>
      </c>
      <c r="L349">
        <v>783657.36679999996</v>
      </c>
      <c r="M349">
        <v>1600063.5789999999</v>
      </c>
      <c r="N349">
        <v>2656970.6680000001</v>
      </c>
      <c r="O349">
        <v>1055675.4210000001</v>
      </c>
      <c r="P349">
        <v>1143419.351</v>
      </c>
    </row>
    <row r="350" spans="2:16" x14ac:dyDescent="0.2">
      <c r="B350">
        <v>8156013.5149999997</v>
      </c>
      <c r="C350">
        <v>754624.10759999999</v>
      </c>
      <c r="D350">
        <v>1134938.1470000001</v>
      </c>
      <c r="E350">
        <v>5185575.9330000002</v>
      </c>
      <c r="F350">
        <v>13999692.68</v>
      </c>
      <c r="G350">
        <v>16450247.710000001</v>
      </c>
      <c r="H350">
        <v>9665799.2949999999</v>
      </c>
      <c r="I350">
        <v>4401420.8650000002</v>
      </c>
      <c r="J350">
        <v>2443650.5780000002</v>
      </c>
      <c r="K350">
        <v>2038641.142</v>
      </c>
      <c r="L350">
        <v>980045.78559999994</v>
      </c>
      <c r="M350">
        <v>608058.18330000003</v>
      </c>
      <c r="N350">
        <v>872189.8652</v>
      </c>
      <c r="O350">
        <v>1175750.7830000001</v>
      </c>
      <c r="P350">
        <v>1209186.8529999999</v>
      </c>
    </row>
    <row r="351" spans="2:16" x14ac:dyDescent="0.2">
      <c r="B351">
        <v>27341965.699999999</v>
      </c>
      <c r="C351">
        <v>678019.34160000004</v>
      </c>
      <c r="D351">
        <v>2210945.2009999999</v>
      </c>
      <c r="E351">
        <v>7071104.0360000003</v>
      </c>
      <c r="F351">
        <v>22182197.300000001</v>
      </c>
      <c r="G351">
        <v>25081372.690000001</v>
      </c>
      <c r="H351">
        <v>16726703.779999999</v>
      </c>
      <c r="I351">
        <v>11659449.890000001</v>
      </c>
      <c r="J351">
        <v>4624081.6519999998</v>
      </c>
      <c r="K351">
        <v>1983255.7169999999</v>
      </c>
      <c r="L351">
        <v>1738549.085</v>
      </c>
      <c r="M351">
        <v>1572777.6259999999</v>
      </c>
      <c r="N351">
        <v>717016.20180000004</v>
      </c>
      <c r="O351">
        <v>868156.31499999994</v>
      </c>
      <c r="P351">
        <v>1796647.17</v>
      </c>
    </row>
    <row r="352" spans="2:16" x14ac:dyDescent="0.2">
      <c r="B352">
        <v>5026908.8710000003</v>
      </c>
      <c r="C352">
        <v>1229266.3230000001</v>
      </c>
      <c r="D352">
        <v>1364744.5919999999</v>
      </c>
      <c r="E352">
        <v>2640640.5449999999</v>
      </c>
      <c r="F352">
        <v>7836966.4630000005</v>
      </c>
      <c r="G352">
        <v>15530947.65</v>
      </c>
      <c r="H352">
        <v>11319399.289999999</v>
      </c>
      <c r="I352">
        <v>7076204.9500000002</v>
      </c>
      <c r="J352">
        <v>4305625.62</v>
      </c>
      <c r="K352">
        <v>1564026.584</v>
      </c>
      <c r="L352">
        <v>1276787.568</v>
      </c>
      <c r="M352">
        <v>957687.31969999999</v>
      </c>
      <c r="N352">
        <v>434243.23229999997</v>
      </c>
      <c r="O352">
        <v>240823.9118</v>
      </c>
      <c r="P352">
        <v>1576612.622</v>
      </c>
    </row>
    <row r="353" spans="2:16" x14ac:dyDescent="0.2">
      <c r="B353">
        <v>8423248.1119999997</v>
      </c>
      <c r="C353">
        <v>2107005.9909999999</v>
      </c>
      <c r="D353">
        <v>4331186.1370000001</v>
      </c>
      <c r="E353">
        <v>4899554.0489999996</v>
      </c>
      <c r="F353">
        <v>3323841.6469999999</v>
      </c>
      <c r="G353">
        <v>5015183.0559999999</v>
      </c>
      <c r="H353">
        <v>7082004.0259999996</v>
      </c>
      <c r="I353">
        <v>5383262.1720000003</v>
      </c>
      <c r="J353">
        <v>3854987.4530000002</v>
      </c>
      <c r="K353">
        <v>1755691.0759999999</v>
      </c>
      <c r="L353">
        <v>1104478.027</v>
      </c>
      <c r="M353">
        <v>349907.79889999999</v>
      </c>
      <c r="N353">
        <v>351756.23710000003</v>
      </c>
      <c r="O353">
        <v>181366.9546</v>
      </c>
      <c r="P353">
        <v>789945.25959999999</v>
      </c>
    </row>
    <row r="354" spans="2:16" x14ac:dyDescent="0.2">
      <c r="B354">
        <v>4800589.2050000001</v>
      </c>
      <c r="C354">
        <v>1346455.9480000001</v>
      </c>
      <c r="D354">
        <v>3047328.7969999998</v>
      </c>
      <c r="E354">
        <v>40506328.75</v>
      </c>
      <c r="F354">
        <v>16685255.92</v>
      </c>
      <c r="G354">
        <v>4685657.7249999996</v>
      </c>
      <c r="H354">
        <v>3743015.8590000002</v>
      </c>
      <c r="I354">
        <v>3828855.5389999999</v>
      </c>
      <c r="J354">
        <v>3837498.5180000002</v>
      </c>
      <c r="K354">
        <v>2628770.463</v>
      </c>
      <c r="L354">
        <v>2237314.9569999999</v>
      </c>
      <c r="M354">
        <v>814166.58570000005</v>
      </c>
      <c r="N354">
        <v>486345.6495</v>
      </c>
      <c r="O354">
        <v>287861.44589999999</v>
      </c>
      <c r="P354">
        <v>668973.30160000001</v>
      </c>
    </row>
    <row r="355" spans="2:16" x14ac:dyDescent="0.2">
      <c r="B355">
        <v>12920051.51</v>
      </c>
      <c r="C355">
        <v>1361769.392</v>
      </c>
      <c r="D355">
        <v>3424695.7370000002</v>
      </c>
      <c r="E355">
        <v>4262527.409</v>
      </c>
      <c r="F355">
        <v>21528083.66</v>
      </c>
      <c r="G355">
        <v>10427647.84</v>
      </c>
      <c r="H355">
        <v>2948261.1329999999</v>
      </c>
      <c r="I355">
        <v>1604116.7679999999</v>
      </c>
      <c r="J355">
        <v>2434947.219</v>
      </c>
      <c r="K355">
        <v>2401882.8689999999</v>
      </c>
      <c r="L355">
        <v>2041112.048</v>
      </c>
      <c r="M355">
        <v>1565454.62</v>
      </c>
      <c r="N355">
        <v>683836.277</v>
      </c>
      <c r="O355">
        <v>323576.92300000001</v>
      </c>
      <c r="P355">
        <v>945209.95220000006</v>
      </c>
    </row>
    <row r="356" spans="2:16" x14ac:dyDescent="0.2">
      <c r="B356">
        <v>12972591.789999999</v>
      </c>
      <c r="C356">
        <v>2087692.165</v>
      </c>
      <c r="D356">
        <v>4934353.7149999999</v>
      </c>
      <c r="E356">
        <v>42492643.240000002</v>
      </c>
      <c r="F356">
        <v>9645034.8599999994</v>
      </c>
      <c r="G356">
        <v>14441576.41</v>
      </c>
      <c r="H356">
        <v>4585875.8289999999</v>
      </c>
      <c r="I356">
        <v>1717604.0589999999</v>
      </c>
      <c r="J356">
        <v>1146282.5989999999</v>
      </c>
      <c r="K356">
        <v>1574203.5819999999</v>
      </c>
      <c r="L356">
        <v>1266093.155</v>
      </c>
      <c r="M356">
        <v>1095238.55</v>
      </c>
      <c r="N356">
        <v>943797.94920000003</v>
      </c>
      <c r="O356">
        <v>339095.22590000002</v>
      </c>
      <c r="P356">
        <v>643001.04709999997</v>
      </c>
    </row>
    <row r="357" spans="2:16" x14ac:dyDescent="0.2">
      <c r="B357">
        <v>12516351.140000001</v>
      </c>
      <c r="C357">
        <v>1331414.696</v>
      </c>
      <c r="D357">
        <v>2719135.0690000001</v>
      </c>
      <c r="E357">
        <v>11312127.92</v>
      </c>
      <c r="F357">
        <v>54588377.210000001</v>
      </c>
      <c r="G357">
        <v>12315141.32</v>
      </c>
      <c r="H357">
        <v>7509078.6869999999</v>
      </c>
      <c r="I357">
        <v>2626977.4550000001</v>
      </c>
      <c r="J357">
        <v>889696.51599999995</v>
      </c>
      <c r="K357">
        <v>795045.41159999999</v>
      </c>
      <c r="L357">
        <v>1044107.475</v>
      </c>
      <c r="M357">
        <v>791614.44889999996</v>
      </c>
      <c r="N357">
        <v>761609.5368</v>
      </c>
      <c r="O357">
        <v>436128.54009999998</v>
      </c>
      <c r="P357">
        <v>605760.94629999995</v>
      </c>
    </row>
    <row r="358" spans="2:16" x14ac:dyDescent="0.2">
      <c r="B358">
        <v>25378686.140000001</v>
      </c>
      <c r="C358">
        <v>4876512.2680000002</v>
      </c>
      <c r="D358">
        <v>2785092.3739999998</v>
      </c>
      <c r="E358">
        <v>4941127.8169999998</v>
      </c>
      <c r="F358">
        <v>22998938.760000002</v>
      </c>
      <c r="G358">
        <v>77482489.420000002</v>
      </c>
      <c r="H358">
        <v>38209563.509999998</v>
      </c>
      <c r="I358">
        <v>8022328.7640000004</v>
      </c>
      <c r="J358">
        <v>4363180.8360000001</v>
      </c>
      <c r="K358">
        <v>1576299.4410000001</v>
      </c>
      <c r="L358">
        <v>617041.82810000004</v>
      </c>
      <c r="M358">
        <v>882338.14919999999</v>
      </c>
      <c r="N358">
        <v>917453.62560000003</v>
      </c>
      <c r="O358">
        <v>454361.44280000002</v>
      </c>
      <c r="P358">
        <v>1355735.1610000001</v>
      </c>
    </row>
    <row r="359" spans="2:16" x14ac:dyDescent="0.2">
      <c r="B359">
        <v>14570602.84</v>
      </c>
      <c r="C359">
        <v>9287210.0480000004</v>
      </c>
      <c r="D359">
        <v>27666360.960000001</v>
      </c>
      <c r="E359">
        <v>7412849.3820000002</v>
      </c>
      <c r="F359">
        <v>15161330.59</v>
      </c>
      <c r="G359">
        <v>27357325.579999998</v>
      </c>
      <c r="H359">
        <v>51509441.950000003</v>
      </c>
      <c r="I359">
        <v>15215181.789999999</v>
      </c>
      <c r="J359">
        <v>3849752.0419999999</v>
      </c>
      <c r="K359">
        <v>1905497.5660000001</v>
      </c>
      <c r="L359">
        <v>273243.76530000003</v>
      </c>
      <c r="M359">
        <v>259660.128</v>
      </c>
      <c r="N359">
        <v>492805.23950000003</v>
      </c>
      <c r="O359">
        <v>301584.41320000001</v>
      </c>
      <c r="P359">
        <v>684089.29269999999</v>
      </c>
    </row>
    <row r="360" spans="2:16" x14ac:dyDescent="0.2">
      <c r="B360">
        <v>7941441.5279999999</v>
      </c>
      <c r="C360">
        <v>4933720.7829999998</v>
      </c>
      <c r="D360">
        <v>7280966.2910000002</v>
      </c>
      <c r="E360">
        <v>40234752.770000003</v>
      </c>
      <c r="F360">
        <v>16990612.899999999</v>
      </c>
      <c r="G360">
        <v>12002854.02</v>
      </c>
      <c r="H360">
        <v>17683480.829999998</v>
      </c>
      <c r="I360">
        <v>26916812.68</v>
      </c>
      <c r="J360">
        <v>5421347.835</v>
      </c>
      <c r="K360">
        <v>2219756.7919999999</v>
      </c>
      <c r="L360">
        <v>800491.83109999995</v>
      </c>
      <c r="M360">
        <v>175307.05859999999</v>
      </c>
      <c r="N360">
        <v>183181.6292</v>
      </c>
      <c r="O360">
        <v>66413.893460000007</v>
      </c>
      <c r="P360">
        <v>138781.0834</v>
      </c>
    </row>
    <row r="361" spans="2:16" x14ac:dyDescent="0.2">
      <c r="B361">
        <v>7835995.1840000004</v>
      </c>
      <c r="C361">
        <v>3214697.8160000001</v>
      </c>
      <c r="D361">
        <v>5449588.2010000004</v>
      </c>
      <c r="E361">
        <v>26483257.23</v>
      </c>
      <c r="F361">
        <v>34955817.770000003</v>
      </c>
      <c r="G361">
        <v>15973015.85</v>
      </c>
      <c r="H361">
        <v>12309447.369999999</v>
      </c>
      <c r="I361">
        <v>11547000.189999999</v>
      </c>
      <c r="J361">
        <v>14759950.210000001</v>
      </c>
      <c r="K361">
        <v>4236452.49</v>
      </c>
      <c r="L361">
        <v>1626289.882</v>
      </c>
      <c r="M361">
        <v>546154.7058</v>
      </c>
      <c r="N361">
        <v>82885.440539999996</v>
      </c>
      <c r="O361">
        <v>48759.489580000001</v>
      </c>
      <c r="P361">
        <v>163072.04889999999</v>
      </c>
    </row>
    <row r="362" spans="2:16" x14ac:dyDescent="0.2">
      <c r="B362">
        <v>11286192.27</v>
      </c>
      <c r="C362">
        <v>4732793.6619999995</v>
      </c>
      <c r="D362">
        <v>2514980.602</v>
      </c>
      <c r="E362">
        <v>3644291.3319999999</v>
      </c>
      <c r="F362">
        <v>25017136.57</v>
      </c>
      <c r="G362">
        <v>15376458.91</v>
      </c>
      <c r="H362">
        <v>5329573.7819999997</v>
      </c>
      <c r="I362">
        <v>3877931.6349999998</v>
      </c>
      <c r="J362">
        <v>3983520.8119999999</v>
      </c>
      <c r="K362">
        <v>3265517.423</v>
      </c>
      <c r="L362">
        <v>914786.24739999999</v>
      </c>
      <c r="M362">
        <v>142478.7101</v>
      </c>
      <c r="N362">
        <v>18267.32717</v>
      </c>
      <c r="O362">
        <v>3004.330731</v>
      </c>
      <c r="P362">
        <v>56514.239860000001</v>
      </c>
    </row>
    <row r="363" spans="2:16" x14ac:dyDescent="0.2">
      <c r="B363">
        <v>26795702.010000002</v>
      </c>
      <c r="C363">
        <v>7133716.5650000004</v>
      </c>
      <c r="D363">
        <v>5930177.0410000002</v>
      </c>
      <c r="E363">
        <v>6152047.1969999997</v>
      </c>
      <c r="F363">
        <v>17596778.629999999</v>
      </c>
      <c r="G363">
        <v>62768466.640000001</v>
      </c>
      <c r="H363">
        <v>25067658.530000001</v>
      </c>
      <c r="I363">
        <v>5958068.9450000003</v>
      </c>
      <c r="J363">
        <v>4295960.4009999996</v>
      </c>
      <c r="K363">
        <v>2541978.324</v>
      </c>
      <c r="L363">
        <v>1336557.44</v>
      </c>
      <c r="M363">
        <v>606917.86430000002</v>
      </c>
      <c r="N363">
        <v>239831.7597</v>
      </c>
      <c r="O363">
        <v>69125.767120000004</v>
      </c>
      <c r="P363">
        <v>27594.22308</v>
      </c>
    </row>
    <row r="364" spans="2:16" x14ac:dyDescent="0.2">
      <c r="B364">
        <v>10321941.109999999</v>
      </c>
      <c r="C364">
        <v>7980262.7680000002</v>
      </c>
      <c r="D364">
        <v>19643040.989999998</v>
      </c>
      <c r="E364">
        <v>7534073.0470000003</v>
      </c>
      <c r="F364">
        <v>6888789.591</v>
      </c>
      <c r="G364">
        <v>5019764.1409999998</v>
      </c>
      <c r="H364">
        <v>12791898.630000001</v>
      </c>
      <c r="I364">
        <v>14770243.619999999</v>
      </c>
      <c r="J364">
        <v>3919545.9709999999</v>
      </c>
      <c r="K364">
        <v>1521761.9979999999</v>
      </c>
      <c r="L364">
        <v>1274924.0179999999</v>
      </c>
      <c r="M364">
        <v>825848.33799999999</v>
      </c>
      <c r="N364">
        <v>180076.85930000001</v>
      </c>
      <c r="O364">
        <v>127919.1728</v>
      </c>
      <c r="P364">
        <v>43703.854919999998</v>
      </c>
    </row>
    <row r="365" spans="2:16" x14ac:dyDescent="0.2">
      <c r="B365">
        <v>8119155.4790000003</v>
      </c>
      <c r="C365">
        <v>3512415.1719999998</v>
      </c>
      <c r="D365">
        <v>5999539.4950000001</v>
      </c>
      <c r="E365">
        <v>40060934.460000001</v>
      </c>
      <c r="F365">
        <v>18724630.109999999</v>
      </c>
      <c r="G365">
        <v>7295680.6869999999</v>
      </c>
      <c r="H365">
        <v>8107799.0650000004</v>
      </c>
      <c r="I365">
        <v>11423969.810000001</v>
      </c>
      <c r="J365">
        <v>8559664.4370000008</v>
      </c>
      <c r="K365">
        <v>2718413.702</v>
      </c>
      <c r="L365">
        <v>1159337.2690000001</v>
      </c>
      <c r="M365">
        <v>966027.28929999995</v>
      </c>
      <c r="N365">
        <v>372666.78149999998</v>
      </c>
      <c r="O365">
        <v>213040.35810000001</v>
      </c>
      <c r="P365">
        <v>21877.4094</v>
      </c>
    </row>
    <row r="366" spans="2:16" x14ac:dyDescent="0.2">
      <c r="B366">
        <v>11137835.359999999</v>
      </c>
      <c r="C366">
        <v>3821529.6570000001</v>
      </c>
      <c r="D366">
        <v>3417362.3020000001</v>
      </c>
      <c r="E366">
        <v>6362056.557</v>
      </c>
      <c r="F366">
        <v>27500461.75</v>
      </c>
      <c r="G366">
        <v>8082480.3629999999</v>
      </c>
      <c r="H366">
        <v>4453183.523</v>
      </c>
      <c r="I366">
        <v>4429531.4950000001</v>
      </c>
      <c r="J366">
        <v>7032284.8870000001</v>
      </c>
      <c r="K366">
        <v>4966833.3140000002</v>
      </c>
      <c r="L366">
        <v>1060140.9809999999</v>
      </c>
      <c r="M366">
        <v>439895.46720000001</v>
      </c>
      <c r="N366">
        <v>269472.0858</v>
      </c>
      <c r="O366">
        <v>106526.82580000001</v>
      </c>
      <c r="P366">
        <v>118836.2139</v>
      </c>
    </row>
    <row r="367" spans="2:16" x14ac:dyDescent="0.2">
      <c r="B367">
        <v>16262095.59</v>
      </c>
      <c r="C367">
        <v>10959913.960000001</v>
      </c>
      <c r="D367">
        <v>9746020.6600000001</v>
      </c>
      <c r="E367">
        <v>6623305.5990000004</v>
      </c>
      <c r="F367">
        <v>20779428.82</v>
      </c>
      <c r="G367">
        <v>68044769.379999995</v>
      </c>
      <c r="H367">
        <v>15085251.93</v>
      </c>
      <c r="I367">
        <v>4701781.432</v>
      </c>
      <c r="J367">
        <v>4432455.9630000005</v>
      </c>
      <c r="K367">
        <v>3989283.0269999998</v>
      </c>
      <c r="L367">
        <v>2725271.1919999998</v>
      </c>
      <c r="M367">
        <v>1025843</v>
      </c>
      <c r="N367">
        <v>324711.81849999999</v>
      </c>
      <c r="O367">
        <v>123823.8556</v>
      </c>
      <c r="P367">
        <v>43271.925940000001</v>
      </c>
    </row>
    <row r="368" spans="2:16" x14ac:dyDescent="0.2">
      <c r="B368" s="2"/>
      <c r="C368" s="2"/>
      <c r="D368" s="2"/>
      <c r="E368" s="2"/>
      <c r="F368" s="2"/>
      <c r="G368" s="2"/>
      <c r="H368" s="2"/>
      <c r="I368" s="2"/>
      <c r="J368" s="2"/>
      <c r="K368" s="2"/>
      <c r="L368" s="2"/>
      <c r="M368" s="2"/>
      <c r="N368" s="2"/>
      <c r="O368" s="2"/>
      <c r="P368" s="2"/>
    </row>
    <row r="369" spans="2:20" x14ac:dyDescent="0.2">
      <c r="B369" t="s">
        <v>46</v>
      </c>
    </row>
    <row r="370" spans="2:20" x14ac:dyDescent="0.2">
      <c r="B370">
        <v>12474.96039</v>
      </c>
      <c r="C370">
        <v>8138.5492590000003</v>
      </c>
      <c r="D370">
        <v>20859.613509999999</v>
      </c>
      <c r="E370">
        <v>11466.161330000001</v>
      </c>
      <c r="F370">
        <v>8726.1326549999994</v>
      </c>
      <c r="G370">
        <v>13350.63055</v>
      </c>
      <c r="H370">
        <v>7893.6920060000002</v>
      </c>
      <c r="I370">
        <v>3910.2966860000001</v>
      </c>
      <c r="J370">
        <v>10042.36937</v>
      </c>
      <c r="K370">
        <v>5240.022277</v>
      </c>
      <c r="L370">
        <v>8629.6091369999995</v>
      </c>
      <c r="M370">
        <v>12968.07488</v>
      </c>
      <c r="N370">
        <v>7492.0467289999997</v>
      </c>
      <c r="O370">
        <v>19512.65379</v>
      </c>
      <c r="P370">
        <v>12219.62465</v>
      </c>
      <c r="Q370">
        <v>5569.8483319999996</v>
      </c>
      <c r="R370">
        <v>13660</v>
      </c>
      <c r="S370">
        <v>9674.4017719999993</v>
      </c>
      <c r="T370">
        <v>11358.629199999999</v>
      </c>
    </row>
    <row r="371" spans="2:20" x14ac:dyDescent="0.2">
      <c r="B371" t="s">
        <v>47</v>
      </c>
    </row>
    <row r="372" spans="2:20" x14ac:dyDescent="0.2">
      <c r="B372">
        <v>1140.0851399999999</v>
      </c>
      <c r="C372">
        <v>4969.0522559999999</v>
      </c>
      <c r="D372">
        <v>1424.4732690000001</v>
      </c>
      <c r="E372">
        <v>1818.5809260000001</v>
      </c>
      <c r="F372">
        <v>2251.768172</v>
      </c>
      <c r="G372">
        <v>389.1130852</v>
      </c>
      <c r="H372">
        <v>108.5917858</v>
      </c>
      <c r="I372">
        <v>95.88827757</v>
      </c>
      <c r="J372">
        <v>56.201938560000002</v>
      </c>
      <c r="K372">
        <v>67.125239690000001</v>
      </c>
      <c r="L372">
        <v>30.325586779999998</v>
      </c>
      <c r="M372">
        <v>51.13689729</v>
      </c>
      <c r="N372">
        <v>20.633513789999999</v>
      </c>
      <c r="O372">
        <v>17.628238899999999</v>
      </c>
      <c r="P372">
        <v>34.356061230000002</v>
      </c>
    </row>
    <row r="373" spans="2:20" x14ac:dyDescent="0.2">
      <c r="B373">
        <v>1800.2540550000001</v>
      </c>
      <c r="C373">
        <v>566.66512890000001</v>
      </c>
      <c r="D373">
        <v>552.1605677</v>
      </c>
      <c r="E373">
        <v>2741.05969</v>
      </c>
      <c r="F373">
        <v>914.96275760000003</v>
      </c>
      <c r="G373">
        <v>633.53149229999997</v>
      </c>
      <c r="H373">
        <v>585.04104989999996</v>
      </c>
      <c r="I373">
        <v>141.69026349999999</v>
      </c>
      <c r="J373">
        <v>38.61581297</v>
      </c>
      <c r="K373">
        <v>28.170044690000001</v>
      </c>
      <c r="L373">
        <v>22.42098893</v>
      </c>
      <c r="M373">
        <v>39.471901750000001</v>
      </c>
      <c r="N373">
        <v>13.931626980000001</v>
      </c>
      <c r="O373">
        <v>24.815192199999998</v>
      </c>
      <c r="P373">
        <v>35.758686900000001</v>
      </c>
    </row>
    <row r="374" spans="2:20" x14ac:dyDescent="0.2">
      <c r="B374">
        <v>13226.7894</v>
      </c>
      <c r="C374">
        <v>2881.0381910000001</v>
      </c>
      <c r="D374">
        <v>440.49410610000001</v>
      </c>
      <c r="E374">
        <v>535.64101100000005</v>
      </c>
      <c r="F374">
        <v>2330.3172880000002</v>
      </c>
      <c r="G374">
        <v>546.44430469999998</v>
      </c>
      <c r="H374">
        <v>313.01169629999998</v>
      </c>
      <c r="I374">
        <v>290.36236860000002</v>
      </c>
      <c r="J374">
        <v>75.110043140000002</v>
      </c>
      <c r="K374">
        <v>27.829137540000001</v>
      </c>
      <c r="L374">
        <v>30.8666707</v>
      </c>
      <c r="M374">
        <v>35.150965890000002</v>
      </c>
      <c r="N374">
        <v>38.921928800000003</v>
      </c>
      <c r="O374">
        <v>18.714737329999998</v>
      </c>
      <c r="P374">
        <v>68.921656049999996</v>
      </c>
    </row>
    <row r="375" spans="2:20" x14ac:dyDescent="0.2">
      <c r="B375">
        <v>607.20365200000003</v>
      </c>
      <c r="C375">
        <v>1779.9949570000001</v>
      </c>
      <c r="D375">
        <v>3717.060555</v>
      </c>
      <c r="E375">
        <v>1809.6749420000001</v>
      </c>
      <c r="F375">
        <v>651.86233589999995</v>
      </c>
      <c r="G375">
        <v>397.52067219999998</v>
      </c>
      <c r="H375">
        <v>1548.0324539999999</v>
      </c>
      <c r="I375">
        <v>526.25221790000001</v>
      </c>
      <c r="J375">
        <v>180.02083870000001</v>
      </c>
      <c r="K375">
        <v>141.64589910000001</v>
      </c>
      <c r="L375">
        <v>48.242948499999997</v>
      </c>
      <c r="M375">
        <v>20.49954722</v>
      </c>
      <c r="N375">
        <v>10.26681262</v>
      </c>
      <c r="O375">
        <v>7.7953667949999996</v>
      </c>
      <c r="P375">
        <v>20.08813323</v>
      </c>
    </row>
    <row r="376" spans="2:20" x14ac:dyDescent="0.2">
      <c r="B376">
        <v>460.36640310000001</v>
      </c>
      <c r="C376">
        <v>1322.0302790000001</v>
      </c>
      <c r="D376">
        <v>1230.0548590000001</v>
      </c>
      <c r="E376">
        <v>2588.0272890000001</v>
      </c>
      <c r="F376">
        <v>1011.827791</v>
      </c>
      <c r="G376">
        <v>326.61534289999997</v>
      </c>
      <c r="H376">
        <v>308.36422210000001</v>
      </c>
      <c r="I376">
        <v>949.55203489999997</v>
      </c>
      <c r="J376">
        <v>277.58517160000002</v>
      </c>
      <c r="K376">
        <v>134.09810970000001</v>
      </c>
      <c r="L376">
        <v>60.258588899999999</v>
      </c>
      <c r="M376">
        <v>35.599602249999997</v>
      </c>
      <c r="N376">
        <v>6.9873676480000002</v>
      </c>
      <c r="O376">
        <v>4.555128345</v>
      </c>
      <c r="P376">
        <v>10.210465579999999</v>
      </c>
    </row>
    <row r="377" spans="2:20" x14ac:dyDescent="0.2">
      <c r="B377">
        <v>796.39685029999998</v>
      </c>
      <c r="C377">
        <v>4943.941366</v>
      </c>
      <c r="D377">
        <v>3385.1004800000001</v>
      </c>
      <c r="E377">
        <v>1294.9325980000001</v>
      </c>
      <c r="F377">
        <v>660.61841949999996</v>
      </c>
      <c r="G377">
        <v>935.29347289999998</v>
      </c>
      <c r="H377">
        <v>538.44206770000005</v>
      </c>
      <c r="I377">
        <v>140.35786479999999</v>
      </c>
      <c r="J377">
        <v>162.4464571</v>
      </c>
      <c r="K377">
        <v>304.46125019999999</v>
      </c>
      <c r="L377">
        <v>103.61153</v>
      </c>
      <c r="M377">
        <v>45.372169960000001</v>
      </c>
      <c r="N377">
        <v>20.195607760000001</v>
      </c>
      <c r="O377">
        <v>12.17925292</v>
      </c>
      <c r="P377">
        <v>7.2811632319999999</v>
      </c>
    </row>
    <row r="378" spans="2:20" x14ac:dyDescent="0.2">
      <c r="B378">
        <v>83.054497420000004</v>
      </c>
      <c r="C378">
        <v>313.46852799999999</v>
      </c>
      <c r="D378">
        <v>1216.887645</v>
      </c>
      <c r="E378">
        <v>3122.587708</v>
      </c>
      <c r="F378">
        <v>1634.3134190000001</v>
      </c>
      <c r="G378">
        <v>567.11590469999999</v>
      </c>
      <c r="H378">
        <v>287.70947890000002</v>
      </c>
      <c r="I378">
        <v>282.71122029999998</v>
      </c>
      <c r="J378">
        <v>120.9099574</v>
      </c>
      <c r="K378">
        <v>68.490474460000001</v>
      </c>
      <c r="L378">
        <v>58.851892059999997</v>
      </c>
      <c r="M378">
        <v>77.005276300000006</v>
      </c>
      <c r="N378">
        <v>37.421352769999999</v>
      </c>
      <c r="O378">
        <v>12.53381701</v>
      </c>
      <c r="P378">
        <v>10.630835129999999</v>
      </c>
    </row>
    <row r="379" spans="2:20" x14ac:dyDescent="0.2">
      <c r="B379">
        <v>524.71095969999999</v>
      </c>
      <c r="C379">
        <v>216.99598520000001</v>
      </c>
      <c r="D379">
        <v>291.2456803</v>
      </c>
      <c r="E379">
        <v>654.09685420000005</v>
      </c>
      <c r="F379">
        <v>783.37609299999997</v>
      </c>
      <c r="G379">
        <v>658.55630099999996</v>
      </c>
      <c r="H379">
        <v>390.20024899999999</v>
      </c>
      <c r="I379">
        <v>144.88895460000001</v>
      </c>
      <c r="J379">
        <v>74.79552563</v>
      </c>
      <c r="K379">
        <v>58.553903579999997</v>
      </c>
      <c r="L379">
        <v>32.824918349999997</v>
      </c>
      <c r="M379">
        <v>21.719213159999999</v>
      </c>
      <c r="N379">
        <v>16.492805369999999</v>
      </c>
      <c r="O379">
        <v>19.794140970000001</v>
      </c>
      <c r="P379">
        <v>22.04510144</v>
      </c>
    </row>
    <row r="380" spans="2:20" x14ac:dyDescent="0.2">
      <c r="B380">
        <v>5775.2941449999998</v>
      </c>
      <c r="C380">
        <v>1040.5871460000001</v>
      </c>
      <c r="D380">
        <v>345.09752650000001</v>
      </c>
      <c r="E380">
        <v>477.80343290000002</v>
      </c>
      <c r="F380">
        <v>793.68820619999997</v>
      </c>
      <c r="G380">
        <v>729.4436647</v>
      </c>
      <c r="H380">
        <v>406.88807780000002</v>
      </c>
      <c r="I380">
        <v>240.79008139999999</v>
      </c>
      <c r="J380">
        <v>97.686941759999996</v>
      </c>
      <c r="K380">
        <v>39.261616619999998</v>
      </c>
      <c r="L380">
        <v>37.240400149999999</v>
      </c>
      <c r="M380">
        <v>18.81644455</v>
      </c>
      <c r="N380">
        <v>9.1721203960000004</v>
      </c>
      <c r="O380">
        <v>9.5783720559999992</v>
      </c>
      <c r="P380">
        <v>21.021197659999999</v>
      </c>
    </row>
    <row r="381" spans="2:20" x14ac:dyDescent="0.2">
      <c r="B381">
        <v>70.869874030000005</v>
      </c>
      <c r="C381">
        <v>2914.7813299999998</v>
      </c>
      <c r="D381">
        <v>1046.982702</v>
      </c>
      <c r="E381">
        <v>166.03642120000001</v>
      </c>
      <c r="F381">
        <v>160.8390551</v>
      </c>
      <c r="G381">
        <v>287.56999400000001</v>
      </c>
      <c r="H381">
        <v>234.90743119999999</v>
      </c>
      <c r="I381">
        <v>136.08854969999999</v>
      </c>
      <c r="J381">
        <v>101.8481235</v>
      </c>
      <c r="K381">
        <v>31.995840619999999</v>
      </c>
      <c r="L381">
        <v>30.135659059999998</v>
      </c>
      <c r="M381">
        <v>19.00020739</v>
      </c>
      <c r="N381">
        <v>10.87302568</v>
      </c>
      <c r="O381">
        <v>5.6228518940000001</v>
      </c>
      <c r="P381">
        <v>22.471211220000001</v>
      </c>
    </row>
    <row r="382" spans="2:20" x14ac:dyDescent="0.2">
      <c r="B382">
        <v>5196.7862720000003</v>
      </c>
      <c r="C382">
        <v>815.82891099999995</v>
      </c>
      <c r="D382">
        <v>1734.132089</v>
      </c>
      <c r="E382">
        <v>281.2670693</v>
      </c>
      <c r="F382">
        <v>76.694509479999994</v>
      </c>
      <c r="G382">
        <v>94.104663790000004</v>
      </c>
      <c r="H382">
        <v>128.87727380000001</v>
      </c>
      <c r="I382">
        <v>110.7631581</v>
      </c>
      <c r="J382">
        <v>76.720420290000007</v>
      </c>
      <c r="K382">
        <v>44.225916609999999</v>
      </c>
      <c r="L382">
        <v>25.174215019999998</v>
      </c>
      <c r="M382">
        <v>11.28920278</v>
      </c>
      <c r="N382">
        <v>10.05579329</v>
      </c>
      <c r="O382">
        <v>5.5001058839999999</v>
      </c>
      <c r="P382">
        <v>18.189537139999999</v>
      </c>
    </row>
    <row r="383" spans="2:20" x14ac:dyDescent="0.2">
      <c r="B383">
        <v>2567.932041</v>
      </c>
      <c r="C383">
        <v>6404.1275569999998</v>
      </c>
      <c r="D383">
        <v>983.55517599999996</v>
      </c>
      <c r="E383">
        <v>2294.894996</v>
      </c>
      <c r="F383">
        <v>445.87511439999997</v>
      </c>
      <c r="G383">
        <v>73.082948389999999</v>
      </c>
      <c r="H383">
        <v>33.246447269999997</v>
      </c>
      <c r="I383">
        <v>36.887298229999999</v>
      </c>
      <c r="J383">
        <v>37.752843140000003</v>
      </c>
      <c r="K383">
        <v>28.93219886</v>
      </c>
      <c r="L383">
        <v>25.956083540000002</v>
      </c>
      <c r="M383">
        <v>13.14394723</v>
      </c>
      <c r="N383">
        <v>8.0262054999999997</v>
      </c>
      <c r="O383">
        <v>4.8905865229999996</v>
      </c>
      <c r="P383">
        <v>9.7714417440000005</v>
      </c>
    </row>
    <row r="384" spans="2:20" x14ac:dyDescent="0.2">
      <c r="B384">
        <v>177.3461428</v>
      </c>
      <c r="C384">
        <v>1988.6601330000001</v>
      </c>
      <c r="D384">
        <v>1692.89158</v>
      </c>
      <c r="E384">
        <v>2710.228204</v>
      </c>
      <c r="F384">
        <v>279.68625370000001</v>
      </c>
      <c r="G384">
        <v>366.66840280000002</v>
      </c>
      <c r="H384">
        <v>113.14035490000001</v>
      </c>
      <c r="I384">
        <v>35.687332980000001</v>
      </c>
      <c r="J384">
        <v>24.894591999999999</v>
      </c>
      <c r="K384">
        <v>28.74222129</v>
      </c>
      <c r="L384">
        <v>25.056611</v>
      </c>
      <c r="M384">
        <v>17.894431229999999</v>
      </c>
      <c r="N384">
        <v>16.169349969999999</v>
      </c>
      <c r="O384">
        <v>5.0759217850000002</v>
      </c>
      <c r="P384">
        <v>9.9051977440000005</v>
      </c>
    </row>
    <row r="385" spans="2:20" x14ac:dyDescent="0.2">
      <c r="B385">
        <v>4750.826376</v>
      </c>
      <c r="C385">
        <v>8655.1263670000008</v>
      </c>
      <c r="D385">
        <v>969.46123390000002</v>
      </c>
      <c r="E385">
        <v>1161.049534</v>
      </c>
      <c r="F385">
        <v>1118.694291</v>
      </c>
      <c r="G385">
        <v>1769.616489</v>
      </c>
      <c r="H385">
        <v>740.11967319999997</v>
      </c>
      <c r="I385">
        <v>170.14623449999999</v>
      </c>
      <c r="J385">
        <v>78.810030260000005</v>
      </c>
      <c r="K385">
        <v>31.519963990000001</v>
      </c>
      <c r="L385">
        <v>12.57992471</v>
      </c>
      <c r="M385">
        <v>13.86996375</v>
      </c>
      <c r="N385">
        <v>14.05970784</v>
      </c>
      <c r="O385">
        <v>7.7035707990000004</v>
      </c>
      <c r="P385">
        <v>19.07043007</v>
      </c>
    </row>
    <row r="386" spans="2:20" x14ac:dyDescent="0.2">
      <c r="B386">
        <v>173.75231439999999</v>
      </c>
      <c r="C386">
        <v>1037.867561</v>
      </c>
      <c r="D386">
        <v>4496.0586929999999</v>
      </c>
      <c r="E386">
        <v>4476.3974740000003</v>
      </c>
      <c r="F386">
        <v>715.46514920000004</v>
      </c>
      <c r="G386">
        <v>348.09875110000002</v>
      </c>
      <c r="H386">
        <v>392.19569949999999</v>
      </c>
      <c r="I386">
        <v>420.28668090000002</v>
      </c>
      <c r="J386">
        <v>95.667050090000004</v>
      </c>
      <c r="K386">
        <v>30.74347277</v>
      </c>
      <c r="L386">
        <v>17.982651109999999</v>
      </c>
      <c r="M386">
        <v>5.8435077839999998</v>
      </c>
      <c r="N386">
        <v>3.5520013060000002</v>
      </c>
      <c r="O386">
        <v>2.24751704</v>
      </c>
      <c r="P386">
        <v>3.4661237800000002</v>
      </c>
    </row>
    <row r="387" spans="2:20" x14ac:dyDescent="0.2">
      <c r="B387">
        <v>449.9560697</v>
      </c>
      <c r="C387">
        <v>516.60935610000001</v>
      </c>
      <c r="D387">
        <v>248.6421369</v>
      </c>
      <c r="E387">
        <v>621.18175280000003</v>
      </c>
      <c r="F387">
        <v>2267.541471</v>
      </c>
      <c r="G387">
        <v>944.10345310000002</v>
      </c>
      <c r="H387">
        <v>198.37848009999999</v>
      </c>
      <c r="I387">
        <v>111.75346140000001</v>
      </c>
      <c r="J387">
        <v>107.3072124</v>
      </c>
      <c r="K387">
        <v>74.910888819999997</v>
      </c>
      <c r="L387">
        <v>19.72410485</v>
      </c>
      <c r="M387">
        <v>5.5064802530000003</v>
      </c>
      <c r="N387">
        <v>2.8538340980000001</v>
      </c>
      <c r="O387">
        <v>0</v>
      </c>
      <c r="P387">
        <v>1.379630275</v>
      </c>
    </row>
    <row r="388" spans="2:20" x14ac:dyDescent="0.2">
      <c r="B388">
        <v>350</v>
      </c>
      <c r="C388">
        <v>1180</v>
      </c>
      <c r="D388">
        <v>4550</v>
      </c>
      <c r="E388">
        <v>4440</v>
      </c>
      <c r="F388">
        <v>1190</v>
      </c>
      <c r="G388">
        <v>490</v>
      </c>
      <c r="H388">
        <v>560</v>
      </c>
      <c r="I388">
        <v>650</v>
      </c>
      <c r="J388">
        <v>130</v>
      </c>
      <c r="K388">
        <v>60</v>
      </c>
      <c r="L388">
        <v>30</v>
      </c>
      <c r="M388">
        <v>10</v>
      </c>
      <c r="N388">
        <v>10</v>
      </c>
      <c r="O388">
        <v>0</v>
      </c>
      <c r="P388">
        <v>10</v>
      </c>
    </row>
    <row r="389" spans="2:20" x14ac:dyDescent="0.2">
      <c r="B389">
        <v>141.55993710000001</v>
      </c>
      <c r="C389">
        <v>332.3180686</v>
      </c>
      <c r="D389">
        <v>975.2239558</v>
      </c>
      <c r="E389">
        <v>6577.7283360000001</v>
      </c>
      <c r="F389">
        <v>819.42248919999997</v>
      </c>
      <c r="G389">
        <v>211.0354178</v>
      </c>
      <c r="H389">
        <v>132.9748998</v>
      </c>
      <c r="I389">
        <v>239.12243620000001</v>
      </c>
      <c r="J389">
        <v>166.25072309999999</v>
      </c>
      <c r="K389">
        <v>33.859152139999999</v>
      </c>
      <c r="L389">
        <v>16.726261139999998</v>
      </c>
      <c r="M389">
        <v>17.897776409999999</v>
      </c>
      <c r="N389">
        <v>6.5767711320000002</v>
      </c>
      <c r="O389">
        <v>2.1390213710000001</v>
      </c>
      <c r="P389">
        <v>1.566526045</v>
      </c>
    </row>
    <row r="390" spans="2:20" x14ac:dyDescent="0.2">
      <c r="B390">
        <v>5074.8172260000001</v>
      </c>
      <c r="C390">
        <v>1146.3637940000001</v>
      </c>
      <c r="D390">
        <v>680.58221019999996</v>
      </c>
      <c r="E390">
        <v>379.34652260000001</v>
      </c>
      <c r="F390">
        <v>820.1220452</v>
      </c>
      <c r="G390">
        <v>2485.0123600000002</v>
      </c>
      <c r="H390">
        <v>449.95461610000001</v>
      </c>
      <c r="I390">
        <v>109.8032369</v>
      </c>
      <c r="J390">
        <v>86.062392799999998</v>
      </c>
      <c r="K390">
        <v>69.716166040000005</v>
      </c>
      <c r="L390">
        <v>37.761125579999998</v>
      </c>
      <c r="M390">
        <v>13.88930221</v>
      </c>
      <c r="N390">
        <v>3.3965576949999998</v>
      </c>
      <c r="O390">
        <v>1.095488601</v>
      </c>
      <c r="P390">
        <v>0.70615457299999995</v>
      </c>
    </row>
    <row r="391" spans="2:20" x14ac:dyDescent="0.2">
      <c r="B391" t="s">
        <v>48</v>
      </c>
    </row>
    <row r="392" spans="2:20" x14ac:dyDescent="0.2">
      <c r="B392">
        <v>3628.9292999999998</v>
      </c>
      <c r="C392">
        <v>2944.77187</v>
      </c>
      <c r="D392">
        <v>3590.8405400000001</v>
      </c>
      <c r="E392">
        <v>4141.37057</v>
      </c>
      <c r="F392">
        <v>3625.86364</v>
      </c>
      <c r="G392">
        <v>4305.86229</v>
      </c>
      <c r="H392">
        <v>4009.9370399999998</v>
      </c>
      <c r="I392">
        <v>1872.8632700000001</v>
      </c>
      <c r="J392">
        <v>2277.944</v>
      </c>
      <c r="K392">
        <v>1405.59025</v>
      </c>
      <c r="L392">
        <v>1324.7813699999999</v>
      </c>
      <c r="M392">
        <v>2642.6749</v>
      </c>
      <c r="N392">
        <v>2295.9518499999999</v>
      </c>
      <c r="O392">
        <v>4729.8277200000002</v>
      </c>
      <c r="P392">
        <v>4828.7934800000003</v>
      </c>
      <c r="Q392">
        <v>2499.4010600000001</v>
      </c>
      <c r="R392">
        <v>3617</v>
      </c>
      <c r="S392">
        <v>3834.0425100000002</v>
      </c>
      <c r="T392">
        <v>2870.6369949999998</v>
      </c>
    </row>
    <row r="393" spans="2:20" x14ac:dyDescent="0.2">
      <c r="B393" t="s">
        <v>49</v>
      </c>
    </row>
    <row r="394" spans="2:20" x14ac:dyDescent="0.2">
      <c r="B394">
        <v>685.88779999999997</v>
      </c>
      <c r="C394">
        <v>437.87997999999999</v>
      </c>
      <c r="D394">
        <v>485.94997999999998</v>
      </c>
      <c r="E394">
        <v>846.42433000000005</v>
      </c>
      <c r="F394">
        <v>466.54349000000002</v>
      </c>
      <c r="G394">
        <v>535.67926999999997</v>
      </c>
      <c r="H394">
        <v>579.13679999999999</v>
      </c>
      <c r="I394">
        <v>293.23714999999999</v>
      </c>
      <c r="J394">
        <v>399.67315000000002</v>
      </c>
      <c r="K394">
        <v>365.98969</v>
      </c>
      <c r="L394">
        <v>425.21071999999998</v>
      </c>
      <c r="M394">
        <v>661.55564000000004</v>
      </c>
      <c r="N394">
        <v>365.48014000000001</v>
      </c>
      <c r="O394">
        <v>761.94960000000003</v>
      </c>
      <c r="P394">
        <v>422.06108999999998</v>
      </c>
      <c r="Q394">
        <v>460.77933000000002</v>
      </c>
      <c r="R394">
        <v>1625.43092</v>
      </c>
      <c r="S394">
        <v>1228.11095</v>
      </c>
      <c r="T394">
        <v>754.54343259999996</v>
      </c>
    </row>
    <row r="395" spans="2:20" x14ac:dyDescent="0.2">
      <c r="B395" t="s">
        <v>50</v>
      </c>
    </row>
    <row r="396" spans="2:20" x14ac:dyDescent="0.2">
      <c r="B396">
        <v>2.8098301999999999E-2</v>
      </c>
      <c r="C396">
        <v>8.8950365000000003E-2</v>
      </c>
      <c r="D396">
        <v>0.23383385100000001</v>
      </c>
      <c r="E396">
        <v>0.38728862400000003</v>
      </c>
      <c r="F396">
        <v>0.56223516200000001</v>
      </c>
      <c r="G396">
        <v>0.63220144</v>
      </c>
      <c r="H396">
        <v>0.70435157900000001</v>
      </c>
      <c r="I396">
        <v>0.848887748</v>
      </c>
      <c r="J396">
        <v>0.96902235599999997</v>
      </c>
      <c r="K396">
        <v>1.1383616519999999</v>
      </c>
      <c r="L396">
        <v>1.2318210599999999</v>
      </c>
      <c r="M396">
        <v>1.4452066619999999</v>
      </c>
      <c r="N396">
        <v>1.403855796</v>
      </c>
      <c r="O396">
        <v>1.3566260560000001</v>
      </c>
      <c r="P396">
        <v>1.8225866049999999</v>
      </c>
    </row>
    <row r="397" spans="2:20" x14ac:dyDescent="0.2">
      <c r="B397">
        <v>3.7773965999999999E-2</v>
      </c>
      <c r="C397">
        <v>7.9180711000000001E-2</v>
      </c>
      <c r="D397">
        <v>0.228031394</v>
      </c>
      <c r="E397">
        <v>0.33085802600000003</v>
      </c>
      <c r="F397">
        <v>0.48248502199999999</v>
      </c>
      <c r="G397">
        <v>0.67108446499999996</v>
      </c>
      <c r="H397">
        <v>0.82861438300000001</v>
      </c>
      <c r="I397">
        <v>0.85391744400000003</v>
      </c>
      <c r="J397">
        <v>0.97196752099999995</v>
      </c>
      <c r="K397">
        <v>1.046543204</v>
      </c>
      <c r="L397">
        <v>1.211815358</v>
      </c>
      <c r="M397">
        <v>1.406491996</v>
      </c>
      <c r="N397">
        <v>1.1713102390000001</v>
      </c>
      <c r="O397">
        <v>1.470779469</v>
      </c>
      <c r="P397">
        <v>1.5958965300000001</v>
      </c>
    </row>
    <row r="398" spans="2:20" x14ac:dyDescent="0.2">
      <c r="B398">
        <v>3.3802090999999999E-2</v>
      </c>
      <c r="C398">
        <v>0.134739627</v>
      </c>
      <c r="D398">
        <v>0.25756815599999999</v>
      </c>
      <c r="E398">
        <v>0.38417733300000001</v>
      </c>
      <c r="F398">
        <v>0.479309027</v>
      </c>
      <c r="G398">
        <v>0.61145219299999998</v>
      </c>
      <c r="H398">
        <v>0.785806012</v>
      </c>
      <c r="I398">
        <v>0.97908672699999999</v>
      </c>
      <c r="J398">
        <v>1.045964863</v>
      </c>
      <c r="K398">
        <v>1.1455787909999999</v>
      </c>
      <c r="L398">
        <v>1.2395724539999999</v>
      </c>
      <c r="M398">
        <v>1.7150218610000001</v>
      </c>
      <c r="N398">
        <v>2.033758674</v>
      </c>
      <c r="O398">
        <v>1.6727860459999999</v>
      </c>
      <c r="P398">
        <v>1.423109296</v>
      </c>
    </row>
    <row r="399" spans="2:20" x14ac:dyDescent="0.2">
      <c r="B399">
        <v>2.9428196E-2</v>
      </c>
      <c r="C399">
        <v>9.8627188000000005E-2</v>
      </c>
      <c r="D399">
        <v>0.23558357999999999</v>
      </c>
      <c r="E399">
        <v>0.38024560800000001</v>
      </c>
      <c r="F399">
        <v>0.466445375</v>
      </c>
      <c r="G399">
        <v>0.59992930700000002</v>
      </c>
      <c r="H399">
        <v>0.64284738399999997</v>
      </c>
      <c r="I399">
        <v>0.69693298599999998</v>
      </c>
      <c r="J399">
        <v>0.80857328500000003</v>
      </c>
      <c r="K399">
        <v>0.93479224100000002</v>
      </c>
      <c r="L399">
        <v>0.98371624300000005</v>
      </c>
      <c r="M399">
        <v>1.1100902319999999</v>
      </c>
      <c r="N399">
        <v>0.89625691500000004</v>
      </c>
      <c r="O399">
        <v>1.6190419739999999</v>
      </c>
      <c r="P399">
        <v>1.2896664550000001</v>
      </c>
    </row>
    <row r="400" spans="2:20" x14ac:dyDescent="0.2">
      <c r="B400">
        <v>3.1532787E-2</v>
      </c>
      <c r="C400">
        <v>0.113172734</v>
      </c>
      <c r="D400">
        <v>0.24018762299999999</v>
      </c>
      <c r="E400">
        <v>0.39289284899999999</v>
      </c>
      <c r="F400">
        <v>0.54301159700000001</v>
      </c>
      <c r="G400">
        <v>0.63974694700000001</v>
      </c>
      <c r="H400">
        <v>0.71219186199999995</v>
      </c>
      <c r="I400">
        <v>0.74585136799999996</v>
      </c>
      <c r="J400">
        <v>0.78238122899999996</v>
      </c>
      <c r="K400">
        <v>0.90146914700000003</v>
      </c>
      <c r="L400">
        <v>1.0948500249999999</v>
      </c>
      <c r="M400">
        <v>0.92357504999999995</v>
      </c>
      <c r="N400">
        <v>1.072474776</v>
      </c>
      <c r="O400">
        <v>1.892101509</v>
      </c>
      <c r="P400">
        <v>1.416936706</v>
      </c>
    </row>
    <row r="401" spans="2:43" x14ac:dyDescent="0.2">
      <c r="B401">
        <v>3.3327848E-2</v>
      </c>
      <c r="C401">
        <v>0.133008776</v>
      </c>
      <c r="D401">
        <v>0.25604884</v>
      </c>
      <c r="E401">
        <v>0.39670786000000002</v>
      </c>
      <c r="F401">
        <v>0.56382238500000004</v>
      </c>
      <c r="G401">
        <v>0.67988364700000004</v>
      </c>
      <c r="H401">
        <v>0.80502076199999995</v>
      </c>
      <c r="I401">
        <v>0.93651840099999994</v>
      </c>
      <c r="J401">
        <v>1.006467236</v>
      </c>
      <c r="K401">
        <v>1.0344345909999999</v>
      </c>
      <c r="L401">
        <v>1.142940509</v>
      </c>
      <c r="M401">
        <v>1.0969760900000001</v>
      </c>
      <c r="N401">
        <v>1.5081782880000001</v>
      </c>
      <c r="O401">
        <v>1.440500871</v>
      </c>
      <c r="P401">
        <v>1.309022423</v>
      </c>
    </row>
    <row r="402" spans="2:43" x14ac:dyDescent="0.2">
      <c r="B402">
        <v>2.3417064000000001E-2</v>
      </c>
      <c r="C402">
        <v>0.115008316</v>
      </c>
      <c r="D402">
        <v>0.27688895600000002</v>
      </c>
      <c r="E402">
        <v>0.459929374</v>
      </c>
      <c r="F402">
        <v>0.56925742599999996</v>
      </c>
      <c r="G402">
        <v>0.69299112299999999</v>
      </c>
      <c r="H402">
        <v>0.76798241</v>
      </c>
      <c r="I402">
        <v>0.85736804499999997</v>
      </c>
      <c r="J402">
        <v>0.913345976</v>
      </c>
      <c r="K402">
        <v>0.98701144799999996</v>
      </c>
      <c r="L402">
        <v>1.022179787</v>
      </c>
      <c r="M402">
        <v>1.104971366</v>
      </c>
      <c r="N402">
        <v>1.048272624</v>
      </c>
      <c r="O402">
        <v>1.070253326</v>
      </c>
      <c r="P402">
        <v>1.3495686819999999</v>
      </c>
    </row>
    <row r="403" spans="2:43" x14ac:dyDescent="0.2">
      <c r="B403">
        <v>1.9380752000000001E-2</v>
      </c>
      <c r="C403">
        <v>0.10145982200000001</v>
      </c>
      <c r="D403">
        <v>0.24414475499999999</v>
      </c>
      <c r="E403">
        <v>0.37814567100000002</v>
      </c>
      <c r="F403">
        <v>0.52699222899999998</v>
      </c>
      <c r="G403">
        <v>0.65206661499999996</v>
      </c>
      <c r="H403">
        <v>0.76360385099999994</v>
      </c>
      <c r="I403">
        <v>0.84666801899999999</v>
      </c>
      <c r="J403">
        <v>0.93351983299999997</v>
      </c>
      <c r="K403">
        <v>0.97143749400000001</v>
      </c>
      <c r="L403">
        <v>1.0011509190000001</v>
      </c>
      <c r="M403">
        <v>1.1495346909999999</v>
      </c>
      <c r="N403">
        <v>1.2116872009999999</v>
      </c>
      <c r="O403">
        <v>1.281049807</v>
      </c>
      <c r="P403">
        <v>1.179917849</v>
      </c>
    </row>
    <row r="404" spans="2:43" x14ac:dyDescent="0.2">
      <c r="B404">
        <v>1.8495648999999999E-2</v>
      </c>
      <c r="C404">
        <v>8.7193363999999995E-2</v>
      </c>
      <c r="D404">
        <v>0.279247415</v>
      </c>
      <c r="E404">
        <v>0.43718783300000003</v>
      </c>
      <c r="F404">
        <v>0.58248880300000005</v>
      </c>
      <c r="G404">
        <v>0.68663239899999995</v>
      </c>
      <c r="H404">
        <v>0.78823631599999999</v>
      </c>
      <c r="I404">
        <v>0.87099972599999997</v>
      </c>
      <c r="J404">
        <v>0.970100191</v>
      </c>
      <c r="K404">
        <v>1.1027085160000001</v>
      </c>
      <c r="L404">
        <v>1.1056714510000001</v>
      </c>
      <c r="M404">
        <v>1.2369484479999999</v>
      </c>
      <c r="N404">
        <v>1.2354868450000001</v>
      </c>
      <c r="O404">
        <v>1.749460306</v>
      </c>
      <c r="P404">
        <v>1.230626606</v>
      </c>
    </row>
    <row r="405" spans="2:43" x14ac:dyDescent="0.2">
      <c r="B405">
        <v>2.2553568E-2</v>
      </c>
      <c r="C405">
        <v>8.3533376000000006E-2</v>
      </c>
      <c r="D405">
        <v>0.21397105999999999</v>
      </c>
      <c r="E405">
        <v>0.40660791499999999</v>
      </c>
      <c r="F405">
        <v>0.57580060799999999</v>
      </c>
      <c r="G405">
        <v>0.68906324200000002</v>
      </c>
      <c r="H405">
        <v>0.80522349299999996</v>
      </c>
      <c r="I405">
        <v>0.98197084899999998</v>
      </c>
      <c r="J405">
        <v>0.96832022399999995</v>
      </c>
      <c r="K405">
        <v>1.262557586</v>
      </c>
      <c r="L405">
        <v>1.2472124309999999</v>
      </c>
      <c r="M405">
        <v>1.2466489679999999</v>
      </c>
      <c r="N405">
        <v>1.389705798</v>
      </c>
      <c r="O405">
        <v>1.6380326970000001</v>
      </c>
      <c r="P405">
        <v>1.2469683009999999</v>
      </c>
    </row>
    <row r="406" spans="2:43" x14ac:dyDescent="0.2">
      <c r="B406">
        <v>2.0319990999999999E-2</v>
      </c>
      <c r="C406">
        <v>0.10850145999999999</v>
      </c>
      <c r="D406">
        <v>0.24195861900000001</v>
      </c>
      <c r="E406">
        <v>0.41645069600000001</v>
      </c>
      <c r="F406">
        <v>0.64661924500000001</v>
      </c>
      <c r="G406">
        <v>0.78533266300000004</v>
      </c>
      <c r="H406">
        <v>0.95014345300000003</v>
      </c>
      <c r="I406">
        <v>1.0306215750000001</v>
      </c>
      <c r="J406">
        <v>1.0640246280000001</v>
      </c>
      <c r="K406">
        <v>1.3283554529999999</v>
      </c>
      <c r="L406">
        <v>1.326541881</v>
      </c>
      <c r="M406">
        <v>1.5470371329999999</v>
      </c>
      <c r="N406">
        <v>1.5565858539999999</v>
      </c>
      <c r="O406">
        <v>1.5368162080000001</v>
      </c>
      <c r="P406">
        <v>1.7437159609999999</v>
      </c>
    </row>
    <row r="407" spans="2:43" x14ac:dyDescent="0.2">
      <c r="B407">
        <v>3.1689083999999999E-2</v>
      </c>
      <c r="C407">
        <v>0.11734314799999999</v>
      </c>
      <c r="D407">
        <v>0.221257593</v>
      </c>
      <c r="E407">
        <v>0.44114833799999997</v>
      </c>
      <c r="F407">
        <v>0.56523318099999997</v>
      </c>
      <c r="G407">
        <v>0.72191307000000005</v>
      </c>
      <c r="H407">
        <v>0.93679943799999998</v>
      </c>
      <c r="I407">
        <v>1.3365648569999999</v>
      </c>
      <c r="J407">
        <v>1.574484153</v>
      </c>
      <c r="K407">
        <v>1.6224372220000001</v>
      </c>
      <c r="L407">
        <v>1.692529159</v>
      </c>
      <c r="M407">
        <v>1.895356839</v>
      </c>
      <c r="N407">
        <v>1.9269976470000001</v>
      </c>
      <c r="O407">
        <v>1.9414515240000001</v>
      </c>
      <c r="P407">
        <v>1.96177442</v>
      </c>
    </row>
    <row r="408" spans="2:43" x14ac:dyDescent="0.2">
      <c r="B408">
        <v>2.7062065E-2</v>
      </c>
      <c r="C408">
        <v>9.5919641999999999E-2</v>
      </c>
      <c r="D408">
        <v>0.196687891</v>
      </c>
      <c r="E408">
        <v>0.37567857900000001</v>
      </c>
      <c r="F408">
        <v>0.53248356900000005</v>
      </c>
      <c r="G408">
        <v>0.68980872500000001</v>
      </c>
      <c r="H408">
        <v>0.83813980099999996</v>
      </c>
      <c r="I408">
        <v>0.92838321599999996</v>
      </c>
      <c r="J408">
        <v>1.269596435</v>
      </c>
      <c r="K408">
        <v>1.2671114489999999</v>
      </c>
      <c r="L408">
        <v>1.3283080629999999</v>
      </c>
      <c r="M408">
        <v>1.3877407589999999</v>
      </c>
      <c r="N408">
        <v>1.461337291</v>
      </c>
      <c r="O408">
        <v>1.764743441</v>
      </c>
      <c r="P408">
        <v>1.757660864</v>
      </c>
    </row>
    <row r="409" spans="2:43" x14ac:dyDescent="0.2">
      <c r="B409">
        <v>2.5225422000000001E-2</v>
      </c>
      <c r="C409">
        <v>0.13456103799999999</v>
      </c>
      <c r="D409">
        <v>0.22362502000000001</v>
      </c>
      <c r="E409">
        <v>0.39429725100000002</v>
      </c>
      <c r="F409">
        <v>0.54727595100000004</v>
      </c>
      <c r="G409">
        <v>0.69453373399999996</v>
      </c>
      <c r="H409">
        <v>0.76282845600000004</v>
      </c>
      <c r="I409">
        <v>0.99709786499999997</v>
      </c>
      <c r="J409">
        <v>1.142014088</v>
      </c>
      <c r="K409">
        <v>1.2663642900000001</v>
      </c>
      <c r="L409">
        <v>1.4441065390000001</v>
      </c>
      <c r="M409">
        <v>1.7110011249999999</v>
      </c>
      <c r="N409">
        <v>1.9030163040000001</v>
      </c>
      <c r="O409">
        <v>1.7945568460000001</v>
      </c>
      <c r="P409">
        <v>1.7766869240000001</v>
      </c>
    </row>
    <row r="410" spans="2:43" x14ac:dyDescent="0.2">
      <c r="B410">
        <v>3.3300215000000001E-2</v>
      </c>
      <c r="C410">
        <v>0.109915022</v>
      </c>
      <c r="D410">
        <v>0.26589982299999998</v>
      </c>
      <c r="E410">
        <v>0.48098001200000001</v>
      </c>
      <c r="F410">
        <v>0.53885808499999999</v>
      </c>
      <c r="G410">
        <v>0.63233835000000005</v>
      </c>
      <c r="H410">
        <v>0.69664412799999997</v>
      </c>
      <c r="I410">
        <v>0.78559349499999998</v>
      </c>
      <c r="J410">
        <v>0.84670904400000002</v>
      </c>
      <c r="K410">
        <v>0.96047921300000005</v>
      </c>
      <c r="L410">
        <v>1.166773547</v>
      </c>
      <c r="M410">
        <v>1.3694739359999999</v>
      </c>
      <c r="N410">
        <v>1.6232018939999999</v>
      </c>
      <c r="O410">
        <v>1.6847912089999999</v>
      </c>
      <c r="P410">
        <v>1.738218</v>
      </c>
    </row>
    <row r="411" spans="2:43" x14ac:dyDescent="0.2">
      <c r="B411">
        <v>2.9279013E-2</v>
      </c>
      <c r="C411">
        <v>0.113887513</v>
      </c>
      <c r="D411">
        <v>0.25112267500000002</v>
      </c>
      <c r="E411">
        <v>0.40643369000000001</v>
      </c>
      <c r="F411">
        <v>0.51202235500000004</v>
      </c>
      <c r="G411">
        <v>0.59579568500000002</v>
      </c>
      <c r="H411">
        <v>0.67860015600000001</v>
      </c>
      <c r="I411">
        <v>0.72186286099999997</v>
      </c>
      <c r="J411">
        <v>0.81782518000000004</v>
      </c>
      <c r="K411">
        <v>0.874899121</v>
      </c>
      <c r="L411">
        <v>0.97760769599999997</v>
      </c>
      <c r="M411">
        <v>1.044707584</v>
      </c>
      <c r="N411">
        <v>1.1519333899999999</v>
      </c>
      <c r="O411">
        <v>1.389053393</v>
      </c>
      <c r="P411">
        <v>1.6261733949999999</v>
      </c>
    </row>
    <row r="412" spans="2:43" x14ac:dyDescent="0.2">
      <c r="B412">
        <v>2.9279013E-2</v>
      </c>
      <c r="C412">
        <v>0.113887513</v>
      </c>
      <c r="D412">
        <v>0.25112267500000002</v>
      </c>
      <c r="E412">
        <v>0.40643369000000001</v>
      </c>
      <c r="F412">
        <v>0.51202235500000004</v>
      </c>
      <c r="G412">
        <v>0.59579568500000002</v>
      </c>
      <c r="H412">
        <v>0.67860015600000001</v>
      </c>
      <c r="I412">
        <v>0.72186286099999997</v>
      </c>
      <c r="J412">
        <v>0.81782518000000004</v>
      </c>
      <c r="K412">
        <v>0.874899121</v>
      </c>
      <c r="L412">
        <v>0.97760769599999997</v>
      </c>
      <c r="M412">
        <v>1.044707584</v>
      </c>
      <c r="N412">
        <v>1.1519333899999999</v>
      </c>
      <c r="O412">
        <v>1.389053393</v>
      </c>
      <c r="P412">
        <v>1.6261733949999999</v>
      </c>
    </row>
    <row r="413" spans="2:43" x14ac:dyDescent="0.2">
      <c r="B413">
        <v>2.2340125999999998E-2</v>
      </c>
      <c r="C413">
        <v>0.16307050200000001</v>
      </c>
      <c r="D413">
        <v>0.28087430200000002</v>
      </c>
      <c r="E413">
        <v>0.37731543899999997</v>
      </c>
      <c r="F413">
        <v>0.47539210599999998</v>
      </c>
      <c r="G413">
        <v>0.56840108600000006</v>
      </c>
      <c r="H413">
        <v>0.73328093900000002</v>
      </c>
      <c r="I413">
        <v>0.80313542400000004</v>
      </c>
      <c r="J413">
        <v>0.84026475199999995</v>
      </c>
      <c r="K413">
        <v>0.95574643400000003</v>
      </c>
      <c r="L413">
        <v>1.077189269</v>
      </c>
      <c r="M413">
        <v>0.99408522200000005</v>
      </c>
      <c r="N413">
        <v>1.21649973</v>
      </c>
      <c r="O413">
        <v>1.350697939</v>
      </c>
      <c r="P413">
        <v>1.969390269</v>
      </c>
    </row>
    <row r="414" spans="2:43" x14ac:dyDescent="0.2">
      <c r="B414">
        <v>1.6258696999999999E-2</v>
      </c>
      <c r="C414">
        <v>8.6594742000000002E-2</v>
      </c>
      <c r="D414">
        <v>0.30182416400000001</v>
      </c>
      <c r="E414">
        <v>0.429249251</v>
      </c>
      <c r="F414">
        <v>0.50915456000000003</v>
      </c>
      <c r="G414">
        <v>0.54300278400000002</v>
      </c>
      <c r="H414">
        <v>0.622477159</v>
      </c>
      <c r="I414">
        <v>0.739921418</v>
      </c>
      <c r="J414">
        <v>0.84854919900000003</v>
      </c>
      <c r="K414">
        <v>0.89023341600000006</v>
      </c>
      <c r="L414">
        <v>0.96316922800000004</v>
      </c>
      <c r="M414">
        <v>1.0248896320000001</v>
      </c>
      <c r="N414">
        <v>1.139446553</v>
      </c>
      <c r="O414">
        <v>0.97998985500000002</v>
      </c>
      <c r="P414">
        <v>2.4030599449999999</v>
      </c>
    </row>
    <row r="415" spans="2:43" x14ac:dyDescent="0.2">
      <c r="B415" t="s">
        <v>51</v>
      </c>
    </row>
    <row r="416" spans="2:43" x14ac:dyDescent="0.2">
      <c r="B416">
        <v>0.80156997399999996</v>
      </c>
      <c r="C416">
        <v>1.3087779260000001</v>
      </c>
      <c r="D416">
        <v>0.88700000000000001</v>
      </c>
      <c r="E416">
        <v>0.96299999999999997</v>
      </c>
      <c r="F416">
        <v>0.66069537300000003</v>
      </c>
      <c r="G416">
        <v>1.363870605</v>
      </c>
      <c r="H416">
        <v>0.93734663900000004</v>
      </c>
      <c r="I416">
        <v>1.263771226</v>
      </c>
      <c r="J416">
        <v>1.0361090150000001</v>
      </c>
      <c r="K416">
        <v>1.218350075</v>
      </c>
      <c r="L416">
        <v>0.770514845</v>
      </c>
      <c r="M416">
        <v>1.31695717</v>
      </c>
      <c r="N416">
        <v>0.565789349</v>
      </c>
      <c r="O416">
        <v>0.64625486399999998</v>
      </c>
      <c r="P416">
        <v>1.4475777780000001</v>
      </c>
      <c r="Q416">
        <v>1.095249208</v>
      </c>
      <c r="R416">
        <v>1.4759994009999999</v>
      </c>
      <c r="S416">
        <v>0.14905569799999999</v>
      </c>
      <c r="T416">
        <v>0.87097416800000005</v>
      </c>
      <c r="U416">
        <v>1.0491986369999999</v>
      </c>
      <c r="V416">
        <v>1.431904869</v>
      </c>
      <c r="W416">
        <v>1.629112326</v>
      </c>
      <c r="X416">
        <v>1.4675960459999999</v>
      </c>
      <c r="Y416">
        <v>1.4998822730000001</v>
      </c>
      <c r="Z416">
        <v>0.65158360800000004</v>
      </c>
      <c r="AA416">
        <v>0.64470445300000001</v>
      </c>
      <c r="AB416">
        <v>0.407246675</v>
      </c>
      <c r="AC416">
        <v>0.43967159300000003</v>
      </c>
      <c r="AD416">
        <v>0.43967159300000003</v>
      </c>
      <c r="AE416">
        <v>0.43967159300000003</v>
      </c>
      <c r="AF416">
        <v>0.43967159300000003</v>
      </c>
      <c r="AG416">
        <v>0.43967159300000003</v>
      </c>
      <c r="AH416">
        <v>0.43967159300000003</v>
      </c>
      <c r="AI416">
        <v>0.43967159300000003</v>
      </c>
      <c r="AJ416">
        <v>0.4</v>
      </c>
      <c r="AK416">
        <v>0.4</v>
      </c>
      <c r="AL416">
        <v>0.4</v>
      </c>
      <c r="AM416">
        <v>0.4</v>
      </c>
      <c r="AN416">
        <v>0.4</v>
      </c>
      <c r="AO416">
        <v>0.4</v>
      </c>
      <c r="AP416">
        <v>0.4</v>
      </c>
      <c r="AQ416">
        <v>0.4</v>
      </c>
    </row>
    <row r="417" spans="2:16" x14ac:dyDescent="0.2">
      <c r="B417" t="s">
        <v>53</v>
      </c>
    </row>
    <row r="418" spans="2:16" x14ac:dyDescent="0.2">
      <c r="B418">
        <v>1</v>
      </c>
    </row>
    <row r="419" spans="2:16" x14ac:dyDescent="0.2">
      <c r="B419" t="s">
        <v>54</v>
      </c>
    </row>
    <row r="420" spans="2:16" x14ac:dyDescent="0.2">
      <c r="B420">
        <v>0.99399999999999999</v>
      </c>
      <c r="C420">
        <v>5.7600000000000004E-3</v>
      </c>
      <c r="D420" s="1">
        <v>1.7199999999999999E-14</v>
      </c>
      <c r="E420">
        <v>0</v>
      </c>
      <c r="F420">
        <v>0</v>
      </c>
      <c r="G420">
        <v>0</v>
      </c>
      <c r="H420">
        <v>0</v>
      </c>
      <c r="I420">
        <v>0</v>
      </c>
      <c r="J420">
        <v>0</v>
      </c>
      <c r="K420">
        <v>0</v>
      </c>
      <c r="L420">
        <v>0</v>
      </c>
      <c r="M420">
        <v>0</v>
      </c>
      <c r="N420">
        <v>0</v>
      </c>
      <c r="O420">
        <v>0</v>
      </c>
      <c r="P420">
        <v>0</v>
      </c>
    </row>
    <row r="421" spans="2:16" x14ac:dyDescent="0.2">
      <c r="B421">
        <v>1.7600000000000001E-2</v>
      </c>
      <c r="C421">
        <v>0.96499999999999997</v>
      </c>
      <c r="D421">
        <v>1.7600000000000001E-2</v>
      </c>
      <c r="E421" s="1">
        <v>1.3200000000000001E-10</v>
      </c>
      <c r="F421">
        <v>0</v>
      </c>
      <c r="G421">
        <v>0</v>
      </c>
      <c r="H421">
        <v>0</v>
      </c>
      <c r="I421">
        <v>0</v>
      </c>
      <c r="J421">
        <v>0</v>
      </c>
      <c r="K421">
        <v>0</v>
      </c>
      <c r="L421">
        <v>0</v>
      </c>
      <c r="M421">
        <v>0</v>
      </c>
      <c r="N421">
        <v>0</v>
      </c>
      <c r="O421">
        <v>0</v>
      </c>
      <c r="P421">
        <v>0</v>
      </c>
    </row>
    <row r="422" spans="2:16" x14ac:dyDescent="0.2">
      <c r="B422" s="1">
        <v>3.0199999999999999E-8</v>
      </c>
      <c r="C422">
        <v>3.5499999999999997E-2</v>
      </c>
      <c r="D422">
        <v>0.92900000000000005</v>
      </c>
      <c r="E422">
        <v>3.5499999999999997E-2</v>
      </c>
      <c r="F422" s="1">
        <v>3.0199999999999999E-8</v>
      </c>
      <c r="G422">
        <v>0</v>
      </c>
      <c r="H422">
        <v>0</v>
      </c>
      <c r="I422">
        <v>0</v>
      </c>
      <c r="J422">
        <v>0</v>
      </c>
      <c r="K422">
        <v>0</v>
      </c>
      <c r="L422">
        <v>0</v>
      </c>
      <c r="M422">
        <v>0</v>
      </c>
      <c r="N422">
        <v>0</v>
      </c>
      <c r="O422">
        <v>0</v>
      </c>
      <c r="P422">
        <v>0</v>
      </c>
    </row>
    <row r="423" spans="2:16" x14ac:dyDescent="0.2">
      <c r="B423" s="1">
        <v>1.3799999999999999E-15</v>
      </c>
      <c r="C423">
        <v>1.06E-6</v>
      </c>
      <c r="D423">
        <v>5.7000000000000002E-2</v>
      </c>
      <c r="E423">
        <v>0.88600000000000001</v>
      </c>
      <c r="F423">
        <v>5.7015090999999997E-2</v>
      </c>
      <c r="G423">
        <v>1.06E-6</v>
      </c>
      <c r="H423">
        <v>0</v>
      </c>
      <c r="I423">
        <v>0</v>
      </c>
      <c r="J423">
        <v>0</v>
      </c>
      <c r="K423">
        <v>0</v>
      </c>
      <c r="L423">
        <v>0</v>
      </c>
      <c r="M423">
        <v>0</v>
      </c>
      <c r="N423">
        <v>0</v>
      </c>
      <c r="O423">
        <v>0</v>
      </c>
      <c r="P423">
        <v>0</v>
      </c>
    </row>
    <row r="424" spans="2:16" x14ac:dyDescent="0.2">
      <c r="B424" s="1">
        <v>3.9999999999999998E-23</v>
      </c>
      <c r="C424" s="1">
        <v>1.0700000000000001E-12</v>
      </c>
      <c r="D424">
        <v>1.2500000000000001E-5</v>
      </c>
      <c r="E424">
        <v>0.08</v>
      </c>
      <c r="F424">
        <v>0.84</v>
      </c>
      <c r="G424">
        <v>8.0011094000000005E-2</v>
      </c>
      <c r="H424">
        <v>1.2500000000000001E-5</v>
      </c>
      <c r="I424" s="1">
        <v>1.0700000000000001E-12</v>
      </c>
      <c r="J424">
        <v>0</v>
      </c>
      <c r="K424">
        <v>0</v>
      </c>
      <c r="L424">
        <v>0</v>
      </c>
      <c r="M424">
        <v>0</v>
      </c>
      <c r="N424">
        <v>0</v>
      </c>
      <c r="O424">
        <v>0</v>
      </c>
      <c r="P424">
        <v>0</v>
      </c>
    </row>
    <row r="425" spans="2:16" x14ac:dyDescent="0.2">
      <c r="B425" s="1">
        <v>2.5999999999999999E-30</v>
      </c>
      <c r="C425" s="1">
        <v>4.3000000000000002E-19</v>
      </c>
      <c r="D425" s="1">
        <v>1.28E-10</v>
      </c>
      <c r="E425">
        <v>7.4200000000000001E-5</v>
      </c>
      <c r="F425">
        <v>0.10299999999999999</v>
      </c>
      <c r="G425">
        <v>0.79400000000000004</v>
      </c>
      <c r="H425">
        <v>0.102942042</v>
      </c>
      <c r="I425">
        <v>7.4200000000000001E-5</v>
      </c>
      <c r="J425" s="1">
        <v>1.28E-10</v>
      </c>
      <c r="K425">
        <v>0</v>
      </c>
      <c r="L425">
        <v>0</v>
      </c>
      <c r="M425">
        <v>0</v>
      </c>
      <c r="N425">
        <v>0</v>
      </c>
      <c r="O425">
        <v>0</v>
      </c>
      <c r="P425">
        <v>0</v>
      </c>
    </row>
    <row r="426" spans="2:16" x14ac:dyDescent="0.2">
      <c r="B426" s="1">
        <v>5.8400000000000001E-37</v>
      </c>
      <c r="C426" s="1">
        <v>2.1499999999999999E-25</v>
      </c>
      <c r="D426" s="1">
        <v>4.2099999999999999E-16</v>
      </c>
      <c r="E426" s="1">
        <v>4.4999999999999998E-9</v>
      </c>
      <c r="F426">
        <v>2.81E-4</v>
      </c>
      <c r="G426">
        <v>0.125</v>
      </c>
      <c r="H426">
        <v>0.75</v>
      </c>
      <c r="I426">
        <v>0.124855101</v>
      </c>
      <c r="J426">
        <v>2.81265E-4</v>
      </c>
      <c r="K426" s="1">
        <v>4.4999999999999998E-9</v>
      </c>
      <c r="L426">
        <v>0</v>
      </c>
      <c r="M426">
        <v>0</v>
      </c>
      <c r="N426">
        <v>0</v>
      </c>
      <c r="O426">
        <v>0</v>
      </c>
      <c r="P426">
        <v>0</v>
      </c>
    </row>
    <row r="427" spans="2:16" x14ac:dyDescent="0.2">
      <c r="B427" s="1">
        <v>4.98E-43</v>
      </c>
      <c r="C427" s="1">
        <v>2.2199999999999998E-31</v>
      </c>
      <c r="D427" s="1">
        <v>1.21E-21</v>
      </c>
      <c r="E427" s="1">
        <v>8.0499999999999998E-14</v>
      </c>
      <c r="F427" s="1">
        <v>6.8299999999999996E-8</v>
      </c>
      <c r="G427">
        <v>7.8399999999999997E-4</v>
      </c>
      <c r="H427">
        <v>0.14499999999999999</v>
      </c>
      <c r="I427">
        <v>0.70799999999999996</v>
      </c>
      <c r="J427">
        <v>0.145168358</v>
      </c>
      <c r="K427">
        <v>7.8375799999999996E-4</v>
      </c>
      <c r="L427" s="1">
        <v>6.8299999999999996E-8</v>
      </c>
      <c r="M427" s="1">
        <v>8.0499999999999998E-14</v>
      </c>
      <c r="N427">
        <v>0</v>
      </c>
      <c r="O427">
        <v>0</v>
      </c>
      <c r="P427">
        <v>0</v>
      </c>
    </row>
    <row r="428" spans="2:16" x14ac:dyDescent="0.2">
      <c r="B428" s="1">
        <v>1.5299999999999999E-48</v>
      </c>
      <c r="C428" s="1">
        <v>5.7200000000000001E-37</v>
      </c>
      <c r="D428" s="1">
        <v>4.9599999999999999E-27</v>
      </c>
      <c r="E428" s="1">
        <v>1.01E-18</v>
      </c>
      <c r="F428" s="1">
        <v>4.8599999999999999E-12</v>
      </c>
      <c r="G428">
        <v>5.7299999999999996E-7</v>
      </c>
      <c r="H428">
        <v>1.7600000000000001E-3</v>
      </c>
      <c r="I428">
        <v>0.16400000000000001</v>
      </c>
      <c r="J428">
        <v>0.66900000000000004</v>
      </c>
      <c r="K428">
        <v>0.163535451</v>
      </c>
      <c r="L428">
        <v>1.7562719999999999E-3</v>
      </c>
      <c r="M428">
        <v>5.7299999999999996E-7</v>
      </c>
      <c r="N428" s="1">
        <v>4.8599999999999999E-12</v>
      </c>
      <c r="O428">
        <v>0</v>
      </c>
      <c r="P428">
        <v>0</v>
      </c>
    </row>
    <row r="429" spans="2:16" x14ac:dyDescent="0.2">
      <c r="B429" s="1">
        <v>1.5300000000000001E-53</v>
      </c>
      <c r="C429" s="1">
        <v>3.8400000000000003E-42</v>
      </c>
      <c r="D429" s="1">
        <v>3.7300000000000001E-32</v>
      </c>
      <c r="E429" s="1">
        <v>1.4199999999999999E-23</v>
      </c>
      <c r="F429" s="1">
        <v>2.1199999999999999E-16</v>
      </c>
      <c r="G429" s="1">
        <v>1.27E-10</v>
      </c>
      <c r="H429">
        <v>3.1300000000000001E-6</v>
      </c>
      <c r="I429">
        <v>3.3600000000000001E-3</v>
      </c>
      <c r="J429">
        <v>0.18</v>
      </c>
      <c r="K429">
        <v>0.63400000000000001</v>
      </c>
      <c r="L429">
        <v>0.179774235</v>
      </c>
      <c r="M429">
        <v>3.3563550000000001E-3</v>
      </c>
      <c r="N429">
        <v>3.1300000000000001E-6</v>
      </c>
      <c r="O429" s="1">
        <v>1.27E-10</v>
      </c>
      <c r="P429">
        <v>0</v>
      </c>
    </row>
    <row r="430" spans="2:16" x14ac:dyDescent="0.2">
      <c r="B430" s="1">
        <v>4.4499999999999998E-58</v>
      </c>
      <c r="C430" s="1">
        <v>6.5200000000000004E-47</v>
      </c>
      <c r="D430" s="1">
        <v>5.6400000000000002E-37</v>
      </c>
      <c r="E430" s="1">
        <v>2.8799999999999998E-28</v>
      </c>
      <c r="F430" s="1">
        <v>8.7800000000000005E-21</v>
      </c>
      <c r="G430" s="1">
        <v>1.6000000000000001E-14</v>
      </c>
      <c r="H430" s="1">
        <v>1.7800000000000001E-9</v>
      </c>
      <c r="I430">
        <v>1.24E-5</v>
      </c>
      <c r="J430">
        <v>5.6899999999999997E-3</v>
      </c>
      <c r="K430">
        <v>0.19400000000000001</v>
      </c>
      <c r="L430">
        <v>0.60093454000000002</v>
      </c>
      <c r="M430">
        <v>0.19382756100000001</v>
      </c>
      <c r="N430">
        <v>5.6927599999999998E-3</v>
      </c>
      <c r="O430">
        <v>1.24E-5</v>
      </c>
      <c r="P430" s="1">
        <v>1.7800000000000001E-9</v>
      </c>
    </row>
    <row r="431" spans="2:16" x14ac:dyDescent="0.2">
      <c r="B431" s="1">
        <v>3.3199999999999998E-62</v>
      </c>
      <c r="C431" s="1">
        <v>2.6499999999999999E-51</v>
      </c>
      <c r="D431" s="1">
        <v>1.75E-41</v>
      </c>
      <c r="E431" s="1">
        <v>9.6399999999999999E-33</v>
      </c>
      <c r="F431" s="1">
        <v>4.4300000000000003E-25</v>
      </c>
      <c r="G431" s="1">
        <v>1.71E-18</v>
      </c>
      <c r="H431" s="1">
        <v>5.5700000000000005E-13</v>
      </c>
      <c r="I431" s="1">
        <v>1.5600000000000001E-8</v>
      </c>
      <c r="J431">
        <v>3.8600000000000003E-5</v>
      </c>
      <c r="K431">
        <v>8.8100000000000001E-3</v>
      </c>
      <c r="L431">
        <v>0.20599999999999999</v>
      </c>
      <c r="M431">
        <v>0.57083187300000005</v>
      </c>
      <c r="N431">
        <v>0.205734376</v>
      </c>
      <c r="O431">
        <v>8.8111119999999994E-3</v>
      </c>
      <c r="P431">
        <v>3.8600000000000003E-5</v>
      </c>
    </row>
    <row r="432" spans="2:16" x14ac:dyDescent="0.2">
      <c r="B432" s="1">
        <v>5.7299999999999998E-66</v>
      </c>
      <c r="C432" s="1">
        <v>2.39E-55</v>
      </c>
      <c r="D432" s="1">
        <v>1.1E-45</v>
      </c>
      <c r="E432" s="1">
        <v>5.5699999999999996E-37</v>
      </c>
      <c r="F432" s="1">
        <v>3.13E-29</v>
      </c>
      <c r="G432" s="1">
        <v>1.95E-22</v>
      </c>
      <c r="H432" s="1">
        <v>1.3599999999999999E-16</v>
      </c>
      <c r="I432" s="1">
        <v>1.0599999999999999E-11</v>
      </c>
      <c r="J432">
        <v>9.5000000000000004E-8</v>
      </c>
      <c r="K432">
        <v>9.9300000000000001E-5</v>
      </c>
      <c r="L432">
        <v>1.2699999999999999E-2</v>
      </c>
      <c r="M432">
        <v>0.215603453</v>
      </c>
      <c r="N432">
        <v>0.54320473700000005</v>
      </c>
      <c r="O432">
        <v>0.215603453</v>
      </c>
      <c r="P432">
        <v>1.2794178E-2</v>
      </c>
    </row>
    <row r="433" spans="2:51" x14ac:dyDescent="0.2">
      <c r="B433" s="1">
        <v>2.08E-69</v>
      </c>
      <c r="C433" s="1">
        <v>4.4700000000000001E-59</v>
      </c>
      <c r="D433" s="1">
        <v>1.3400000000000001E-49</v>
      </c>
      <c r="E433" s="1">
        <v>5.6499999999999999E-41</v>
      </c>
      <c r="F433" s="1">
        <v>3.3300000000000002E-33</v>
      </c>
      <c r="G433" s="1">
        <v>2.7600000000000002E-26</v>
      </c>
      <c r="H433" s="1">
        <v>3.2199999999999998E-20</v>
      </c>
      <c r="I433" s="1">
        <v>5.34E-15</v>
      </c>
      <c r="J433" s="1">
        <v>1.26E-10</v>
      </c>
      <c r="K433">
        <v>4.3300000000000003E-7</v>
      </c>
      <c r="L433">
        <v>2.2000000000000001E-4</v>
      </c>
      <c r="M433">
        <v>1.7275672999999998E-2</v>
      </c>
      <c r="N433">
        <v>0.22358935199999999</v>
      </c>
      <c r="O433">
        <v>0.51782865899999997</v>
      </c>
      <c r="P433">
        <v>0.24108567</v>
      </c>
    </row>
    <row r="434" spans="2:51" x14ac:dyDescent="0.2">
      <c r="B434" s="1">
        <v>1.46E-72</v>
      </c>
      <c r="C434" s="1">
        <v>1.6199999999999999E-62</v>
      </c>
      <c r="D434" s="1">
        <v>3.0699999999999999E-53</v>
      </c>
      <c r="E434" s="1">
        <v>9.9400000000000004E-45</v>
      </c>
      <c r="F434" s="1">
        <v>5.5200000000000002E-37</v>
      </c>
      <c r="G434" s="1">
        <v>5.26E-30</v>
      </c>
      <c r="H434" s="1">
        <v>8.6300000000000002E-24</v>
      </c>
      <c r="I434" s="1">
        <v>2.4400000000000001E-18</v>
      </c>
      <c r="J434" s="1">
        <v>1.1999999999999999E-13</v>
      </c>
      <c r="K434" s="1">
        <v>1.03E-9</v>
      </c>
      <c r="L434">
        <v>1.57E-6</v>
      </c>
      <c r="M434">
        <v>4.33888E-4</v>
      </c>
      <c r="N434">
        <v>2.2448549000000002E-2</v>
      </c>
      <c r="O434">
        <v>0.229871987</v>
      </c>
      <c r="P434">
        <v>0.74724400199999996</v>
      </c>
    </row>
    <row r="435" spans="2:51" x14ac:dyDescent="0.2">
      <c r="B435" t="s">
        <v>55</v>
      </c>
    </row>
    <row r="436" spans="2:51" x14ac:dyDescent="0.2">
      <c r="B436">
        <v>50</v>
      </c>
    </row>
    <row r="437" spans="2:51" x14ac:dyDescent="0.2">
      <c r="B437" t="s">
        <v>56</v>
      </c>
    </row>
    <row r="438" spans="2:51" x14ac:dyDescent="0.2">
      <c r="B438">
        <v>356.30169999999998</v>
      </c>
      <c r="C438">
        <v>191.3244</v>
      </c>
      <c r="D438">
        <v>175.99860000000001</v>
      </c>
      <c r="E438">
        <v>272.32119999999998</v>
      </c>
      <c r="F438">
        <v>300.42899999999997</v>
      </c>
      <c r="G438">
        <v>379.95339999999999</v>
      </c>
      <c r="H438">
        <v>1060.6808000000001</v>
      </c>
      <c r="I438">
        <v>1871.7529999999999</v>
      </c>
      <c r="J438">
        <v>3406.3110000000001</v>
      </c>
      <c r="K438">
        <v>8008.7790000000005</v>
      </c>
      <c r="L438">
        <v>14866.69</v>
      </c>
      <c r="M438">
        <v>28191.33</v>
      </c>
      <c r="N438">
        <v>47829.85</v>
      </c>
      <c r="O438">
        <v>75761.34</v>
      </c>
      <c r="P438">
        <v>118991.21</v>
      </c>
      <c r="Q438">
        <v>160278.74</v>
      </c>
      <c r="R438">
        <v>187798.99</v>
      </c>
      <c r="S438">
        <v>195005.81</v>
      </c>
      <c r="T438">
        <v>161925.57</v>
      </c>
      <c r="U438">
        <v>120952.47</v>
      </c>
      <c r="V438">
        <v>81832.509999999995</v>
      </c>
      <c r="W438">
        <v>58525.5</v>
      </c>
      <c r="X438">
        <v>48529.8</v>
      </c>
      <c r="Y438">
        <v>53112.68</v>
      </c>
      <c r="Z438">
        <v>63932.6</v>
      </c>
      <c r="AA438">
        <v>85089.87</v>
      </c>
      <c r="AB438">
        <v>99836.23</v>
      </c>
      <c r="AC438">
        <v>108665.82</v>
      </c>
      <c r="AD438">
        <v>106007.88</v>
      </c>
      <c r="AE438">
        <v>95931.45</v>
      </c>
      <c r="AF438">
        <v>84187.29</v>
      </c>
      <c r="AG438">
        <v>68509.41</v>
      </c>
      <c r="AH438">
        <v>54431.39</v>
      </c>
      <c r="AI438">
        <v>41751.01</v>
      </c>
      <c r="AJ438">
        <v>29627.829000000002</v>
      </c>
      <c r="AK438">
        <v>23569.507000000001</v>
      </c>
      <c r="AL438">
        <v>16344.513000000001</v>
      </c>
      <c r="AM438">
        <v>12779.3747</v>
      </c>
      <c r="AN438">
        <v>8947.8269</v>
      </c>
      <c r="AO438">
        <v>6733.8239000000003</v>
      </c>
      <c r="AP438">
        <v>5031.3190000000004</v>
      </c>
      <c r="AQ438">
        <v>3361.0409</v>
      </c>
      <c r="AR438">
        <v>2788.0421000000001</v>
      </c>
      <c r="AS438">
        <v>1906.3801000000001</v>
      </c>
      <c r="AT438">
        <v>1438.2577000000001</v>
      </c>
      <c r="AU438">
        <v>870.67470000000003</v>
      </c>
      <c r="AV438">
        <v>733.15530000000001</v>
      </c>
      <c r="AW438">
        <v>561.25170000000003</v>
      </c>
      <c r="AX438">
        <v>392.63940000000002</v>
      </c>
      <c r="AY438">
        <v>298.4975</v>
      </c>
    </row>
    <row r="439" spans="2:51" x14ac:dyDescent="0.2">
      <c r="B439" t="s">
        <v>57</v>
      </c>
    </row>
    <row r="440" spans="2:51" x14ac:dyDescent="0.2">
      <c r="B440">
        <v>1</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row>
    <row r="441" spans="2:51" x14ac:dyDescent="0.2">
      <c r="B441">
        <v>0.99</v>
      </c>
      <c r="C441">
        <v>9.4900000000000002E-3</v>
      </c>
      <c r="D441">
        <v>2.2200000000000001E-5</v>
      </c>
      <c r="E441">
        <v>2.2200000000000001E-5</v>
      </c>
      <c r="F441">
        <v>3.4400000000000001E-7</v>
      </c>
      <c r="G441" s="1">
        <v>8.8900000000000005E-9</v>
      </c>
      <c r="H441" s="1">
        <v>6.4199999999999995E-10</v>
      </c>
      <c r="I441" s="1">
        <v>3.83E-11</v>
      </c>
      <c r="J441" s="1">
        <v>1.8899999999999998E-12</v>
      </c>
      <c r="K441" s="1">
        <v>7.6700000000000004E-14</v>
      </c>
      <c r="L441" s="1">
        <v>2.55E-15</v>
      </c>
      <c r="M441" s="1">
        <v>1.11E-16</v>
      </c>
      <c r="N441">
        <v>0</v>
      </c>
      <c r="O441">
        <v>0</v>
      </c>
      <c r="P441">
        <v>0</v>
      </c>
      <c r="Q441">
        <v>0</v>
      </c>
      <c r="R441">
        <v>0</v>
      </c>
      <c r="S441">
        <v>0</v>
      </c>
      <c r="T441">
        <v>0</v>
      </c>
      <c r="U441">
        <v>0</v>
      </c>
      <c r="V441">
        <v>0</v>
      </c>
      <c r="W441">
        <v>0</v>
      </c>
      <c r="X441">
        <v>0</v>
      </c>
      <c r="Y441">
        <v>0</v>
      </c>
      <c r="Z441">
        <v>0</v>
      </c>
    </row>
    <row r="442" spans="2:51" x14ac:dyDescent="0.2">
      <c r="B442">
        <v>0.18</v>
      </c>
      <c r="C442">
        <v>0.23400000000000001</v>
      </c>
      <c r="D442">
        <v>0.27100000000000002</v>
      </c>
      <c r="E442">
        <v>0.19600000000000001</v>
      </c>
      <c r="F442">
        <v>7.46E-2</v>
      </c>
      <c r="G442">
        <v>2.41E-2</v>
      </c>
      <c r="H442">
        <v>1.1827654E-2</v>
      </c>
      <c r="I442">
        <v>5.1483179999999998E-3</v>
      </c>
      <c r="J442">
        <v>1.985807E-3</v>
      </c>
      <c r="K442">
        <v>6.7874700000000005E-4</v>
      </c>
      <c r="L442">
        <v>2.0557600000000001E-4</v>
      </c>
      <c r="M442">
        <v>5.52E-5</v>
      </c>
      <c r="N442">
        <v>1.31E-5</v>
      </c>
      <c r="O442">
        <v>2.7599999999999998E-6</v>
      </c>
      <c r="P442">
        <v>5.1600000000000001E-7</v>
      </c>
      <c r="Q442" s="1">
        <v>9.4500000000000006E-8</v>
      </c>
      <c r="R442" s="1">
        <v>5.14E-9</v>
      </c>
      <c r="S442" s="1">
        <v>6.6399999999999998E-11</v>
      </c>
      <c r="T442" s="1">
        <v>5.3199999999999995E-13</v>
      </c>
      <c r="U442" s="1">
        <v>2.6599999999999998E-15</v>
      </c>
      <c r="V442">
        <v>0</v>
      </c>
      <c r="W442">
        <v>0</v>
      </c>
      <c r="X442">
        <v>0</v>
      </c>
      <c r="Y442">
        <v>0</v>
      </c>
      <c r="Z442">
        <v>0</v>
      </c>
    </row>
    <row r="443" spans="2:51" x14ac:dyDescent="0.2">
      <c r="B443">
        <v>1.66E-3</v>
      </c>
      <c r="C443">
        <v>9.1299999999999992E-3</v>
      </c>
      <c r="D443">
        <v>3.7699999999999997E-2</v>
      </c>
      <c r="E443">
        <v>0.105</v>
      </c>
      <c r="F443">
        <v>0.14000000000000001</v>
      </c>
      <c r="G443">
        <v>0.11799999999999999</v>
      </c>
      <c r="H443">
        <v>0.127</v>
      </c>
      <c r="I443">
        <v>0.123</v>
      </c>
      <c r="J443">
        <v>0.108</v>
      </c>
      <c r="K443">
        <v>8.5342971000000004E-2</v>
      </c>
      <c r="L443">
        <v>6.1163852999999997E-2</v>
      </c>
      <c r="M443">
        <v>3.9625368000000001E-2</v>
      </c>
      <c r="N443">
        <v>2.3206067E-2</v>
      </c>
      <c r="O443">
        <v>1.2285068E-2</v>
      </c>
      <c r="P443">
        <v>5.8789389999999997E-3</v>
      </c>
      <c r="Q443">
        <v>3.1615749999999998E-3</v>
      </c>
      <c r="R443">
        <v>7.99915E-4</v>
      </c>
      <c r="S443">
        <v>7.7899999999999996E-5</v>
      </c>
      <c r="T443">
        <v>5.1000000000000003E-6</v>
      </c>
      <c r="U443">
        <v>2.2399999999999999E-7</v>
      </c>
      <c r="V443" s="1">
        <v>6.6100000000000001E-9</v>
      </c>
      <c r="W443" s="1">
        <v>1.3100000000000001E-10</v>
      </c>
      <c r="X443" s="1">
        <v>1.7300000000000001E-12</v>
      </c>
      <c r="Y443" s="1">
        <v>1.5299999999999999E-14</v>
      </c>
      <c r="Z443">
        <v>0</v>
      </c>
    </row>
    <row r="444" spans="2:51" x14ac:dyDescent="0.2">
      <c r="B444">
        <v>2.2299999999999998E-6</v>
      </c>
      <c r="C444">
        <v>3.4499999999999998E-5</v>
      </c>
      <c r="D444">
        <v>3.8200000000000002E-4</v>
      </c>
      <c r="E444">
        <v>2.8900000000000002E-3</v>
      </c>
      <c r="F444">
        <v>9.0100000000000006E-3</v>
      </c>
      <c r="G444">
        <v>1.4200000000000001E-2</v>
      </c>
      <c r="H444">
        <v>2.58E-2</v>
      </c>
      <c r="I444">
        <v>4.2700000000000002E-2</v>
      </c>
      <c r="J444">
        <v>6.4100000000000004E-2</v>
      </c>
      <c r="K444">
        <v>8.7300000000000003E-2</v>
      </c>
      <c r="L444">
        <v>0.107985505</v>
      </c>
      <c r="M444">
        <v>0.121217889</v>
      </c>
      <c r="N444">
        <v>0.123525185</v>
      </c>
      <c r="O444">
        <v>0.114269917</v>
      </c>
      <c r="P444">
        <v>9.5961196999999998E-2</v>
      </c>
      <c r="Q444">
        <v>0.101110882</v>
      </c>
      <c r="R444">
        <v>6.4927078999999999E-2</v>
      </c>
      <c r="S444">
        <v>1.9725952000000001E-2</v>
      </c>
      <c r="T444">
        <v>4.1035680000000001E-3</v>
      </c>
      <c r="U444">
        <v>5.8414899999999995E-4</v>
      </c>
      <c r="V444">
        <v>5.6900000000000001E-5</v>
      </c>
      <c r="W444">
        <v>3.7799999999999998E-6</v>
      </c>
      <c r="X444">
        <v>1.72E-7</v>
      </c>
      <c r="Y444" s="1">
        <v>5.3199999999999998E-9</v>
      </c>
      <c r="Z444" s="1">
        <v>1.1399999999999999E-10</v>
      </c>
    </row>
    <row r="445" spans="2:51" x14ac:dyDescent="0.2">
      <c r="B445" s="1">
        <v>2.7100000000000001E-8</v>
      </c>
      <c r="C445">
        <v>5.2200000000000004E-7</v>
      </c>
      <c r="D445">
        <v>7.6499999999999996E-6</v>
      </c>
      <c r="E445">
        <v>8.2000000000000001E-5</v>
      </c>
      <c r="F445">
        <v>3.57E-4</v>
      </c>
      <c r="G445">
        <v>7.36E-4</v>
      </c>
      <c r="H445">
        <v>1.72E-3</v>
      </c>
      <c r="I445">
        <v>3.7299999999999998E-3</v>
      </c>
      <c r="J445">
        <v>7.4700000000000001E-3</v>
      </c>
      <c r="K445">
        <v>1.38E-2</v>
      </c>
      <c r="L445">
        <v>2.3599999999999999E-2</v>
      </c>
      <c r="M445">
        <v>3.7274810999999998E-2</v>
      </c>
      <c r="N445">
        <v>5.4378942999999999E-2</v>
      </c>
      <c r="O445">
        <v>7.3305192000000005E-2</v>
      </c>
      <c r="P445">
        <v>9.1312009999999999E-2</v>
      </c>
      <c r="Q445">
        <v>0.160683414</v>
      </c>
      <c r="R445">
        <v>0.21765195200000001</v>
      </c>
      <c r="S445">
        <v>0.16675665200000001</v>
      </c>
      <c r="T445">
        <v>9.3721299999999994E-2</v>
      </c>
      <c r="U445">
        <v>3.8633431000000003E-2</v>
      </c>
      <c r="V445">
        <v>1.1677831E-2</v>
      </c>
      <c r="W445">
        <v>2.5876879999999999E-3</v>
      </c>
      <c r="X445">
        <v>4.2021099999999998E-4</v>
      </c>
      <c r="Y445">
        <v>5.0000000000000002E-5</v>
      </c>
      <c r="Z445">
        <v>4.6500000000000004E-6</v>
      </c>
    </row>
    <row r="446" spans="2:51" x14ac:dyDescent="0.2">
      <c r="B446" s="1">
        <v>8.2800000000000004E-10</v>
      </c>
      <c r="C446" s="1">
        <v>1.7500000000000001E-8</v>
      </c>
      <c r="D446">
        <v>2.9200000000000002E-7</v>
      </c>
      <c r="E446">
        <v>3.7299999999999999E-6</v>
      </c>
      <c r="F446">
        <v>1.9300000000000002E-5</v>
      </c>
      <c r="G446">
        <v>4.5899999999999998E-5</v>
      </c>
      <c r="H446">
        <v>1.2300000000000001E-4</v>
      </c>
      <c r="I446">
        <v>3.1E-4</v>
      </c>
      <c r="J446">
        <v>7.2800000000000002E-4</v>
      </c>
      <c r="K446">
        <v>1.6000000000000001E-3</v>
      </c>
      <c r="L446">
        <v>3.2699999999999999E-3</v>
      </c>
      <c r="M446">
        <v>6.2700000000000004E-3</v>
      </c>
      <c r="N446">
        <v>1.122592E-2</v>
      </c>
      <c r="O446">
        <v>1.8785278999999998E-2</v>
      </c>
      <c r="P446">
        <v>2.9377785E-2</v>
      </c>
      <c r="Q446">
        <v>7.0216606000000001E-2</v>
      </c>
      <c r="R446">
        <v>0.14928418600000001</v>
      </c>
      <c r="S446">
        <v>0.19759977500000001</v>
      </c>
      <c r="T446">
        <v>0.20043524800000001</v>
      </c>
      <c r="U446">
        <v>0.15580370900000001</v>
      </c>
      <c r="V446">
        <v>9.2806707000000002E-2</v>
      </c>
      <c r="W446">
        <v>4.2358646999999999E-2</v>
      </c>
      <c r="X446">
        <v>1.4811937000000001E-2</v>
      </c>
      <c r="Y446">
        <v>3.9675190000000001E-3</v>
      </c>
      <c r="Z446">
        <v>9.5866199999999999E-4</v>
      </c>
    </row>
    <row r="447" spans="2:51" x14ac:dyDescent="0.2">
      <c r="B447" s="1">
        <v>5.2999999999999998E-11</v>
      </c>
      <c r="C447" s="1">
        <v>1.1599999999999999E-9</v>
      </c>
      <c r="D447" s="1">
        <v>2.0599999999999999E-8</v>
      </c>
      <c r="E447">
        <v>2.8799999999999998E-7</v>
      </c>
      <c r="F447">
        <v>1.64E-6</v>
      </c>
      <c r="G447">
        <v>4.2400000000000001E-6</v>
      </c>
      <c r="H447">
        <v>1.2300000000000001E-5</v>
      </c>
      <c r="I447">
        <v>3.3800000000000002E-5</v>
      </c>
      <c r="J447">
        <v>8.7100000000000003E-5</v>
      </c>
      <c r="K447">
        <v>2.12E-4</v>
      </c>
      <c r="L447">
        <v>4.8500000000000003E-4</v>
      </c>
      <c r="M447">
        <v>1.0399999999999999E-3</v>
      </c>
      <c r="N447">
        <v>2.1199999999999999E-3</v>
      </c>
      <c r="O447">
        <v>4.0525709999999996E-3</v>
      </c>
      <c r="P447">
        <v>7.2959449999999999E-3</v>
      </c>
      <c r="Q447">
        <v>2.1165228000000001E-2</v>
      </c>
      <c r="R447">
        <v>6.0018578000000003E-2</v>
      </c>
      <c r="S447">
        <v>0.112301599</v>
      </c>
      <c r="T447">
        <v>0.16588472900000001</v>
      </c>
      <c r="U447">
        <v>0.193449022</v>
      </c>
      <c r="V447">
        <v>0.17810416500000001</v>
      </c>
      <c r="W447">
        <v>0.12945679500000001</v>
      </c>
      <c r="X447">
        <v>7.4285303999999996E-2</v>
      </c>
      <c r="Y447">
        <v>3.3649677000000003E-2</v>
      </c>
      <c r="Z447">
        <v>1.6336399000000001E-2</v>
      </c>
    </row>
    <row r="448" spans="2:51" x14ac:dyDescent="0.2">
      <c r="B448" s="1">
        <v>1.1100000000000001E-11</v>
      </c>
      <c r="C448" s="1">
        <v>2.24E-10</v>
      </c>
      <c r="D448" s="1">
        <v>3.8099999999999999E-9</v>
      </c>
      <c r="E448" s="1">
        <v>5.2399999999999999E-8</v>
      </c>
      <c r="F448">
        <v>2.9900000000000002E-7</v>
      </c>
      <c r="G448">
        <v>7.8199999999999999E-7</v>
      </c>
      <c r="H448">
        <v>2.3199999999999998E-6</v>
      </c>
      <c r="I448">
        <v>6.5300000000000002E-6</v>
      </c>
      <c r="J448">
        <v>1.7399999999999999E-5</v>
      </c>
      <c r="K448">
        <v>4.3999999999999999E-5</v>
      </c>
      <c r="L448">
        <v>1.06E-4</v>
      </c>
      <c r="M448">
        <v>2.4000000000000001E-4</v>
      </c>
      <c r="N448">
        <v>5.1699999999999999E-4</v>
      </c>
      <c r="O448">
        <v>1.058055E-3</v>
      </c>
      <c r="P448">
        <v>2.0514980000000001E-3</v>
      </c>
      <c r="Q448">
        <v>6.6261050000000002E-3</v>
      </c>
      <c r="R448">
        <v>2.2217206E-2</v>
      </c>
      <c r="S448">
        <v>5.1214137999999999E-2</v>
      </c>
      <c r="T448">
        <v>9.5720020000000003E-2</v>
      </c>
      <c r="U448">
        <v>0.145060566</v>
      </c>
      <c r="V448">
        <v>0.17825592800000001</v>
      </c>
      <c r="W448">
        <v>0.177620793</v>
      </c>
      <c r="X448">
        <v>0.14351546900000001</v>
      </c>
      <c r="Y448">
        <v>9.4026716999999996E-2</v>
      </c>
      <c r="Z448">
        <v>8.1699130999999994E-2</v>
      </c>
    </row>
    <row r="449" spans="2:26" x14ac:dyDescent="0.2">
      <c r="B449" s="1">
        <v>1.41E-11</v>
      </c>
      <c r="C449" s="1">
        <v>2.1999999999999999E-10</v>
      </c>
      <c r="D449" s="1">
        <v>3.0300000000000001E-9</v>
      </c>
      <c r="E449" s="1">
        <v>3.4900000000000001E-8</v>
      </c>
      <c r="F449">
        <v>1.7599999999999999E-7</v>
      </c>
      <c r="G449">
        <v>4.27E-7</v>
      </c>
      <c r="H449">
        <v>1.1999999999999999E-6</v>
      </c>
      <c r="I449">
        <v>3.1999999999999999E-6</v>
      </c>
      <c r="J449">
        <v>8.1899999999999995E-6</v>
      </c>
      <c r="K449">
        <v>2.0000000000000002E-5</v>
      </c>
      <c r="L449">
        <v>4.6699999999999997E-5</v>
      </c>
      <c r="M449">
        <v>1.0399999999999999E-4</v>
      </c>
      <c r="N449">
        <v>2.22E-4</v>
      </c>
      <c r="O449">
        <v>4.529E-4</v>
      </c>
      <c r="P449">
        <v>8.8199000000000003E-4</v>
      </c>
      <c r="Q449">
        <v>2.8999360000000001E-3</v>
      </c>
      <c r="R449">
        <v>1.0186588E-2</v>
      </c>
      <c r="S449">
        <v>2.5417433999999999E-2</v>
      </c>
      <c r="T449">
        <v>5.2999644999999998E-2</v>
      </c>
      <c r="U449">
        <v>9.2356586000000004E-2</v>
      </c>
      <c r="V449">
        <v>0.13450183900000001</v>
      </c>
      <c r="W449">
        <v>0.16370506700000001</v>
      </c>
      <c r="X449">
        <v>0.16652285</v>
      </c>
      <c r="Y449">
        <v>0.14156755500000001</v>
      </c>
      <c r="Z449">
        <v>0.20810120200000001</v>
      </c>
    </row>
    <row r="450" spans="2:26" x14ac:dyDescent="0.2">
      <c r="B450" s="1">
        <v>2.4299999999999999E-11</v>
      </c>
      <c r="C450" s="1">
        <v>3.0199999999999999E-10</v>
      </c>
      <c r="D450" s="1">
        <v>3.4299999999999999E-9</v>
      </c>
      <c r="E450" s="1">
        <v>3.33E-8</v>
      </c>
      <c r="F450">
        <v>1.49E-7</v>
      </c>
      <c r="G450">
        <v>3.34E-7</v>
      </c>
      <c r="H450">
        <v>8.8100000000000001E-7</v>
      </c>
      <c r="I450">
        <v>2.2299999999999998E-6</v>
      </c>
      <c r="J450">
        <v>5.4299999999999997E-6</v>
      </c>
      <c r="K450">
        <v>1.27E-5</v>
      </c>
      <c r="L450">
        <v>2.8600000000000001E-5</v>
      </c>
      <c r="M450">
        <v>6.1799999999999998E-5</v>
      </c>
      <c r="N450">
        <v>1.2799999999999999E-4</v>
      </c>
      <c r="O450">
        <v>2.5700000000000001E-4</v>
      </c>
      <c r="P450">
        <v>4.9299999999999995E-4</v>
      </c>
      <c r="Q450">
        <v>1.6072390000000001E-3</v>
      </c>
      <c r="R450">
        <v>5.6727959999999999E-3</v>
      </c>
      <c r="S450">
        <v>1.4542307000000001E-2</v>
      </c>
      <c r="T450">
        <v>3.1884033999999999E-2</v>
      </c>
      <c r="U450">
        <v>5.9789887E-2</v>
      </c>
      <c r="V450">
        <v>9.5897088000000005E-2</v>
      </c>
      <c r="W450">
        <v>0.131556698</v>
      </c>
      <c r="X450">
        <v>0.15436714100000001</v>
      </c>
      <c r="Y450">
        <v>0.154929241</v>
      </c>
      <c r="Z450">
        <v>0.348763235</v>
      </c>
    </row>
    <row r="451" spans="2:26" x14ac:dyDescent="0.2">
      <c r="B451" s="1">
        <v>5.09E-11</v>
      </c>
      <c r="C451" s="1">
        <v>5.1199999999999999E-10</v>
      </c>
      <c r="D451" s="1">
        <v>4.8699999999999999E-9</v>
      </c>
      <c r="E451" s="1">
        <v>4.0299999999999997E-8</v>
      </c>
      <c r="F451">
        <v>1.61E-7</v>
      </c>
      <c r="G451">
        <v>3.3500000000000002E-7</v>
      </c>
      <c r="H451">
        <v>8.3099999999999996E-7</v>
      </c>
      <c r="I451">
        <v>1.99E-6</v>
      </c>
      <c r="J451">
        <v>4.6E-6</v>
      </c>
      <c r="K451">
        <v>1.03E-5</v>
      </c>
      <c r="L451">
        <v>2.2200000000000001E-5</v>
      </c>
      <c r="M451">
        <v>4.6300000000000001E-5</v>
      </c>
      <c r="N451">
        <v>9.31E-5</v>
      </c>
      <c r="O451">
        <v>1.8100000000000001E-4</v>
      </c>
      <c r="P451">
        <v>3.4000000000000002E-4</v>
      </c>
      <c r="Q451">
        <v>1.0831390000000001E-3</v>
      </c>
      <c r="R451">
        <v>3.7533850000000001E-3</v>
      </c>
      <c r="S451">
        <v>9.5939839999999998E-3</v>
      </c>
      <c r="T451">
        <v>2.1360052000000001E-2</v>
      </c>
      <c r="U451">
        <v>4.1422900999999998E-2</v>
      </c>
      <c r="V451">
        <v>6.9971294000000003E-2</v>
      </c>
      <c r="W451">
        <v>0.102954544</v>
      </c>
      <c r="X451">
        <v>0.131953561</v>
      </c>
      <c r="Y451">
        <v>0.14731572600000001</v>
      </c>
      <c r="Z451">
        <v>0.46989056299999998</v>
      </c>
    </row>
    <row r="452" spans="2:26" x14ac:dyDescent="0.2">
      <c r="B452" s="1">
        <v>1.1800000000000001E-10</v>
      </c>
      <c r="C452" s="1">
        <v>9.8199999999999992E-10</v>
      </c>
      <c r="D452" s="1">
        <v>7.9500000000000001E-9</v>
      </c>
      <c r="E452" s="1">
        <v>5.69E-8</v>
      </c>
      <c r="F452">
        <v>2.04E-7</v>
      </c>
      <c r="G452">
        <v>3.96E-7</v>
      </c>
      <c r="H452">
        <v>9.2800000000000005E-7</v>
      </c>
      <c r="I452">
        <v>2.1100000000000001E-6</v>
      </c>
      <c r="J452">
        <v>4.6399999999999996E-6</v>
      </c>
      <c r="K452">
        <v>9.9000000000000001E-6</v>
      </c>
      <c r="L452">
        <v>2.05E-5</v>
      </c>
      <c r="M452">
        <v>4.1100000000000003E-5</v>
      </c>
      <c r="N452">
        <v>7.9800000000000002E-5</v>
      </c>
      <c r="O452">
        <v>1.4999999999999999E-4</v>
      </c>
      <c r="P452">
        <v>2.7500000000000002E-4</v>
      </c>
      <c r="Q452">
        <v>8.5008000000000002E-4</v>
      </c>
      <c r="R452">
        <v>2.856071E-3</v>
      </c>
      <c r="S452">
        <v>7.1557239999999996E-3</v>
      </c>
      <c r="T452">
        <v>1.5846849999999999E-2</v>
      </c>
      <c r="U452">
        <v>3.1020045999999999E-2</v>
      </c>
      <c r="V452">
        <v>5.3673089E-2</v>
      </c>
      <c r="W452">
        <v>8.2089790999999995E-2</v>
      </c>
      <c r="X452">
        <v>0.110979571</v>
      </c>
      <c r="Y452">
        <v>0.132623461</v>
      </c>
      <c r="Z452">
        <v>0.56232035800000002</v>
      </c>
    </row>
    <row r="453" spans="2:26" x14ac:dyDescent="0.2">
      <c r="B453" s="1">
        <v>2.8899999999999998E-10</v>
      </c>
      <c r="C453" s="1">
        <v>2.0099999999999999E-9</v>
      </c>
      <c r="D453" s="1">
        <v>1.4100000000000001E-8</v>
      </c>
      <c r="E453" s="1">
        <v>8.8500000000000005E-8</v>
      </c>
      <c r="F453">
        <v>2.8799999999999998E-7</v>
      </c>
      <c r="G453">
        <v>5.2200000000000004E-7</v>
      </c>
      <c r="H453">
        <v>1.1599999999999999E-6</v>
      </c>
      <c r="I453">
        <v>2.5000000000000002E-6</v>
      </c>
      <c r="J453">
        <v>5.2599999999999996E-6</v>
      </c>
      <c r="K453">
        <v>1.0699999999999999E-5</v>
      </c>
      <c r="L453">
        <v>2.1299999999999999E-5</v>
      </c>
      <c r="M453">
        <v>4.1100000000000003E-5</v>
      </c>
      <c r="N453">
        <v>7.7200000000000006E-5</v>
      </c>
      <c r="O453">
        <v>1.4100000000000001E-4</v>
      </c>
      <c r="P453">
        <v>2.5000000000000001E-4</v>
      </c>
      <c r="Q453">
        <v>7.4830800000000005E-4</v>
      </c>
      <c r="R453">
        <v>2.4220539999999999E-3</v>
      </c>
      <c r="S453">
        <v>5.8915759999999999E-3</v>
      </c>
      <c r="T453">
        <v>1.2820811E-2</v>
      </c>
      <c r="U453">
        <v>2.4959709E-2</v>
      </c>
      <c r="V453">
        <v>4.3471721999999997E-2</v>
      </c>
      <c r="W453">
        <v>6.7736108000000003E-2</v>
      </c>
      <c r="X453">
        <v>9.4423906000000002E-2</v>
      </c>
      <c r="Y453">
        <v>0.11775888599999999</v>
      </c>
      <c r="Z453">
        <v>0.62921567300000003</v>
      </c>
    </row>
    <row r="454" spans="2:26" x14ac:dyDescent="0.2">
      <c r="B454" s="1">
        <v>2.3600000000000001E-10</v>
      </c>
      <c r="C454" s="1">
        <v>1.3600000000000001E-9</v>
      </c>
      <c r="D454" s="1">
        <v>8.2800000000000004E-9</v>
      </c>
      <c r="E454" s="1">
        <v>4.58E-8</v>
      </c>
      <c r="F454">
        <v>1.36E-7</v>
      </c>
      <c r="G454">
        <v>2.34E-7</v>
      </c>
      <c r="H454">
        <v>4.9699999999999996E-7</v>
      </c>
      <c r="I454">
        <v>1.0300000000000001E-6</v>
      </c>
      <c r="J454">
        <v>2.0899999999999999E-6</v>
      </c>
      <c r="K454">
        <v>4.1500000000000001E-6</v>
      </c>
      <c r="L454">
        <v>8.0199999999999994E-6</v>
      </c>
      <c r="M454">
        <v>1.52E-5</v>
      </c>
      <c r="N454">
        <v>2.8E-5</v>
      </c>
      <c r="O454">
        <v>5.0500000000000001E-5</v>
      </c>
      <c r="P454">
        <v>8.8900000000000006E-5</v>
      </c>
      <c r="Q454">
        <v>2.6535799999999999E-4</v>
      </c>
      <c r="R454">
        <v>8.6649100000000005E-4</v>
      </c>
      <c r="S454">
        <v>2.1640240000000001E-3</v>
      </c>
      <c r="T454">
        <v>4.9218930000000001E-3</v>
      </c>
      <c r="U454">
        <v>1.0194751E-2</v>
      </c>
      <c r="V454">
        <v>1.9230809000000001E-2</v>
      </c>
      <c r="W454">
        <v>3.3036712000000003E-2</v>
      </c>
      <c r="X454">
        <v>5.1686364999999998E-2</v>
      </c>
      <c r="Y454">
        <v>7.3643837000000004E-2</v>
      </c>
      <c r="Z454">
        <v>0.80379094399999995</v>
      </c>
    </row>
    <row r="455" spans="2:26" x14ac:dyDescent="0.2">
      <c r="B455" t="s">
        <v>58</v>
      </c>
    </row>
    <row r="456" spans="2:26" x14ac:dyDescent="0.2">
      <c r="B456">
        <v>1234567</v>
      </c>
      <c r="C456" t="s">
        <v>723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A239-2A7D-D349-913C-3D891689C3E8}">
  <dimension ref="A2:W37"/>
  <sheetViews>
    <sheetView topLeftCell="A6" workbookViewId="0">
      <selection activeCell="J36" sqref="J36"/>
    </sheetView>
  </sheetViews>
  <sheetFormatPr baseColWidth="10" defaultRowHeight="16" x14ac:dyDescent="0.2"/>
  <sheetData>
    <row r="2" spans="1:23" x14ac:dyDescent="0.2">
      <c r="A2" t="s">
        <v>85</v>
      </c>
      <c r="B2" t="s">
        <v>92</v>
      </c>
      <c r="C2" t="s">
        <v>707</v>
      </c>
      <c r="D2" t="s">
        <v>708</v>
      </c>
      <c r="E2" t="s">
        <v>709</v>
      </c>
      <c r="F2" t="s">
        <v>92</v>
      </c>
      <c r="G2" t="s">
        <v>710</v>
      </c>
      <c r="H2" t="s">
        <v>711</v>
      </c>
      <c r="I2" t="s">
        <v>92</v>
      </c>
      <c r="J2" t="s">
        <v>712</v>
      </c>
      <c r="K2" t="s">
        <v>713</v>
      </c>
      <c r="L2" t="s">
        <v>714</v>
      </c>
      <c r="M2" t="s">
        <v>92</v>
      </c>
      <c r="N2" t="s">
        <v>715</v>
      </c>
      <c r="O2" t="s">
        <v>716</v>
      </c>
      <c r="P2" t="s">
        <v>92</v>
      </c>
      <c r="Q2" t="s">
        <v>717</v>
      </c>
      <c r="R2" t="s">
        <v>718</v>
      </c>
      <c r="S2" t="s">
        <v>719</v>
      </c>
      <c r="T2" t="s">
        <v>720</v>
      </c>
    </row>
    <row r="3" spans="1:23" x14ac:dyDescent="0.2">
      <c r="B3" t="s">
        <v>95</v>
      </c>
    </row>
    <row r="4" spans="1:23" x14ac:dyDescent="0.2">
      <c r="B4">
        <v>1991</v>
      </c>
      <c r="C4" t="s">
        <v>92</v>
      </c>
      <c r="D4" s="12">
        <v>1397836</v>
      </c>
      <c r="E4" t="s">
        <v>92</v>
      </c>
      <c r="F4" s="12">
        <v>36348</v>
      </c>
      <c r="G4" t="s">
        <v>92</v>
      </c>
      <c r="H4" s="12">
        <v>2155</v>
      </c>
      <c r="I4" t="s">
        <v>92</v>
      </c>
      <c r="J4" t="s">
        <v>88</v>
      </c>
      <c r="K4" t="s">
        <v>92</v>
      </c>
      <c r="L4" s="12">
        <v>3158</v>
      </c>
      <c r="M4" t="s">
        <v>92</v>
      </c>
      <c r="N4" s="12">
        <v>28657</v>
      </c>
      <c r="O4" t="s">
        <v>92</v>
      </c>
      <c r="P4" s="12">
        <v>4378007</v>
      </c>
      <c r="Q4" t="s">
        <v>92</v>
      </c>
      <c r="R4" s="12">
        <v>17777</v>
      </c>
      <c r="S4" t="s">
        <v>92</v>
      </c>
      <c r="T4" t="s">
        <v>88</v>
      </c>
      <c r="U4" t="s">
        <v>92</v>
      </c>
      <c r="V4" t="s">
        <v>88</v>
      </c>
      <c r="W4" t="s">
        <v>93</v>
      </c>
    </row>
    <row r="5" spans="1:23" x14ac:dyDescent="0.2">
      <c r="B5">
        <v>1992</v>
      </c>
      <c r="C5" t="s">
        <v>92</v>
      </c>
      <c r="D5" s="12">
        <v>1500764</v>
      </c>
      <c r="E5" t="s">
        <v>92</v>
      </c>
      <c r="F5" s="12">
        <v>33672</v>
      </c>
      <c r="G5" t="s">
        <v>92</v>
      </c>
      <c r="H5" s="12">
        <v>2220</v>
      </c>
      <c r="I5" t="s">
        <v>92</v>
      </c>
      <c r="J5" t="s">
        <v>88</v>
      </c>
      <c r="K5" t="s">
        <v>92</v>
      </c>
      <c r="L5">
        <v>646</v>
      </c>
      <c r="M5" t="s">
        <v>92</v>
      </c>
      <c r="N5" s="12">
        <v>40186</v>
      </c>
      <c r="O5" t="s">
        <v>92</v>
      </c>
      <c r="P5" s="12">
        <v>4569662</v>
      </c>
      <c r="Q5" t="s">
        <v>92</v>
      </c>
      <c r="R5" s="12">
        <v>43873</v>
      </c>
      <c r="S5" t="s">
        <v>92</v>
      </c>
      <c r="T5" t="s">
        <v>88</v>
      </c>
      <c r="U5" t="s">
        <v>92</v>
      </c>
      <c r="V5" t="s">
        <v>88</v>
      </c>
      <c r="W5" t="s">
        <v>93</v>
      </c>
    </row>
    <row r="6" spans="1:23" x14ac:dyDescent="0.2">
      <c r="B6">
        <v>1993</v>
      </c>
      <c r="C6" t="s">
        <v>92</v>
      </c>
      <c r="D6" s="12">
        <v>1649086</v>
      </c>
      <c r="E6" t="s">
        <v>92</v>
      </c>
      <c r="F6" s="12">
        <v>36615</v>
      </c>
      <c r="G6" t="s">
        <v>92</v>
      </c>
      <c r="H6" s="12">
        <v>1326</v>
      </c>
      <c r="I6" t="s">
        <v>92</v>
      </c>
      <c r="J6" t="s">
        <v>88</v>
      </c>
      <c r="K6" t="s">
        <v>92</v>
      </c>
      <c r="L6">
        <v>527</v>
      </c>
      <c r="M6" t="s">
        <v>92</v>
      </c>
      <c r="N6" s="12">
        <v>241971</v>
      </c>
      <c r="O6" t="s">
        <v>92</v>
      </c>
      <c r="P6" s="12">
        <v>738250</v>
      </c>
      <c r="Q6" t="s">
        <v>92</v>
      </c>
      <c r="R6" s="12">
        <v>58139</v>
      </c>
      <c r="S6" t="s">
        <v>92</v>
      </c>
      <c r="T6" t="s">
        <v>88</v>
      </c>
      <c r="U6" t="s">
        <v>92</v>
      </c>
      <c r="V6" t="s">
        <v>88</v>
      </c>
      <c r="W6" t="s">
        <v>93</v>
      </c>
    </row>
    <row r="7" spans="1:23" x14ac:dyDescent="0.2">
      <c r="B7">
        <v>1994</v>
      </c>
      <c r="C7" t="s">
        <v>92</v>
      </c>
      <c r="D7" s="12">
        <v>371213</v>
      </c>
      <c r="E7" t="s">
        <v>92</v>
      </c>
      <c r="F7" s="12">
        <v>31880</v>
      </c>
      <c r="G7" t="s">
        <v>92</v>
      </c>
      <c r="H7">
        <v>963</v>
      </c>
      <c r="I7" t="s">
        <v>92</v>
      </c>
      <c r="J7">
        <v>688</v>
      </c>
      <c r="K7" t="s">
        <v>92</v>
      </c>
      <c r="L7" s="12">
        <v>1626</v>
      </c>
      <c r="M7" t="s">
        <v>92</v>
      </c>
      <c r="N7" s="12">
        <v>91764</v>
      </c>
      <c r="O7" t="s">
        <v>92</v>
      </c>
      <c r="P7" s="12">
        <v>811733</v>
      </c>
      <c r="Q7" t="s">
        <v>92</v>
      </c>
      <c r="R7" s="12">
        <v>42360</v>
      </c>
      <c r="S7" t="s">
        <v>92</v>
      </c>
      <c r="T7" t="s">
        <v>88</v>
      </c>
      <c r="U7" t="s">
        <v>92</v>
      </c>
      <c r="V7" t="s">
        <v>88</v>
      </c>
      <c r="W7" t="s">
        <v>93</v>
      </c>
    </row>
    <row r="8" spans="1:23" x14ac:dyDescent="0.2">
      <c r="B8">
        <v>1995</v>
      </c>
      <c r="C8" t="s">
        <v>92</v>
      </c>
      <c r="D8" s="12">
        <v>153992</v>
      </c>
      <c r="E8" t="s">
        <v>92</v>
      </c>
      <c r="F8" s="12">
        <v>13403</v>
      </c>
      <c r="G8" t="s">
        <v>92</v>
      </c>
      <c r="H8">
        <v>491</v>
      </c>
      <c r="I8" t="s">
        <v>92</v>
      </c>
      <c r="J8">
        <v>397</v>
      </c>
      <c r="K8" t="s">
        <v>92</v>
      </c>
      <c r="L8">
        <v>904</v>
      </c>
      <c r="M8" t="s">
        <v>92</v>
      </c>
      <c r="N8" s="12">
        <v>17754</v>
      </c>
      <c r="O8" t="s">
        <v>92</v>
      </c>
      <c r="P8" s="12">
        <v>206651</v>
      </c>
      <c r="Q8" t="s">
        <v>92</v>
      </c>
      <c r="R8" s="12">
        <v>4644</v>
      </c>
      <c r="S8" t="s">
        <v>92</v>
      </c>
      <c r="T8" t="s">
        <v>88</v>
      </c>
      <c r="U8" t="s">
        <v>92</v>
      </c>
      <c r="V8" t="s">
        <v>88</v>
      </c>
      <c r="W8" t="s">
        <v>93</v>
      </c>
    </row>
    <row r="9" spans="1:23" x14ac:dyDescent="0.2">
      <c r="B9">
        <v>1996</v>
      </c>
      <c r="C9" t="s">
        <v>92</v>
      </c>
      <c r="D9" s="12">
        <v>89415</v>
      </c>
      <c r="E9" t="s">
        <v>92</v>
      </c>
      <c r="F9" s="12">
        <v>55467</v>
      </c>
      <c r="G9" t="s">
        <v>92</v>
      </c>
      <c r="H9">
        <v>382</v>
      </c>
      <c r="I9" t="s">
        <v>92</v>
      </c>
      <c r="J9">
        <v>320</v>
      </c>
      <c r="K9" t="s">
        <v>92</v>
      </c>
      <c r="L9" s="12">
        <v>1241</v>
      </c>
      <c r="M9" t="s">
        <v>92</v>
      </c>
      <c r="N9" s="12">
        <v>77173</v>
      </c>
      <c r="O9" t="s">
        <v>92</v>
      </c>
      <c r="P9" s="12">
        <v>63398</v>
      </c>
      <c r="Q9" t="s">
        <v>92</v>
      </c>
      <c r="R9" s="12">
        <v>5933</v>
      </c>
      <c r="S9" t="s">
        <v>92</v>
      </c>
      <c r="T9" t="s">
        <v>88</v>
      </c>
      <c r="U9" t="s">
        <v>92</v>
      </c>
      <c r="V9" t="s">
        <v>88</v>
      </c>
      <c r="W9" t="s">
        <v>93</v>
      </c>
    </row>
    <row r="10" spans="1:23" x14ac:dyDescent="0.2">
      <c r="B10">
        <v>1997</v>
      </c>
      <c r="C10" t="s">
        <v>92</v>
      </c>
      <c r="D10" s="12">
        <v>17046</v>
      </c>
      <c r="E10" t="s">
        <v>92</v>
      </c>
      <c r="F10" s="12">
        <v>44312</v>
      </c>
      <c r="G10" t="s">
        <v>92</v>
      </c>
      <c r="H10">
        <v>257</v>
      </c>
      <c r="I10" t="s">
        <v>92</v>
      </c>
      <c r="J10">
        <v>200</v>
      </c>
      <c r="K10" t="s">
        <v>92</v>
      </c>
      <c r="L10" s="12">
        <v>1134</v>
      </c>
      <c r="M10" t="s">
        <v>92</v>
      </c>
      <c r="N10" s="12">
        <v>65414</v>
      </c>
      <c r="O10" t="s">
        <v>92</v>
      </c>
      <c r="P10" s="12">
        <v>216152</v>
      </c>
      <c r="Q10" t="s">
        <v>92</v>
      </c>
      <c r="R10">
        <v>137</v>
      </c>
      <c r="S10" t="s">
        <v>92</v>
      </c>
      <c r="T10" t="s">
        <v>88</v>
      </c>
      <c r="U10" t="s">
        <v>92</v>
      </c>
      <c r="V10" t="s">
        <v>88</v>
      </c>
      <c r="W10" t="s">
        <v>93</v>
      </c>
    </row>
    <row r="11" spans="1:23" x14ac:dyDescent="0.2">
      <c r="B11">
        <v>1998</v>
      </c>
      <c r="C11" t="s">
        <v>92</v>
      </c>
      <c r="D11" s="12">
        <v>57036</v>
      </c>
      <c r="E11" t="s">
        <v>92</v>
      </c>
      <c r="F11" s="12">
        <v>51244</v>
      </c>
      <c r="G11" t="s">
        <v>92</v>
      </c>
      <c r="H11">
        <v>352</v>
      </c>
      <c r="I11" t="s">
        <v>92</v>
      </c>
      <c r="J11">
        <v>278</v>
      </c>
      <c r="K11" t="s">
        <v>92</v>
      </c>
      <c r="L11">
        <v>800</v>
      </c>
      <c r="M11" t="s">
        <v>92</v>
      </c>
      <c r="N11" s="12">
        <v>60676</v>
      </c>
      <c r="O11" t="s">
        <v>92</v>
      </c>
      <c r="P11" s="12">
        <v>123400</v>
      </c>
      <c r="Q11" t="s">
        <v>92</v>
      </c>
      <c r="R11" s="12">
        <v>14286</v>
      </c>
      <c r="S11" t="s">
        <v>92</v>
      </c>
      <c r="T11" t="s">
        <v>88</v>
      </c>
      <c r="U11" t="s">
        <v>92</v>
      </c>
      <c r="V11" t="s">
        <v>88</v>
      </c>
      <c r="W11" t="s">
        <v>93</v>
      </c>
    </row>
    <row r="12" spans="1:23" x14ac:dyDescent="0.2">
      <c r="B12">
        <v>1999</v>
      </c>
      <c r="C12" t="s">
        <v>92</v>
      </c>
      <c r="D12" s="12">
        <v>2397</v>
      </c>
      <c r="E12" t="s">
        <v>92</v>
      </c>
      <c r="F12" s="12">
        <v>10381</v>
      </c>
      <c r="G12" t="s">
        <v>92</v>
      </c>
      <c r="H12">
        <v>153</v>
      </c>
      <c r="I12" t="s">
        <v>92</v>
      </c>
      <c r="J12">
        <v>124</v>
      </c>
      <c r="K12" t="s">
        <v>92</v>
      </c>
      <c r="L12">
        <v>799</v>
      </c>
      <c r="M12" t="s">
        <v>92</v>
      </c>
      <c r="N12" s="12">
        <v>44610</v>
      </c>
      <c r="O12" t="s">
        <v>92</v>
      </c>
      <c r="P12" s="12">
        <v>15829</v>
      </c>
      <c r="Q12" t="s">
        <v>92</v>
      </c>
      <c r="R12">
        <v>90</v>
      </c>
      <c r="S12" t="s">
        <v>92</v>
      </c>
      <c r="T12" t="s">
        <v>88</v>
      </c>
      <c r="U12" t="s">
        <v>92</v>
      </c>
      <c r="V12" t="s">
        <v>88</v>
      </c>
      <c r="W12" t="s">
        <v>93</v>
      </c>
    </row>
    <row r="13" spans="1:23" x14ac:dyDescent="0.2">
      <c r="B13">
        <v>2000</v>
      </c>
      <c r="C13" t="s">
        <v>92</v>
      </c>
      <c r="D13" s="12">
        <v>1484</v>
      </c>
      <c r="E13" t="s">
        <v>92</v>
      </c>
      <c r="F13" s="12">
        <v>4242</v>
      </c>
      <c r="G13" t="s">
        <v>92</v>
      </c>
      <c r="H13">
        <v>110</v>
      </c>
      <c r="I13" t="s">
        <v>92</v>
      </c>
      <c r="J13">
        <v>90</v>
      </c>
      <c r="K13" t="s">
        <v>92</v>
      </c>
      <c r="L13">
        <v>482</v>
      </c>
      <c r="M13" t="s">
        <v>92</v>
      </c>
      <c r="N13" s="12">
        <v>56866</v>
      </c>
      <c r="O13" t="s">
        <v>92</v>
      </c>
      <c r="P13" s="12">
        <v>6480</v>
      </c>
      <c r="Q13" t="s">
        <v>92</v>
      </c>
      <c r="R13">
        <v>0</v>
      </c>
      <c r="S13" t="s">
        <v>92</v>
      </c>
      <c r="T13" t="s">
        <v>88</v>
      </c>
      <c r="U13" t="s">
        <v>92</v>
      </c>
      <c r="V13" t="s">
        <v>88</v>
      </c>
      <c r="W13" t="s">
        <v>93</v>
      </c>
    </row>
    <row r="14" spans="1:23" x14ac:dyDescent="0.2">
      <c r="B14">
        <v>2001</v>
      </c>
      <c r="C14" t="s">
        <v>92</v>
      </c>
      <c r="D14" s="12">
        <v>5060</v>
      </c>
      <c r="E14" t="s">
        <v>92</v>
      </c>
      <c r="F14" s="12">
        <v>30933</v>
      </c>
      <c r="G14" t="s">
        <v>92</v>
      </c>
      <c r="H14">
        <v>242</v>
      </c>
      <c r="I14" t="s">
        <v>92</v>
      </c>
      <c r="J14">
        <v>199</v>
      </c>
      <c r="K14" t="s">
        <v>92</v>
      </c>
      <c r="L14">
        <v>225</v>
      </c>
      <c r="M14" t="s">
        <v>92</v>
      </c>
      <c r="N14" s="12">
        <v>53901</v>
      </c>
      <c r="O14" t="s">
        <v>92</v>
      </c>
      <c r="P14" s="12">
        <v>5653</v>
      </c>
      <c r="Q14" t="s">
        <v>92</v>
      </c>
      <c r="R14">
        <v>105</v>
      </c>
      <c r="S14" t="s">
        <v>92</v>
      </c>
      <c r="T14" t="s">
        <v>88</v>
      </c>
      <c r="U14" t="s">
        <v>92</v>
      </c>
      <c r="V14" t="s">
        <v>88</v>
      </c>
      <c r="W14" t="s">
        <v>93</v>
      </c>
    </row>
    <row r="15" spans="1:23" x14ac:dyDescent="0.2">
      <c r="B15">
        <v>2002</v>
      </c>
      <c r="C15" t="s">
        <v>92</v>
      </c>
      <c r="D15" s="12">
        <v>2112</v>
      </c>
      <c r="E15" t="s">
        <v>92</v>
      </c>
      <c r="F15" s="12">
        <v>32381</v>
      </c>
      <c r="G15" t="s">
        <v>92</v>
      </c>
      <c r="H15">
        <v>165</v>
      </c>
      <c r="I15" t="s">
        <v>92</v>
      </c>
      <c r="J15">
        <v>137</v>
      </c>
      <c r="K15" t="s">
        <v>92</v>
      </c>
      <c r="L15">
        <v>108</v>
      </c>
      <c r="M15" t="s">
        <v>92</v>
      </c>
      <c r="N15" s="12">
        <v>77167</v>
      </c>
      <c r="O15" t="s">
        <v>92</v>
      </c>
      <c r="P15" s="12">
        <v>2697</v>
      </c>
      <c r="Q15" t="s">
        <v>92</v>
      </c>
      <c r="R15">
        <v>16</v>
      </c>
      <c r="S15" t="s">
        <v>92</v>
      </c>
      <c r="T15" t="s">
        <v>88</v>
      </c>
      <c r="U15" t="s">
        <v>92</v>
      </c>
      <c r="V15" t="s">
        <v>88</v>
      </c>
      <c r="W15" t="s">
        <v>93</v>
      </c>
    </row>
    <row r="16" spans="1:23" x14ac:dyDescent="0.2">
      <c r="B16">
        <v>2003</v>
      </c>
      <c r="C16" t="s">
        <v>92</v>
      </c>
      <c r="D16">
        <v>732</v>
      </c>
      <c r="E16" t="s">
        <v>92</v>
      </c>
      <c r="F16" s="12">
        <v>43095</v>
      </c>
      <c r="G16" t="s">
        <v>92</v>
      </c>
      <c r="H16">
        <v>88</v>
      </c>
      <c r="I16" t="s">
        <v>92</v>
      </c>
      <c r="J16">
        <v>74</v>
      </c>
      <c r="K16" t="s">
        <v>92</v>
      </c>
      <c r="L16">
        <v>967</v>
      </c>
      <c r="M16" t="s">
        <v>92</v>
      </c>
      <c r="N16" s="12">
        <v>179987</v>
      </c>
      <c r="O16" t="s">
        <v>92</v>
      </c>
      <c r="P16">
        <v>608</v>
      </c>
      <c r="Q16" t="s">
        <v>92</v>
      </c>
      <c r="R16">
        <v>52</v>
      </c>
      <c r="S16" t="s">
        <v>92</v>
      </c>
      <c r="T16">
        <v>8</v>
      </c>
      <c r="U16" t="s">
        <v>92</v>
      </c>
      <c r="V16" t="s">
        <v>88</v>
      </c>
      <c r="W16" t="s">
        <v>93</v>
      </c>
    </row>
    <row r="17" spans="2:23" x14ac:dyDescent="0.2">
      <c r="B17">
        <v>2004</v>
      </c>
      <c r="C17" t="s">
        <v>92</v>
      </c>
      <c r="D17" s="12">
        <v>1091</v>
      </c>
      <c r="E17" t="s">
        <v>92</v>
      </c>
      <c r="F17" s="12">
        <v>48799</v>
      </c>
      <c r="G17" t="s">
        <v>92</v>
      </c>
      <c r="H17">
        <v>96</v>
      </c>
      <c r="I17" t="s">
        <v>92</v>
      </c>
      <c r="J17">
        <v>81</v>
      </c>
      <c r="K17" t="s">
        <v>92</v>
      </c>
      <c r="L17" s="12">
        <v>1095</v>
      </c>
      <c r="M17" t="s">
        <v>92</v>
      </c>
      <c r="N17" s="12">
        <v>441188</v>
      </c>
      <c r="O17" t="s">
        <v>92</v>
      </c>
      <c r="P17">
        <v>640</v>
      </c>
      <c r="Q17" t="s">
        <v>92</v>
      </c>
      <c r="R17">
        <v>26</v>
      </c>
      <c r="S17" t="s">
        <v>92</v>
      </c>
      <c r="T17">
        <v>4</v>
      </c>
      <c r="U17" t="s">
        <v>92</v>
      </c>
      <c r="V17">
        <v>1</v>
      </c>
      <c r="W17" t="s">
        <v>93</v>
      </c>
    </row>
    <row r="18" spans="2:23" x14ac:dyDescent="0.2">
      <c r="B18">
        <v>2005</v>
      </c>
      <c r="C18" t="s">
        <v>92</v>
      </c>
      <c r="D18">
        <v>601</v>
      </c>
      <c r="E18" t="s">
        <v>92</v>
      </c>
      <c r="F18" s="12">
        <v>66208</v>
      </c>
      <c r="G18" t="s">
        <v>92</v>
      </c>
      <c r="H18">
        <v>119</v>
      </c>
      <c r="I18" t="s">
        <v>92</v>
      </c>
      <c r="J18">
        <v>100</v>
      </c>
      <c r="K18" t="s">
        <v>92</v>
      </c>
      <c r="L18">
        <v>593</v>
      </c>
      <c r="M18" t="s">
        <v>92</v>
      </c>
      <c r="N18" s="12">
        <v>703076</v>
      </c>
      <c r="O18" t="s">
        <v>92</v>
      </c>
      <c r="P18" s="12">
        <v>2016</v>
      </c>
      <c r="Q18" t="s">
        <v>92</v>
      </c>
      <c r="R18">
        <v>0</v>
      </c>
      <c r="S18" t="s">
        <v>92</v>
      </c>
      <c r="T18" t="s">
        <v>88</v>
      </c>
      <c r="U18" t="s">
        <v>92</v>
      </c>
      <c r="V18">
        <v>1</v>
      </c>
      <c r="W18" t="s">
        <v>93</v>
      </c>
    </row>
    <row r="19" spans="2:23" x14ac:dyDescent="0.2">
      <c r="B19">
        <v>2006</v>
      </c>
      <c r="C19" t="s">
        <v>92</v>
      </c>
      <c r="D19" s="12">
        <v>1288</v>
      </c>
      <c r="E19" t="s">
        <v>92</v>
      </c>
      <c r="F19" s="12">
        <v>80915</v>
      </c>
      <c r="G19" t="s">
        <v>92</v>
      </c>
      <c r="H19">
        <v>132</v>
      </c>
      <c r="I19" t="s">
        <v>92</v>
      </c>
      <c r="J19">
        <v>111</v>
      </c>
      <c r="K19" t="s">
        <v>92</v>
      </c>
      <c r="L19">
        <v>433</v>
      </c>
      <c r="M19" t="s">
        <v>92</v>
      </c>
      <c r="N19" s="12">
        <v>305793</v>
      </c>
      <c r="O19" t="s">
        <v>92</v>
      </c>
      <c r="P19" s="12">
        <v>2567</v>
      </c>
      <c r="Q19" t="s">
        <v>92</v>
      </c>
      <c r="R19">
        <v>288</v>
      </c>
      <c r="S19" t="s">
        <v>92</v>
      </c>
      <c r="T19" t="s">
        <v>88</v>
      </c>
      <c r="U19" t="s">
        <v>92</v>
      </c>
      <c r="V19">
        <v>3</v>
      </c>
      <c r="W19" t="s">
        <v>93</v>
      </c>
    </row>
    <row r="20" spans="2:23" x14ac:dyDescent="0.2">
      <c r="B20">
        <v>2007</v>
      </c>
      <c r="C20" t="s">
        <v>92</v>
      </c>
      <c r="D20" s="12">
        <v>1465</v>
      </c>
      <c r="E20" t="s">
        <v>92</v>
      </c>
      <c r="F20" s="12">
        <v>116329</v>
      </c>
      <c r="G20" t="s">
        <v>92</v>
      </c>
      <c r="H20">
        <v>312</v>
      </c>
      <c r="I20" t="s">
        <v>92</v>
      </c>
      <c r="J20">
        <v>269</v>
      </c>
      <c r="K20" t="s">
        <v>92</v>
      </c>
      <c r="L20">
        <v>351</v>
      </c>
      <c r="M20" t="s">
        <v>92</v>
      </c>
      <c r="N20" s="12">
        <v>86380</v>
      </c>
      <c r="O20" t="s">
        <v>92</v>
      </c>
      <c r="P20" s="12">
        <v>3033</v>
      </c>
      <c r="Q20" t="s">
        <v>92</v>
      </c>
      <c r="R20">
        <v>7</v>
      </c>
      <c r="S20" t="s">
        <v>92</v>
      </c>
      <c r="T20" t="s">
        <v>88</v>
      </c>
      <c r="U20" t="s">
        <v>92</v>
      </c>
      <c r="V20">
        <v>3</v>
      </c>
      <c r="W20" t="s">
        <v>93</v>
      </c>
    </row>
    <row r="21" spans="2:23" x14ac:dyDescent="0.2">
      <c r="B21">
        <v>2008</v>
      </c>
      <c r="C21" t="s">
        <v>92</v>
      </c>
      <c r="D21" s="12">
        <v>9025</v>
      </c>
      <c r="E21" t="s">
        <v>92</v>
      </c>
      <c r="F21" s="12">
        <v>20602</v>
      </c>
      <c r="G21" t="s">
        <v>92</v>
      </c>
      <c r="H21">
        <v>373</v>
      </c>
      <c r="I21" t="s">
        <v>92</v>
      </c>
      <c r="J21">
        <v>311</v>
      </c>
      <c r="K21" t="s">
        <v>92</v>
      </c>
      <c r="L21">
        <v>127</v>
      </c>
      <c r="M21" t="s">
        <v>92</v>
      </c>
      <c r="N21" s="12">
        <v>15119</v>
      </c>
      <c r="O21" t="s">
        <v>92</v>
      </c>
      <c r="P21" s="12">
        <v>8894</v>
      </c>
      <c r="Q21" t="s">
        <v>92</v>
      </c>
      <c r="R21">
        <v>670</v>
      </c>
      <c r="S21" t="s">
        <v>92</v>
      </c>
      <c r="T21">
        <v>8</v>
      </c>
      <c r="U21" t="s">
        <v>92</v>
      </c>
      <c r="V21">
        <v>33</v>
      </c>
      <c r="W21" t="s">
        <v>93</v>
      </c>
    </row>
    <row r="22" spans="2:23" x14ac:dyDescent="0.2">
      <c r="B22">
        <v>2009</v>
      </c>
      <c r="C22" t="s">
        <v>92</v>
      </c>
      <c r="D22" s="12">
        <v>6155</v>
      </c>
      <c r="E22" t="s">
        <v>92</v>
      </c>
      <c r="F22" s="12">
        <v>12284</v>
      </c>
      <c r="G22" t="s">
        <v>92</v>
      </c>
      <c r="H22">
        <v>541</v>
      </c>
      <c r="I22" t="s">
        <v>92</v>
      </c>
      <c r="J22">
        <v>436</v>
      </c>
      <c r="K22" t="s">
        <v>92</v>
      </c>
      <c r="L22">
        <v>64</v>
      </c>
      <c r="M22" t="s">
        <v>92</v>
      </c>
      <c r="N22" s="12">
        <v>45960</v>
      </c>
      <c r="O22" t="s">
        <v>92</v>
      </c>
      <c r="P22" s="12">
        <v>7312</v>
      </c>
      <c r="Q22" t="s">
        <v>92</v>
      </c>
      <c r="R22" s="12">
        <v>1136</v>
      </c>
      <c r="S22" t="s">
        <v>92</v>
      </c>
      <c r="T22">
        <v>19</v>
      </c>
      <c r="U22" t="s">
        <v>92</v>
      </c>
      <c r="V22" t="s">
        <v>88</v>
      </c>
      <c r="W22" t="s">
        <v>93</v>
      </c>
    </row>
    <row r="23" spans="2:23" x14ac:dyDescent="0.2">
      <c r="B23">
        <v>2010</v>
      </c>
      <c r="C23" t="s">
        <v>92</v>
      </c>
      <c r="D23" s="12">
        <v>12787</v>
      </c>
      <c r="E23" t="s">
        <v>92</v>
      </c>
      <c r="F23" s="12">
        <v>9833</v>
      </c>
      <c r="G23" t="s">
        <v>92</v>
      </c>
      <c r="H23">
        <v>335</v>
      </c>
      <c r="I23" t="s">
        <v>92</v>
      </c>
      <c r="J23">
        <v>267</v>
      </c>
      <c r="K23" t="s">
        <v>92</v>
      </c>
      <c r="L23">
        <v>348</v>
      </c>
      <c r="M23" t="s">
        <v>92</v>
      </c>
      <c r="N23" s="12">
        <v>13728</v>
      </c>
      <c r="O23" t="s">
        <v>92</v>
      </c>
      <c r="P23" s="12">
        <v>9444</v>
      </c>
      <c r="Q23" t="s">
        <v>92</v>
      </c>
      <c r="R23" s="12">
        <v>1122</v>
      </c>
      <c r="S23" t="s">
        <v>92</v>
      </c>
      <c r="T23">
        <v>28</v>
      </c>
      <c r="U23" t="s">
        <v>92</v>
      </c>
      <c r="V23" t="s">
        <v>88</v>
      </c>
      <c r="W23" t="s">
        <v>93</v>
      </c>
    </row>
    <row r="24" spans="2:23" x14ac:dyDescent="0.2">
      <c r="B24">
        <v>2011</v>
      </c>
      <c r="C24" t="s">
        <v>92</v>
      </c>
      <c r="D24" s="12">
        <v>10973</v>
      </c>
      <c r="E24" t="s">
        <v>92</v>
      </c>
      <c r="F24" s="12">
        <v>25499</v>
      </c>
      <c r="G24" t="s">
        <v>92</v>
      </c>
      <c r="H24">
        <v>459</v>
      </c>
      <c r="I24" t="s">
        <v>92</v>
      </c>
      <c r="J24">
        <v>378</v>
      </c>
      <c r="K24" t="s">
        <v>92</v>
      </c>
      <c r="L24">
        <v>376</v>
      </c>
      <c r="M24" t="s">
        <v>92</v>
      </c>
      <c r="N24" s="12">
        <v>193754</v>
      </c>
      <c r="O24" t="s">
        <v>92</v>
      </c>
      <c r="P24" s="12">
        <v>6493</v>
      </c>
      <c r="Q24" t="s">
        <v>92</v>
      </c>
      <c r="R24">
        <v>577</v>
      </c>
      <c r="S24" t="s">
        <v>92</v>
      </c>
      <c r="T24">
        <v>25</v>
      </c>
      <c r="U24" t="s">
        <v>92</v>
      </c>
      <c r="V24" t="s">
        <v>88</v>
      </c>
      <c r="W24" t="s">
        <v>93</v>
      </c>
    </row>
    <row r="25" spans="2:23" x14ac:dyDescent="0.2">
      <c r="B25">
        <v>2012</v>
      </c>
      <c r="C25" t="s">
        <v>92</v>
      </c>
      <c r="D25" s="12">
        <v>5620</v>
      </c>
      <c r="E25" t="s">
        <v>92</v>
      </c>
      <c r="F25" s="12">
        <v>11343</v>
      </c>
      <c r="G25" t="s">
        <v>92</v>
      </c>
      <c r="H25">
        <v>462</v>
      </c>
      <c r="I25" t="s">
        <v>92</v>
      </c>
      <c r="J25">
        <v>388</v>
      </c>
      <c r="K25" t="s">
        <v>92</v>
      </c>
      <c r="L25" s="12">
        <v>2352</v>
      </c>
      <c r="M25" t="s">
        <v>92</v>
      </c>
      <c r="N25" s="12">
        <v>22297</v>
      </c>
      <c r="O25" t="s">
        <v>92</v>
      </c>
      <c r="P25" s="12">
        <v>6189</v>
      </c>
      <c r="Q25" t="s">
        <v>92</v>
      </c>
      <c r="R25">
        <v>343</v>
      </c>
      <c r="S25" t="s">
        <v>92</v>
      </c>
      <c r="T25" t="s">
        <v>88</v>
      </c>
      <c r="U25" t="s">
        <v>92</v>
      </c>
      <c r="V25" t="s">
        <v>88</v>
      </c>
      <c r="W25" t="s">
        <v>93</v>
      </c>
    </row>
    <row r="26" spans="2:23" x14ac:dyDescent="0.2">
      <c r="B26">
        <v>2013</v>
      </c>
      <c r="C26" t="s">
        <v>92</v>
      </c>
      <c r="D26" s="12">
        <v>12426</v>
      </c>
      <c r="E26" t="s">
        <v>92</v>
      </c>
      <c r="F26" s="12">
        <v>13091</v>
      </c>
      <c r="G26" t="s">
        <v>92</v>
      </c>
      <c r="H26">
        <v>333</v>
      </c>
      <c r="I26" t="s">
        <v>92</v>
      </c>
      <c r="J26">
        <v>271</v>
      </c>
      <c r="K26" t="s">
        <v>92</v>
      </c>
      <c r="L26">
        <v>958</v>
      </c>
      <c r="M26" t="s">
        <v>92</v>
      </c>
      <c r="N26" s="12">
        <v>125525</v>
      </c>
      <c r="O26" t="s">
        <v>92</v>
      </c>
      <c r="P26" s="12">
        <v>8605</v>
      </c>
      <c r="Q26" t="s">
        <v>92</v>
      </c>
      <c r="R26">
        <v>507</v>
      </c>
      <c r="S26" t="s">
        <v>92</v>
      </c>
      <c r="T26">
        <v>34</v>
      </c>
      <c r="U26" t="s">
        <v>92</v>
      </c>
      <c r="V26">
        <v>107</v>
      </c>
      <c r="W26" t="s">
        <v>93</v>
      </c>
    </row>
    <row r="27" spans="2:23" x14ac:dyDescent="0.2">
      <c r="B27">
        <v>2014</v>
      </c>
      <c r="C27" t="s">
        <v>92</v>
      </c>
      <c r="D27" s="12">
        <v>12521</v>
      </c>
      <c r="E27" t="s">
        <v>92</v>
      </c>
      <c r="F27" s="12">
        <v>15135</v>
      </c>
      <c r="G27" t="s">
        <v>92</v>
      </c>
      <c r="H27">
        <v>239</v>
      </c>
      <c r="I27" t="s">
        <v>92</v>
      </c>
      <c r="J27">
        <v>199</v>
      </c>
      <c r="K27" t="s">
        <v>92</v>
      </c>
      <c r="L27">
        <v>159</v>
      </c>
      <c r="M27" t="s">
        <v>92</v>
      </c>
      <c r="N27" s="12">
        <v>219837</v>
      </c>
      <c r="O27" t="s">
        <v>92</v>
      </c>
      <c r="P27" s="12">
        <v>19454</v>
      </c>
      <c r="Q27" t="s">
        <v>92</v>
      </c>
      <c r="R27">
        <v>368</v>
      </c>
      <c r="S27" t="s">
        <v>92</v>
      </c>
      <c r="T27" t="s">
        <v>88</v>
      </c>
      <c r="U27" t="s">
        <v>92</v>
      </c>
      <c r="V27" t="s">
        <v>88</v>
      </c>
      <c r="W27" t="s">
        <v>93</v>
      </c>
    </row>
    <row r="28" spans="2:23" x14ac:dyDescent="0.2">
      <c r="B28">
        <v>2015</v>
      </c>
      <c r="C28" t="s">
        <v>92</v>
      </c>
      <c r="D28" s="12">
        <v>8872</v>
      </c>
      <c r="E28" t="s">
        <v>92</v>
      </c>
      <c r="F28" s="12">
        <v>18329</v>
      </c>
      <c r="G28" t="s">
        <v>92</v>
      </c>
      <c r="H28">
        <v>152</v>
      </c>
      <c r="I28" t="s">
        <v>92</v>
      </c>
      <c r="J28">
        <v>130</v>
      </c>
      <c r="K28" t="s">
        <v>92</v>
      </c>
      <c r="L28" s="12">
        <v>1487</v>
      </c>
      <c r="M28" t="s">
        <v>92</v>
      </c>
      <c r="N28" s="12">
        <v>237776</v>
      </c>
      <c r="O28" t="s">
        <v>92</v>
      </c>
      <c r="P28" s="12">
        <v>8339</v>
      </c>
      <c r="Q28" t="s">
        <v>92</v>
      </c>
      <c r="R28">
        <v>0</v>
      </c>
      <c r="S28" t="s">
        <v>92</v>
      </c>
      <c r="T28" t="s">
        <v>88</v>
      </c>
      <c r="U28" t="s">
        <v>92</v>
      </c>
      <c r="V28" t="s">
        <v>88</v>
      </c>
      <c r="W28" t="s">
        <v>93</v>
      </c>
    </row>
    <row r="29" spans="2:23" x14ac:dyDescent="0.2">
      <c r="B29">
        <v>2016</v>
      </c>
      <c r="C29" t="s">
        <v>92</v>
      </c>
      <c r="D29" s="12">
        <v>2295</v>
      </c>
      <c r="E29" t="s">
        <v>92</v>
      </c>
      <c r="F29" s="12">
        <v>22204</v>
      </c>
      <c r="G29" t="s">
        <v>92</v>
      </c>
      <c r="H29">
        <v>121</v>
      </c>
      <c r="I29" t="s">
        <v>92</v>
      </c>
      <c r="J29">
        <v>102</v>
      </c>
      <c r="K29" t="s">
        <v>92</v>
      </c>
      <c r="L29" s="12">
        <v>1431</v>
      </c>
      <c r="M29" t="s">
        <v>92</v>
      </c>
      <c r="N29" s="12">
        <v>343208</v>
      </c>
      <c r="O29" t="s">
        <v>92</v>
      </c>
      <c r="P29" s="12">
        <v>1166</v>
      </c>
      <c r="Q29" t="s">
        <v>92</v>
      </c>
      <c r="R29">
        <v>439</v>
      </c>
      <c r="S29" t="s">
        <v>92</v>
      </c>
      <c r="T29" t="s">
        <v>88</v>
      </c>
      <c r="U29" t="s">
        <v>92</v>
      </c>
      <c r="V29">
        <v>26</v>
      </c>
      <c r="W29" t="s">
        <v>93</v>
      </c>
    </row>
    <row r="30" spans="2:23" x14ac:dyDescent="0.2">
      <c r="B30">
        <v>2017</v>
      </c>
      <c r="C30" t="s">
        <v>92</v>
      </c>
      <c r="D30" s="12">
        <v>7269</v>
      </c>
      <c r="E30" t="s">
        <v>92</v>
      </c>
      <c r="F30" s="12">
        <v>30078</v>
      </c>
      <c r="G30" t="s">
        <v>92</v>
      </c>
      <c r="H30">
        <v>97</v>
      </c>
      <c r="I30" t="s">
        <v>92</v>
      </c>
      <c r="J30">
        <v>88</v>
      </c>
      <c r="K30" t="s">
        <v>92</v>
      </c>
      <c r="L30">
        <v>963</v>
      </c>
      <c r="M30" t="s">
        <v>92</v>
      </c>
      <c r="N30" s="12">
        <v>467750</v>
      </c>
      <c r="O30" t="s">
        <v>92</v>
      </c>
      <c r="P30" s="12">
        <v>3406</v>
      </c>
      <c r="Q30" t="s">
        <v>92</v>
      </c>
      <c r="R30">
        <v>202</v>
      </c>
      <c r="S30" t="s">
        <v>92</v>
      </c>
      <c r="T30">
        <v>0</v>
      </c>
      <c r="U30" t="s">
        <v>92</v>
      </c>
      <c r="V30">
        <v>67</v>
      </c>
      <c r="W30" t="s">
        <v>93</v>
      </c>
    </row>
    <row r="31" spans="2:23" x14ac:dyDescent="0.2">
      <c r="B31">
        <v>2018</v>
      </c>
      <c r="C31" t="s">
        <v>92</v>
      </c>
      <c r="D31" s="12">
        <v>2249</v>
      </c>
      <c r="E31" t="s">
        <v>92</v>
      </c>
      <c r="F31" s="12">
        <v>13726</v>
      </c>
      <c r="G31" t="s">
        <v>92</v>
      </c>
      <c r="H31">
        <v>75</v>
      </c>
      <c r="I31" t="s">
        <v>92</v>
      </c>
      <c r="J31">
        <v>62</v>
      </c>
      <c r="K31" t="s">
        <v>92</v>
      </c>
      <c r="L31">
        <v>474</v>
      </c>
      <c r="M31" t="s">
        <v>92</v>
      </c>
      <c r="N31" s="12">
        <v>295818</v>
      </c>
      <c r="O31" t="s">
        <v>92</v>
      </c>
      <c r="P31" s="12">
        <v>5143</v>
      </c>
      <c r="Q31" t="s">
        <v>92</v>
      </c>
      <c r="R31">
        <v>565</v>
      </c>
      <c r="S31" t="s">
        <v>92</v>
      </c>
      <c r="T31" t="s">
        <v>94</v>
      </c>
      <c r="U31" t="s">
        <v>92</v>
      </c>
      <c r="V31">
        <v>53</v>
      </c>
      <c r="W31" t="s">
        <v>93</v>
      </c>
    </row>
    <row r="32" spans="2:23" x14ac:dyDescent="0.2">
      <c r="B32">
        <v>2019</v>
      </c>
      <c r="C32" t="s">
        <v>92</v>
      </c>
      <c r="D32" s="12">
        <v>3146</v>
      </c>
      <c r="E32" t="s">
        <v>92</v>
      </c>
      <c r="F32" s="12">
        <v>25038</v>
      </c>
      <c r="G32" t="s">
        <v>92</v>
      </c>
      <c r="H32">
        <v>134</v>
      </c>
      <c r="I32" t="s">
        <v>92</v>
      </c>
      <c r="J32">
        <v>113</v>
      </c>
      <c r="K32" t="s">
        <v>92</v>
      </c>
      <c r="L32" s="12">
        <v>1102</v>
      </c>
      <c r="M32" t="s">
        <v>92</v>
      </c>
      <c r="N32" s="12">
        <v>348631</v>
      </c>
      <c r="O32" t="s">
        <v>92</v>
      </c>
      <c r="P32" s="12">
        <v>6228</v>
      </c>
      <c r="Q32" t="s">
        <v>92</v>
      </c>
      <c r="R32">
        <v>453</v>
      </c>
      <c r="S32" t="s">
        <v>92</v>
      </c>
      <c r="T32">
        <v>99</v>
      </c>
      <c r="U32" t="s">
        <v>92</v>
      </c>
      <c r="V32">
        <v>445</v>
      </c>
      <c r="W32" t="s">
        <v>93</v>
      </c>
    </row>
    <row r="33" spans="2:23" x14ac:dyDescent="0.2">
      <c r="B33">
        <v>2020</v>
      </c>
      <c r="C33" t="s">
        <v>92</v>
      </c>
      <c r="D33" s="12">
        <v>10749</v>
      </c>
      <c r="E33" t="s">
        <v>92</v>
      </c>
      <c r="F33" s="12">
        <v>32204</v>
      </c>
      <c r="G33" t="s">
        <v>92</v>
      </c>
      <c r="H33">
        <v>128</v>
      </c>
      <c r="I33" t="s">
        <v>92</v>
      </c>
      <c r="J33">
        <v>102</v>
      </c>
      <c r="K33" t="s">
        <v>92</v>
      </c>
      <c r="L33" s="12">
        <v>3861</v>
      </c>
      <c r="M33" t="s">
        <v>92</v>
      </c>
      <c r="N33" s="12">
        <v>343625</v>
      </c>
      <c r="O33" t="s">
        <v>92</v>
      </c>
      <c r="P33" s="12">
        <v>40005</v>
      </c>
      <c r="Q33" t="s">
        <v>92</v>
      </c>
      <c r="R33">
        <v>479</v>
      </c>
      <c r="S33" t="s">
        <v>92</v>
      </c>
      <c r="T33">
        <v>1</v>
      </c>
      <c r="U33" t="s">
        <v>92</v>
      </c>
      <c r="V33">
        <v>522</v>
      </c>
      <c r="W33" t="s">
        <v>93</v>
      </c>
    </row>
    <row r="34" spans="2:23" x14ac:dyDescent="0.2">
      <c r="B34">
        <v>2021</v>
      </c>
      <c r="C34" t="s">
        <v>92</v>
      </c>
      <c r="D34" s="12">
        <v>8417</v>
      </c>
      <c r="E34" t="s">
        <v>92</v>
      </c>
      <c r="F34" s="12">
        <v>13852</v>
      </c>
      <c r="G34" t="s">
        <v>92</v>
      </c>
      <c r="H34">
        <v>145</v>
      </c>
      <c r="I34" t="s">
        <v>92</v>
      </c>
      <c r="J34">
        <v>131</v>
      </c>
      <c r="K34" t="s">
        <v>92</v>
      </c>
      <c r="L34" s="12">
        <v>1708</v>
      </c>
      <c r="M34" t="s">
        <v>92</v>
      </c>
      <c r="N34" s="12">
        <v>546472</v>
      </c>
      <c r="O34" t="s">
        <v>92</v>
      </c>
      <c r="P34" s="12">
        <v>4668</v>
      </c>
      <c r="Q34" t="s">
        <v>92</v>
      </c>
      <c r="R34">
        <v>52</v>
      </c>
      <c r="S34" t="s">
        <v>92</v>
      </c>
      <c r="T34" t="s">
        <v>94</v>
      </c>
      <c r="U34" t="s">
        <v>92</v>
      </c>
      <c r="V34">
        <v>115</v>
      </c>
      <c r="W34" t="s">
        <v>93</v>
      </c>
    </row>
    <row r="35" spans="2:23" x14ac:dyDescent="0.2">
      <c r="B35">
        <v>2022</v>
      </c>
      <c r="C35" t="s">
        <v>92</v>
      </c>
      <c r="D35" s="12">
        <v>4758</v>
      </c>
      <c r="E35" t="s">
        <v>92</v>
      </c>
      <c r="F35" s="12">
        <v>6415</v>
      </c>
      <c r="G35" t="s">
        <v>92</v>
      </c>
      <c r="H35">
        <v>170</v>
      </c>
      <c r="I35" t="s">
        <v>92</v>
      </c>
      <c r="J35">
        <v>156</v>
      </c>
      <c r="K35" t="s">
        <v>92</v>
      </c>
      <c r="L35" s="12">
        <v>1708</v>
      </c>
      <c r="M35" t="s">
        <v>92</v>
      </c>
      <c r="N35" s="12">
        <v>242375</v>
      </c>
      <c r="O35" t="s">
        <v>92</v>
      </c>
      <c r="P35" s="12">
        <v>1952</v>
      </c>
      <c r="Q35" t="s">
        <v>92</v>
      </c>
      <c r="R35">
        <v>311</v>
      </c>
      <c r="S35" t="s">
        <v>92</v>
      </c>
      <c r="T35">
        <v>59</v>
      </c>
      <c r="U35" t="s">
        <v>92</v>
      </c>
      <c r="V35">
        <v>88</v>
      </c>
      <c r="W35" t="s">
        <v>93</v>
      </c>
    </row>
    <row r="36" spans="2:23" x14ac:dyDescent="0.2">
      <c r="B36">
        <v>2023</v>
      </c>
      <c r="C36" t="s">
        <v>92</v>
      </c>
      <c r="D36" s="12">
        <v>11978</v>
      </c>
      <c r="E36" t="s">
        <v>92</v>
      </c>
      <c r="F36" s="12">
        <v>11750</v>
      </c>
      <c r="G36" t="s">
        <v>92</v>
      </c>
      <c r="H36">
        <v>84</v>
      </c>
      <c r="I36" t="s">
        <v>92</v>
      </c>
      <c r="J36">
        <v>67</v>
      </c>
      <c r="K36" t="s">
        <v>92</v>
      </c>
      <c r="L36" s="12">
        <v>3087</v>
      </c>
      <c r="M36" t="s">
        <v>92</v>
      </c>
      <c r="N36" s="12">
        <v>112445</v>
      </c>
      <c r="O36" t="s">
        <v>92</v>
      </c>
      <c r="P36" s="12">
        <v>4100</v>
      </c>
      <c r="Q36" t="s">
        <v>92</v>
      </c>
      <c r="R36">
        <v>54</v>
      </c>
      <c r="S36" t="s">
        <v>92</v>
      </c>
      <c r="T36" t="s">
        <v>94</v>
      </c>
      <c r="U36" t="s">
        <v>92</v>
      </c>
      <c r="V36">
        <v>132</v>
      </c>
      <c r="W36" t="s">
        <v>93</v>
      </c>
    </row>
    <row r="37" spans="2:23" x14ac:dyDescent="0.2">
      <c r="B37"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D86D-5299-524C-950F-6AE8B8A3DDFB}">
  <dimension ref="A1:AW261"/>
  <sheetViews>
    <sheetView zoomScaleNormal="100" workbookViewId="0">
      <selection activeCell="B6" sqref="B6:AG6"/>
    </sheetView>
  </sheetViews>
  <sheetFormatPr baseColWidth="10" defaultRowHeight="16" x14ac:dyDescent="0.2"/>
  <sheetData>
    <row r="1" spans="1:33" x14ac:dyDescent="0.2">
      <c r="A1" t="s">
        <v>651</v>
      </c>
    </row>
    <row r="3" spans="1:33" x14ac:dyDescent="0.2">
      <c r="A3" t="s">
        <v>117</v>
      </c>
    </row>
    <row r="4" spans="1:33" x14ac:dyDescent="0.2">
      <c r="A4" t="s">
        <v>650</v>
      </c>
    </row>
    <row r="5" spans="1:33" x14ac:dyDescent="0.2">
      <c r="A5" t="s">
        <v>647</v>
      </c>
      <c r="B5">
        <v>1992</v>
      </c>
      <c r="C5">
        <v>1993</v>
      </c>
      <c r="D5">
        <v>1994</v>
      </c>
      <c r="E5">
        <v>1995</v>
      </c>
      <c r="F5">
        <v>1996</v>
      </c>
      <c r="G5">
        <v>1997</v>
      </c>
      <c r="H5">
        <v>1998</v>
      </c>
      <c r="I5">
        <v>1999</v>
      </c>
      <c r="J5">
        <v>2000</v>
      </c>
      <c r="K5">
        <v>2001</v>
      </c>
      <c r="L5">
        <v>2002</v>
      </c>
      <c r="M5">
        <v>2003</v>
      </c>
      <c r="N5">
        <v>2004</v>
      </c>
      <c r="O5">
        <v>2005</v>
      </c>
      <c r="P5">
        <v>2006</v>
      </c>
      <c r="Q5">
        <v>2007</v>
      </c>
      <c r="R5">
        <v>2008</v>
      </c>
      <c r="S5">
        <v>2009</v>
      </c>
      <c r="T5">
        <v>2010</v>
      </c>
      <c r="U5">
        <v>2011</v>
      </c>
      <c r="V5">
        <v>2012</v>
      </c>
      <c r="W5">
        <v>2013</v>
      </c>
      <c r="X5">
        <v>2014</v>
      </c>
      <c r="Y5">
        <v>2015</v>
      </c>
      <c r="Z5">
        <v>2016</v>
      </c>
      <c r="AA5">
        <v>2017</v>
      </c>
      <c r="AB5">
        <v>2018</v>
      </c>
      <c r="AC5">
        <v>2019</v>
      </c>
      <c r="AD5">
        <v>2021</v>
      </c>
      <c r="AE5">
        <v>2022</v>
      </c>
      <c r="AF5">
        <v>2023</v>
      </c>
      <c r="AG5">
        <v>2024</v>
      </c>
    </row>
    <row r="6" spans="1:33" x14ac:dyDescent="0.2">
      <c r="A6" t="s">
        <v>646</v>
      </c>
      <c r="B6">
        <v>342757.84840000002</v>
      </c>
      <c r="C6">
        <v>444329.79399999999</v>
      </c>
      <c r="D6">
        <v>473657.15179999999</v>
      </c>
      <c r="E6">
        <v>445070.799</v>
      </c>
      <c r="F6">
        <v>524048.47930000001</v>
      </c>
      <c r="G6">
        <v>459633.06920000003</v>
      </c>
      <c r="H6">
        <v>343423.00380000001</v>
      </c>
      <c r="I6">
        <v>237387.88219999999</v>
      </c>
      <c r="J6">
        <v>312690.95520000003</v>
      </c>
      <c r="K6">
        <v>375950.07760000002</v>
      </c>
      <c r="L6">
        <v>311321.3714</v>
      </c>
      <c r="M6">
        <v>496522.9265</v>
      </c>
      <c r="N6">
        <v>516845.16039999999</v>
      </c>
      <c r="O6">
        <v>660314.83530000004</v>
      </c>
      <c r="P6">
        <v>604950.91850000003</v>
      </c>
      <c r="Q6">
        <v>479427.95770000003</v>
      </c>
      <c r="R6">
        <v>526836.33400000003</v>
      </c>
      <c r="S6">
        <v>403584.94390000001</v>
      </c>
      <c r="T6">
        <v>525731.52049999998</v>
      </c>
      <c r="U6">
        <v>519361.12030000001</v>
      </c>
      <c r="V6">
        <v>400282.24550000002</v>
      </c>
      <c r="W6">
        <v>402452.90840000001</v>
      </c>
      <c r="X6">
        <v>463304.54229999997</v>
      </c>
      <c r="Y6">
        <v>407519.29060000001</v>
      </c>
      <c r="Z6">
        <v>473808.71470000001</v>
      </c>
      <c r="AA6">
        <v>422367.6079</v>
      </c>
      <c r="AB6">
        <v>509637.5514</v>
      </c>
      <c r="AC6">
        <v>576230.04469999997</v>
      </c>
      <c r="AD6">
        <v>457568.93699999998</v>
      </c>
      <c r="AE6">
        <v>521614.67310000001</v>
      </c>
      <c r="AF6">
        <v>462575.0528</v>
      </c>
      <c r="AG6">
        <v>582468.89</v>
      </c>
    </row>
    <row r="7" spans="1:33" x14ac:dyDescent="0.2">
      <c r="A7" t="s">
        <v>645</v>
      </c>
      <c r="B7">
        <v>2333827202</v>
      </c>
      <c r="C7">
        <v>1783069599</v>
      </c>
      <c r="D7">
        <v>2160538855</v>
      </c>
      <c r="E7">
        <v>4235058673</v>
      </c>
      <c r="F7">
        <v>3075168719</v>
      </c>
      <c r="G7">
        <v>3528132679</v>
      </c>
      <c r="H7">
        <v>1546588417</v>
      </c>
      <c r="I7">
        <v>3772404082</v>
      </c>
      <c r="J7">
        <v>2825435475</v>
      </c>
      <c r="K7">
        <v>1239733380</v>
      </c>
      <c r="L7">
        <v>876039045.29999995</v>
      </c>
      <c r="M7">
        <v>1853732979</v>
      </c>
      <c r="N7">
        <v>1452861622</v>
      </c>
      <c r="O7">
        <v>2213078343</v>
      </c>
      <c r="P7">
        <v>2159115435</v>
      </c>
      <c r="Q7">
        <v>1411402356</v>
      </c>
      <c r="R7">
        <v>2101199876</v>
      </c>
      <c r="S7">
        <v>1618888745</v>
      </c>
      <c r="T7">
        <v>1940696224</v>
      </c>
      <c r="U7">
        <v>1599679202</v>
      </c>
      <c r="V7">
        <v>1842786139</v>
      </c>
      <c r="W7">
        <v>1284682990</v>
      </c>
      <c r="X7">
        <v>1031610449</v>
      </c>
      <c r="Y7">
        <v>631452419.70000005</v>
      </c>
      <c r="Z7">
        <v>528023611.60000002</v>
      </c>
      <c r="AA7">
        <v>765602575.10000002</v>
      </c>
      <c r="AB7">
        <v>1240718258</v>
      </c>
      <c r="AC7">
        <v>1461613923</v>
      </c>
      <c r="AD7">
        <v>1483649577</v>
      </c>
      <c r="AE7">
        <v>3735622656</v>
      </c>
      <c r="AF7">
        <v>1508023988</v>
      </c>
      <c r="AG7">
        <v>3065091650</v>
      </c>
    </row>
    <row r="9" spans="1:33" x14ac:dyDescent="0.2">
      <c r="A9" t="s">
        <v>649</v>
      </c>
    </row>
    <row r="10" spans="1:33" x14ac:dyDescent="0.2">
      <c r="A10" t="s">
        <v>647</v>
      </c>
      <c r="B10">
        <v>1994</v>
      </c>
      <c r="C10">
        <v>1997</v>
      </c>
      <c r="D10">
        <v>2000</v>
      </c>
      <c r="E10">
        <v>2002</v>
      </c>
      <c r="F10">
        <v>2004</v>
      </c>
      <c r="G10">
        <v>2006</v>
      </c>
      <c r="H10">
        <v>2010</v>
      </c>
      <c r="I10">
        <v>2012</v>
      </c>
      <c r="J10">
        <v>2014</v>
      </c>
      <c r="K10">
        <v>2016</v>
      </c>
      <c r="L10">
        <v>2018</v>
      </c>
      <c r="M10">
        <v>2022</v>
      </c>
      <c r="N10">
        <v>2024</v>
      </c>
    </row>
    <row r="11" spans="1:33" x14ac:dyDescent="0.2">
      <c r="A11" t="s">
        <v>646</v>
      </c>
      <c r="B11">
        <v>58229.43593</v>
      </c>
      <c r="C11">
        <v>74085.213919999995</v>
      </c>
      <c r="D11">
        <v>65028.119359999997</v>
      </c>
      <c r="E11">
        <v>88808.486210000003</v>
      </c>
      <c r="F11">
        <v>95040.974709999995</v>
      </c>
      <c r="G11">
        <v>181062.49419999999</v>
      </c>
      <c r="H11">
        <v>80049.292589999997</v>
      </c>
      <c r="I11">
        <v>60371.062109999999</v>
      </c>
      <c r="J11">
        <v>75957.573969999998</v>
      </c>
      <c r="K11">
        <v>65900.418919999996</v>
      </c>
      <c r="L11">
        <v>59492.998339999998</v>
      </c>
      <c r="M11">
        <v>58008.17381</v>
      </c>
      <c r="N11">
        <v>45219.398330000004</v>
      </c>
    </row>
    <row r="12" spans="1:33" x14ac:dyDescent="0.2">
      <c r="A12" t="s">
        <v>645</v>
      </c>
      <c r="B12">
        <v>68376680.540000007</v>
      </c>
      <c r="C12">
        <v>69010171.409999996</v>
      </c>
      <c r="D12">
        <v>52540980.210000001</v>
      </c>
      <c r="E12">
        <v>140295809.69999999</v>
      </c>
      <c r="F12">
        <v>152945611.90000001</v>
      </c>
      <c r="G12">
        <v>2419833506</v>
      </c>
      <c r="H12">
        <v>237821704.90000001</v>
      </c>
      <c r="I12">
        <v>102366725</v>
      </c>
      <c r="J12">
        <v>122216610.7</v>
      </c>
      <c r="K12">
        <v>170802291.5</v>
      </c>
      <c r="L12">
        <v>48564795.43</v>
      </c>
      <c r="M12">
        <v>49844462.25</v>
      </c>
      <c r="N12">
        <v>52586951.07</v>
      </c>
    </row>
    <row r="14" spans="1:33" x14ac:dyDescent="0.2">
      <c r="A14" t="s">
        <v>648</v>
      </c>
    </row>
    <row r="15" spans="1:33" x14ac:dyDescent="0.2">
      <c r="A15" t="s">
        <v>647</v>
      </c>
      <c r="B15">
        <v>2002</v>
      </c>
      <c r="C15">
        <v>2004</v>
      </c>
      <c r="D15">
        <v>2008</v>
      </c>
      <c r="E15">
        <v>2010</v>
      </c>
      <c r="F15">
        <v>2012</v>
      </c>
      <c r="G15">
        <v>2016</v>
      </c>
    </row>
    <row r="16" spans="1:33" x14ac:dyDescent="0.2">
      <c r="A16" t="s">
        <v>646</v>
      </c>
      <c r="B16">
        <v>42998.819020000003</v>
      </c>
      <c r="C16">
        <v>53820.816749999998</v>
      </c>
      <c r="D16">
        <v>68612.394289999997</v>
      </c>
      <c r="E16">
        <v>75979.30803</v>
      </c>
      <c r="F16">
        <v>73128.598180000001</v>
      </c>
      <c r="G16">
        <v>45581.888050000001</v>
      </c>
    </row>
    <row r="17" spans="1:22" x14ac:dyDescent="0.2">
      <c r="A17" t="s">
        <v>645</v>
      </c>
      <c r="B17">
        <v>31447235.609999999</v>
      </c>
      <c r="C17">
        <v>33074420.23</v>
      </c>
      <c r="D17">
        <v>77916882.75</v>
      </c>
      <c r="E17">
        <v>126887452.3</v>
      </c>
      <c r="F17">
        <v>171498524</v>
      </c>
      <c r="G17">
        <v>28991327.73</v>
      </c>
    </row>
    <row r="19" spans="1:22" x14ac:dyDescent="0.2">
      <c r="A19" t="s">
        <v>644</v>
      </c>
      <c r="B19">
        <v>1</v>
      </c>
      <c r="C19">
        <v>2</v>
      </c>
      <c r="D19">
        <v>3</v>
      </c>
      <c r="E19">
        <v>4</v>
      </c>
      <c r="F19">
        <v>5</v>
      </c>
      <c r="G19">
        <v>6</v>
      </c>
      <c r="H19">
        <v>7</v>
      </c>
      <c r="I19">
        <v>8</v>
      </c>
      <c r="J19">
        <v>9</v>
      </c>
      <c r="K19">
        <v>10</v>
      </c>
      <c r="L19">
        <v>11</v>
      </c>
      <c r="M19">
        <v>12</v>
      </c>
      <c r="N19">
        <v>13</v>
      </c>
      <c r="O19">
        <v>14</v>
      </c>
      <c r="P19">
        <v>15</v>
      </c>
      <c r="Q19">
        <v>16</v>
      </c>
      <c r="R19">
        <v>17</v>
      </c>
      <c r="S19">
        <v>18</v>
      </c>
      <c r="T19">
        <v>19</v>
      </c>
      <c r="U19">
        <v>20</v>
      </c>
      <c r="V19" t="s">
        <v>643</v>
      </c>
    </row>
    <row r="21" spans="1:22" x14ac:dyDescent="0.2">
      <c r="A21" t="s">
        <v>642</v>
      </c>
    </row>
    <row r="22" spans="1:22" x14ac:dyDescent="0.2">
      <c r="A22" t="s">
        <v>322</v>
      </c>
    </row>
    <row r="23" spans="1:22" x14ac:dyDescent="0.2">
      <c r="A23">
        <v>1993</v>
      </c>
      <c r="B23">
        <v>0</v>
      </c>
      <c r="C23">
        <v>0</v>
      </c>
      <c r="D23">
        <v>10408082</v>
      </c>
      <c r="E23">
        <v>34816588</v>
      </c>
      <c r="F23">
        <v>50618673</v>
      </c>
      <c r="G23">
        <v>121792277</v>
      </c>
      <c r="H23">
        <v>99982654</v>
      </c>
      <c r="I23">
        <v>75901048</v>
      </c>
      <c r="J23">
        <v>28284438</v>
      </c>
      <c r="K23">
        <v>20362577</v>
      </c>
      <c r="L23">
        <v>633502</v>
      </c>
      <c r="M23">
        <v>502179</v>
      </c>
      <c r="N23">
        <v>103467</v>
      </c>
      <c r="O23">
        <v>0</v>
      </c>
      <c r="P23">
        <v>0</v>
      </c>
      <c r="Q23">
        <v>0</v>
      </c>
      <c r="R23">
        <v>0</v>
      </c>
      <c r="S23">
        <v>0</v>
      </c>
      <c r="T23">
        <v>0</v>
      </c>
      <c r="U23">
        <v>0</v>
      </c>
      <c r="V23">
        <v>0</v>
      </c>
    </row>
    <row r="24" spans="1:22" x14ac:dyDescent="0.2">
      <c r="A24">
        <v>1994</v>
      </c>
      <c r="B24">
        <v>0</v>
      </c>
      <c r="C24">
        <v>2811177</v>
      </c>
      <c r="D24">
        <v>29290554</v>
      </c>
      <c r="E24">
        <v>11834230</v>
      </c>
      <c r="F24">
        <v>99543012</v>
      </c>
      <c r="G24">
        <v>106324768</v>
      </c>
      <c r="H24">
        <v>70688636</v>
      </c>
      <c r="I24">
        <v>44101188</v>
      </c>
      <c r="J24">
        <v>32365295</v>
      </c>
      <c r="K24">
        <v>13113474</v>
      </c>
      <c r="L24">
        <v>1241369</v>
      </c>
      <c r="M24">
        <v>0</v>
      </c>
      <c r="N24">
        <v>0</v>
      </c>
      <c r="O24">
        <v>0</v>
      </c>
      <c r="P24">
        <v>0</v>
      </c>
      <c r="Q24">
        <v>0</v>
      </c>
      <c r="R24">
        <v>0</v>
      </c>
      <c r="S24">
        <v>0</v>
      </c>
      <c r="T24">
        <v>0</v>
      </c>
      <c r="U24">
        <v>0</v>
      </c>
      <c r="V24">
        <v>0</v>
      </c>
    </row>
    <row r="25" spans="1:22" x14ac:dyDescent="0.2">
      <c r="A25">
        <v>1996</v>
      </c>
      <c r="B25">
        <v>1954092</v>
      </c>
      <c r="C25">
        <v>16317352</v>
      </c>
      <c r="D25">
        <v>54657137</v>
      </c>
      <c r="E25">
        <v>53006458</v>
      </c>
      <c r="F25">
        <v>50867502</v>
      </c>
      <c r="G25">
        <v>42242130</v>
      </c>
      <c r="H25">
        <v>34691140</v>
      </c>
      <c r="I25">
        <v>52086766</v>
      </c>
      <c r="J25">
        <v>59252144</v>
      </c>
      <c r="K25">
        <v>50581612</v>
      </c>
      <c r="L25">
        <v>23779956</v>
      </c>
      <c r="M25">
        <v>7383216</v>
      </c>
      <c r="N25">
        <v>3679056</v>
      </c>
      <c r="O25">
        <v>0</v>
      </c>
      <c r="P25">
        <v>0</v>
      </c>
      <c r="Q25">
        <v>0</v>
      </c>
      <c r="R25">
        <v>0</v>
      </c>
      <c r="S25">
        <v>0</v>
      </c>
      <c r="T25">
        <v>0</v>
      </c>
      <c r="U25">
        <v>0</v>
      </c>
      <c r="V25">
        <v>0</v>
      </c>
    </row>
    <row r="26" spans="1:22" x14ac:dyDescent="0.2">
      <c r="A26">
        <v>1998</v>
      </c>
      <c r="B26">
        <v>2726344</v>
      </c>
      <c r="C26">
        <v>28639563</v>
      </c>
      <c r="D26">
        <v>67791637</v>
      </c>
      <c r="E26">
        <v>72783702</v>
      </c>
      <c r="F26">
        <v>55723445</v>
      </c>
      <c r="G26">
        <v>27960604</v>
      </c>
      <c r="H26">
        <v>36507793</v>
      </c>
      <c r="I26">
        <v>26739826</v>
      </c>
      <c r="J26">
        <v>21986857</v>
      </c>
      <c r="K26">
        <v>14056648</v>
      </c>
      <c r="L26">
        <v>8678940</v>
      </c>
      <c r="M26">
        <v>6591358</v>
      </c>
      <c r="N26">
        <v>382881</v>
      </c>
      <c r="O26">
        <v>0</v>
      </c>
      <c r="P26">
        <v>0</v>
      </c>
      <c r="Q26">
        <v>0</v>
      </c>
      <c r="R26">
        <v>0</v>
      </c>
      <c r="S26">
        <v>0</v>
      </c>
      <c r="T26">
        <v>0</v>
      </c>
      <c r="U26">
        <v>0</v>
      </c>
      <c r="V26">
        <v>0</v>
      </c>
    </row>
    <row r="27" spans="1:22" x14ac:dyDescent="0.2">
      <c r="A27">
        <v>2004</v>
      </c>
      <c r="B27">
        <v>8721813</v>
      </c>
      <c r="C27">
        <v>139399509</v>
      </c>
      <c r="D27">
        <v>189833569</v>
      </c>
      <c r="E27">
        <v>158167334</v>
      </c>
      <c r="F27">
        <v>143018256</v>
      </c>
      <c r="G27">
        <v>65719903</v>
      </c>
      <c r="H27">
        <v>31428010</v>
      </c>
      <c r="I27">
        <v>30848578</v>
      </c>
      <c r="J27">
        <v>19865282</v>
      </c>
      <c r="K27">
        <v>7708618</v>
      </c>
      <c r="L27">
        <v>5661570</v>
      </c>
      <c r="M27">
        <v>6897639</v>
      </c>
      <c r="N27">
        <v>342570</v>
      </c>
      <c r="O27">
        <v>351078</v>
      </c>
      <c r="P27">
        <v>241184</v>
      </c>
      <c r="Q27">
        <v>1581682</v>
      </c>
      <c r="R27">
        <v>0</v>
      </c>
      <c r="S27">
        <v>0</v>
      </c>
      <c r="T27">
        <v>0</v>
      </c>
      <c r="U27">
        <v>0</v>
      </c>
      <c r="V27">
        <v>0</v>
      </c>
    </row>
    <row r="28" spans="1:22" x14ac:dyDescent="0.2">
      <c r="A28">
        <v>2010</v>
      </c>
      <c r="B28">
        <v>371290</v>
      </c>
      <c r="C28">
        <v>81531113</v>
      </c>
      <c r="D28">
        <v>84925964</v>
      </c>
      <c r="E28">
        <v>147685024</v>
      </c>
      <c r="F28">
        <v>200798241</v>
      </c>
      <c r="G28">
        <v>98699381</v>
      </c>
      <c r="H28">
        <v>94570373</v>
      </c>
      <c r="I28">
        <v>23418874</v>
      </c>
      <c r="J28">
        <v>21563028</v>
      </c>
      <c r="K28">
        <v>9388419</v>
      </c>
      <c r="L28">
        <v>5664541</v>
      </c>
      <c r="M28">
        <v>2256971</v>
      </c>
      <c r="N28">
        <v>2130523</v>
      </c>
      <c r="O28">
        <v>334859</v>
      </c>
      <c r="P28">
        <v>849834</v>
      </c>
      <c r="Q28">
        <v>1522920</v>
      </c>
      <c r="R28">
        <v>0</v>
      </c>
      <c r="S28">
        <v>0</v>
      </c>
      <c r="T28">
        <v>554609</v>
      </c>
      <c r="U28">
        <v>141471</v>
      </c>
      <c r="V28">
        <v>766548</v>
      </c>
    </row>
    <row r="29" spans="1:22" x14ac:dyDescent="0.2">
      <c r="A29">
        <v>2012</v>
      </c>
      <c r="B29">
        <v>121847</v>
      </c>
      <c r="C29">
        <v>30998345</v>
      </c>
      <c r="D29">
        <v>77153141</v>
      </c>
      <c r="E29">
        <v>94193395</v>
      </c>
      <c r="F29">
        <v>93590081</v>
      </c>
      <c r="G29">
        <v>114083646</v>
      </c>
      <c r="H29">
        <v>71678254</v>
      </c>
      <c r="I29">
        <v>34204372</v>
      </c>
      <c r="J29">
        <v>41059099</v>
      </c>
      <c r="K29">
        <v>10909168</v>
      </c>
      <c r="L29">
        <v>6915354</v>
      </c>
      <c r="M29">
        <v>1825075</v>
      </c>
      <c r="N29">
        <v>1192752</v>
      </c>
      <c r="O29">
        <v>758328</v>
      </c>
      <c r="P29">
        <v>0</v>
      </c>
      <c r="Q29">
        <v>1019918</v>
      </c>
      <c r="R29">
        <v>252405</v>
      </c>
      <c r="S29">
        <v>73225</v>
      </c>
      <c r="T29">
        <v>0</v>
      </c>
      <c r="U29">
        <v>0</v>
      </c>
      <c r="V29">
        <v>72286</v>
      </c>
    </row>
    <row r="30" spans="1:22" x14ac:dyDescent="0.2">
      <c r="A30">
        <v>2014</v>
      </c>
      <c r="B30">
        <v>2803545</v>
      </c>
      <c r="C30">
        <v>51645429</v>
      </c>
      <c r="D30">
        <v>74009755</v>
      </c>
      <c r="E30">
        <v>58135092</v>
      </c>
      <c r="F30">
        <v>73553151</v>
      </c>
      <c r="G30">
        <v>71205233</v>
      </c>
      <c r="H30">
        <v>63615331</v>
      </c>
      <c r="I30">
        <v>32270441</v>
      </c>
      <c r="J30">
        <v>32143215</v>
      </c>
      <c r="K30">
        <v>22396090</v>
      </c>
      <c r="L30">
        <v>14498176</v>
      </c>
      <c r="M30">
        <v>9834462</v>
      </c>
      <c r="N30">
        <v>1053664</v>
      </c>
      <c r="O30">
        <v>959602</v>
      </c>
      <c r="P30">
        <v>491891</v>
      </c>
      <c r="Q30">
        <v>807334</v>
      </c>
      <c r="R30">
        <v>130916</v>
      </c>
      <c r="S30">
        <v>0</v>
      </c>
      <c r="T30">
        <v>0</v>
      </c>
      <c r="U30">
        <v>167349</v>
      </c>
      <c r="V30">
        <v>424849</v>
      </c>
    </row>
    <row r="31" spans="1:22" x14ac:dyDescent="0.2">
      <c r="A31">
        <v>2015</v>
      </c>
      <c r="B31">
        <v>0</v>
      </c>
      <c r="C31">
        <v>23871929</v>
      </c>
      <c r="D31">
        <v>60906325</v>
      </c>
      <c r="E31">
        <v>64855924</v>
      </c>
      <c r="F31">
        <v>56664125</v>
      </c>
      <c r="G31">
        <v>73496403</v>
      </c>
      <c r="H31">
        <v>60185742</v>
      </c>
      <c r="I31">
        <v>32045213</v>
      </c>
      <c r="J31">
        <v>28761447</v>
      </c>
      <c r="K31">
        <v>20554257</v>
      </c>
      <c r="L31">
        <v>19288508</v>
      </c>
      <c r="M31">
        <v>7709927</v>
      </c>
      <c r="N31">
        <v>3503393</v>
      </c>
      <c r="O31">
        <v>5694528</v>
      </c>
      <c r="P31">
        <v>1909437</v>
      </c>
      <c r="Q31">
        <v>799785</v>
      </c>
      <c r="R31">
        <v>346190</v>
      </c>
      <c r="S31">
        <v>0</v>
      </c>
      <c r="T31">
        <v>190891</v>
      </c>
      <c r="U31">
        <v>0</v>
      </c>
      <c r="V31">
        <v>455759</v>
      </c>
    </row>
    <row r="32" spans="1:22" x14ac:dyDescent="0.2">
      <c r="A32">
        <v>2016</v>
      </c>
      <c r="B32">
        <v>0</v>
      </c>
      <c r="C32">
        <v>26315412</v>
      </c>
      <c r="D32">
        <v>112468933</v>
      </c>
      <c r="E32">
        <v>154817447</v>
      </c>
      <c r="F32">
        <v>92846813</v>
      </c>
      <c r="G32">
        <v>63756251</v>
      </c>
      <c r="H32">
        <v>37043749</v>
      </c>
      <c r="I32">
        <v>25229122</v>
      </c>
      <c r="J32">
        <v>21526776</v>
      </c>
      <c r="K32">
        <v>17565112</v>
      </c>
      <c r="L32">
        <v>12425529</v>
      </c>
      <c r="M32">
        <v>9543354</v>
      </c>
      <c r="N32">
        <v>7854407</v>
      </c>
      <c r="O32">
        <v>1002524</v>
      </c>
      <c r="P32">
        <v>1812494</v>
      </c>
      <c r="Q32">
        <v>0</v>
      </c>
      <c r="R32">
        <v>0</v>
      </c>
      <c r="S32">
        <v>587562</v>
      </c>
      <c r="T32">
        <v>0</v>
      </c>
      <c r="U32">
        <v>0</v>
      </c>
      <c r="V32">
        <v>0</v>
      </c>
    </row>
    <row r="33" spans="1:22" x14ac:dyDescent="0.2">
      <c r="A33">
        <v>2017</v>
      </c>
      <c r="B33">
        <v>0</v>
      </c>
      <c r="C33">
        <v>51121662</v>
      </c>
      <c r="D33">
        <v>52865902</v>
      </c>
      <c r="E33">
        <v>133962903</v>
      </c>
      <c r="F33">
        <v>100342915</v>
      </c>
      <c r="G33">
        <v>43494155</v>
      </c>
      <c r="H33">
        <v>27325731</v>
      </c>
      <c r="I33">
        <v>19273345</v>
      </c>
      <c r="J33">
        <v>17593822</v>
      </c>
      <c r="K33">
        <v>18711238</v>
      </c>
      <c r="L33">
        <v>15165662</v>
      </c>
      <c r="M33">
        <v>6355199</v>
      </c>
      <c r="N33">
        <v>4459482</v>
      </c>
      <c r="O33">
        <v>1724409</v>
      </c>
      <c r="P33">
        <v>718125</v>
      </c>
      <c r="Q33">
        <v>0</v>
      </c>
      <c r="R33">
        <v>0</v>
      </c>
      <c r="S33">
        <v>805878</v>
      </c>
      <c r="T33">
        <v>0</v>
      </c>
      <c r="U33">
        <v>0</v>
      </c>
      <c r="V33">
        <v>0</v>
      </c>
    </row>
    <row r="34" spans="1:22" x14ac:dyDescent="0.2">
      <c r="A34">
        <v>2018</v>
      </c>
      <c r="B34">
        <v>0</v>
      </c>
      <c r="C34">
        <v>161745800</v>
      </c>
      <c r="D34">
        <v>123351252</v>
      </c>
      <c r="E34">
        <v>103789903</v>
      </c>
      <c r="F34">
        <v>131277695</v>
      </c>
      <c r="G34">
        <v>101799490</v>
      </c>
      <c r="H34">
        <v>46656208</v>
      </c>
      <c r="I34">
        <v>17889828</v>
      </c>
      <c r="J34">
        <v>17870185</v>
      </c>
      <c r="K34">
        <v>13025136</v>
      </c>
      <c r="L34">
        <v>7082536</v>
      </c>
      <c r="M34">
        <v>7259786</v>
      </c>
      <c r="N34">
        <v>5081933</v>
      </c>
      <c r="O34">
        <v>912598</v>
      </c>
      <c r="P34">
        <v>0</v>
      </c>
      <c r="Q34">
        <v>0</v>
      </c>
      <c r="R34">
        <v>1093447</v>
      </c>
      <c r="S34">
        <v>0</v>
      </c>
      <c r="T34">
        <v>0</v>
      </c>
      <c r="U34">
        <v>0</v>
      </c>
      <c r="V34">
        <v>0</v>
      </c>
    </row>
    <row r="35" spans="1:22" x14ac:dyDescent="0.2">
      <c r="A35">
        <v>2019</v>
      </c>
      <c r="B35">
        <v>0</v>
      </c>
      <c r="C35">
        <v>31790034</v>
      </c>
      <c r="D35">
        <v>189659196</v>
      </c>
      <c r="E35">
        <v>105435922</v>
      </c>
      <c r="F35">
        <v>94563491</v>
      </c>
      <c r="G35">
        <v>77819016</v>
      </c>
      <c r="H35">
        <v>61172657</v>
      </c>
      <c r="I35">
        <v>30990778</v>
      </c>
      <c r="J35">
        <v>13960225</v>
      </c>
      <c r="K35">
        <v>11165685</v>
      </c>
      <c r="L35">
        <v>10990893</v>
      </c>
      <c r="M35">
        <v>10044385</v>
      </c>
      <c r="N35">
        <v>2104319</v>
      </c>
      <c r="O35">
        <v>0</v>
      </c>
      <c r="P35">
        <v>4901555</v>
      </c>
      <c r="Q35">
        <v>436272</v>
      </c>
      <c r="R35">
        <v>3230643</v>
      </c>
      <c r="S35">
        <v>0</v>
      </c>
      <c r="T35">
        <v>0</v>
      </c>
      <c r="U35">
        <v>0</v>
      </c>
      <c r="V35">
        <v>0</v>
      </c>
    </row>
    <row r="36" spans="1:22" x14ac:dyDescent="0.2">
      <c r="A36">
        <v>2021</v>
      </c>
      <c r="B36">
        <v>0</v>
      </c>
      <c r="C36">
        <v>0</v>
      </c>
      <c r="D36">
        <v>161656676</v>
      </c>
      <c r="E36">
        <v>120269392</v>
      </c>
      <c r="F36">
        <v>162207014</v>
      </c>
      <c r="G36">
        <v>47880275</v>
      </c>
      <c r="H36">
        <v>32452492</v>
      </c>
      <c r="I36">
        <v>19464395</v>
      </c>
      <c r="J36">
        <v>7283789</v>
      </c>
      <c r="K36">
        <v>1458800</v>
      </c>
      <c r="L36">
        <v>2225073</v>
      </c>
      <c r="M36">
        <v>3359279</v>
      </c>
      <c r="N36">
        <v>2834920</v>
      </c>
      <c r="O36">
        <v>1424079</v>
      </c>
      <c r="P36">
        <v>2097660</v>
      </c>
      <c r="Q36">
        <v>798736</v>
      </c>
      <c r="R36">
        <v>409607</v>
      </c>
      <c r="S36">
        <v>0</v>
      </c>
      <c r="T36">
        <v>0</v>
      </c>
      <c r="U36">
        <v>0</v>
      </c>
      <c r="V36">
        <v>0</v>
      </c>
    </row>
    <row r="38" spans="1:22" x14ac:dyDescent="0.2">
      <c r="A38" t="s">
        <v>320</v>
      </c>
    </row>
    <row r="39" spans="1:22" x14ac:dyDescent="0.2">
      <c r="A39">
        <v>1993</v>
      </c>
      <c r="B39">
        <v>0</v>
      </c>
      <c r="C39">
        <v>0</v>
      </c>
      <c r="D39">
        <v>16763705</v>
      </c>
      <c r="E39">
        <v>6830736</v>
      </c>
      <c r="F39">
        <v>61012558</v>
      </c>
      <c r="G39">
        <v>56619519</v>
      </c>
      <c r="H39">
        <v>31019536</v>
      </c>
      <c r="I39">
        <v>8976840</v>
      </c>
      <c r="J39">
        <v>1319594</v>
      </c>
      <c r="K39">
        <v>450707</v>
      </c>
      <c r="L39">
        <v>0</v>
      </c>
      <c r="M39">
        <v>0</v>
      </c>
      <c r="N39">
        <v>0</v>
      </c>
      <c r="O39">
        <v>0</v>
      </c>
      <c r="P39">
        <v>0</v>
      </c>
      <c r="Q39">
        <v>0</v>
      </c>
      <c r="R39">
        <v>0</v>
      </c>
      <c r="S39">
        <v>0</v>
      </c>
      <c r="T39">
        <v>0</v>
      </c>
      <c r="U39">
        <v>0</v>
      </c>
      <c r="V39">
        <v>0</v>
      </c>
    </row>
    <row r="40" spans="1:22" x14ac:dyDescent="0.2">
      <c r="A40">
        <v>1994</v>
      </c>
      <c r="B40">
        <v>0</v>
      </c>
      <c r="C40">
        <v>12865734</v>
      </c>
      <c r="D40">
        <v>13407040</v>
      </c>
      <c r="E40">
        <v>17215009</v>
      </c>
      <c r="F40">
        <v>29553581</v>
      </c>
      <c r="G40">
        <v>42654480</v>
      </c>
      <c r="H40">
        <v>17475468</v>
      </c>
      <c r="I40">
        <v>31648622</v>
      </c>
      <c r="J40">
        <v>0</v>
      </c>
      <c r="K40">
        <v>2344501</v>
      </c>
      <c r="L40">
        <v>0</v>
      </c>
      <c r="M40">
        <v>0</v>
      </c>
      <c r="N40">
        <v>0</v>
      </c>
      <c r="O40">
        <v>0</v>
      </c>
      <c r="P40">
        <v>0</v>
      </c>
      <c r="Q40">
        <v>0</v>
      </c>
      <c r="R40">
        <v>0</v>
      </c>
      <c r="S40">
        <v>0</v>
      </c>
      <c r="T40">
        <v>0</v>
      </c>
      <c r="U40">
        <v>0</v>
      </c>
      <c r="V40">
        <v>0</v>
      </c>
    </row>
    <row r="41" spans="1:22" x14ac:dyDescent="0.2">
      <c r="A41">
        <v>1996</v>
      </c>
      <c r="B41">
        <v>0</v>
      </c>
      <c r="C41">
        <v>6355624</v>
      </c>
      <c r="D41">
        <v>19618750</v>
      </c>
      <c r="E41">
        <v>12870309</v>
      </c>
      <c r="F41">
        <v>33065806</v>
      </c>
      <c r="G41">
        <v>22577996</v>
      </c>
      <c r="H41">
        <v>9645638</v>
      </c>
      <c r="I41">
        <v>22278889</v>
      </c>
      <c r="J41">
        <v>3094048</v>
      </c>
      <c r="K41">
        <v>6178786</v>
      </c>
      <c r="L41">
        <v>0</v>
      </c>
      <c r="M41">
        <v>231769</v>
      </c>
      <c r="N41">
        <v>0</v>
      </c>
      <c r="O41">
        <v>0</v>
      </c>
      <c r="P41">
        <v>0</v>
      </c>
      <c r="Q41">
        <v>0</v>
      </c>
      <c r="R41">
        <v>0</v>
      </c>
      <c r="S41">
        <v>0</v>
      </c>
      <c r="T41">
        <v>0</v>
      </c>
      <c r="U41">
        <v>0</v>
      </c>
      <c r="V41">
        <v>0</v>
      </c>
    </row>
    <row r="42" spans="1:22" x14ac:dyDescent="0.2">
      <c r="A42">
        <v>1998</v>
      </c>
      <c r="B42">
        <v>0</v>
      </c>
      <c r="C42">
        <v>12663574</v>
      </c>
      <c r="D42">
        <v>49842818</v>
      </c>
      <c r="E42">
        <v>29270487</v>
      </c>
      <c r="F42">
        <v>16201686</v>
      </c>
      <c r="G42">
        <v>5348072</v>
      </c>
      <c r="H42">
        <v>11856460</v>
      </c>
      <c r="I42">
        <v>2747428</v>
      </c>
      <c r="J42">
        <v>0</v>
      </c>
      <c r="K42">
        <v>2609596</v>
      </c>
      <c r="L42">
        <v>0</v>
      </c>
      <c r="M42">
        <v>0</v>
      </c>
      <c r="N42">
        <v>0</v>
      </c>
      <c r="O42">
        <v>0</v>
      </c>
      <c r="P42">
        <v>0</v>
      </c>
      <c r="Q42">
        <v>0</v>
      </c>
      <c r="R42">
        <v>0</v>
      </c>
      <c r="S42">
        <v>0</v>
      </c>
      <c r="T42">
        <v>0</v>
      </c>
      <c r="U42">
        <v>0</v>
      </c>
      <c r="V42">
        <v>0</v>
      </c>
    </row>
    <row r="43" spans="1:22" x14ac:dyDescent="0.2">
      <c r="A43">
        <v>2004</v>
      </c>
      <c r="B43">
        <v>7599173</v>
      </c>
      <c r="C43">
        <v>99290331</v>
      </c>
      <c r="D43">
        <v>89021729</v>
      </c>
      <c r="E43">
        <v>73991763</v>
      </c>
      <c r="F43">
        <v>38729973</v>
      </c>
      <c r="G43">
        <v>24316339</v>
      </c>
      <c r="H43">
        <v>9076550</v>
      </c>
      <c r="I43">
        <v>7047346</v>
      </c>
      <c r="J43">
        <v>1454632</v>
      </c>
      <c r="K43">
        <v>0</v>
      </c>
      <c r="L43">
        <v>112914</v>
      </c>
      <c r="M43">
        <v>0</v>
      </c>
      <c r="N43">
        <v>0</v>
      </c>
      <c r="O43">
        <v>0</v>
      </c>
      <c r="P43">
        <v>0</v>
      </c>
      <c r="Q43">
        <v>0</v>
      </c>
      <c r="R43">
        <v>506768</v>
      </c>
      <c r="S43">
        <v>0</v>
      </c>
      <c r="T43">
        <v>0</v>
      </c>
      <c r="U43">
        <v>0</v>
      </c>
      <c r="V43">
        <v>0</v>
      </c>
    </row>
    <row r="44" spans="1:22" x14ac:dyDescent="0.2">
      <c r="A44">
        <v>2010</v>
      </c>
      <c r="B44">
        <v>222339</v>
      </c>
      <c r="C44">
        <v>43295449</v>
      </c>
      <c r="D44">
        <v>43345415</v>
      </c>
      <c r="E44">
        <v>54067360</v>
      </c>
      <c r="F44">
        <v>62734935</v>
      </c>
      <c r="G44">
        <v>30387639</v>
      </c>
      <c r="H44">
        <v>26757935</v>
      </c>
      <c r="I44">
        <v>5052087</v>
      </c>
      <c r="J44">
        <v>1713378</v>
      </c>
      <c r="K44">
        <v>722498</v>
      </c>
      <c r="L44">
        <v>0</v>
      </c>
      <c r="M44">
        <v>0</v>
      </c>
      <c r="N44">
        <v>0</v>
      </c>
      <c r="O44">
        <v>0</v>
      </c>
      <c r="P44">
        <v>0</v>
      </c>
      <c r="Q44">
        <v>0</v>
      </c>
      <c r="R44">
        <v>0</v>
      </c>
      <c r="S44">
        <v>0</v>
      </c>
      <c r="T44">
        <v>0</v>
      </c>
      <c r="U44">
        <v>0</v>
      </c>
      <c r="V44">
        <v>0</v>
      </c>
    </row>
    <row r="45" spans="1:22" x14ac:dyDescent="0.2">
      <c r="A45">
        <v>2012</v>
      </c>
      <c r="B45">
        <v>0</v>
      </c>
      <c r="C45">
        <v>18035547</v>
      </c>
      <c r="D45">
        <v>44679488</v>
      </c>
      <c r="E45">
        <v>59651089</v>
      </c>
      <c r="F45">
        <v>33796916</v>
      </c>
      <c r="G45">
        <v>32141880</v>
      </c>
      <c r="H45">
        <v>11858902</v>
      </c>
      <c r="I45">
        <v>6657820</v>
      </c>
      <c r="J45">
        <v>5863968</v>
      </c>
      <c r="K45">
        <v>411944</v>
      </c>
      <c r="L45">
        <v>1248738</v>
      </c>
      <c r="M45">
        <v>536040</v>
      </c>
      <c r="N45">
        <v>0</v>
      </c>
      <c r="O45">
        <v>0</v>
      </c>
      <c r="P45">
        <v>0</v>
      </c>
      <c r="Q45">
        <v>0</v>
      </c>
      <c r="R45">
        <v>0</v>
      </c>
      <c r="S45">
        <v>0</v>
      </c>
      <c r="T45">
        <v>0</v>
      </c>
      <c r="U45">
        <v>0</v>
      </c>
      <c r="V45">
        <v>0</v>
      </c>
    </row>
    <row r="46" spans="1:22" x14ac:dyDescent="0.2">
      <c r="A46">
        <v>2014</v>
      </c>
      <c r="B46">
        <v>99853</v>
      </c>
      <c r="C46">
        <v>23618785</v>
      </c>
      <c r="D46">
        <v>23595000</v>
      </c>
      <c r="E46">
        <v>41361876</v>
      </c>
      <c r="F46">
        <v>35571045</v>
      </c>
      <c r="G46">
        <v>29000365</v>
      </c>
      <c r="H46">
        <v>12357338</v>
      </c>
      <c r="I46">
        <v>2563104</v>
      </c>
      <c r="J46">
        <v>4156254</v>
      </c>
      <c r="K46">
        <v>2894977</v>
      </c>
      <c r="L46">
        <v>0</v>
      </c>
      <c r="M46">
        <v>0</v>
      </c>
      <c r="N46">
        <v>0</v>
      </c>
      <c r="O46">
        <v>0</v>
      </c>
      <c r="P46">
        <v>0</v>
      </c>
      <c r="Q46">
        <v>0</v>
      </c>
      <c r="R46">
        <v>0</v>
      </c>
      <c r="S46">
        <v>0</v>
      </c>
      <c r="T46">
        <v>0</v>
      </c>
      <c r="U46">
        <v>0</v>
      </c>
      <c r="V46">
        <v>0</v>
      </c>
    </row>
    <row r="47" spans="1:22" x14ac:dyDescent="0.2">
      <c r="A47">
        <v>2015</v>
      </c>
      <c r="B47">
        <v>0</v>
      </c>
      <c r="C47">
        <v>12428840</v>
      </c>
      <c r="D47">
        <v>25171270</v>
      </c>
      <c r="E47">
        <v>25109310</v>
      </c>
      <c r="F47">
        <v>31040977</v>
      </c>
      <c r="G47">
        <v>19444856</v>
      </c>
      <c r="H47">
        <v>12801311</v>
      </c>
      <c r="I47">
        <v>8255032</v>
      </c>
      <c r="J47">
        <v>3879499</v>
      </c>
      <c r="K47">
        <v>1784202</v>
      </c>
      <c r="L47">
        <v>2364919</v>
      </c>
      <c r="M47">
        <v>1389851</v>
      </c>
      <c r="N47">
        <v>256229</v>
      </c>
      <c r="O47">
        <v>798957</v>
      </c>
      <c r="P47">
        <v>0</v>
      </c>
      <c r="Q47">
        <v>0</v>
      </c>
      <c r="R47">
        <v>0</v>
      </c>
      <c r="S47">
        <v>0</v>
      </c>
      <c r="T47">
        <v>0</v>
      </c>
      <c r="U47">
        <v>0</v>
      </c>
      <c r="V47">
        <v>0</v>
      </c>
    </row>
    <row r="48" spans="1:22" x14ac:dyDescent="0.2">
      <c r="A48">
        <v>2016</v>
      </c>
      <c r="B48">
        <v>271434</v>
      </c>
      <c r="C48">
        <v>10948056</v>
      </c>
      <c r="D48">
        <v>46565584</v>
      </c>
      <c r="E48">
        <v>90091729</v>
      </c>
      <c r="F48">
        <v>33475444</v>
      </c>
      <c r="G48">
        <v>15901471</v>
      </c>
      <c r="H48">
        <v>8079246</v>
      </c>
      <c r="I48">
        <v>6045477</v>
      </c>
      <c r="J48">
        <v>2535935</v>
      </c>
      <c r="K48">
        <v>2930133</v>
      </c>
      <c r="L48">
        <v>230870</v>
      </c>
      <c r="M48">
        <v>259936</v>
      </c>
      <c r="N48">
        <v>259936</v>
      </c>
      <c r="O48">
        <v>0</v>
      </c>
      <c r="P48">
        <v>0</v>
      </c>
      <c r="Q48">
        <v>0</v>
      </c>
      <c r="R48">
        <v>0</v>
      </c>
      <c r="S48">
        <v>0</v>
      </c>
      <c r="T48">
        <v>0</v>
      </c>
      <c r="U48">
        <v>0</v>
      </c>
      <c r="V48">
        <v>230870</v>
      </c>
    </row>
    <row r="49" spans="1:22" x14ac:dyDescent="0.2">
      <c r="A49">
        <v>2017</v>
      </c>
      <c r="B49">
        <v>0</v>
      </c>
      <c r="C49">
        <v>16596013</v>
      </c>
      <c r="D49">
        <v>29961109</v>
      </c>
      <c r="E49">
        <v>50411116</v>
      </c>
      <c r="F49">
        <v>52650448</v>
      </c>
      <c r="G49">
        <v>24186251</v>
      </c>
      <c r="H49">
        <v>4641313</v>
      </c>
      <c r="I49">
        <v>3800055</v>
      </c>
      <c r="J49">
        <v>1575607</v>
      </c>
      <c r="K49">
        <v>106921</v>
      </c>
      <c r="L49">
        <v>2383614</v>
      </c>
      <c r="M49">
        <v>349574</v>
      </c>
      <c r="N49">
        <v>456495</v>
      </c>
      <c r="O49">
        <v>0</v>
      </c>
      <c r="P49">
        <v>0</v>
      </c>
      <c r="Q49">
        <v>0</v>
      </c>
      <c r="R49">
        <v>106921</v>
      </c>
      <c r="S49">
        <v>0</v>
      </c>
      <c r="T49">
        <v>106921</v>
      </c>
      <c r="U49">
        <v>0</v>
      </c>
      <c r="V49">
        <v>0</v>
      </c>
    </row>
    <row r="50" spans="1:22" x14ac:dyDescent="0.2">
      <c r="A50">
        <v>2018</v>
      </c>
      <c r="B50">
        <v>0</v>
      </c>
      <c r="C50">
        <v>90070972</v>
      </c>
      <c r="D50">
        <v>60314979</v>
      </c>
      <c r="E50">
        <v>59753606</v>
      </c>
      <c r="F50">
        <v>48656699</v>
      </c>
      <c r="G50">
        <v>43116995</v>
      </c>
      <c r="H50">
        <v>9598973</v>
      </c>
      <c r="I50">
        <v>4315268</v>
      </c>
      <c r="J50">
        <v>1670431</v>
      </c>
      <c r="K50">
        <v>1909282</v>
      </c>
      <c r="L50">
        <v>0</v>
      </c>
      <c r="M50">
        <v>864210</v>
      </c>
      <c r="N50">
        <v>0</v>
      </c>
      <c r="O50">
        <v>479805</v>
      </c>
      <c r="P50">
        <v>0</v>
      </c>
      <c r="Q50">
        <v>0</v>
      </c>
      <c r="R50">
        <v>0</v>
      </c>
      <c r="S50">
        <v>0</v>
      </c>
      <c r="T50">
        <v>0</v>
      </c>
      <c r="U50">
        <v>0</v>
      </c>
      <c r="V50">
        <v>0</v>
      </c>
    </row>
    <row r="51" spans="1:22" x14ac:dyDescent="0.2">
      <c r="A51">
        <v>2019</v>
      </c>
      <c r="B51">
        <v>0</v>
      </c>
      <c r="C51">
        <v>8845898</v>
      </c>
      <c r="D51">
        <v>156873151</v>
      </c>
      <c r="E51">
        <v>52252443</v>
      </c>
      <c r="F51">
        <v>38102646</v>
      </c>
      <c r="G51">
        <v>36396079</v>
      </c>
      <c r="H51">
        <v>12347609</v>
      </c>
      <c r="I51">
        <v>7724173</v>
      </c>
      <c r="J51">
        <v>2683189</v>
      </c>
      <c r="K51">
        <v>1126991</v>
      </c>
      <c r="L51">
        <v>0</v>
      </c>
      <c r="M51">
        <v>1167800</v>
      </c>
      <c r="N51">
        <v>0</v>
      </c>
      <c r="O51">
        <v>0</v>
      </c>
      <c r="P51">
        <v>0</v>
      </c>
      <c r="Q51">
        <v>0</v>
      </c>
      <c r="R51">
        <v>0</v>
      </c>
      <c r="S51">
        <v>0</v>
      </c>
      <c r="T51">
        <v>0</v>
      </c>
      <c r="U51">
        <v>0</v>
      </c>
      <c r="V51">
        <v>0</v>
      </c>
    </row>
    <row r="52" spans="1:22" x14ac:dyDescent="0.2">
      <c r="A52">
        <v>2021</v>
      </c>
      <c r="B52">
        <v>0</v>
      </c>
      <c r="C52">
        <v>9585558</v>
      </c>
      <c r="D52">
        <v>93751458</v>
      </c>
      <c r="E52">
        <v>84281945</v>
      </c>
      <c r="F52">
        <v>118174557</v>
      </c>
      <c r="G52">
        <v>17754853</v>
      </c>
      <c r="H52">
        <v>7680846</v>
      </c>
      <c r="I52">
        <v>871926</v>
      </c>
      <c r="J52">
        <v>0</v>
      </c>
      <c r="K52">
        <v>890728</v>
      </c>
      <c r="L52">
        <v>0</v>
      </c>
      <c r="M52">
        <v>669118</v>
      </c>
      <c r="N52">
        <v>0</v>
      </c>
      <c r="O52">
        <v>0</v>
      </c>
      <c r="P52">
        <v>0</v>
      </c>
      <c r="Q52">
        <v>0</v>
      </c>
      <c r="R52">
        <v>0</v>
      </c>
      <c r="S52">
        <v>0</v>
      </c>
      <c r="T52">
        <v>0</v>
      </c>
      <c r="U52">
        <v>0</v>
      </c>
      <c r="V52">
        <v>0</v>
      </c>
    </row>
    <row r="54" spans="1:22" x14ac:dyDescent="0.2">
      <c r="A54" t="s">
        <v>641</v>
      </c>
    </row>
    <row r="55" spans="1:22" x14ac:dyDescent="0.2">
      <c r="A55" t="s">
        <v>322</v>
      </c>
    </row>
    <row r="56" spans="1:22" x14ac:dyDescent="0.2">
      <c r="A56">
        <v>2010</v>
      </c>
      <c r="B56">
        <v>0</v>
      </c>
      <c r="C56">
        <v>1760941</v>
      </c>
      <c r="D56">
        <v>5447825</v>
      </c>
      <c r="E56">
        <v>6748867</v>
      </c>
      <c r="F56">
        <v>10950450</v>
      </c>
      <c r="G56">
        <v>4338225</v>
      </c>
      <c r="H56">
        <v>5849529</v>
      </c>
      <c r="I56">
        <v>3878681</v>
      </c>
      <c r="J56">
        <v>3458633</v>
      </c>
      <c r="K56">
        <v>2188053</v>
      </c>
      <c r="L56">
        <v>2339754</v>
      </c>
      <c r="M56">
        <v>1197874</v>
      </c>
      <c r="N56">
        <v>1172517</v>
      </c>
      <c r="O56">
        <v>908097</v>
      </c>
      <c r="P56">
        <v>786241</v>
      </c>
      <c r="Q56">
        <v>385055</v>
      </c>
      <c r="R56">
        <v>188967</v>
      </c>
      <c r="S56">
        <v>568792</v>
      </c>
      <c r="T56">
        <v>297725</v>
      </c>
      <c r="U56">
        <v>317876</v>
      </c>
      <c r="V56">
        <v>300345</v>
      </c>
    </row>
    <row r="57" spans="1:22" x14ac:dyDescent="0.2">
      <c r="A57">
        <v>2012</v>
      </c>
      <c r="B57">
        <v>0</v>
      </c>
      <c r="C57">
        <v>1939207</v>
      </c>
      <c r="D57">
        <v>1671926</v>
      </c>
      <c r="E57">
        <v>5392146</v>
      </c>
      <c r="F57">
        <v>5245473</v>
      </c>
      <c r="G57">
        <v>4298424</v>
      </c>
      <c r="H57">
        <v>6799989</v>
      </c>
      <c r="I57">
        <v>4001542</v>
      </c>
      <c r="J57">
        <v>1291856</v>
      </c>
      <c r="K57">
        <v>2131008</v>
      </c>
      <c r="L57">
        <v>1630302</v>
      </c>
      <c r="M57">
        <v>1257117</v>
      </c>
      <c r="N57">
        <v>955296</v>
      </c>
      <c r="O57">
        <v>1042074</v>
      </c>
      <c r="P57">
        <v>550678</v>
      </c>
      <c r="Q57">
        <v>695234</v>
      </c>
      <c r="R57">
        <v>503648</v>
      </c>
      <c r="S57">
        <v>371614</v>
      </c>
      <c r="T57">
        <v>116441</v>
      </c>
      <c r="U57">
        <v>133252</v>
      </c>
      <c r="V57">
        <v>674046</v>
      </c>
    </row>
    <row r="58" spans="1:22" x14ac:dyDescent="0.2">
      <c r="A58">
        <v>2014</v>
      </c>
      <c r="B58">
        <v>107753</v>
      </c>
      <c r="C58">
        <v>3056464</v>
      </c>
      <c r="D58">
        <v>6891701</v>
      </c>
      <c r="E58">
        <v>7163546</v>
      </c>
      <c r="F58">
        <v>3554354</v>
      </c>
      <c r="G58">
        <v>3727775</v>
      </c>
      <c r="H58">
        <v>3489631</v>
      </c>
      <c r="I58">
        <v>7349528</v>
      </c>
      <c r="J58">
        <v>6264415</v>
      </c>
      <c r="K58">
        <v>3420535</v>
      </c>
      <c r="L58">
        <v>3740815</v>
      </c>
      <c r="M58">
        <v>393765</v>
      </c>
      <c r="N58">
        <v>862159</v>
      </c>
      <c r="O58">
        <v>1723348</v>
      </c>
      <c r="P58">
        <v>343988</v>
      </c>
      <c r="Q58">
        <v>1319383</v>
      </c>
      <c r="R58">
        <v>642499</v>
      </c>
      <c r="S58">
        <v>241750</v>
      </c>
      <c r="T58">
        <v>144160</v>
      </c>
      <c r="U58">
        <v>273240</v>
      </c>
      <c r="V58">
        <v>675872</v>
      </c>
    </row>
    <row r="59" spans="1:22" x14ac:dyDescent="0.2">
      <c r="A59">
        <v>2016</v>
      </c>
      <c r="B59">
        <v>0</v>
      </c>
      <c r="C59">
        <v>4098806</v>
      </c>
      <c r="D59">
        <v>3335028</v>
      </c>
      <c r="E59">
        <v>9362843</v>
      </c>
      <c r="F59">
        <v>7524876</v>
      </c>
      <c r="G59">
        <v>4113426</v>
      </c>
      <c r="H59">
        <v>2609968</v>
      </c>
      <c r="I59">
        <v>3864982</v>
      </c>
      <c r="J59">
        <v>2669918</v>
      </c>
      <c r="K59">
        <v>3187130</v>
      </c>
      <c r="L59">
        <v>2196424</v>
      </c>
      <c r="M59">
        <v>1007629</v>
      </c>
      <c r="N59">
        <v>1010419</v>
      </c>
      <c r="O59">
        <v>358324</v>
      </c>
      <c r="P59">
        <v>744939</v>
      </c>
      <c r="Q59">
        <v>406174</v>
      </c>
      <c r="R59">
        <v>125053</v>
      </c>
      <c r="S59">
        <v>28408</v>
      </c>
      <c r="T59">
        <v>112343</v>
      </c>
      <c r="U59">
        <v>294922</v>
      </c>
      <c r="V59">
        <v>737287</v>
      </c>
    </row>
    <row r="60" spans="1:22" x14ac:dyDescent="0.2">
      <c r="A60">
        <v>2018</v>
      </c>
      <c r="B60">
        <v>0</v>
      </c>
      <c r="C60">
        <v>6253025</v>
      </c>
      <c r="D60">
        <v>5769481</v>
      </c>
      <c r="E60">
        <v>5203212</v>
      </c>
      <c r="F60">
        <v>4545699</v>
      </c>
      <c r="G60">
        <v>6852973</v>
      </c>
      <c r="H60">
        <v>4171766</v>
      </c>
      <c r="I60">
        <v>5013460</v>
      </c>
      <c r="J60">
        <v>1732010</v>
      </c>
      <c r="K60">
        <v>1643684</v>
      </c>
      <c r="L60">
        <v>2205802</v>
      </c>
      <c r="M60">
        <v>1004566</v>
      </c>
      <c r="N60">
        <v>1742406</v>
      </c>
      <c r="O60">
        <v>881713</v>
      </c>
      <c r="P60">
        <v>379100</v>
      </c>
      <c r="Q60">
        <v>34650</v>
      </c>
      <c r="R60">
        <v>386195</v>
      </c>
      <c r="S60">
        <v>223308</v>
      </c>
      <c r="T60">
        <v>206939</v>
      </c>
      <c r="U60">
        <v>681248</v>
      </c>
      <c r="V60">
        <v>502148</v>
      </c>
    </row>
    <row r="62" spans="1:22" x14ac:dyDescent="0.2">
      <c r="A62" t="s">
        <v>320</v>
      </c>
    </row>
    <row r="63" spans="1:22" x14ac:dyDescent="0.2">
      <c r="A63">
        <v>2010</v>
      </c>
      <c r="B63">
        <v>0</v>
      </c>
      <c r="C63">
        <v>1699287</v>
      </c>
      <c r="D63">
        <v>3946856</v>
      </c>
      <c r="E63">
        <v>5936887</v>
      </c>
      <c r="F63">
        <v>16623379</v>
      </c>
      <c r="G63">
        <v>5055470</v>
      </c>
      <c r="H63">
        <v>4839064</v>
      </c>
      <c r="I63">
        <v>2982628</v>
      </c>
      <c r="J63">
        <v>1074186</v>
      </c>
      <c r="K63">
        <v>1755562</v>
      </c>
      <c r="L63">
        <v>816444</v>
      </c>
      <c r="M63">
        <v>2107318</v>
      </c>
      <c r="N63">
        <v>1033774</v>
      </c>
      <c r="O63">
        <v>1629809</v>
      </c>
      <c r="P63">
        <v>223843</v>
      </c>
      <c r="Q63">
        <v>0</v>
      </c>
      <c r="R63">
        <v>51089</v>
      </c>
      <c r="S63">
        <v>239698</v>
      </c>
      <c r="T63">
        <v>119642</v>
      </c>
      <c r="U63">
        <v>173803</v>
      </c>
      <c r="V63">
        <v>752229</v>
      </c>
    </row>
    <row r="64" spans="1:22" x14ac:dyDescent="0.2">
      <c r="A64">
        <v>2012</v>
      </c>
      <c r="B64">
        <v>141455</v>
      </c>
      <c r="C64">
        <v>1829023</v>
      </c>
      <c r="D64">
        <v>3009321</v>
      </c>
      <c r="E64">
        <v>4456396</v>
      </c>
      <c r="F64">
        <v>6253523</v>
      </c>
      <c r="G64">
        <v>5445255</v>
      </c>
      <c r="H64">
        <v>4350594</v>
      </c>
      <c r="I64">
        <v>4517595</v>
      </c>
      <c r="J64">
        <v>2491168</v>
      </c>
      <c r="K64">
        <v>1923458</v>
      </c>
      <c r="L64">
        <v>462784</v>
      </c>
      <c r="M64">
        <v>821047</v>
      </c>
      <c r="N64">
        <v>347191</v>
      </c>
      <c r="O64">
        <v>382040</v>
      </c>
      <c r="P64">
        <v>378726</v>
      </c>
      <c r="Q64">
        <v>563090</v>
      </c>
      <c r="R64">
        <v>178021</v>
      </c>
      <c r="S64">
        <v>175558</v>
      </c>
      <c r="T64">
        <v>125627</v>
      </c>
      <c r="U64">
        <v>103496</v>
      </c>
      <c r="V64">
        <v>212953</v>
      </c>
    </row>
    <row r="65" spans="1:26" x14ac:dyDescent="0.2">
      <c r="A65">
        <v>2014</v>
      </c>
      <c r="B65">
        <v>39745</v>
      </c>
      <c r="C65">
        <v>3202568</v>
      </c>
      <c r="D65">
        <v>6365280</v>
      </c>
      <c r="E65">
        <v>2571486</v>
      </c>
      <c r="F65">
        <v>2349024</v>
      </c>
      <c r="G65">
        <v>5222206</v>
      </c>
      <c r="H65">
        <v>2685681</v>
      </c>
      <c r="I65">
        <v>3994634</v>
      </c>
      <c r="J65">
        <v>4982382</v>
      </c>
      <c r="K65">
        <v>2155589</v>
      </c>
      <c r="L65">
        <v>1139435</v>
      </c>
      <c r="M65">
        <v>1532826</v>
      </c>
      <c r="N65">
        <v>448613</v>
      </c>
      <c r="O65">
        <v>0</v>
      </c>
      <c r="P65">
        <v>0</v>
      </c>
      <c r="Q65">
        <v>544420</v>
      </c>
      <c r="R65">
        <v>0</v>
      </c>
      <c r="S65">
        <v>0</v>
      </c>
      <c r="T65">
        <v>499736</v>
      </c>
      <c r="U65">
        <v>230538</v>
      </c>
      <c r="V65">
        <v>734293</v>
      </c>
    </row>
    <row r="66" spans="1:26" x14ac:dyDescent="0.2">
      <c r="A66">
        <v>2016</v>
      </c>
      <c r="B66">
        <v>0</v>
      </c>
      <c r="C66">
        <v>3541493</v>
      </c>
      <c r="D66">
        <v>2649238</v>
      </c>
      <c r="E66">
        <v>4672728</v>
      </c>
      <c r="F66">
        <v>4990687</v>
      </c>
      <c r="G66">
        <v>3737125</v>
      </c>
      <c r="H66">
        <v>4503882</v>
      </c>
      <c r="I66">
        <v>4972831</v>
      </c>
      <c r="J66">
        <v>4583601</v>
      </c>
      <c r="K66">
        <v>2725912</v>
      </c>
      <c r="L66">
        <v>1000129</v>
      </c>
      <c r="M66">
        <v>1439254</v>
      </c>
      <c r="N66">
        <v>2625411</v>
      </c>
      <c r="O66">
        <v>0</v>
      </c>
      <c r="P66">
        <v>788426</v>
      </c>
      <c r="Q66">
        <v>131151</v>
      </c>
      <c r="R66">
        <v>49455</v>
      </c>
      <c r="S66">
        <v>337294</v>
      </c>
      <c r="T66">
        <v>0</v>
      </c>
      <c r="U66">
        <v>38834</v>
      </c>
      <c r="V66">
        <v>498519</v>
      </c>
    </row>
    <row r="67" spans="1:26" x14ac:dyDescent="0.2">
      <c r="A67">
        <v>2018</v>
      </c>
      <c r="B67">
        <v>0</v>
      </c>
      <c r="C67">
        <v>5031076</v>
      </c>
      <c r="D67">
        <v>2428066</v>
      </c>
      <c r="E67">
        <v>4340380</v>
      </c>
      <c r="F67">
        <v>2146350</v>
      </c>
      <c r="G67">
        <v>3581186</v>
      </c>
      <c r="H67">
        <v>3251797</v>
      </c>
      <c r="I67">
        <v>2661927</v>
      </c>
      <c r="J67">
        <v>1111841</v>
      </c>
      <c r="K67">
        <v>1458688</v>
      </c>
      <c r="L67">
        <v>1454608</v>
      </c>
      <c r="M67">
        <v>1232574</v>
      </c>
      <c r="N67">
        <v>967629</v>
      </c>
      <c r="O67">
        <v>103397</v>
      </c>
      <c r="P67">
        <v>376978</v>
      </c>
      <c r="Q67">
        <v>196243</v>
      </c>
      <c r="R67">
        <v>24056</v>
      </c>
      <c r="S67">
        <v>140766</v>
      </c>
      <c r="T67">
        <v>167662</v>
      </c>
      <c r="U67">
        <v>306563</v>
      </c>
      <c r="V67">
        <v>665879</v>
      </c>
    </row>
    <row r="69" spans="1:26" x14ac:dyDescent="0.2">
      <c r="A69" t="s">
        <v>640</v>
      </c>
      <c r="B69">
        <v>10</v>
      </c>
      <c r="C69">
        <v>16</v>
      </c>
      <c r="D69">
        <v>18</v>
      </c>
      <c r="E69">
        <v>20</v>
      </c>
      <c r="F69">
        <v>22</v>
      </c>
      <c r="G69">
        <v>24</v>
      </c>
      <c r="H69">
        <v>26</v>
      </c>
      <c r="I69">
        <v>28</v>
      </c>
      <c r="J69">
        <v>30</v>
      </c>
      <c r="K69">
        <v>32</v>
      </c>
      <c r="L69">
        <v>34</v>
      </c>
      <c r="M69">
        <v>36</v>
      </c>
      <c r="N69">
        <v>38</v>
      </c>
      <c r="O69">
        <v>40</v>
      </c>
      <c r="P69">
        <v>43</v>
      </c>
      <c r="Q69">
        <v>46</v>
      </c>
      <c r="R69">
        <v>49</v>
      </c>
      <c r="S69">
        <v>52</v>
      </c>
      <c r="T69">
        <v>55</v>
      </c>
      <c r="U69">
        <v>58</v>
      </c>
      <c r="V69">
        <v>61</v>
      </c>
      <c r="W69">
        <v>64</v>
      </c>
      <c r="X69">
        <v>67</v>
      </c>
      <c r="Y69">
        <v>70</v>
      </c>
      <c r="Z69">
        <v>75</v>
      </c>
    </row>
    <row r="71" spans="1:26" x14ac:dyDescent="0.2">
      <c r="A71" t="s">
        <v>639</v>
      </c>
    </row>
    <row r="72" spans="1:26" x14ac:dyDescent="0.2">
      <c r="A72" t="s">
        <v>322</v>
      </c>
    </row>
    <row r="73" spans="1:26" x14ac:dyDescent="0.2">
      <c r="A73">
        <v>1992</v>
      </c>
      <c r="B73">
        <v>3333521</v>
      </c>
      <c r="C73">
        <v>9686724</v>
      </c>
      <c r="D73">
        <v>8697571</v>
      </c>
      <c r="E73">
        <v>7746355</v>
      </c>
      <c r="F73">
        <v>8075202</v>
      </c>
      <c r="G73">
        <v>9683034</v>
      </c>
      <c r="H73">
        <v>13428085</v>
      </c>
      <c r="I73">
        <v>17431811</v>
      </c>
      <c r="J73">
        <v>23684230</v>
      </c>
      <c r="K73">
        <v>28638991</v>
      </c>
      <c r="L73">
        <v>28812659</v>
      </c>
      <c r="M73">
        <v>30337055</v>
      </c>
      <c r="N73">
        <v>32270022</v>
      </c>
      <c r="O73">
        <v>58494695</v>
      </c>
      <c r="P73">
        <v>43126762</v>
      </c>
      <c r="Q73">
        <v>27197382</v>
      </c>
      <c r="R73">
        <v>18294468</v>
      </c>
      <c r="S73">
        <v>17198155</v>
      </c>
      <c r="T73">
        <v>9959641</v>
      </c>
      <c r="U73">
        <v>4532006</v>
      </c>
      <c r="V73">
        <v>3575019</v>
      </c>
      <c r="W73">
        <v>3022717</v>
      </c>
      <c r="X73">
        <v>1152806</v>
      </c>
      <c r="Y73">
        <v>94171</v>
      </c>
      <c r="Z73">
        <v>0</v>
      </c>
    </row>
    <row r="74" spans="1:26" x14ac:dyDescent="0.2">
      <c r="A74">
        <v>1993</v>
      </c>
      <c r="B74">
        <v>1763030</v>
      </c>
      <c r="C74">
        <v>7121405</v>
      </c>
      <c r="D74">
        <v>7811236</v>
      </c>
      <c r="E74">
        <v>9247818</v>
      </c>
      <c r="F74">
        <v>14012756</v>
      </c>
      <c r="G74">
        <v>11824566</v>
      </c>
      <c r="H74">
        <v>9797477</v>
      </c>
      <c r="I74">
        <v>14990270</v>
      </c>
      <c r="J74">
        <v>21651306</v>
      </c>
      <c r="K74">
        <v>23155694</v>
      </c>
      <c r="L74">
        <v>27812949</v>
      </c>
      <c r="M74">
        <v>32929864</v>
      </c>
      <c r="N74">
        <v>34329525</v>
      </c>
      <c r="O74">
        <v>53462680</v>
      </c>
      <c r="P74">
        <v>52748003</v>
      </c>
      <c r="Q74">
        <v>55928223</v>
      </c>
      <c r="R74">
        <v>38557357</v>
      </c>
      <c r="S74">
        <v>24247506</v>
      </c>
      <c r="T74">
        <v>20352487</v>
      </c>
      <c r="U74">
        <v>14206360</v>
      </c>
      <c r="V74">
        <v>5216385</v>
      </c>
      <c r="W74">
        <v>1620787</v>
      </c>
      <c r="X74">
        <v>1955510</v>
      </c>
      <c r="Y74">
        <v>493098</v>
      </c>
      <c r="Z74">
        <v>183030</v>
      </c>
    </row>
    <row r="75" spans="1:26" x14ac:dyDescent="0.2">
      <c r="A75">
        <v>1994</v>
      </c>
      <c r="B75">
        <v>4708711</v>
      </c>
      <c r="C75">
        <v>16419134</v>
      </c>
      <c r="D75">
        <v>17891176</v>
      </c>
      <c r="E75">
        <v>11316262</v>
      </c>
      <c r="F75">
        <v>9394999</v>
      </c>
      <c r="G75">
        <v>16415751</v>
      </c>
      <c r="H75">
        <v>17304003</v>
      </c>
      <c r="I75">
        <v>16447325</v>
      </c>
      <c r="J75">
        <v>19927212</v>
      </c>
      <c r="K75">
        <v>21370828</v>
      </c>
      <c r="L75">
        <v>24782116</v>
      </c>
      <c r="M75">
        <v>28884602</v>
      </c>
      <c r="N75">
        <v>31939742</v>
      </c>
      <c r="O75">
        <v>64883442</v>
      </c>
      <c r="P75">
        <v>64058631</v>
      </c>
      <c r="Q75">
        <v>46254201</v>
      </c>
      <c r="R75">
        <v>37276277</v>
      </c>
      <c r="S75">
        <v>32240089</v>
      </c>
      <c r="T75">
        <v>18979931</v>
      </c>
      <c r="U75">
        <v>17457678</v>
      </c>
      <c r="V75">
        <v>6636999</v>
      </c>
      <c r="W75">
        <v>1998348</v>
      </c>
      <c r="X75">
        <v>1051728</v>
      </c>
      <c r="Y75">
        <v>206738</v>
      </c>
      <c r="Z75">
        <v>340946</v>
      </c>
    </row>
    <row r="76" spans="1:26" x14ac:dyDescent="0.2">
      <c r="A76">
        <v>1995</v>
      </c>
      <c r="B76">
        <v>1191264</v>
      </c>
      <c r="C76">
        <v>5520721</v>
      </c>
      <c r="D76">
        <v>12873978</v>
      </c>
      <c r="E76">
        <v>11528282</v>
      </c>
      <c r="F76">
        <v>11761712</v>
      </c>
      <c r="G76">
        <v>19546237</v>
      </c>
      <c r="H76">
        <v>18767576</v>
      </c>
      <c r="I76">
        <v>17563407</v>
      </c>
      <c r="J76">
        <v>19712536</v>
      </c>
      <c r="K76">
        <v>34748324</v>
      </c>
      <c r="L76">
        <v>26496970</v>
      </c>
      <c r="M76">
        <v>28072851</v>
      </c>
      <c r="N76">
        <v>28378045</v>
      </c>
      <c r="O76">
        <v>55319078</v>
      </c>
      <c r="P76">
        <v>47206264</v>
      </c>
      <c r="Q76">
        <v>46027838</v>
      </c>
      <c r="R76">
        <v>40629273</v>
      </c>
      <c r="S76">
        <v>31034253</v>
      </c>
      <c r="T76">
        <v>23785334</v>
      </c>
      <c r="U76">
        <v>16483996</v>
      </c>
      <c r="V76">
        <v>12069351</v>
      </c>
      <c r="W76">
        <v>3941906</v>
      </c>
      <c r="X76">
        <v>1161571</v>
      </c>
      <c r="Y76">
        <v>532748</v>
      </c>
      <c r="Z76">
        <v>0</v>
      </c>
    </row>
    <row r="77" spans="1:26" x14ac:dyDescent="0.2">
      <c r="A77">
        <v>1996</v>
      </c>
      <c r="B77">
        <v>3855266</v>
      </c>
      <c r="C77">
        <v>7246069</v>
      </c>
      <c r="D77">
        <v>6840641</v>
      </c>
      <c r="E77">
        <v>4520137</v>
      </c>
      <c r="F77">
        <v>5007489</v>
      </c>
      <c r="G77">
        <v>9132689</v>
      </c>
      <c r="H77">
        <v>15863962</v>
      </c>
      <c r="I77">
        <v>21583411</v>
      </c>
      <c r="J77">
        <v>22492169</v>
      </c>
      <c r="K77">
        <v>21254825</v>
      </c>
      <c r="L77">
        <v>23504646</v>
      </c>
      <c r="M77">
        <v>28504125</v>
      </c>
      <c r="N77">
        <v>29649093</v>
      </c>
      <c r="O77">
        <v>39122725</v>
      </c>
      <c r="P77">
        <v>39258808</v>
      </c>
      <c r="Q77">
        <v>37125764</v>
      </c>
      <c r="R77">
        <v>40533276</v>
      </c>
      <c r="S77">
        <v>35186772</v>
      </c>
      <c r="T77">
        <v>30229438</v>
      </c>
      <c r="U77">
        <v>25429233</v>
      </c>
      <c r="V77">
        <v>14774565</v>
      </c>
      <c r="W77">
        <v>9694928</v>
      </c>
      <c r="X77">
        <v>3230934</v>
      </c>
      <c r="Y77">
        <v>2032034</v>
      </c>
      <c r="Z77">
        <v>0</v>
      </c>
    </row>
    <row r="78" spans="1:26" x14ac:dyDescent="0.2">
      <c r="A78">
        <v>1997</v>
      </c>
      <c r="B78">
        <v>3548153</v>
      </c>
      <c r="C78">
        <v>10540435</v>
      </c>
      <c r="D78">
        <v>11632637</v>
      </c>
      <c r="E78">
        <v>13276827</v>
      </c>
      <c r="F78">
        <v>11883069</v>
      </c>
      <c r="G78">
        <v>10508826</v>
      </c>
      <c r="H78">
        <v>11389644</v>
      </c>
      <c r="I78">
        <v>10292734</v>
      </c>
      <c r="J78">
        <v>10633396</v>
      </c>
      <c r="K78">
        <v>9564174</v>
      </c>
      <c r="L78">
        <v>14907186</v>
      </c>
      <c r="M78">
        <v>23050995</v>
      </c>
      <c r="N78">
        <v>23000464</v>
      </c>
      <c r="O78">
        <v>37647807</v>
      </c>
      <c r="P78">
        <v>39591841</v>
      </c>
      <c r="Q78">
        <v>33986170</v>
      </c>
      <c r="R78">
        <v>32926819</v>
      </c>
      <c r="S78">
        <v>32861609</v>
      </c>
      <c r="T78">
        <v>25233255</v>
      </c>
      <c r="U78">
        <v>14866427</v>
      </c>
      <c r="V78">
        <v>15181629</v>
      </c>
      <c r="W78">
        <v>8409168</v>
      </c>
      <c r="X78">
        <v>5422170</v>
      </c>
      <c r="Y78">
        <v>2081215</v>
      </c>
      <c r="Z78">
        <v>0</v>
      </c>
    </row>
    <row r="79" spans="1:26" x14ac:dyDescent="0.2">
      <c r="A79">
        <v>1998</v>
      </c>
      <c r="B79">
        <v>4351014</v>
      </c>
      <c r="C79">
        <v>8090792</v>
      </c>
      <c r="D79">
        <v>9904384</v>
      </c>
      <c r="E79">
        <v>10846684</v>
      </c>
      <c r="F79">
        <v>15411182</v>
      </c>
      <c r="G79">
        <v>14454515</v>
      </c>
      <c r="H79">
        <v>15582353</v>
      </c>
      <c r="I79">
        <v>19334934</v>
      </c>
      <c r="J79">
        <v>20494516</v>
      </c>
      <c r="K79">
        <v>23882103</v>
      </c>
      <c r="L79">
        <v>18260211</v>
      </c>
      <c r="M79">
        <v>13801183</v>
      </c>
      <c r="N79">
        <v>15929711</v>
      </c>
      <c r="O79">
        <v>36285573</v>
      </c>
      <c r="P79">
        <v>30856841</v>
      </c>
      <c r="Q79">
        <v>22108465</v>
      </c>
      <c r="R79">
        <v>22560213</v>
      </c>
      <c r="S79">
        <v>20871562</v>
      </c>
      <c r="T79">
        <v>16817331</v>
      </c>
      <c r="U79">
        <v>10833774</v>
      </c>
      <c r="V79">
        <v>9102664</v>
      </c>
      <c r="W79">
        <v>7855092</v>
      </c>
      <c r="X79">
        <v>2785077</v>
      </c>
      <c r="Y79">
        <v>1974764</v>
      </c>
      <c r="Z79">
        <v>88113</v>
      </c>
    </row>
    <row r="80" spans="1:26" x14ac:dyDescent="0.2">
      <c r="A80">
        <v>1999</v>
      </c>
      <c r="B80">
        <v>4864387</v>
      </c>
      <c r="C80">
        <v>11622347</v>
      </c>
      <c r="D80">
        <v>10097735</v>
      </c>
      <c r="E80">
        <v>11969231</v>
      </c>
      <c r="F80">
        <v>16649812</v>
      </c>
      <c r="G80">
        <v>19706206</v>
      </c>
      <c r="H80">
        <v>19337482</v>
      </c>
      <c r="I80">
        <v>20019632</v>
      </c>
      <c r="J80">
        <v>17538020</v>
      </c>
      <c r="K80">
        <v>20303024</v>
      </c>
      <c r="L80">
        <v>16886122</v>
      </c>
      <c r="M80">
        <v>17900076</v>
      </c>
      <c r="N80">
        <v>13763231</v>
      </c>
      <c r="O80">
        <v>16082498</v>
      </c>
      <c r="P80">
        <v>11794390</v>
      </c>
      <c r="Q80">
        <v>17933468</v>
      </c>
      <c r="R80">
        <v>12965696</v>
      </c>
      <c r="S80">
        <v>14381152</v>
      </c>
      <c r="T80">
        <v>13013618</v>
      </c>
      <c r="U80">
        <v>9192825</v>
      </c>
      <c r="V80">
        <v>6633348</v>
      </c>
      <c r="W80">
        <v>4544031</v>
      </c>
      <c r="X80">
        <v>4241275</v>
      </c>
      <c r="Y80">
        <v>1329801</v>
      </c>
      <c r="Z80">
        <v>223342</v>
      </c>
    </row>
    <row r="81" spans="1:26" x14ac:dyDescent="0.2">
      <c r="A81">
        <v>2000</v>
      </c>
      <c r="B81">
        <v>9003987</v>
      </c>
      <c r="C81">
        <v>17381564</v>
      </c>
      <c r="D81">
        <v>19456335</v>
      </c>
      <c r="E81">
        <v>11965483</v>
      </c>
      <c r="F81">
        <v>14289178</v>
      </c>
      <c r="G81">
        <v>17046762</v>
      </c>
      <c r="H81">
        <v>15873114</v>
      </c>
      <c r="I81">
        <v>18841416</v>
      </c>
      <c r="J81">
        <v>25360970</v>
      </c>
      <c r="K81">
        <v>26370052</v>
      </c>
      <c r="L81">
        <v>23760652</v>
      </c>
      <c r="M81">
        <v>24111812</v>
      </c>
      <c r="N81">
        <v>28109115</v>
      </c>
      <c r="O81">
        <v>36313309</v>
      </c>
      <c r="P81">
        <v>23172839</v>
      </c>
      <c r="Q81">
        <v>22432180</v>
      </c>
      <c r="R81">
        <v>22055423</v>
      </c>
      <c r="S81">
        <v>25202124</v>
      </c>
      <c r="T81">
        <v>14273773</v>
      </c>
      <c r="U81">
        <v>7994259</v>
      </c>
      <c r="V81">
        <v>4561040</v>
      </c>
      <c r="W81">
        <v>3878554</v>
      </c>
      <c r="X81">
        <v>2223468</v>
      </c>
      <c r="Y81">
        <v>933514</v>
      </c>
      <c r="Z81">
        <v>366534</v>
      </c>
    </row>
    <row r="82" spans="1:26" x14ac:dyDescent="0.2">
      <c r="A82">
        <v>2001</v>
      </c>
      <c r="B82">
        <v>2607288</v>
      </c>
      <c r="C82">
        <v>10735185</v>
      </c>
      <c r="D82">
        <v>22336182</v>
      </c>
      <c r="E82">
        <v>26536718</v>
      </c>
      <c r="F82">
        <v>29861372</v>
      </c>
      <c r="G82">
        <v>20662060</v>
      </c>
      <c r="H82">
        <v>23660904</v>
      </c>
      <c r="I82">
        <v>34405181</v>
      </c>
      <c r="J82">
        <v>31415288</v>
      </c>
      <c r="K82">
        <v>26526963</v>
      </c>
      <c r="L82">
        <v>26209448</v>
      </c>
      <c r="M82">
        <v>23715078</v>
      </c>
      <c r="N82">
        <v>27133678</v>
      </c>
      <c r="O82">
        <v>38312968</v>
      </c>
      <c r="P82">
        <v>37789220</v>
      </c>
      <c r="Q82">
        <v>28931686</v>
      </c>
      <c r="R82">
        <v>22422421</v>
      </c>
      <c r="S82">
        <v>18154982</v>
      </c>
      <c r="T82">
        <v>18262770</v>
      </c>
      <c r="U82">
        <v>10153670</v>
      </c>
      <c r="V82">
        <v>6914808</v>
      </c>
      <c r="W82">
        <v>3239095</v>
      </c>
      <c r="X82">
        <v>3200213</v>
      </c>
      <c r="Y82">
        <v>1562760</v>
      </c>
      <c r="Z82">
        <v>107902</v>
      </c>
    </row>
    <row r="83" spans="1:26" x14ac:dyDescent="0.2">
      <c r="A83">
        <v>2002</v>
      </c>
      <c r="B83">
        <v>3938995</v>
      </c>
      <c r="C83">
        <v>7339330</v>
      </c>
      <c r="D83">
        <v>7780786</v>
      </c>
      <c r="E83">
        <v>8105015</v>
      </c>
      <c r="F83">
        <v>13574905</v>
      </c>
      <c r="G83">
        <v>25568331</v>
      </c>
      <c r="H83">
        <v>36340951</v>
      </c>
      <c r="I83">
        <v>41596713</v>
      </c>
      <c r="J83">
        <v>46862323</v>
      </c>
      <c r="K83">
        <v>38791296</v>
      </c>
      <c r="L83">
        <v>36718743</v>
      </c>
      <c r="M83">
        <v>29206014</v>
      </c>
      <c r="N83">
        <v>26784246</v>
      </c>
      <c r="O83">
        <v>33040526</v>
      </c>
      <c r="P83">
        <v>30854714</v>
      </c>
      <c r="Q83">
        <v>22397578</v>
      </c>
      <c r="R83">
        <v>16436086</v>
      </c>
      <c r="S83">
        <v>11816526</v>
      </c>
      <c r="T83">
        <v>9709884</v>
      </c>
      <c r="U83">
        <v>7502423</v>
      </c>
      <c r="V83">
        <v>6334065</v>
      </c>
      <c r="W83">
        <v>3644989</v>
      </c>
      <c r="X83">
        <v>1386433</v>
      </c>
      <c r="Y83">
        <v>1151941</v>
      </c>
      <c r="Z83">
        <v>363645</v>
      </c>
    </row>
    <row r="84" spans="1:26" x14ac:dyDescent="0.2">
      <c r="A84">
        <v>2003</v>
      </c>
      <c r="B84">
        <v>4843272</v>
      </c>
      <c r="C84">
        <v>15525748</v>
      </c>
      <c r="D84">
        <v>35912626</v>
      </c>
      <c r="E84">
        <v>34058234</v>
      </c>
      <c r="F84">
        <v>26051849</v>
      </c>
      <c r="G84">
        <v>21457716</v>
      </c>
      <c r="H84">
        <v>19487034</v>
      </c>
      <c r="I84">
        <v>31258903</v>
      </c>
      <c r="J84">
        <v>34788930</v>
      </c>
      <c r="K84">
        <v>48407269</v>
      </c>
      <c r="L84">
        <v>50656377</v>
      </c>
      <c r="M84">
        <v>56882795</v>
      </c>
      <c r="N84">
        <v>49971881</v>
      </c>
      <c r="O84">
        <v>57657660</v>
      </c>
      <c r="P84">
        <v>39438280</v>
      </c>
      <c r="Q84">
        <v>32911486</v>
      </c>
      <c r="R84">
        <v>27302834</v>
      </c>
      <c r="S84">
        <v>22253983</v>
      </c>
      <c r="T84">
        <v>16650199</v>
      </c>
      <c r="U84">
        <v>12110395</v>
      </c>
      <c r="V84">
        <v>11500795</v>
      </c>
      <c r="W84">
        <v>6572923</v>
      </c>
      <c r="X84">
        <v>3023651</v>
      </c>
      <c r="Y84">
        <v>2947475</v>
      </c>
      <c r="Z84">
        <v>708138</v>
      </c>
    </row>
    <row r="85" spans="1:26" x14ac:dyDescent="0.2">
      <c r="A85">
        <v>2004</v>
      </c>
      <c r="B85">
        <v>7121979</v>
      </c>
      <c r="C85">
        <v>18747632</v>
      </c>
      <c r="D85">
        <v>46995686</v>
      </c>
      <c r="E85">
        <v>41625677</v>
      </c>
      <c r="F85">
        <v>31898513</v>
      </c>
      <c r="G85">
        <v>44042671</v>
      </c>
      <c r="H85">
        <v>59974226</v>
      </c>
      <c r="I85">
        <v>54357380</v>
      </c>
      <c r="J85">
        <v>55723804</v>
      </c>
      <c r="K85">
        <v>44743744</v>
      </c>
      <c r="L85">
        <v>49366049</v>
      </c>
      <c r="M85">
        <v>49814980</v>
      </c>
      <c r="N85">
        <v>50362318</v>
      </c>
      <c r="O85">
        <v>80913034</v>
      </c>
      <c r="P85">
        <v>48965047</v>
      </c>
      <c r="Q85">
        <v>35552812</v>
      </c>
      <c r="R85">
        <v>23557691</v>
      </c>
      <c r="S85">
        <v>21214810</v>
      </c>
      <c r="T85">
        <v>18101511</v>
      </c>
      <c r="U85">
        <v>11129117</v>
      </c>
      <c r="V85">
        <v>7054599</v>
      </c>
      <c r="W85">
        <v>5074174</v>
      </c>
      <c r="X85">
        <v>3092420</v>
      </c>
      <c r="Y85">
        <v>2605730</v>
      </c>
      <c r="Z85">
        <v>752714</v>
      </c>
    </row>
    <row r="86" spans="1:26" x14ac:dyDescent="0.2">
      <c r="A86">
        <v>2005</v>
      </c>
      <c r="B86">
        <v>8246424</v>
      </c>
      <c r="C86">
        <v>27628948</v>
      </c>
      <c r="D86">
        <v>66140198</v>
      </c>
      <c r="E86">
        <v>57983389</v>
      </c>
      <c r="F86">
        <v>37994694</v>
      </c>
      <c r="G86">
        <v>50944729</v>
      </c>
      <c r="H86">
        <v>58320334</v>
      </c>
      <c r="I86">
        <v>67008736</v>
      </c>
      <c r="J86">
        <v>64974374</v>
      </c>
      <c r="K86">
        <v>73503807</v>
      </c>
      <c r="L86">
        <v>78852987</v>
      </c>
      <c r="M86">
        <v>67596528</v>
      </c>
      <c r="N86">
        <v>56674327</v>
      </c>
      <c r="O86">
        <v>73968107</v>
      </c>
      <c r="P86">
        <v>64968048</v>
      </c>
      <c r="Q86">
        <v>56446426</v>
      </c>
      <c r="R86">
        <v>32982020</v>
      </c>
      <c r="S86">
        <v>23244870</v>
      </c>
      <c r="T86">
        <v>18323531</v>
      </c>
      <c r="U86">
        <v>16044840</v>
      </c>
      <c r="V86">
        <v>13905523</v>
      </c>
      <c r="W86">
        <v>6487912</v>
      </c>
      <c r="X86">
        <v>3903923</v>
      </c>
      <c r="Y86">
        <v>2036387</v>
      </c>
      <c r="Z86">
        <v>899213</v>
      </c>
    </row>
    <row r="87" spans="1:26" x14ac:dyDescent="0.2">
      <c r="A87">
        <v>2006</v>
      </c>
      <c r="B87">
        <v>4588867</v>
      </c>
      <c r="C87">
        <v>13386414</v>
      </c>
      <c r="D87">
        <v>20105811</v>
      </c>
      <c r="E87">
        <v>30142335</v>
      </c>
      <c r="F87">
        <v>26877451</v>
      </c>
      <c r="G87">
        <v>36850724</v>
      </c>
      <c r="H87">
        <v>61275467</v>
      </c>
      <c r="I87">
        <v>93969247</v>
      </c>
      <c r="J87">
        <v>82526846</v>
      </c>
      <c r="K87">
        <v>55884811</v>
      </c>
      <c r="L87">
        <v>59477101</v>
      </c>
      <c r="M87">
        <v>59007318</v>
      </c>
      <c r="N87">
        <v>65242303</v>
      </c>
      <c r="O87">
        <v>90439556</v>
      </c>
      <c r="P87">
        <v>49809772</v>
      </c>
      <c r="Q87">
        <v>40476425</v>
      </c>
      <c r="R87">
        <v>37922874</v>
      </c>
      <c r="S87">
        <v>21965013</v>
      </c>
      <c r="T87">
        <v>12861657</v>
      </c>
      <c r="U87">
        <v>10933505</v>
      </c>
      <c r="V87">
        <v>7711379</v>
      </c>
      <c r="W87">
        <v>6509787</v>
      </c>
      <c r="X87">
        <v>3002870</v>
      </c>
      <c r="Y87">
        <v>2480286</v>
      </c>
      <c r="Z87">
        <v>841839</v>
      </c>
    </row>
    <row r="88" spans="1:26" x14ac:dyDescent="0.2">
      <c r="A88">
        <v>2007</v>
      </c>
      <c r="B88">
        <v>19648209</v>
      </c>
      <c r="C88">
        <v>45939491</v>
      </c>
      <c r="D88">
        <v>36389529</v>
      </c>
      <c r="E88">
        <v>24773121</v>
      </c>
      <c r="F88">
        <v>20507964</v>
      </c>
      <c r="G88">
        <v>16533433</v>
      </c>
      <c r="H88">
        <v>19282982</v>
      </c>
      <c r="I88">
        <v>32466214</v>
      </c>
      <c r="J88">
        <v>39839154</v>
      </c>
      <c r="K88">
        <v>49784402</v>
      </c>
      <c r="L88">
        <v>62941274</v>
      </c>
      <c r="M88">
        <v>57739554</v>
      </c>
      <c r="N88">
        <v>47585046</v>
      </c>
      <c r="O88">
        <v>61804146</v>
      </c>
      <c r="P88">
        <v>49859243</v>
      </c>
      <c r="Q88">
        <v>39205677</v>
      </c>
      <c r="R88">
        <v>25488359</v>
      </c>
      <c r="S88">
        <v>18311730</v>
      </c>
      <c r="T88">
        <v>10478820</v>
      </c>
      <c r="U88">
        <v>7913370</v>
      </c>
      <c r="V88">
        <v>6999758</v>
      </c>
      <c r="W88">
        <v>5925489</v>
      </c>
      <c r="X88">
        <v>3311473</v>
      </c>
      <c r="Y88">
        <v>1588779</v>
      </c>
      <c r="Z88">
        <v>716322</v>
      </c>
    </row>
    <row r="89" spans="1:26" x14ac:dyDescent="0.2">
      <c r="A89">
        <v>2008</v>
      </c>
      <c r="B89">
        <v>8395990</v>
      </c>
      <c r="C89">
        <v>24045250</v>
      </c>
      <c r="D89">
        <v>34925647</v>
      </c>
      <c r="E89">
        <v>38336272</v>
      </c>
      <c r="F89">
        <v>47634706</v>
      </c>
      <c r="G89">
        <v>49704048</v>
      </c>
      <c r="H89">
        <v>39078682</v>
      </c>
      <c r="I89">
        <v>34590987</v>
      </c>
      <c r="J89">
        <v>48052562</v>
      </c>
      <c r="K89">
        <v>57397278</v>
      </c>
      <c r="L89">
        <v>63295889</v>
      </c>
      <c r="M89">
        <v>74542257</v>
      </c>
      <c r="N89">
        <v>69534665</v>
      </c>
      <c r="O89">
        <v>85819287</v>
      </c>
      <c r="P89">
        <v>61910197</v>
      </c>
      <c r="Q89">
        <v>50403879</v>
      </c>
      <c r="R89">
        <v>29662373</v>
      </c>
      <c r="S89">
        <v>17926366</v>
      </c>
      <c r="T89">
        <v>9742608</v>
      </c>
      <c r="U89">
        <v>6742935</v>
      </c>
      <c r="V89">
        <v>5535735</v>
      </c>
      <c r="W89">
        <v>4714855</v>
      </c>
      <c r="X89">
        <v>1383802</v>
      </c>
      <c r="Y89">
        <v>2217948</v>
      </c>
      <c r="Z89">
        <v>1135110</v>
      </c>
    </row>
    <row r="90" spans="1:26" x14ac:dyDescent="0.2">
      <c r="A90">
        <v>2009</v>
      </c>
      <c r="B90">
        <v>7692529</v>
      </c>
      <c r="C90">
        <v>19266503</v>
      </c>
      <c r="D90">
        <v>18058508</v>
      </c>
      <c r="E90">
        <v>12097288</v>
      </c>
      <c r="F90">
        <v>21239046</v>
      </c>
      <c r="G90">
        <v>32357500</v>
      </c>
      <c r="H90">
        <v>39370404</v>
      </c>
      <c r="I90">
        <v>37654013</v>
      </c>
      <c r="J90">
        <v>55544451</v>
      </c>
      <c r="K90">
        <v>41139706</v>
      </c>
      <c r="L90">
        <v>34629575</v>
      </c>
      <c r="M90">
        <v>38540896</v>
      </c>
      <c r="N90">
        <v>39863540</v>
      </c>
      <c r="O90">
        <v>68424084</v>
      </c>
      <c r="P90">
        <v>51518340</v>
      </c>
      <c r="Q90">
        <v>35131928</v>
      </c>
      <c r="R90">
        <v>24275347</v>
      </c>
      <c r="S90">
        <v>12499481</v>
      </c>
      <c r="T90">
        <v>6096626</v>
      </c>
      <c r="U90">
        <v>5596422</v>
      </c>
      <c r="V90">
        <v>4352010</v>
      </c>
      <c r="W90">
        <v>3293284</v>
      </c>
      <c r="X90">
        <v>3137937</v>
      </c>
      <c r="Y90">
        <v>2795175</v>
      </c>
      <c r="Z90">
        <v>265036</v>
      </c>
    </row>
    <row r="91" spans="1:26" x14ac:dyDescent="0.2">
      <c r="A91">
        <v>2010</v>
      </c>
      <c r="B91">
        <v>12776179</v>
      </c>
      <c r="C91">
        <v>38619833</v>
      </c>
      <c r="D91">
        <v>28349253</v>
      </c>
      <c r="E91">
        <v>10529842</v>
      </c>
      <c r="F91">
        <v>21353719</v>
      </c>
      <c r="G91">
        <v>29520738</v>
      </c>
      <c r="H91">
        <v>24938535</v>
      </c>
      <c r="I91">
        <v>35976149</v>
      </c>
      <c r="J91">
        <v>56669598</v>
      </c>
      <c r="K91">
        <v>59350763</v>
      </c>
      <c r="L91">
        <v>63944104</v>
      </c>
      <c r="M91">
        <v>61210551</v>
      </c>
      <c r="N91">
        <v>46775229</v>
      </c>
      <c r="O91">
        <v>61809151</v>
      </c>
      <c r="P91">
        <v>64256034</v>
      </c>
      <c r="Q91">
        <v>62003194</v>
      </c>
      <c r="R91">
        <v>41907842</v>
      </c>
      <c r="S91">
        <v>28697900</v>
      </c>
      <c r="T91">
        <v>13069826</v>
      </c>
      <c r="U91">
        <v>7432910</v>
      </c>
      <c r="V91">
        <v>2607564</v>
      </c>
      <c r="W91">
        <v>2526009</v>
      </c>
      <c r="X91">
        <v>1503774</v>
      </c>
      <c r="Y91">
        <v>2332602</v>
      </c>
      <c r="Z91">
        <v>1141426</v>
      </c>
    </row>
    <row r="92" spans="1:26" x14ac:dyDescent="0.2">
      <c r="A92">
        <v>2011</v>
      </c>
      <c r="B92">
        <v>5808190</v>
      </c>
      <c r="C92">
        <v>16420863</v>
      </c>
      <c r="D92">
        <v>18309802</v>
      </c>
      <c r="E92">
        <v>13270590</v>
      </c>
      <c r="F92">
        <v>21113959</v>
      </c>
      <c r="G92">
        <v>32944834</v>
      </c>
      <c r="H92">
        <v>26973567</v>
      </c>
      <c r="I92">
        <v>26611061</v>
      </c>
      <c r="J92">
        <v>41253471</v>
      </c>
      <c r="K92">
        <v>37137098</v>
      </c>
      <c r="L92">
        <v>47957449</v>
      </c>
      <c r="M92">
        <v>59003985</v>
      </c>
      <c r="N92">
        <v>54931733</v>
      </c>
      <c r="O92">
        <v>65099998</v>
      </c>
      <c r="P92">
        <v>56252416</v>
      </c>
      <c r="Q92">
        <v>53867000</v>
      </c>
      <c r="R92">
        <v>43007797</v>
      </c>
      <c r="S92">
        <v>34716350</v>
      </c>
      <c r="T92">
        <v>20005453</v>
      </c>
      <c r="U92">
        <v>9842049</v>
      </c>
      <c r="V92">
        <v>4227481</v>
      </c>
      <c r="W92">
        <v>1407053</v>
      </c>
      <c r="X92">
        <v>1167099</v>
      </c>
      <c r="Y92">
        <v>1561252</v>
      </c>
      <c r="Z92">
        <v>617654</v>
      </c>
    </row>
    <row r="93" spans="1:26" x14ac:dyDescent="0.2">
      <c r="A93">
        <v>2012</v>
      </c>
      <c r="B93">
        <v>6493242</v>
      </c>
      <c r="C93">
        <v>14257954</v>
      </c>
      <c r="D93">
        <v>8183527</v>
      </c>
      <c r="E93">
        <v>14130929</v>
      </c>
      <c r="F93">
        <v>18642792</v>
      </c>
      <c r="G93">
        <v>19302969</v>
      </c>
      <c r="H93">
        <v>29481305</v>
      </c>
      <c r="I93">
        <v>37985107</v>
      </c>
      <c r="J93">
        <v>36560694</v>
      </c>
      <c r="K93">
        <v>34698065</v>
      </c>
      <c r="L93">
        <v>42089730</v>
      </c>
      <c r="M93">
        <v>38038198</v>
      </c>
      <c r="N93">
        <v>44200306</v>
      </c>
      <c r="O93">
        <v>66156985</v>
      </c>
      <c r="P93">
        <v>45745280</v>
      </c>
      <c r="Q93">
        <v>36579236</v>
      </c>
      <c r="R93">
        <v>33672417</v>
      </c>
      <c r="S93">
        <v>25985833</v>
      </c>
      <c r="T93">
        <v>11890639</v>
      </c>
      <c r="U93">
        <v>9726302</v>
      </c>
      <c r="V93">
        <v>3308653</v>
      </c>
      <c r="W93">
        <v>1524542</v>
      </c>
      <c r="X93">
        <v>975030</v>
      </c>
      <c r="Y93">
        <v>1184597</v>
      </c>
      <c r="Z93">
        <v>101113</v>
      </c>
    </row>
    <row r="94" spans="1:26" x14ac:dyDescent="0.2">
      <c r="A94">
        <v>2013</v>
      </c>
      <c r="B94">
        <v>5127344</v>
      </c>
      <c r="C94">
        <v>11078023</v>
      </c>
      <c r="D94">
        <v>6019725</v>
      </c>
      <c r="E94">
        <v>5434691</v>
      </c>
      <c r="F94">
        <v>7140124</v>
      </c>
      <c r="G94">
        <v>9658272</v>
      </c>
      <c r="H94">
        <v>12752452</v>
      </c>
      <c r="I94">
        <v>15758387</v>
      </c>
      <c r="J94">
        <v>19065931</v>
      </c>
      <c r="K94">
        <v>29157212</v>
      </c>
      <c r="L94">
        <v>30081081</v>
      </c>
      <c r="M94">
        <v>36784974</v>
      </c>
      <c r="N94">
        <v>32045897</v>
      </c>
      <c r="O94">
        <v>45365312</v>
      </c>
      <c r="P94">
        <v>41754748</v>
      </c>
      <c r="Q94">
        <v>37980763</v>
      </c>
      <c r="R94">
        <v>26204793</v>
      </c>
      <c r="S94">
        <v>26997391</v>
      </c>
      <c r="T94">
        <v>18518849</v>
      </c>
      <c r="U94">
        <v>10653440</v>
      </c>
      <c r="V94">
        <v>4744976</v>
      </c>
      <c r="W94">
        <v>1322787</v>
      </c>
      <c r="X94">
        <v>1089631</v>
      </c>
      <c r="Y94">
        <v>574663</v>
      </c>
      <c r="Z94">
        <v>745027</v>
      </c>
    </row>
    <row r="95" spans="1:26" x14ac:dyDescent="0.2">
      <c r="A95">
        <v>2014</v>
      </c>
      <c r="B95">
        <v>5443666</v>
      </c>
      <c r="C95">
        <v>17754819</v>
      </c>
      <c r="D95">
        <v>20413414</v>
      </c>
      <c r="E95">
        <v>11412863</v>
      </c>
      <c r="F95">
        <v>12730652</v>
      </c>
      <c r="G95">
        <v>24418943</v>
      </c>
      <c r="H95">
        <v>23022861</v>
      </c>
      <c r="I95">
        <v>20243312</v>
      </c>
      <c r="J95">
        <v>16578153</v>
      </c>
      <c r="K95">
        <v>17808844</v>
      </c>
      <c r="L95">
        <v>18011700</v>
      </c>
      <c r="M95">
        <v>19004449</v>
      </c>
      <c r="N95">
        <v>26543838</v>
      </c>
      <c r="O95">
        <v>48862222</v>
      </c>
      <c r="P95">
        <v>57056384</v>
      </c>
      <c r="Q95">
        <v>50188952</v>
      </c>
      <c r="R95">
        <v>41114700</v>
      </c>
      <c r="S95">
        <v>27076230</v>
      </c>
      <c r="T95">
        <v>21023893</v>
      </c>
      <c r="U95">
        <v>14475133</v>
      </c>
      <c r="V95">
        <v>9744472</v>
      </c>
      <c r="W95">
        <v>4866084</v>
      </c>
      <c r="X95">
        <v>1680291</v>
      </c>
      <c r="Y95">
        <v>1169429</v>
      </c>
      <c r="Z95">
        <v>426866</v>
      </c>
    </row>
    <row r="96" spans="1:26" x14ac:dyDescent="0.2">
      <c r="A96">
        <v>2015</v>
      </c>
      <c r="B96">
        <v>2960527</v>
      </c>
      <c r="C96">
        <v>7204527</v>
      </c>
      <c r="D96">
        <v>14249696</v>
      </c>
      <c r="E96">
        <v>14747753</v>
      </c>
      <c r="F96">
        <v>10936320</v>
      </c>
      <c r="G96">
        <v>16210343</v>
      </c>
      <c r="H96">
        <v>24092727</v>
      </c>
      <c r="I96">
        <v>22768467</v>
      </c>
      <c r="J96">
        <v>19729643</v>
      </c>
      <c r="K96">
        <v>23853074</v>
      </c>
      <c r="L96">
        <v>28687498</v>
      </c>
      <c r="M96">
        <v>20288997</v>
      </c>
      <c r="N96">
        <v>20540653</v>
      </c>
      <c r="O96">
        <v>32431004</v>
      </c>
      <c r="P96">
        <v>41319345</v>
      </c>
      <c r="Q96">
        <v>44828856</v>
      </c>
      <c r="R96">
        <v>42517793</v>
      </c>
      <c r="S96">
        <v>30621827</v>
      </c>
      <c r="T96">
        <v>20014237</v>
      </c>
      <c r="U96">
        <v>11593084</v>
      </c>
      <c r="V96">
        <v>7824855</v>
      </c>
      <c r="W96">
        <v>3831553</v>
      </c>
      <c r="X96">
        <v>1564292</v>
      </c>
      <c r="Y96">
        <v>781841</v>
      </c>
      <c r="Z96">
        <v>661507</v>
      </c>
    </row>
    <row r="97" spans="1:26" x14ac:dyDescent="0.2">
      <c r="A97">
        <v>2016</v>
      </c>
      <c r="B97">
        <v>2305265</v>
      </c>
      <c r="C97">
        <v>5629056</v>
      </c>
      <c r="D97">
        <v>10982005</v>
      </c>
      <c r="E97">
        <v>20716904</v>
      </c>
      <c r="F97">
        <v>22648089</v>
      </c>
      <c r="G97">
        <v>21101114</v>
      </c>
      <c r="H97">
        <v>26533347</v>
      </c>
      <c r="I97">
        <v>30302480</v>
      </c>
      <c r="J97">
        <v>42142483</v>
      </c>
      <c r="K97">
        <v>47474366</v>
      </c>
      <c r="L97">
        <v>49618717</v>
      </c>
      <c r="M97">
        <v>41215075</v>
      </c>
      <c r="N97">
        <v>34413635</v>
      </c>
      <c r="O97">
        <v>38396292</v>
      </c>
      <c r="P97">
        <v>30403640</v>
      </c>
      <c r="Q97">
        <v>33279241</v>
      </c>
      <c r="R97">
        <v>40182160</v>
      </c>
      <c r="S97">
        <v>37731114</v>
      </c>
      <c r="T97">
        <v>27227932</v>
      </c>
      <c r="U97">
        <v>15300920</v>
      </c>
      <c r="V97">
        <v>9103794</v>
      </c>
      <c r="W97">
        <v>4778675</v>
      </c>
      <c r="X97">
        <v>2265811</v>
      </c>
      <c r="Y97">
        <v>1150919</v>
      </c>
      <c r="Z97">
        <v>183701</v>
      </c>
    </row>
    <row r="98" spans="1:26" x14ac:dyDescent="0.2">
      <c r="A98">
        <v>2017</v>
      </c>
      <c r="B98">
        <v>7128169</v>
      </c>
      <c r="C98">
        <v>15278025</v>
      </c>
      <c r="D98">
        <v>21499957</v>
      </c>
      <c r="E98">
        <v>14210345</v>
      </c>
      <c r="F98">
        <v>13298773</v>
      </c>
      <c r="G98">
        <v>14210670</v>
      </c>
      <c r="H98">
        <v>15575497</v>
      </c>
      <c r="I98">
        <v>23994022</v>
      </c>
      <c r="J98">
        <v>27849202</v>
      </c>
      <c r="K98">
        <v>34597104</v>
      </c>
      <c r="L98">
        <v>36514909</v>
      </c>
      <c r="M98">
        <v>39006927</v>
      </c>
      <c r="N98">
        <v>44738427</v>
      </c>
      <c r="O98">
        <v>51240274</v>
      </c>
      <c r="P98">
        <v>31180201</v>
      </c>
      <c r="Q98">
        <v>19393256</v>
      </c>
      <c r="R98">
        <v>20754604</v>
      </c>
      <c r="S98">
        <v>23844854</v>
      </c>
      <c r="T98">
        <v>25535593</v>
      </c>
      <c r="U98">
        <v>19576516</v>
      </c>
      <c r="V98">
        <v>11910077</v>
      </c>
      <c r="W98">
        <v>5702721</v>
      </c>
      <c r="X98">
        <v>2181142</v>
      </c>
      <c r="Y98">
        <v>998773</v>
      </c>
      <c r="Z98">
        <v>553023</v>
      </c>
    </row>
    <row r="99" spans="1:26" x14ac:dyDescent="0.2">
      <c r="A99">
        <v>2018</v>
      </c>
      <c r="B99">
        <v>20323110</v>
      </c>
      <c r="C99">
        <v>59712126</v>
      </c>
      <c r="D99">
        <v>58431043</v>
      </c>
      <c r="E99">
        <v>30006046</v>
      </c>
      <c r="F99">
        <v>28095433</v>
      </c>
      <c r="G99">
        <v>35440085</v>
      </c>
      <c r="H99">
        <v>36204203</v>
      </c>
      <c r="I99">
        <v>26363037</v>
      </c>
      <c r="J99">
        <v>24218384</v>
      </c>
      <c r="K99">
        <v>25912816</v>
      </c>
      <c r="L99">
        <v>33793985</v>
      </c>
      <c r="M99">
        <v>42674313</v>
      </c>
      <c r="N99">
        <v>42559269</v>
      </c>
      <c r="O99">
        <v>65035449</v>
      </c>
      <c r="P99">
        <v>57693987</v>
      </c>
      <c r="Q99">
        <v>41087500</v>
      </c>
      <c r="R99">
        <v>23282817</v>
      </c>
      <c r="S99">
        <v>21628008</v>
      </c>
      <c r="T99">
        <v>21754918</v>
      </c>
      <c r="U99">
        <v>21922542</v>
      </c>
      <c r="V99">
        <v>14781750</v>
      </c>
      <c r="W99">
        <v>6655520</v>
      </c>
      <c r="X99">
        <v>3287028</v>
      </c>
      <c r="Y99">
        <v>366692</v>
      </c>
      <c r="Z99">
        <v>16625</v>
      </c>
    </row>
    <row r="100" spans="1:26" x14ac:dyDescent="0.2">
      <c r="A100">
        <v>2019</v>
      </c>
      <c r="B100">
        <v>3951635</v>
      </c>
      <c r="C100">
        <v>5287226</v>
      </c>
      <c r="D100">
        <v>8101092</v>
      </c>
      <c r="E100">
        <v>12733750</v>
      </c>
      <c r="F100">
        <v>18545689</v>
      </c>
      <c r="G100">
        <v>18129881</v>
      </c>
      <c r="H100">
        <v>38197002</v>
      </c>
      <c r="I100">
        <v>70950640</v>
      </c>
      <c r="J100">
        <v>74767284</v>
      </c>
      <c r="K100">
        <v>45797716</v>
      </c>
      <c r="L100">
        <v>35402218</v>
      </c>
      <c r="M100">
        <v>37282901</v>
      </c>
      <c r="N100">
        <v>26373814</v>
      </c>
      <c r="O100">
        <v>45206158</v>
      </c>
      <c r="P100">
        <v>46521925</v>
      </c>
      <c r="Q100">
        <v>50519025</v>
      </c>
      <c r="R100">
        <v>41257727</v>
      </c>
      <c r="S100">
        <v>22881506</v>
      </c>
      <c r="T100">
        <v>16211083</v>
      </c>
      <c r="U100">
        <v>17247500</v>
      </c>
      <c r="V100">
        <v>14345844</v>
      </c>
      <c r="W100">
        <v>10363534</v>
      </c>
      <c r="X100">
        <v>3955718</v>
      </c>
      <c r="Y100">
        <v>1485523</v>
      </c>
      <c r="Z100">
        <v>288975</v>
      </c>
    </row>
    <row r="101" spans="1:26" x14ac:dyDescent="0.2">
      <c r="A101">
        <v>2021</v>
      </c>
      <c r="B101">
        <v>2021645</v>
      </c>
      <c r="C101">
        <v>2736869</v>
      </c>
      <c r="D101">
        <v>9144468</v>
      </c>
      <c r="E101">
        <v>22586992</v>
      </c>
      <c r="F101">
        <v>35999562</v>
      </c>
      <c r="G101">
        <v>33014586</v>
      </c>
      <c r="H101">
        <v>31634416</v>
      </c>
      <c r="I101">
        <v>31411018</v>
      </c>
      <c r="J101">
        <v>29335795</v>
      </c>
      <c r="K101">
        <v>29456200</v>
      </c>
      <c r="L101">
        <v>33817312</v>
      </c>
      <c r="M101">
        <v>36862861</v>
      </c>
      <c r="N101">
        <v>42001019</v>
      </c>
      <c r="O101">
        <v>80794577</v>
      </c>
      <c r="P101">
        <v>57694108</v>
      </c>
      <c r="Q101">
        <v>26822070</v>
      </c>
      <c r="R101">
        <v>23499166</v>
      </c>
      <c r="S101">
        <v>18680910</v>
      </c>
      <c r="T101">
        <v>10768280</v>
      </c>
      <c r="U101">
        <v>5728864</v>
      </c>
      <c r="V101">
        <v>3814908</v>
      </c>
      <c r="W101">
        <v>5706748</v>
      </c>
      <c r="X101">
        <v>3349312</v>
      </c>
      <c r="Y101">
        <v>2182819</v>
      </c>
      <c r="Z101">
        <v>174652</v>
      </c>
    </row>
    <row r="102" spans="1:26" x14ac:dyDescent="0.2">
      <c r="A102">
        <v>2022</v>
      </c>
      <c r="B102">
        <v>4152652</v>
      </c>
      <c r="C102">
        <v>13039184</v>
      </c>
      <c r="D102">
        <v>13452598</v>
      </c>
      <c r="E102">
        <v>9349591</v>
      </c>
      <c r="F102">
        <v>10214144</v>
      </c>
      <c r="G102">
        <v>12399074</v>
      </c>
      <c r="H102">
        <v>22315737</v>
      </c>
      <c r="I102">
        <v>36963474</v>
      </c>
      <c r="J102">
        <v>51851079</v>
      </c>
      <c r="K102">
        <v>55310811</v>
      </c>
      <c r="L102">
        <v>55220728</v>
      </c>
      <c r="M102">
        <v>43674364</v>
      </c>
      <c r="N102">
        <v>40197317</v>
      </c>
      <c r="O102">
        <v>58193450</v>
      </c>
      <c r="P102">
        <v>68620594</v>
      </c>
      <c r="Q102">
        <v>58694636</v>
      </c>
      <c r="R102">
        <v>33802890</v>
      </c>
      <c r="S102">
        <v>22055389</v>
      </c>
      <c r="T102">
        <v>13564346</v>
      </c>
      <c r="U102">
        <v>5170197</v>
      </c>
      <c r="V102">
        <v>3610599</v>
      </c>
      <c r="W102">
        <v>2241904</v>
      </c>
      <c r="X102">
        <v>1806435</v>
      </c>
      <c r="Y102">
        <v>1591005</v>
      </c>
      <c r="Z102">
        <v>170424</v>
      </c>
    </row>
    <row r="103" spans="1:26" x14ac:dyDescent="0.2">
      <c r="A103">
        <v>2023</v>
      </c>
      <c r="B103">
        <v>4087568</v>
      </c>
      <c r="C103">
        <v>6905254</v>
      </c>
      <c r="D103">
        <v>6257815</v>
      </c>
      <c r="E103">
        <v>9117846</v>
      </c>
      <c r="F103">
        <v>16792530</v>
      </c>
      <c r="G103">
        <v>18942504</v>
      </c>
      <c r="H103">
        <v>18708982</v>
      </c>
      <c r="I103">
        <v>19077568</v>
      </c>
      <c r="J103">
        <v>24975371</v>
      </c>
      <c r="K103">
        <v>32635296</v>
      </c>
      <c r="L103">
        <v>52023824</v>
      </c>
      <c r="M103">
        <v>56574267</v>
      </c>
      <c r="N103">
        <v>52511141</v>
      </c>
      <c r="O103">
        <v>60510543</v>
      </c>
      <c r="P103">
        <v>39332655</v>
      </c>
      <c r="Q103">
        <v>42706572</v>
      </c>
      <c r="R103">
        <v>37947283</v>
      </c>
      <c r="S103">
        <v>25425209</v>
      </c>
      <c r="T103">
        <v>14098297</v>
      </c>
      <c r="U103">
        <v>6137694</v>
      </c>
      <c r="V103">
        <v>3048465</v>
      </c>
      <c r="W103">
        <v>2066035</v>
      </c>
      <c r="X103">
        <v>1576752</v>
      </c>
      <c r="Y103">
        <v>1241490</v>
      </c>
      <c r="Z103">
        <v>210718</v>
      </c>
    </row>
    <row r="104" spans="1:26" x14ac:dyDescent="0.2">
      <c r="A104">
        <v>2024</v>
      </c>
      <c r="B104">
        <v>1689810</v>
      </c>
      <c r="C104">
        <v>4131656</v>
      </c>
      <c r="D104">
        <v>10837958</v>
      </c>
      <c r="E104">
        <v>14039508</v>
      </c>
      <c r="F104">
        <v>13211550</v>
      </c>
      <c r="G104">
        <v>16826282</v>
      </c>
      <c r="H104">
        <v>12113689</v>
      </c>
      <c r="I104">
        <v>15855933</v>
      </c>
      <c r="J104">
        <v>21914635</v>
      </c>
      <c r="K104">
        <v>29645583</v>
      </c>
      <c r="L104">
        <v>29877624</v>
      </c>
      <c r="M104">
        <v>39376601</v>
      </c>
      <c r="N104">
        <v>42888105</v>
      </c>
      <c r="O104">
        <v>98702762</v>
      </c>
      <c r="P104">
        <v>74814024</v>
      </c>
      <c r="Q104">
        <v>50513392</v>
      </c>
      <c r="R104">
        <v>41158151</v>
      </c>
      <c r="S104">
        <v>39700985</v>
      </c>
      <c r="T104">
        <v>19034360</v>
      </c>
      <c r="U104">
        <v>12775884</v>
      </c>
      <c r="V104">
        <v>4693886</v>
      </c>
      <c r="W104">
        <v>2078015</v>
      </c>
      <c r="X104">
        <v>2556106</v>
      </c>
      <c r="Y104">
        <v>1849248</v>
      </c>
      <c r="Z104">
        <v>0</v>
      </c>
    </row>
    <row r="106" spans="1:26" x14ac:dyDescent="0.2">
      <c r="A106" t="s">
        <v>320</v>
      </c>
    </row>
    <row r="107" spans="1:26" x14ac:dyDescent="0.2">
      <c r="A107">
        <v>1992</v>
      </c>
      <c r="B107">
        <v>2694176</v>
      </c>
      <c r="C107">
        <v>3200013</v>
      </c>
      <c r="D107">
        <v>3142709</v>
      </c>
      <c r="E107">
        <v>1654078</v>
      </c>
      <c r="F107">
        <v>4030731</v>
      </c>
      <c r="G107">
        <v>5380114</v>
      </c>
      <c r="H107">
        <v>6524376</v>
      </c>
      <c r="I107">
        <v>8708743</v>
      </c>
      <c r="J107">
        <v>10851408</v>
      </c>
      <c r="K107">
        <v>15601622</v>
      </c>
      <c r="L107">
        <v>19972206</v>
      </c>
      <c r="M107">
        <v>33114364</v>
      </c>
      <c r="N107">
        <v>27699136</v>
      </c>
      <c r="O107">
        <v>23112128</v>
      </c>
      <c r="P107">
        <v>11707280</v>
      </c>
      <c r="Q107">
        <v>6924004</v>
      </c>
      <c r="R107">
        <v>1493015</v>
      </c>
      <c r="S107">
        <v>1000352</v>
      </c>
      <c r="T107">
        <v>343264</v>
      </c>
      <c r="U107">
        <v>80903</v>
      </c>
      <c r="V107">
        <v>255137</v>
      </c>
      <c r="W107">
        <v>46610</v>
      </c>
      <c r="X107">
        <v>0</v>
      </c>
      <c r="Y107">
        <v>0</v>
      </c>
      <c r="Z107">
        <v>0</v>
      </c>
    </row>
    <row r="108" spans="1:26" x14ac:dyDescent="0.2">
      <c r="A108">
        <v>1993</v>
      </c>
      <c r="B108">
        <v>1973932</v>
      </c>
      <c r="C108">
        <v>6122432</v>
      </c>
      <c r="D108">
        <v>5765194</v>
      </c>
      <c r="E108">
        <v>5816590</v>
      </c>
      <c r="F108">
        <v>6748256</v>
      </c>
      <c r="G108">
        <v>5792471</v>
      </c>
      <c r="H108">
        <v>6475572</v>
      </c>
      <c r="I108">
        <v>11004863</v>
      </c>
      <c r="J108">
        <v>9293328</v>
      </c>
      <c r="K108">
        <v>14377591</v>
      </c>
      <c r="L108">
        <v>18043560</v>
      </c>
      <c r="M108">
        <v>22410781</v>
      </c>
      <c r="N108">
        <v>28154907</v>
      </c>
      <c r="O108">
        <v>35222555</v>
      </c>
      <c r="P108">
        <v>15428875</v>
      </c>
      <c r="Q108">
        <v>5731820</v>
      </c>
      <c r="R108">
        <v>3844716</v>
      </c>
      <c r="S108">
        <v>2364196</v>
      </c>
      <c r="T108">
        <v>800732</v>
      </c>
      <c r="U108">
        <v>606116</v>
      </c>
      <c r="V108">
        <v>23975</v>
      </c>
      <c r="W108">
        <v>65454</v>
      </c>
      <c r="X108">
        <v>0</v>
      </c>
      <c r="Y108">
        <v>119407</v>
      </c>
      <c r="Z108">
        <v>0</v>
      </c>
    </row>
    <row r="109" spans="1:26" x14ac:dyDescent="0.2">
      <c r="A109">
        <v>1994</v>
      </c>
      <c r="B109">
        <v>3502831</v>
      </c>
      <c r="C109">
        <v>12020424</v>
      </c>
      <c r="D109">
        <v>10271068</v>
      </c>
      <c r="E109">
        <v>6936434</v>
      </c>
      <c r="F109">
        <v>5176108</v>
      </c>
      <c r="G109">
        <v>11747816</v>
      </c>
      <c r="H109">
        <v>10045712</v>
      </c>
      <c r="I109">
        <v>13013513</v>
      </c>
      <c r="J109">
        <v>10282823</v>
      </c>
      <c r="K109">
        <v>12855114</v>
      </c>
      <c r="L109">
        <v>14574329</v>
      </c>
      <c r="M109">
        <v>17479427</v>
      </c>
      <c r="N109">
        <v>22971596</v>
      </c>
      <c r="O109">
        <v>36219222</v>
      </c>
      <c r="P109">
        <v>20593947</v>
      </c>
      <c r="Q109">
        <v>8826508</v>
      </c>
      <c r="R109">
        <v>4065896</v>
      </c>
      <c r="S109">
        <v>3119589</v>
      </c>
      <c r="T109">
        <v>866919</v>
      </c>
      <c r="U109">
        <v>908403</v>
      </c>
      <c r="V109">
        <v>765441</v>
      </c>
      <c r="W109">
        <v>54392</v>
      </c>
      <c r="X109">
        <v>0</v>
      </c>
      <c r="Y109">
        <v>49622</v>
      </c>
      <c r="Z109">
        <v>0</v>
      </c>
    </row>
    <row r="110" spans="1:26" x14ac:dyDescent="0.2">
      <c r="A110">
        <v>1995</v>
      </c>
      <c r="B110">
        <v>167703</v>
      </c>
      <c r="C110">
        <v>3179155</v>
      </c>
      <c r="D110">
        <v>5876439</v>
      </c>
      <c r="E110">
        <v>2919278</v>
      </c>
      <c r="F110">
        <v>6156378</v>
      </c>
      <c r="G110">
        <v>9434649</v>
      </c>
      <c r="H110">
        <v>6287636</v>
      </c>
      <c r="I110">
        <v>6468622</v>
      </c>
      <c r="J110">
        <v>10742586</v>
      </c>
      <c r="K110">
        <v>16373677</v>
      </c>
      <c r="L110">
        <v>13450366</v>
      </c>
      <c r="M110">
        <v>11849494</v>
      </c>
      <c r="N110">
        <v>12780799</v>
      </c>
      <c r="O110">
        <v>22892942</v>
      </c>
      <c r="P110">
        <v>27490093</v>
      </c>
      <c r="Q110">
        <v>9947483</v>
      </c>
      <c r="R110">
        <v>3828590</v>
      </c>
      <c r="S110">
        <v>1951462</v>
      </c>
      <c r="T110">
        <v>1629305</v>
      </c>
      <c r="U110">
        <v>434417</v>
      </c>
      <c r="V110">
        <v>0</v>
      </c>
      <c r="W110">
        <v>33708</v>
      </c>
      <c r="X110">
        <v>0</v>
      </c>
      <c r="Y110">
        <v>83495</v>
      </c>
      <c r="Z110">
        <v>0</v>
      </c>
    </row>
    <row r="111" spans="1:26" x14ac:dyDescent="0.2">
      <c r="A111">
        <v>1996</v>
      </c>
      <c r="B111">
        <v>3349992</v>
      </c>
      <c r="C111">
        <v>4122243</v>
      </c>
      <c r="D111">
        <v>3149257</v>
      </c>
      <c r="E111">
        <v>2025807</v>
      </c>
      <c r="F111">
        <v>1787902</v>
      </c>
      <c r="G111">
        <v>6239399</v>
      </c>
      <c r="H111">
        <v>8492244</v>
      </c>
      <c r="I111">
        <v>10938628</v>
      </c>
      <c r="J111">
        <v>10659123</v>
      </c>
      <c r="K111">
        <v>10996265</v>
      </c>
      <c r="L111">
        <v>11689991</v>
      </c>
      <c r="M111">
        <v>14492605</v>
      </c>
      <c r="N111">
        <v>15095058</v>
      </c>
      <c r="O111">
        <v>21287112</v>
      </c>
      <c r="P111">
        <v>19291207</v>
      </c>
      <c r="Q111">
        <v>12290419</v>
      </c>
      <c r="R111">
        <v>3304227</v>
      </c>
      <c r="S111">
        <v>1392726</v>
      </c>
      <c r="T111">
        <v>1246779</v>
      </c>
      <c r="U111">
        <v>932793</v>
      </c>
      <c r="V111">
        <v>478289</v>
      </c>
      <c r="W111">
        <v>157292</v>
      </c>
      <c r="X111">
        <v>123168</v>
      </c>
      <c r="Y111">
        <v>0</v>
      </c>
      <c r="Z111">
        <v>0</v>
      </c>
    </row>
    <row r="112" spans="1:26" x14ac:dyDescent="0.2">
      <c r="A112">
        <v>1997</v>
      </c>
      <c r="B112">
        <v>2744101</v>
      </c>
      <c r="C112">
        <v>6491597</v>
      </c>
      <c r="D112">
        <v>7033795</v>
      </c>
      <c r="E112">
        <v>6614302</v>
      </c>
      <c r="F112">
        <v>7657046</v>
      </c>
      <c r="G112">
        <v>4164988</v>
      </c>
      <c r="H112">
        <v>6365664</v>
      </c>
      <c r="I112">
        <v>4799358</v>
      </c>
      <c r="J112">
        <v>7056334</v>
      </c>
      <c r="K112">
        <v>9036185</v>
      </c>
      <c r="L112">
        <v>10356904</v>
      </c>
      <c r="M112">
        <v>10024875</v>
      </c>
      <c r="N112">
        <v>14133489</v>
      </c>
      <c r="O112">
        <v>17672119</v>
      </c>
      <c r="P112">
        <v>15751722</v>
      </c>
      <c r="Q112">
        <v>8434613</v>
      </c>
      <c r="R112">
        <v>3355215</v>
      </c>
      <c r="S112">
        <v>1414547</v>
      </c>
      <c r="T112">
        <v>1741195</v>
      </c>
      <c r="U112">
        <v>37840</v>
      </c>
      <c r="V112">
        <v>599722</v>
      </c>
      <c r="W112">
        <v>619696</v>
      </c>
      <c r="X112">
        <v>131944</v>
      </c>
      <c r="Y112">
        <v>0</v>
      </c>
      <c r="Z112">
        <v>0</v>
      </c>
    </row>
    <row r="113" spans="1:26" x14ac:dyDescent="0.2">
      <c r="A113">
        <v>1998</v>
      </c>
      <c r="B113">
        <v>3280896</v>
      </c>
      <c r="C113">
        <v>4923304</v>
      </c>
      <c r="D113">
        <v>4090051</v>
      </c>
      <c r="E113">
        <v>8837216</v>
      </c>
      <c r="F113">
        <v>8221453</v>
      </c>
      <c r="G113">
        <v>7386971</v>
      </c>
      <c r="H113">
        <v>10964353</v>
      </c>
      <c r="I113">
        <v>8919788</v>
      </c>
      <c r="J113">
        <v>10600257</v>
      </c>
      <c r="K113">
        <v>9476124</v>
      </c>
      <c r="L113">
        <v>8379019</v>
      </c>
      <c r="M113">
        <v>7812576</v>
      </c>
      <c r="N113">
        <v>10661763</v>
      </c>
      <c r="O113">
        <v>16955574</v>
      </c>
      <c r="P113">
        <v>12693723</v>
      </c>
      <c r="Q113">
        <v>5538990</v>
      </c>
      <c r="R113">
        <v>1510160</v>
      </c>
      <c r="S113">
        <v>1052407</v>
      </c>
      <c r="T113">
        <v>283203</v>
      </c>
      <c r="U113">
        <v>318254</v>
      </c>
      <c r="V113">
        <v>209705</v>
      </c>
      <c r="W113">
        <v>149407</v>
      </c>
      <c r="X113">
        <v>164662</v>
      </c>
      <c r="Y113">
        <v>0</v>
      </c>
      <c r="Z113">
        <v>0</v>
      </c>
    </row>
    <row r="114" spans="1:26" x14ac:dyDescent="0.2">
      <c r="A114">
        <v>1999</v>
      </c>
      <c r="B114">
        <v>3128122</v>
      </c>
      <c r="C114">
        <v>3595058</v>
      </c>
      <c r="D114">
        <v>5174474</v>
      </c>
      <c r="E114">
        <v>4025513</v>
      </c>
      <c r="F114">
        <v>6947038</v>
      </c>
      <c r="G114">
        <v>6944609</v>
      </c>
      <c r="H114">
        <v>8296856</v>
      </c>
      <c r="I114">
        <v>8097401</v>
      </c>
      <c r="J114">
        <v>10091329</v>
      </c>
      <c r="K114">
        <v>7210922</v>
      </c>
      <c r="L114">
        <v>10165597</v>
      </c>
      <c r="M114">
        <v>9347559</v>
      </c>
      <c r="N114">
        <v>4406838</v>
      </c>
      <c r="O114">
        <v>5702079</v>
      </c>
      <c r="P114">
        <v>5672930</v>
      </c>
      <c r="Q114">
        <v>2191037</v>
      </c>
      <c r="R114">
        <v>951962</v>
      </c>
      <c r="S114">
        <v>462823</v>
      </c>
      <c r="T114">
        <v>461987</v>
      </c>
      <c r="U114">
        <v>141382</v>
      </c>
      <c r="V114">
        <v>273078</v>
      </c>
      <c r="W114">
        <v>28161</v>
      </c>
      <c r="X114">
        <v>0</v>
      </c>
      <c r="Y114">
        <v>0</v>
      </c>
      <c r="Z114">
        <v>0</v>
      </c>
    </row>
    <row r="115" spans="1:26" x14ac:dyDescent="0.2">
      <c r="A115">
        <v>2000</v>
      </c>
      <c r="B115">
        <v>5928806</v>
      </c>
      <c r="C115">
        <v>11317125</v>
      </c>
      <c r="D115">
        <v>7571737</v>
      </c>
      <c r="E115">
        <v>5933232</v>
      </c>
      <c r="F115">
        <v>8171902</v>
      </c>
      <c r="G115">
        <v>7233056</v>
      </c>
      <c r="H115">
        <v>9914761</v>
      </c>
      <c r="I115">
        <v>10956899</v>
      </c>
      <c r="J115">
        <v>13763440</v>
      </c>
      <c r="K115">
        <v>12347040</v>
      </c>
      <c r="L115">
        <v>12876118</v>
      </c>
      <c r="M115">
        <v>10541210</v>
      </c>
      <c r="N115">
        <v>10170607</v>
      </c>
      <c r="O115">
        <v>11698615</v>
      </c>
      <c r="P115">
        <v>7395919</v>
      </c>
      <c r="Q115">
        <v>5160135</v>
      </c>
      <c r="R115">
        <v>2473674</v>
      </c>
      <c r="S115">
        <v>1730421</v>
      </c>
      <c r="T115">
        <v>601162</v>
      </c>
      <c r="U115">
        <v>594537</v>
      </c>
      <c r="V115">
        <v>184787</v>
      </c>
      <c r="W115">
        <v>290082</v>
      </c>
      <c r="X115">
        <v>45290</v>
      </c>
      <c r="Y115">
        <v>28615</v>
      </c>
      <c r="Z115">
        <v>0</v>
      </c>
    </row>
    <row r="116" spans="1:26" x14ac:dyDescent="0.2">
      <c r="A116">
        <v>2001</v>
      </c>
      <c r="B116">
        <v>3815332</v>
      </c>
      <c r="C116">
        <v>7539493</v>
      </c>
      <c r="D116">
        <v>14387381</v>
      </c>
      <c r="E116">
        <v>16546990</v>
      </c>
      <c r="F116">
        <v>9747873</v>
      </c>
      <c r="G116">
        <v>9494324</v>
      </c>
      <c r="H116">
        <v>15177729</v>
      </c>
      <c r="I116">
        <v>17403588</v>
      </c>
      <c r="J116">
        <v>21604757</v>
      </c>
      <c r="K116">
        <v>15049329</v>
      </c>
      <c r="L116">
        <v>14172755</v>
      </c>
      <c r="M116">
        <v>17816111</v>
      </c>
      <c r="N116">
        <v>12653399</v>
      </c>
      <c r="O116">
        <v>14816417</v>
      </c>
      <c r="P116">
        <v>12187474</v>
      </c>
      <c r="Q116">
        <v>6512293</v>
      </c>
      <c r="R116">
        <v>2836226</v>
      </c>
      <c r="S116">
        <v>398677</v>
      </c>
      <c r="T116">
        <v>471987</v>
      </c>
      <c r="U116">
        <v>332128</v>
      </c>
      <c r="V116">
        <v>69716</v>
      </c>
      <c r="W116">
        <v>69716</v>
      </c>
      <c r="X116">
        <v>63022</v>
      </c>
      <c r="Y116">
        <v>81748</v>
      </c>
      <c r="Z116">
        <v>0</v>
      </c>
    </row>
    <row r="117" spans="1:26" x14ac:dyDescent="0.2">
      <c r="A117">
        <v>2002</v>
      </c>
      <c r="B117">
        <v>3342119</v>
      </c>
      <c r="C117">
        <v>4739406</v>
      </c>
      <c r="D117">
        <v>4833103</v>
      </c>
      <c r="E117">
        <v>5895225</v>
      </c>
      <c r="F117">
        <v>6904162</v>
      </c>
      <c r="G117">
        <v>11061159</v>
      </c>
      <c r="H117">
        <v>13266157</v>
      </c>
      <c r="I117">
        <v>16993114</v>
      </c>
      <c r="J117">
        <v>17127223</v>
      </c>
      <c r="K117">
        <v>14943753</v>
      </c>
      <c r="L117">
        <v>11257424</v>
      </c>
      <c r="M117">
        <v>13323948</v>
      </c>
      <c r="N117">
        <v>8694953</v>
      </c>
      <c r="O117">
        <v>8814137</v>
      </c>
      <c r="P117">
        <v>5231311</v>
      </c>
      <c r="Q117">
        <v>3134680</v>
      </c>
      <c r="R117">
        <v>1042250</v>
      </c>
      <c r="S117">
        <v>1285592</v>
      </c>
      <c r="T117">
        <v>458633</v>
      </c>
      <c r="U117">
        <v>1109512</v>
      </c>
      <c r="V117">
        <v>219321</v>
      </c>
      <c r="W117">
        <v>0</v>
      </c>
      <c r="X117">
        <v>135313</v>
      </c>
      <c r="Y117">
        <v>0</v>
      </c>
      <c r="Z117">
        <v>0</v>
      </c>
    </row>
    <row r="118" spans="1:26" x14ac:dyDescent="0.2">
      <c r="A118">
        <v>2003</v>
      </c>
      <c r="B118">
        <v>6873493</v>
      </c>
      <c r="C118">
        <v>11164790</v>
      </c>
      <c r="D118">
        <v>23468087</v>
      </c>
      <c r="E118">
        <v>18304762</v>
      </c>
      <c r="F118">
        <v>20175015</v>
      </c>
      <c r="G118">
        <v>16073924</v>
      </c>
      <c r="H118">
        <v>15175264</v>
      </c>
      <c r="I118">
        <v>14104290</v>
      </c>
      <c r="J118">
        <v>21987946</v>
      </c>
      <c r="K118">
        <v>22867340</v>
      </c>
      <c r="L118">
        <v>22249881</v>
      </c>
      <c r="M118">
        <v>23336234</v>
      </c>
      <c r="N118">
        <v>17288678</v>
      </c>
      <c r="O118">
        <v>16224691</v>
      </c>
      <c r="P118">
        <v>11488702</v>
      </c>
      <c r="Q118">
        <v>4297328</v>
      </c>
      <c r="R118">
        <v>2271769</v>
      </c>
      <c r="S118">
        <v>969836</v>
      </c>
      <c r="T118">
        <v>522582</v>
      </c>
      <c r="U118">
        <v>197574</v>
      </c>
      <c r="V118">
        <v>21274</v>
      </c>
      <c r="W118">
        <v>234163</v>
      </c>
      <c r="X118">
        <v>0</v>
      </c>
      <c r="Y118">
        <v>0</v>
      </c>
      <c r="Z118">
        <v>73863</v>
      </c>
    </row>
    <row r="119" spans="1:26" x14ac:dyDescent="0.2">
      <c r="A119">
        <v>2004</v>
      </c>
      <c r="B119">
        <v>7356435</v>
      </c>
      <c r="C119">
        <v>19990728</v>
      </c>
      <c r="D119">
        <v>35582858</v>
      </c>
      <c r="E119">
        <v>27649357</v>
      </c>
      <c r="F119">
        <v>23635744</v>
      </c>
      <c r="G119">
        <v>29049987</v>
      </c>
      <c r="H119">
        <v>29535640</v>
      </c>
      <c r="I119">
        <v>27914622</v>
      </c>
      <c r="J119">
        <v>24699120</v>
      </c>
      <c r="K119">
        <v>21141176</v>
      </c>
      <c r="L119">
        <v>19851659</v>
      </c>
      <c r="M119">
        <v>23249656</v>
      </c>
      <c r="N119">
        <v>23819261</v>
      </c>
      <c r="O119">
        <v>21528296</v>
      </c>
      <c r="P119">
        <v>9489373</v>
      </c>
      <c r="Q119">
        <v>4053667</v>
      </c>
      <c r="R119">
        <v>2800228</v>
      </c>
      <c r="S119">
        <v>1497627</v>
      </c>
      <c r="T119">
        <v>845405</v>
      </c>
      <c r="U119">
        <v>821647</v>
      </c>
      <c r="V119">
        <v>285599</v>
      </c>
      <c r="W119">
        <v>233072</v>
      </c>
      <c r="X119">
        <v>148583</v>
      </c>
      <c r="Y119">
        <v>0</v>
      </c>
      <c r="Z119">
        <v>0</v>
      </c>
    </row>
    <row r="120" spans="1:26" x14ac:dyDescent="0.2">
      <c r="A120">
        <v>2005</v>
      </c>
      <c r="B120">
        <v>6451060</v>
      </c>
      <c r="C120">
        <v>21253311</v>
      </c>
      <c r="D120">
        <v>42175708</v>
      </c>
      <c r="E120">
        <v>34525469</v>
      </c>
      <c r="F120">
        <v>24785293</v>
      </c>
      <c r="G120">
        <v>34697152</v>
      </c>
      <c r="H120">
        <v>33809204</v>
      </c>
      <c r="I120">
        <v>35269242</v>
      </c>
      <c r="J120">
        <v>33325758</v>
      </c>
      <c r="K120">
        <v>33738620</v>
      </c>
      <c r="L120">
        <v>37589483</v>
      </c>
      <c r="M120">
        <v>30364731</v>
      </c>
      <c r="N120">
        <v>24679438</v>
      </c>
      <c r="O120">
        <v>29218340</v>
      </c>
      <c r="P120">
        <v>14543089</v>
      </c>
      <c r="Q120">
        <v>4469875</v>
      </c>
      <c r="R120">
        <v>1551423</v>
      </c>
      <c r="S120">
        <v>1129949</v>
      </c>
      <c r="T120">
        <v>556012</v>
      </c>
      <c r="U120">
        <v>260193</v>
      </c>
      <c r="V120">
        <v>87997</v>
      </c>
      <c r="W120">
        <v>287063</v>
      </c>
      <c r="X120">
        <v>0</v>
      </c>
      <c r="Y120">
        <v>0</v>
      </c>
      <c r="Z120">
        <v>0</v>
      </c>
    </row>
    <row r="121" spans="1:26" x14ac:dyDescent="0.2">
      <c r="A121">
        <v>2006</v>
      </c>
      <c r="B121">
        <v>5425015</v>
      </c>
      <c r="C121">
        <v>5904897</v>
      </c>
      <c r="D121">
        <v>14088359</v>
      </c>
      <c r="E121">
        <v>13239580</v>
      </c>
      <c r="F121">
        <v>16957319</v>
      </c>
      <c r="G121">
        <v>27581516</v>
      </c>
      <c r="H121">
        <v>42317163</v>
      </c>
      <c r="I121">
        <v>54907722</v>
      </c>
      <c r="J121">
        <v>41108301</v>
      </c>
      <c r="K121">
        <v>35146352</v>
      </c>
      <c r="L121">
        <v>32963488</v>
      </c>
      <c r="M121">
        <v>32013272</v>
      </c>
      <c r="N121">
        <v>30834648</v>
      </c>
      <c r="O121">
        <v>27479284</v>
      </c>
      <c r="P121">
        <v>14384609</v>
      </c>
      <c r="Q121">
        <v>6474351</v>
      </c>
      <c r="R121">
        <v>1779097</v>
      </c>
      <c r="S121">
        <v>256411</v>
      </c>
      <c r="T121">
        <v>180667</v>
      </c>
      <c r="U121">
        <v>81659</v>
      </c>
      <c r="V121">
        <v>125583</v>
      </c>
      <c r="W121">
        <v>0</v>
      </c>
      <c r="X121">
        <v>0</v>
      </c>
      <c r="Y121">
        <v>0</v>
      </c>
      <c r="Z121">
        <v>0</v>
      </c>
    </row>
    <row r="122" spans="1:26" x14ac:dyDescent="0.2">
      <c r="A122">
        <v>2007</v>
      </c>
      <c r="B122">
        <v>11650678</v>
      </c>
      <c r="C122">
        <v>19744931</v>
      </c>
      <c r="D122">
        <v>16078200</v>
      </c>
      <c r="E122">
        <v>8940901</v>
      </c>
      <c r="F122">
        <v>9830539</v>
      </c>
      <c r="G122">
        <v>11386524</v>
      </c>
      <c r="H122">
        <v>13000465</v>
      </c>
      <c r="I122">
        <v>18920580</v>
      </c>
      <c r="J122">
        <v>27435030</v>
      </c>
      <c r="K122">
        <v>38991820</v>
      </c>
      <c r="L122">
        <v>37713108</v>
      </c>
      <c r="M122">
        <v>31238381</v>
      </c>
      <c r="N122">
        <v>27378373</v>
      </c>
      <c r="O122">
        <v>23466712</v>
      </c>
      <c r="P122">
        <v>11707401</v>
      </c>
      <c r="Q122">
        <v>4139370</v>
      </c>
      <c r="R122">
        <v>1989683</v>
      </c>
      <c r="S122">
        <v>1415948</v>
      </c>
      <c r="T122">
        <v>576913</v>
      </c>
      <c r="U122">
        <v>0</v>
      </c>
      <c r="V122">
        <v>90892</v>
      </c>
      <c r="W122">
        <v>0</v>
      </c>
      <c r="X122">
        <v>0</v>
      </c>
      <c r="Y122">
        <v>0</v>
      </c>
      <c r="Z122">
        <v>0</v>
      </c>
    </row>
    <row r="123" spans="1:26" x14ac:dyDescent="0.2">
      <c r="A123">
        <v>2008</v>
      </c>
      <c r="B123">
        <v>7303684</v>
      </c>
      <c r="C123">
        <v>13642463</v>
      </c>
      <c r="D123">
        <v>18629644</v>
      </c>
      <c r="E123">
        <v>15787098</v>
      </c>
      <c r="F123">
        <v>21559307</v>
      </c>
      <c r="G123">
        <v>14798663</v>
      </c>
      <c r="H123">
        <v>16786562</v>
      </c>
      <c r="I123">
        <v>18081172</v>
      </c>
      <c r="J123">
        <v>29677302</v>
      </c>
      <c r="K123">
        <v>32114261</v>
      </c>
      <c r="L123">
        <v>42968163</v>
      </c>
      <c r="M123">
        <v>41568438</v>
      </c>
      <c r="N123">
        <v>36765394</v>
      </c>
      <c r="O123">
        <v>29443896</v>
      </c>
      <c r="P123">
        <v>9003799</v>
      </c>
      <c r="Q123">
        <v>3900032</v>
      </c>
      <c r="R123">
        <v>1041209</v>
      </c>
      <c r="S123">
        <v>542356</v>
      </c>
      <c r="T123">
        <v>237118</v>
      </c>
      <c r="U123">
        <v>30210</v>
      </c>
      <c r="V123">
        <v>0</v>
      </c>
      <c r="W123">
        <v>368182</v>
      </c>
      <c r="X123">
        <v>445455</v>
      </c>
      <c r="Y123">
        <v>0</v>
      </c>
      <c r="Z123">
        <v>296970</v>
      </c>
    </row>
    <row r="124" spans="1:26" x14ac:dyDescent="0.2">
      <c r="A124">
        <v>2009</v>
      </c>
      <c r="B124">
        <v>7751892</v>
      </c>
      <c r="C124">
        <v>17468200</v>
      </c>
      <c r="D124">
        <v>9211785</v>
      </c>
      <c r="E124">
        <v>6152222</v>
      </c>
      <c r="F124">
        <v>12319153</v>
      </c>
      <c r="G124">
        <v>17220440</v>
      </c>
      <c r="H124">
        <v>16835394</v>
      </c>
      <c r="I124">
        <v>20026755</v>
      </c>
      <c r="J124">
        <v>19857197</v>
      </c>
      <c r="K124">
        <v>16982022</v>
      </c>
      <c r="L124">
        <v>18030762</v>
      </c>
      <c r="M124">
        <v>18795803</v>
      </c>
      <c r="N124">
        <v>20795827</v>
      </c>
      <c r="O124">
        <v>24964106</v>
      </c>
      <c r="P124">
        <v>9293855</v>
      </c>
      <c r="Q124">
        <v>2866690</v>
      </c>
      <c r="R124">
        <v>706146</v>
      </c>
      <c r="S124">
        <v>1214529</v>
      </c>
      <c r="T124">
        <v>196443</v>
      </c>
      <c r="U124">
        <v>53826</v>
      </c>
      <c r="V124">
        <v>202430</v>
      </c>
      <c r="W124">
        <v>0</v>
      </c>
      <c r="X124">
        <v>0</v>
      </c>
      <c r="Y124">
        <v>0</v>
      </c>
      <c r="Z124">
        <v>0</v>
      </c>
    </row>
    <row r="125" spans="1:26" x14ac:dyDescent="0.2">
      <c r="A125">
        <v>2010</v>
      </c>
      <c r="B125">
        <v>10184282</v>
      </c>
      <c r="C125">
        <v>20770451</v>
      </c>
      <c r="D125">
        <v>11780396</v>
      </c>
      <c r="E125">
        <v>6607608</v>
      </c>
      <c r="F125">
        <v>13476526</v>
      </c>
      <c r="G125">
        <v>15162660</v>
      </c>
      <c r="H125">
        <v>9405909</v>
      </c>
      <c r="I125">
        <v>17151347</v>
      </c>
      <c r="J125">
        <v>22564205</v>
      </c>
      <c r="K125">
        <v>22399100</v>
      </c>
      <c r="L125">
        <v>27154972</v>
      </c>
      <c r="M125">
        <v>16709605</v>
      </c>
      <c r="N125">
        <v>21399389</v>
      </c>
      <c r="O125">
        <v>30613238</v>
      </c>
      <c r="P125">
        <v>18024072</v>
      </c>
      <c r="Q125">
        <v>6144325</v>
      </c>
      <c r="R125">
        <v>1073455</v>
      </c>
      <c r="S125">
        <v>615488</v>
      </c>
      <c r="T125">
        <v>295842</v>
      </c>
      <c r="U125">
        <v>216313</v>
      </c>
      <c r="V125">
        <v>0</v>
      </c>
      <c r="W125">
        <v>0</v>
      </c>
      <c r="X125">
        <v>0</v>
      </c>
      <c r="Y125">
        <v>0</v>
      </c>
      <c r="Z125">
        <v>0</v>
      </c>
    </row>
    <row r="126" spans="1:26" x14ac:dyDescent="0.2">
      <c r="A126">
        <v>2011</v>
      </c>
      <c r="B126">
        <v>6197866</v>
      </c>
      <c r="C126">
        <v>14944615</v>
      </c>
      <c r="D126">
        <v>11593121</v>
      </c>
      <c r="E126">
        <v>7475015</v>
      </c>
      <c r="F126">
        <v>15810028</v>
      </c>
      <c r="G126">
        <v>21528285</v>
      </c>
      <c r="H126">
        <v>15559505</v>
      </c>
      <c r="I126">
        <v>16815053</v>
      </c>
      <c r="J126">
        <v>19476722</v>
      </c>
      <c r="K126">
        <v>17021598</v>
      </c>
      <c r="L126">
        <v>24719849</v>
      </c>
      <c r="M126">
        <v>28031489</v>
      </c>
      <c r="N126">
        <v>21003189</v>
      </c>
      <c r="O126">
        <v>24143473</v>
      </c>
      <c r="P126">
        <v>16418627</v>
      </c>
      <c r="Q126">
        <v>6325667</v>
      </c>
      <c r="R126">
        <v>1613252</v>
      </c>
      <c r="S126">
        <v>892733</v>
      </c>
      <c r="T126">
        <v>261593</v>
      </c>
      <c r="U126">
        <v>55398</v>
      </c>
      <c r="V126">
        <v>0</v>
      </c>
      <c r="W126">
        <v>0</v>
      </c>
      <c r="X126">
        <v>0</v>
      </c>
      <c r="Y126">
        <v>0</v>
      </c>
      <c r="Z126">
        <v>0</v>
      </c>
    </row>
    <row r="127" spans="1:26" x14ac:dyDescent="0.2">
      <c r="A127">
        <v>2012</v>
      </c>
      <c r="B127">
        <v>8669740</v>
      </c>
      <c r="C127">
        <v>6947666</v>
      </c>
      <c r="D127">
        <v>4179047</v>
      </c>
      <c r="E127">
        <v>7748099</v>
      </c>
      <c r="F127">
        <v>13300030</v>
      </c>
      <c r="G127">
        <v>14617107</v>
      </c>
      <c r="H127">
        <v>18139505</v>
      </c>
      <c r="I127">
        <v>19503186</v>
      </c>
      <c r="J127">
        <v>17713163</v>
      </c>
      <c r="K127">
        <v>20490839</v>
      </c>
      <c r="L127">
        <v>16306249</v>
      </c>
      <c r="M127">
        <v>20318538</v>
      </c>
      <c r="N127">
        <v>15069376</v>
      </c>
      <c r="O127">
        <v>18095803</v>
      </c>
      <c r="P127">
        <v>11291684</v>
      </c>
      <c r="Q127">
        <v>4340781</v>
      </c>
      <c r="R127">
        <v>1359029</v>
      </c>
      <c r="S127">
        <v>484604</v>
      </c>
      <c r="T127">
        <v>112255</v>
      </c>
      <c r="U127">
        <v>29354</v>
      </c>
      <c r="V127">
        <v>0</v>
      </c>
      <c r="W127">
        <v>0</v>
      </c>
      <c r="X127">
        <v>0</v>
      </c>
      <c r="Y127">
        <v>122047</v>
      </c>
      <c r="Z127">
        <v>0</v>
      </c>
    </row>
    <row r="128" spans="1:26" x14ac:dyDescent="0.2">
      <c r="A128">
        <v>2013</v>
      </c>
      <c r="B128">
        <v>2914339</v>
      </c>
      <c r="C128">
        <v>4844261</v>
      </c>
      <c r="D128">
        <v>2593003</v>
      </c>
      <c r="E128">
        <v>4203680</v>
      </c>
      <c r="F128">
        <v>5324486</v>
      </c>
      <c r="G128">
        <v>5141850</v>
      </c>
      <c r="H128">
        <v>8813117</v>
      </c>
      <c r="I128">
        <v>9874444</v>
      </c>
      <c r="J128">
        <v>16002461</v>
      </c>
      <c r="K128">
        <v>17917109</v>
      </c>
      <c r="L128">
        <v>19415789</v>
      </c>
      <c r="M128">
        <v>17047902</v>
      </c>
      <c r="N128">
        <v>14802933</v>
      </c>
      <c r="O128">
        <v>19902548</v>
      </c>
      <c r="P128">
        <v>14301716</v>
      </c>
      <c r="Q128">
        <v>7775724</v>
      </c>
      <c r="R128">
        <v>2111588</v>
      </c>
      <c r="S128">
        <v>589648</v>
      </c>
      <c r="T128">
        <v>846845</v>
      </c>
      <c r="U128">
        <v>117822</v>
      </c>
      <c r="V128">
        <v>85887</v>
      </c>
      <c r="W128">
        <v>47094</v>
      </c>
      <c r="X128">
        <v>0</v>
      </c>
      <c r="Y128">
        <v>28629</v>
      </c>
      <c r="Z128">
        <v>68992</v>
      </c>
    </row>
    <row r="129" spans="1:26" x14ac:dyDescent="0.2">
      <c r="A129">
        <v>2014</v>
      </c>
      <c r="B129">
        <v>4299764</v>
      </c>
      <c r="C129">
        <v>6045805</v>
      </c>
      <c r="D129">
        <v>8010487</v>
      </c>
      <c r="E129">
        <v>7359864</v>
      </c>
      <c r="F129">
        <v>9427594</v>
      </c>
      <c r="G129">
        <v>9124845</v>
      </c>
      <c r="H129">
        <v>10012836</v>
      </c>
      <c r="I129">
        <v>8641025</v>
      </c>
      <c r="J129">
        <v>9759625</v>
      </c>
      <c r="K129">
        <v>11798060</v>
      </c>
      <c r="L129">
        <v>13594211</v>
      </c>
      <c r="M129">
        <v>13051250</v>
      </c>
      <c r="N129">
        <v>15902620</v>
      </c>
      <c r="O129">
        <v>23683664</v>
      </c>
      <c r="P129">
        <v>17386117</v>
      </c>
      <c r="Q129">
        <v>6095747</v>
      </c>
      <c r="R129">
        <v>3147462</v>
      </c>
      <c r="S129">
        <v>295551</v>
      </c>
      <c r="T129">
        <v>84239</v>
      </c>
      <c r="U129">
        <v>28009</v>
      </c>
      <c r="V129">
        <v>0</v>
      </c>
      <c r="W129">
        <v>84439</v>
      </c>
      <c r="X129">
        <v>0</v>
      </c>
      <c r="Y129">
        <v>169137</v>
      </c>
      <c r="Z129">
        <v>50565</v>
      </c>
    </row>
    <row r="130" spans="1:26" x14ac:dyDescent="0.2">
      <c r="A130">
        <v>2015</v>
      </c>
      <c r="B130">
        <v>1439943</v>
      </c>
      <c r="C130">
        <v>4612216</v>
      </c>
      <c r="D130">
        <v>5432919</v>
      </c>
      <c r="E130">
        <v>5246825</v>
      </c>
      <c r="F130">
        <v>6902822</v>
      </c>
      <c r="G130">
        <v>8281994</v>
      </c>
      <c r="H130">
        <v>10774297</v>
      </c>
      <c r="I130">
        <v>8676571</v>
      </c>
      <c r="J130">
        <v>11384221</v>
      </c>
      <c r="K130">
        <v>9766696</v>
      </c>
      <c r="L130">
        <v>12709779</v>
      </c>
      <c r="M130">
        <v>9198006</v>
      </c>
      <c r="N130">
        <v>9253360</v>
      </c>
      <c r="O130">
        <v>15224638</v>
      </c>
      <c r="P130">
        <v>14705659</v>
      </c>
      <c r="Q130">
        <v>9222841</v>
      </c>
      <c r="R130">
        <v>2395028</v>
      </c>
      <c r="S130">
        <v>363179</v>
      </c>
      <c r="T130">
        <v>252215</v>
      </c>
      <c r="U130">
        <v>257097</v>
      </c>
      <c r="V130">
        <v>45416</v>
      </c>
      <c r="W130">
        <v>45416</v>
      </c>
      <c r="X130">
        <v>0</v>
      </c>
      <c r="Y130">
        <v>29612</v>
      </c>
      <c r="Z130">
        <v>0</v>
      </c>
    </row>
    <row r="131" spans="1:26" x14ac:dyDescent="0.2">
      <c r="A131">
        <v>2016</v>
      </c>
      <c r="B131">
        <v>2337858</v>
      </c>
      <c r="C131">
        <v>4330509</v>
      </c>
      <c r="D131">
        <v>6762103</v>
      </c>
      <c r="E131">
        <v>13498528</v>
      </c>
      <c r="F131">
        <v>15491962</v>
      </c>
      <c r="G131">
        <v>12402436</v>
      </c>
      <c r="H131">
        <v>13827559</v>
      </c>
      <c r="I131">
        <v>18869954</v>
      </c>
      <c r="J131">
        <v>24796905</v>
      </c>
      <c r="K131">
        <v>22944068</v>
      </c>
      <c r="L131">
        <v>20903443</v>
      </c>
      <c r="M131">
        <v>19707351</v>
      </c>
      <c r="N131">
        <v>17231843</v>
      </c>
      <c r="O131">
        <v>16184054</v>
      </c>
      <c r="P131">
        <v>14517479</v>
      </c>
      <c r="Q131">
        <v>6465855</v>
      </c>
      <c r="R131">
        <v>2649232</v>
      </c>
      <c r="S131">
        <v>1188858</v>
      </c>
      <c r="T131">
        <v>494173</v>
      </c>
      <c r="U131">
        <v>296883</v>
      </c>
      <c r="V131">
        <v>30575</v>
      </c>
      <c r="W131">
        <v>55090</v>
      </c>
      <c r="X131">
        <v>78772</v>
      </c>
      <c r="Y131">
        <v>0</v>
      </c>
      <c r="Z131">
        <v>0</v>
      </c>
    </row>
    <row r="132" spans="1:26" x14ac:dyDescent="0.2">
      <c r="A132">
        <v>2017</v>
      </c>
      <c r="B132">
        <v>5838941</v>
      </c>
      <c r="C132">
        <v>9738336</v>
      </c>
      <c r="D132">
        <v>11444128</v>
      </c>
      <c r="E132">
        <v>9102388</v>
      </c>
      <c r="F132">
        <v>8436295</v>
      </c>
      <c r="G132">
        <v>8325929</v>
      </c>
      <c r="H132">
        <v>10895818</v>
      </c>
      <c r="I132">
        <v>12666354</v>
      </c>
      <c r="J132">
        <v>17191335</v>
      </c>
      <c r="K132">
        <v>18595105</v>
      </c>
      <c r="L132">
        <v>20524673</v>
      </c>
      <c r="M132">
        <v>24215105</v>
      </c>
      <c r="N132">
        <v>22514493</v>
      </c>
      <c r="O132">
        <v>19009978</v>
      </c>
      <c r="P132">
        <v>11568579</v>
      </c>
      <c r="Q132">
        <v>5182970</v>
      </c>
      <c r="R132">
        <v>1042606</v>
      </c>
      <c r="S132">
        <v>268923</v>
      </c>
      <c r="T132">
        <v>102303</v>
      </c>
      <c r="U132">
        <v>130352</v>
      </c>
      <c r="V132">
        <v>0</v>
      </c>
      <c r="W132">
        <v>89820</v>
      </c>
      <c r="X132">
        <v>0</v>
      </c>
      <c r="Y132">
        <v>0</v>
      </c>
      <c r="Z132">
        <v>0</v>
      </c>
    </row>
    <row r="133" spans="1:26" x14ac:dyDescent="0.2">
      <c r="A133">
        <v>2018</v>
      </c>
      <c r="B133">
        <v>14454225</v>
      </c>
      <c r="C133">
        <v>41578629</v>
      </c>
      <c r="D133">
        <v>31857346</v>
      </c>
      <c r="E133">
        <v>13258934</v>
      </c>
      <c r="F133">
        <v>16358563</v>
      </c>
      <c r="G133">
        <v>19965439</v>
      </c>
      <c r="H133">
        <v>21138745</v>
      </c>
      <c r="I133">
        <v>15779870</v>
      </c>
      <c r="J133">
        <v>15371876</v>
      </c>
      <c r="K133">
        <v>21873115</v>
      </c>
      <c r="L133">
        <v>20927309</v>
      </c>
      <c r="M133">
        <v>22153014</v>
      </c>
      <c r="N133">
        <v>26826575</v>
      </c>
      <c r="O133">
        <v>35377422</v>
      </c>
      <c r="P133">
        <v>14024102</v>
      </c>
      <c r="Q133">
        <v>6702530</v>
      </c>
      <c r="R133">
        <v>940671</v>
      </c>
      <c r="S133">
        <v>501987</v>
      </c>
      <c r="T133">
        <v>468739</v>
      </c>
      <c r="U133">
        <v>286531</v>
      </c>
      <c r="V133">
        <v>145968</v>
      </c>
      <c r="W133">
        <v>125672</v>
      </c>
      <c r="X133">
        <v>28470</v>
      </c>
      <c r="Y133">
        <v>0</v>
      </c>
      <c r="Z133">
        <v>0</v>
      </c>
    </row>
    <row r="134" spans="1:26" x14ac:dyDescent="0.2">
      <c r="A134">
        <v>2019</v>
      </c>
      <c r="B134">
        <v>2264935</v>
      </c>
      <c r="C134">
        <v>3660969</v>
      </c>
      <c r="D134">
        <v>6291656</v>
      </c>
      <c r="E134">
        <v>8718994</v>
      </c>
      <c r="F134">
        <v>9998386</v>
      </c>
      <c r="G134">
        <v>18104354</v>
      </c>
      <c r="H134">
        <v>40506495</v>
      </c>
      <c r="I134">
        <v>63929696</v>
      </c>
      <c r="J134">
        <v>38823426</v>
      </c>
      <c r="K134">
        <v>21707834</v>
      </c>
      <c r="L134">
        <v>20944899</v>
      </c>
      <c r="M134">
        <v>19708507</v>
      </c>
      <c r="N134">
        <v>16812791</v>
      </c>
      <c r="O134">
        <v>27529055</v>
      </c>
      <c r="P134">
        <v>24765488</v>
      </c>
      <c r="Q134">
        <v>10445271</v>
      </c>
      <c r="R134">
        <v>3229128</v>
      </c>
      <c r="S134">
        <v>299411</v>
      </c>
      <c r="T134">
        <v>285689</v>
      </c>
      <c r="U134">
        <v>235709</v>
      </c>
      <c r="V134">
        <v>301844</v>
      </c>
      <c r="W134">
        <v>162345</v>
      </c>
      <c r="X134">
        <v>0</v>
      </c>
      <c r="Y134">
        <v>0</v>
      </c>
      <c r="Z134">
        <v>0</v>
      </c>
    </row>
    <row r="135" spans="1:26" x14ac:dyDescent="0.2">
      <c r="A135">
        <v>2021</v>
      </c>
      <c r="B135">
        <v>1673943</v>
      </c>
      <c r="C135">
        <v>3525323</v>
      </c>
      <c r="D135">
        <v>6796552</v>
      </c>
      <c r="E135">
        <v>18727257</v>
      </c>
      <c r="F135">
        <v>24754252</v>
      </c>
      <c r="G135">
        <v>18513205</v>
      </c>
      <c r="H135">
        <v>19829633</v>
      </c>
      <c r="I135">
        <v>24159713</v>
      </c>
      <c r="J135">
        <v>24868777</v>
      </c>
      <c r="K135">
        <v>26569558</v>
      </c>
      <c r="L135">
        <v>24240371</v>
      </c>
      <c r="M135">
        <v>40594546</v>
      </c>
      <c r="N135">
        <v>49423465</v>
      </c>
      <c r="O135">
        <v>45929352</v>
      </c>
      <c r="P135">
        <v>12672662</v>
      </c>
      <c r="Q135">
        <v>6538378</v>
      </c>
      <c r="R135">
        <v>2611789</v>
      </c>
      <c r="S135">
        <v>634915</v>
      </c>
      <c r="T135">
        <v>267787</v>
      </c>
      <c r="U135">
        <v>91205</v>
      </c>
      <c r="V135">
        <v>62374</v>
      </c>
      <c r="W135">
        <v>48265</v>
      </c>
      <c r="X135">
        <v>0</v>
      </c>
      <c r="Y135">
        <v>0</v>
      </c>
      <c r="Z135">
        <v>0</v>
      </c>
    </row>
    <row r="136" spans="1:26" x14ac:dyDescent="0.2">
      <c r="A136">
        <v>2022</v>
      </c>
      <c r="B136">
        <v>3569391</v>
      </c>
      <c r="C136">
        <v>10479901</v>
      </c>
      <c r="D136">
        <v>10439659</v>
      </c>
      <c r="E136">
        <v>7597264</v>
      </c>
      <c r="F136">
        <v>9922253</v>
      </c>
      <c r="G136">
        <v>10893193</v>
      </c>
      <c r="H136">
        <v>12543191</v>
      </c>
      <c r="I136">
        <v>24781012</v>
      </c>
      <c r="J136">
        <v>25582889</v>
      </c>
      <c r="K136">
        <v>29938361</v>
      </c>
      <c r="L136">
        <v>35518463</v>
      </c>
      <c r="M136">
        <v>30873566</v>
      </c>
      <c r="N136">
        <v>38916900</v>
      </c>
      <c r="O136">
        <v>67507632</v>
      </c>
      <c r="P136">
        <v>25804386</v>
      </c>
      <c r="Q136">
        <v>12538321</v>
      </c>
      <c r="R136">
        <v>2999495</v>
      </c>
      <c r="S136">
        <v>1255960</v>
      </c>
      <c r="T136">
        <v>181121</v>
      </c>
      <c r="U136">
        <v>26314</v>
      </c>
      <c r="V136">
        <v>0</v>
      </c>
      <c r="W136">
        <v>0</v>
      </c>
      <c r="X136">
        <v>0</v>
      </c>
      <c r="Y136">
        <v>0</v>
      </c>
      <c r="Z136">
        <v>0</v>
      </c>
    </row>
    <row r="137" spans="1:26" x14ac:dyDescent="0.2">
      <c r="A137">
        <v>2023</v>
      </c>
      <c r="B137">
        <v>2494763</v>
      </c>
      <c r="C137">
        <v>3662867</v>
      </c>
      <c r="D137">
        <v>4147142</v>
      </c>
      <c r="E137">
        <v>8497361</v>
      </c>
      <c r="F137">
        <v>12440782</v>
      </c>
      <c r="G137">
        <v>13722119</v>
      </c>
      <c r="H137">
        <v>11522504</v>
      </c>
      <c r="I137">
        <v>16941778</v>
      </c>
      <c r="J137">
        <v>19824564</v>
      </c>
      <c r="K137">
        <v>29985325</v>
      </c>
      <c r="L137">
        <v>32669473</v>
      </c>
      <c r="M137">
        <v>33263839</v>
      </c>
      <c r="N137">
        <v>32160131</v>
      </c>
      <c r="O137">
        <v>46347599</v>
      </c>
      <c r="P137">
        <v>23951912</v>
      </c>
      <c r="Q137">
        <v>8480157</v>
      </c>
      <c r="R137">
        <v>2788131</v>
      </c>
      <c r="S137">
        <v>772202</v>
      </c>
      <c r="T137">
        <v>59117</v>
      </c>
      <c r="U137">
        <v>0</v>
      </c>
      <c r="V137">
        <v>0</v>
      </c>
      <c r="W137">
        <v>0</v>
      </c>
      <c r="X137">
        <v>0</v>
      </c>
      <c r="Y137">
        <v>88740</v>
      </c>
      <c r="Z137">
        <v>0</v>
      </c>
    </row>
    <row r="138" spans="1:26" x14ac:dyDescent="0.2">
      <c r="A138">
        <v>2024</v>
      </c>
      <c r="B138">
        <v>2197200</v>
      </c>
      <c r="C138">
        <v>7332803</v>
      </c>
      <c r="D138">
        <v>8099797</v>
      </c>
      <c r="E138">
        <v>10128120</v>
      </c>
      <c r="F138">
        <v>11583934</v>
      </c>
      <c r="G138">
        <v>11689690</v>
      </c>
      <c r="H138">
        <v>17340083</v>
      </c>
      <c r="I138">
        <v>13121046</v>
      </c>
      <c r="J138">
        <v>15800238</v>
      </c>
      <c r="K138">
        <v>17146229</v>
      </c>
      <c r="L138">
        <v>21667954</v>
      </c>
      <c r="M138">
        <v>32097513</v>
      </c>
      <c r="N138">
        <v>38622571</v>
      </c>
      <c r="O138">
        <v>55396232</v>
      </c>
      <c r="P138">
        <v>38749188</v>
      </c>
      <c r="Q138">
        <v>12874537</v>
      </c>
      <c r="R138">
        <v>4511624</v>
      </c>
      <c r="S138">
        <v>1875120</v>
      </c>
      <c r="T138">
        <v>82439</v>
      </c>
      <c r="U138">
        <v>268413</v>
      </c>
      <c r="V138">
        <v>207620</v>
      </c>
      <c r="W138">
        <v>0</v>
      </c>
      <c r="X138">
        <v>0</v>
      </c>
      <c r="Y138">
        <v>60793</v>
      </c>
      <c r="Z138">
        <v>0</v>
      </c>
    </row>
    <row r="140" spans="1:26" x14ac:dyDescent="0.2">
      <c r="A140" t="s">
        <v>638</v>
      </c>
    </row>
    <row r="141" spans="1:26" x14ac:dyDescent="0.2">
      <c r="A141" t="s">
        <v>322</v>
      </c>
    </row>
    <row r="142" spans="1:26" x14ac:dyDescent="0.2">
      <c r="A142">
        <v>1994</v>
      </c>
      <c r="B142">
        <v>40653</v>
      </c>
      <c r="C142">
        <v>380660</v>
      </c>
      <c r="D142">
        <v>781688</v>
      </c>
      <c r="E142">
        <v>1090881</v>
      </c>
      <c r="F142">
        <v>1229720</v>
      </c>
      <c r="G142">
        <v>1396316</v>
      </c>
      <c r="H142">
        <v>1378522</v>
      </c>
      <c r="I142">
        <v>1524813</v>
      </c>
      <c r="J142">
        <v>1749530</v>
      </c>
      <c r="K142">
        <v>1967875</v>
      </c>
      <c r="L142">
        <v>2287027</v>
      </c>
      <c r="M142">
        <v>2301974</v>
      </c>
      <c r="N142">
        <v>2385525</v>
      </c>
      <c r="O142">
        <v>4069741</v>
      </c>
      <c r="P142">
        <v>3893333</v>
      </c>
      <c r="Q142">
        <v>4404675</v>
      </c>
      <c r="R142">
        <v>3147808</v>
      </c>
      <c r="S142">
        <v>2777443</v>
      </c>
      <c r="T142">
        <v>2372044</v>
      </c>
      <c r="U142">
        <v>2319142</v>
      </c>
      <c r="V142">
        <v>1384219</v>
      </c>
      <c r="W142">
        <v>839581</v>
      </c>
      <c r="X142">
        <v>635100</v>
      </c>
      <c r="Y142">
        <v>791890</v>
      </c>
      <c r="Z142">
        <v>208929</v>
      </c>
    </row>
    <row r="143" spans="1:26" x14ac:dyDescent="0.2">
      <c r="A143">
        <v>1997</v>
      </c>
      <c r="B143">
        <v>178893</v>
      </c>
      <c r="C143">
        <v>743972</v>
      </c>
      <c r="D143">
        <v>1671387</v>
      </c>
      <c r="E143">
        <v>1897515</v>
      </c>
      <c r="F143">
        <v>1938081</v>
      </c>
      <c r="G143">
        <v>1747532</v>
      </c>
      <c r="H143">
        <v>2315696</v>
      </c>
      <c r="I143">
        <v>3231439</v>
      </c>
      <c r="J143">
        <v>3827298</v>
      </c>
      <c r="K143">
        <v>3081547</v>
      </c>
      <c r="L143">
        <v>2960956</v>
      </c>
      <c r="M143">
        <v>2456181</v>
      </c>
      <c r="N143">
        <v>2487203</v>
      </c>
      <c r="O143">
        <v>3746476</v>
      </c>
      <c r="P143">
        <v>4263384</v>
      </c>
      <c r="Q143">
        <v>4094949</v>
      </c>
      <c r="R143">
        <v>3380887</v>
      </c>
      <c r="S143">
        <v>3424786</v>
      </c>
      <c r="T143">
        <v>3199003</v>
      </c>
      <c r="U143">
        <v>2236604</v>
      </c>
      <c r="V143">
        <v>2029432</v>
      </c>
      <c r="W143">
        <v>1319003</v>
      </c>
      <c r="X143">
        <v>1153046</v>
      </c>
      <c r="Y143">
        <v>1070254</v>
      </c>
      <c r="Z143">
        <v>590186</v>
      </c>
    </row>
    <row r="144" spans="1:26" x14ac:dyDescent="0.2">
      <c r="A144">
        <v>2000</v>
      </c>
      <c r="B144">
        <v>106150</v>
      </c>
      <c r="C144">
        <v>770265</v>
      </c>
      <c r="D144">
        <v>2839300</v>
      </c>
      <c r="E144">
        <v>2274586</v>
      </c>
      <c r="F144">
        <v>2289841</v>
      </c>
      <c r="G144">
        <v>2828041</v>
      </c>
      <c r="H144">
        <v>4166587</v>
      </c>
      <c r="I144">
        <v>5231314</v>
      </c>
      <c r="J144">
        <v>3625402</v>
      </c>
      <c r="K144">
        <v>3274455</v>
      </c>
      <c r="L144">
        <v>2666422</v>
      </c>
      <c r="M144">
        <v>2450703</v>
      </c>
      <c r="N144">
        <v>3135101</v>
      </c>
      <c r="O144">
        <v>4419730</v>
      </c>
      <c r="P144">
        <v>3817751</v>
      </c>
      <c r="Q144">
        <v>2660505</v>
      </c>
      <c r="R144">
        <v>1987285</v>
      </c>
      <c r="S144">
        <v>2223554</v>
      </c>
      <c r="T144">
        <v>2862431</v>
      </c>
      <c r="U144">
        <v>2032172</v>
      </c>
      <c r="V144">
        <v>1392340</v>
      </c>
      <c r="W144">
        <v>1213056</v>
      </c>
      <c r="X144">
        <v>832923</v>
      </c>
      <c r="Y144">
        <v>1332429</v>
      </c>
      <c r="Z144">
        <v>775566</v>
      </c>
    </row>
    <row r="145" spans="1:26" x14ac:dyDescent="0.2">
      <c r="A145">
        <v>2002</v>
      </c>
      <c r="B145">
        <v>101010</v>
      </c>
      <c r="C145">
        <v>593694</v>
      </c>
      <c r="D145">
        <v>1534322</v>
      </c>
      <c r="E145">
        <v>1687930</v>
      </c>
      <c r="F145">
        <v>3082793</v>
      </c>
      <c r="G145">
        <v>4665155</v>
      </c>
      <c r="H145">
        <v>4570235</v>
      </c>
      <c r="I145">
        <v>4193070</v>
      </c>
      <c r="J145">
        <v>4121503</v>
      </c>
      <c r="K145">
        <v>5292500</v>
      </c>
      <c r="L145">
        <v>4826642</v>
      </c>
      <c r="M145">
        <v>4003746</v>
      </c>
      <c r="N145">
        <v>4008149</v>
      </c>
      <c r="O145">
        <v>5210162</v>
      </c>
      <c r="P145">
        <v>4269649</v>
      </c>
      <c r="Q145">
        <v>3723637</v>
      </c>
      <c r="R145">
        <v>3326778</v>
      </c>
      <c r="S145">
        <v>3124770</v>
      </c>
      <c r="T145">
        <v>3377667</v>
      </c>
      <c r="U145">
        <v>3214577</v>
      </c>
      <c r="V145">
        <v>2185577</v>
      </c>
      <c r="W145">
        <v>1804472</v>
      </c>
      <c r="X145">
        <v>1216192</v>
      </c>
      <c r="Y145">
        <v>1498436</v>
      </c>
      <c r="Z145">
        <v>1332472</v>
      </c>
    </row>
    <row r="146" spans="1:26" x14ac:dyDescent="0.2">
      <c r="A146">
        <v>2004</v>
      </c>
      <c r="B146">
        <v>139078</v>
      </c>
      <c r="C146">
        <v>221056</v>
      </c>
      <c r="D146">
        <v>880913</v>
      </c>
      <c r="E146">
        <v>1066800</v>
      </c>
      <c r="F146">
        <v>1359479</v>
      </c>
      <c r="G146">
        <v>2026733</v>
      </c>
      <c r="H146">
        <v>2093956</v>
      </c>
      <c r="I146">
        <v>2918359</v>
      </c>
      <c r="J146">
        <v>2939178</v>
      </c>
      <c r="K146">
        <v>3577710</v>
      </c>
      <c r="L146">
        <v>3250090</v>
      </c>
      <c r="M146">
        <v>3866737</v>
      </c>
      <c r="N146">
        <v>4714984</v>
      </c>
      <c r="O146">
        <v>6821419</v>
      </c>
      <c r="P146">
        <v>6011715</v>
      </c>
      <c r="Q146">
        <v>4782741</v>
      </c>
      <c r="R146">
        <v>3920913</v>
      </c>
      <c r="S146">
        <v>3543681</v>
      </c>
      <c r="T146">
        <v>3494747</v>
      </c>
      <c r="U146">
        <v>3476883</v>
      </c>
      <c r="V146">
        <v>2510160</v>
      </c>
      <c r="W146">
        <v>1824118</v>
      </c>
      <c r="X146">
        <v>1148081</v>
      </c>
      <c r="Y146">
        <v>1294185</v>
      </c>
      <c r="Z146">
        <v>1378250</v>
      </c>
    </row>
    <row r="147" spans="1:26" x14ac:dyDescent="0.2">
      <c r="A147">
        <v>2006</v>
      </c>
      <c r="B147">
        <v>90709</v>
      </c>
      <c r="C147">
        <v>150369</v>
      </c>
      <c r="D147">
        <v>1296729</v>
      </c>
      <c r="E147">
        <v>1766323</v>
      </c>
      <c r="F147">
        <v>908801</v>
      </c>
      <c r="G147">
        <v>1671693</v>
      </c>
      <c r="H147">
        <v>2384841</v>
      </c>
      <c r="I147">
        <v>1804630</v>
      </c>
      <c r="J147">
        <v>1878537</v>
      </c>
      <c r="K147">
        <v>2234286</v>
      </c>
      <c r="L147">
        <v>2581877</v>
      </c>
      <c r="M147">
        <v>2974997</v>
      </c>
      <c r="N147">
        <v>4271089</v>
      </c>
      <c r="O147">
        <v>5909504</v>
      </c>
      <c r="P147">
        <v>7301158</v>
      </c>
      <c r="Q147">
        <v>8949628</v>
      </c>
      <c r="R147">
        <v>12462294</v>
      </c>
      <c r="S147">
        <v>8973586</v>
      </c>
      <c r="T147">
        <v>9675378</v>
      </c>
      <c r="U147">
        <v>8982973</v>
      </c>
      <c r="V147">
        <v>8776151</v>
      </c>
      <c r="W147">
        <v>6107308</v>
      </c>
      <c r="X147">
        <v>3204358</v>
      </c>
      <c r="Y147">
        <v>2776364</v>
      </c>
      <c r="Z147">
        <v>1362800</v>
      </c>
    </row>
    <row r="148" spans="1:26" x14ac:dyDescent="0.2">
      <c r="A148">
        <v>2010</v>
      </c>
      <c r="B148">
        <v>21857</v>
      </c>
      <c r="C148">
        <v>267828</v>
      </c>
      <c r="D148">
        <v>1003848</v>
      </c>
      <c r="E148">
        <v>821355</v>
      </c>
      <c r="F148">
        <v>1566874</v>
      </c>
      <c r="G148">
        <v>1873125</v>
      </c>
      <c r="H148">
        <v>2409541</v>
      </c>
      <c r="I148">
        <v>2693096</v>
      </c>
      <c r="J148">
        <v>2955523</v>
      </c>
      <c r="K148">
        <v>2797541</v>
      </c>
      <c r="L148">
        <v>3365213</v>
      </c>
      <c r="M148">
        <v>3335677</v>
      </c>
      <c r="N148">
        <v>3022551</v>
      </c>
      <c r="O148">
        <v>3907834</v>
      </c>
      <c r="P148">
        <v>2814076</v>
      </c>
      <c r="Q148">
        <v>2155512</v>
      </c>
      <c r="R148">
        <v>3354506</v>
      </c>
      <c r="S148">
        <v>3952603</v>
      </c>
      <c r="T148">
        <v>2843630</v>
      </c>
      <c r="U148">
        <v>1944733</v>
      </c>
      <c r="V148">
        <v>1763001</v>
      </c>
      <c r="W148">
        <v>1296290</v>
      </c>
      <c r="X148">
        <v>1078065</v>
      </c>
      <c r="Y148">
        <v>1107097</v>
      </c>
      <c r="Z148">
        <v>922227</v>
      </c>
    </row>
    <row r="149" spans="1:26" x14ac:dyDescent="0.2">
      <c r="A149">
        <v>2012</v>
      </c>
      <c r="B149">
        <v>52145</v>
      </c>
      <c r="C149">
        <v>322163</v>
      </c>
      <c r="D149">
        <v>752134</v>
      </c>
      <c r="E149">
        <v>636096</v>
      </c>
      <c r="F149">
        <v>953300</v>
      </c>
      <c r="G149">
        <v>815844</v>
      </c>
      <c r="H149">
        <v>1592021</v>
      </c>
      <c r="I149">
        <v>2059431</v>
      </c>
      <c r="J149">
        <v>2045928</v>
      </c>
      <c r="K149">
        <v>2397302</v>
      </c>
      <c r="L149">
        <v>2992185</v>
      </c>
      <c r="M149">
        <v>3023400</v>
      </c>
      <c r="N149">
        <v>2334798</v>
      </c>
      <c r="O149">
        <v>3637838</v>
      </c>
      <c r="P149">
        <v>2163311</v>
      </c>
      <c r="Q149">
        <v>2112128</v>
      </c>
      <c r="R149">
        <v>1765090</v>
      </c>
      <c r="S149">
        <v>2027234</v>
      </c>
      <c r="T149">
        <v>1798417</v>
      </c>
      <c r="U149">
        <v>1684324</v>
      </c>
      <c r="V149">
        <v>1143262</v>
      </c>
      <c r="W149">
        <v>1058870</v>
      </c>
      <c r="X149">
        <v>1068660</v>
      </c>
      <c r="Y149">
        <v>1370786</v>
      </c>
      <c r="Z149">
        <v>973486</v>
      </c>
    </row>
    <row r="150" spans="1:26" x14ac:dyDescent="0.2">
      <c r="A150">
        <v>2014</v>
      </c>
      <c r="B150">
        <v>167063</v>
      </c>
      <c r="C150">
        <v>425174</v>
      </c>
      <c r="D150">
        <v>1050370</v>
      </c>
      <c r="E150">
        <v>2128693</v>
      </c>
      <c r="F150">
        <v>2234561</v>
      </c>
      <c r="G150">
        <v>2235044</v>
      </c>
      <c r="H150">
        <v>2703383</v>
      </c>
      <c r="I150">
        <v>2962444</v>
      </c>
      <c r="J150">
        <v>2695825</v>
      </c>
      <c r="K150">
        <v>1968209</v>
      </c>
      <c r="L150">
        <v>1963573</v>
      </c>
      <c r="M150">
        <v>1834234</v>
      </c>
      <c r="N150">
        <v>1736782</v>
      </c>
      <c r="O150">
        <v>2681953</v>
      </c>
      <c r="P150">
        <v>3354827</v>
      </c>
      <c r="Q150">
        <v>3887667</v>
      </c>
      <c r="R150">
        <v>4312212</v>
      </c>
      <c r="S150">
        <v>5086001</v>
      </c>
      <c r="T150">
        <v>4101749</v>
      </c>
      <c r="U150">
        <v>2704644</v>
      </c>
      <c r="V150">
        <v>1663459</v>
      </c>
      <c r="W150">
        <v>1220013</v>
      </c>
      <c r="X150">
        <v>828067</v>
      </c>
      <c r="Y150">
        <v>976737</v>
      </c>
      <c r="Z150">
        <v>604027</v>
      </c>
    </row>
    <row r="151" spans="1:26" x14ac:dyDescent="0.2">
      <c r="A151">
        <v>2016</v>
      </c>
      <c r="B151">
        <v>134660</v>
      </c>
      <c r="C151">
        <v>1074487</v>
      </c>
      <c r="D151">
        <v>1870601</v>
      </c>
      <c r="E151">
        <v>2166442</v>
      </c>
      <c r="F151">
        <v>1824108</v>
      </c>
      <c r="G151">
        <v>1918328</v>
      </c>
      <c r="H151">
        <v>1820258</v>
      </c>
      <c r="I151">
        <v>1500649</v>
      </c>
      <c r="J151">
        <v>2115376</v>
      </c>
      <c r="K151">
        <v>3041446</v>
      </c>
      <c r="L151">
        <v>3060322</v>
      </c>
      <c r="M151">
        <v>2457527</v>
      </c>
      <c r="N151">
        <v>2849695</v>
      </c>
      <c r="O151">
        <v>3154414</v>
      </c>
      <c r="P151">
        <v>2458804</v>
      </c>
      <c r="Q151">
        <v>2675637</v>
      </c>
      <c r="R151">
        <v>2913569</v>
      </c>
      <c r="S151">
        <v>3188598</v>
      </c>
      <c r="T151">
        <v>3081601</v>
      </c>
      <c r="U151">
        <v>1828318</v>
      </c>
      <c r="V151">
        <v>1261034</v>
      </c>
      <c r="W151">
        <v>896832</v>
      </c>
      <c r="X151">
        <v>745762</v>
      </c>
      <c r="Y151">
        <v>646914</v>
      </c>
      <c r="Z151">
        <v>578413</v>
      </c>
    </row>
    <row r="152" spans="1:26" x14ac:dyDescent="0.2">
      <c r="A152">
        <v>2018</v>
      </c>
      <c r="B152">
        <v>294885</v>
      </c>
      <c r="C152">
        <v>1327454</v>
      </c>
      <c r="D152">
        <v>3858282</v>
      </c>
      <c r="E152">
        <v>2114282</v>
      </c>
      <c r="F152">
        <v>1340991</v>
      </c>
      <c r="G152">
        <v>1271375</v>
      </c>
      <c r="H152">
        <v>1606456</v>
      </c>
      <c r="I152">
        <v>2087758</v>
      </c>
      <c r="J152">
        <v>2064732</v>
      </c>
      <c r="K152">
        <v>1922693</v>
      </c>
      <c r="L152">
        <v>2134311</v>
      </c>
      <c r="M152">
        <v>1906212</v>
      </c>
      <c r="N152">
        <v>2257001</v>
      </c>
      <c r="O152">
        <v>4403986</v>
      </c>
      <c r="P152">
        <v>4249751</v>
      </c>
      <c r="Q152">
        <v>3056783</v>
      </c>
      <c r="R152">
        <v>2415252</v>
      </c>
      <c r="S152">
        <v>2174646</v>
      </c>
      <c r="T152">
        <v>1897528</v>
      </c>
      <c r="U152">
        <v>1937617</v>
      </c>
      <c r="V152">
        <v>1753481</v>
      </c>
      <c r="W152">
        <v>1333876</v>
      </c>
      <c r="X152">
        <v>1159863</v>
      </c>
      <c r="Y152">
        <v>863084</v>
      </c>
      <c r="Z152">
        <v>707537</v>
      </c>
    </row>
    <row r="153" spans="1:26" x14ac:dyDescent="0.2">
      <c r="A153">
        <v>2022</v>
      </c>
      <c r="B153">
        <v>9794</v>
      </c>
      <c r="C153">
        <v>297922</v>
      </c>
      <c r="D153">
        <v>845541</v>
      </c>
      <c r="E153">
        <v>755807</v>
      </c>
      <c r="F153">
        <v>918754</v>
      </c>
      <c r="G153">
        <v>1323430</v>
      </c>
      <c r="H153">
        <v>2046531</v>
      </c>
      <c r="I153">
        <v>2083966</v>
      </c>
      <c r="J153">
        <v>1870687</v>
      </c>
      <c r="K153">
        <v>2058593</v>
      </c>
      <c r="L153">
        <v>2251288</v>
      </c>
      <c r="M153">
        <v>2522046</v>
      </c>
      <c r="N153">
        <v>1920936</v>
      </c>
      <c r="O153">
        <v>3121582</v>
      </c>
      <c r="P153">
        <v>2591701</v>
      </c>
      <c r="Q153">
        <v>2794023</v>
      </c>
      <c r="R153">
        <v>2910165</v>
      </c>
      <c r="S153">
        <v>3134509</v>
      </c>
      <c r="T153">
        <v>2903432</v>
      </c>
      <c r="U153">
        <v>2007121</v>
      </c>
      <c r="V153">
        <v>1469595</v>
      </c>
      <c r="W153">
        <v>643615</v>
      </c>
      <c r="X153">
        <v>611143</v>
      </c>
      <c r="Y153">
        <v>589644</v>
      </c>
      <c r="Z153">
        <v>255230</v>
      </c>
    </row>
    <row r="154" spans="1:26" x14ac:dyDescent="0.2">
      <c r="A154">
        <v>2024</v>
      </c>
      <c r="B154">
        <v>81729</v>
      </c>
      <c r="C154">
        <v>235690</v>
      </c>
      <c r="D154">
        <v>796413</v>
      </c>
      <c r="E154">
        <v>1100914</v>
      </c>
      <c r="F154">
        <v>506551</v>
      </c>
      <c r="G154">
        <v>714696</v>
      </c>
      <c r="H154">
        <v>1340054</v>
      </c>
      <c r="I154">
        <v>1287180</v>
      </c>
      <c r="J154">
        <v>1168969</v>
      </c>
      <c r="K154">
        <v>1349802</v>
      </c>
      <c r="L154">
        <v>1060108</v>
      </c>
      <c r="M154">
        <v>1077667</v>
      </c>
      <c r="N154">
        <v>1054384</v>
      </c>
      <c r="O154">
        <v>2047388</v>
      </c>
      <c r="P154">
        <v>1984700</v>
      </c>
      <c r="Q154">
        <v>2184031</v>
      </c>
      <c r="R154">
        <v>2567723</v>
      </c>
      <c r="S154">
        <v>2811890</v>
      </c>
      <c r="T154">
        <v>2899279</v>
      </c>
      <c r="U154">
        <v>1716738</v>
      </c>
      <c r="V154">
        <v>1147115</v>
      </c>
      <c r="W154">
        <v>797163</v>
      </c>
      <c r="X154">
        <v>499681</v>
      </c>
      <c r="Y154">
        <v>495009</v>
      </c>
      <c r="Z154">
        <v>204236</v>
      </c>
    </row>
    <row r="156" spans="1:26" x14ac:dyDescent="0.2">
      <c r="A156" t="s">
        <v>320</v>
      </c>
    </row>
    <row r="157" spans="1:26" x14ac:dyDescent="0.2">
      <c r="A157">
        <v>1994</v>
      </c>
      <c r="B157">
        <v>97266</v>
      </c>
      <c r="C157">
        <v>435371</v>
      </c>
      <c r="D157">
        <v>843688</v>
      </c>
      <c r="E157">
        <v>940404</v>
      </c>
      <c r="F157">
        <v>851099</v>
      </c>
      <c r="G157">
        <v>928688</v>
      </c>
      <c r="H157">
        <v>789891</v>
      </c>
      <c r="I157">
        <v>1261728</v>
      </c>
      <c r="J157">
        <v>1924915</v>
      </c>
      <c r="K157">
        <v>2024071</v>
      </c>
      <c r="L157">
        <v>2195584</v>
      </c>
      <c r="M157">
        <v>2778902</v>
      </c>
      <c r="N157">
        <v>2488956</v>
      </c>
      <c r="O157">
        <v>4526604</v>
      </c>
      <c r="P157">
        <v>4000802</v>
      </c>
      <c r="Q157">
        <v>2438894</v>
      </c>
      <c r="R157">
        <v>980463</v>
      </c>
      <c r="S157">
        <v>343841</v>
      </c>
      <c r="T157">
        <v>78083</v>
      </c>
      <c r="U157">
        <v>21782</v>
      </c>
      <c r="V157">
        <v>6908</v>
      </c>
      <c r="W157">
        <v>0</v>
      </c>
      <c r="X157">
        <v>0</v>
      </c>
      <c r="Y157">
        <v>2956</v>
      </c>
      <c r="Z157">
        <v>0</v>
      </c>
    </row>
    <row r="158" spans="1:26" x14ac:dyDescent="0.2">
      <c r="A158">
        <v>1997</v>
      </c>
      <c r="B158">
        <v>223823</v>
      </c>
      <c r="C158">
        <v>986856</v>
      </c>
      <c r="D158">
        <v>1515748</v>
      </c>
      <c r="E158">
        <v>1697315</v>
      </c>
      <c r="F158">
        <v>1203598</v>
      </c>
      <c r="G158">
        <v>1955654</v>
      </c>
      <c r="H158">
        <v>2781960</v>
      </c>
      <c r="I158">
        <v>2319269</v>
      </c>
      <c r="J158">
        <v>2372365</v>
      </c>
      <c r="K158">
        <v>2668532</v>
      </c>
      <c r="L158">
        <v>1965160</v>
      </c>
      <c r="M158">
        <v>1875446</v>
      </c>
      <c r="N158">
        <v>2008026</v>
      </c>
      <c r="O158">
        <v>3630517</v>
      </c>
      <c r="P158">
        <v>4473003</v>
      </c>
      <c r="Q158">
        <v>3784223</v>
      </c>
      <c r="R158">
        <v>1707966</v>
      </c>
      <c r="S158">
        <v>649413</v>
      </c>
      <c r="T158">
        <v>219158</v>
      </c>
      <c r="U158">
        <v>38604</v>
      </c>
      <c r="V158">
        <v>14760</v>
      </c>
      <c r="W158">
        <v>9023</v>
      </c>
      <c r="X158">
        <v>7053</v>
      </c>
      <c r="Y158">
        <v>0</v>
      </c>
      <c r="Z158">
        <v>0</v>
      </c>
    </row>
    <row r="159" spans="1:26" x14ac:dyDescent="0.2">
      <c r="A159">
        <v>2000</v>
      </c>
      <c r="B159">
        <v>210721</v>
      </c>
      <c r="C159">
        <v>656766</v>
      </c>
      <c r="D159">
        <v>2537576</v>
      </c>
      <c r="E159">
        <v>1806971</v>
      </c>
      <c r="F159">
        <v>1532213</v>
      </c>
      <c r="G159">
        <v>2738695</v>
      </c>
      <c r="H159">
        <v>3821213</v>
      </c>
      <c r="I159">
        <v>4033326</v>
      </c>
      <c r="J159">
        <v>4356618</v>
      </c>
      <c r="K159">
        <v>3251144</v>
      </c>
      <c r="L159">
        <v>3248942</v>
      </c>
      <c r="M159">
        <v>3299685</v>
      </c>
      <c r="N159">
        <v>3240800</v>
      </c>
      <c r="O159">
        <v>2827677</v>
      </c>
      <c r="P159">
        <v>2633855</v>
      </c>
      <c r="Q159">
        <v>3060992</v>
      </c>
      <c r="R159">
        <v>1350947</v>
      </c>
      <c r="S159">
        <v>495154</v>
      </c>
      <c r="T159">
        <v>223293</v>
      </c>
      <c r="U159">
        <v>128894</v>
      </c>
      <c r="V159">
        <v>36494</v>
      </c>
      <c r="W159">
        <v>7152</v>
      </c>
      <c r="X159">
        <v>19290</v>
      </c>
      <c r="Y159">
        <v>13791</v>
      </c>
      <c r="Z159">
        <v>19290</v>
      </c>
    </row>
    <row r="160" spans="1:26" x14ac:dyDescent="0.2">
      <c r="A160">
        <v>2002</v>
      </c>
      <c r="B160">
        <v>110253</v>
      </c>
      <c r="C160">
        <v>888998</v>
      </c>
      <c r="D160">
        <v>1112612</v>
      </c>
      <c r="E160">
        <v>1103861</v>
      </c>
      <c r="F160">
        <v>1526118</v>
      </c>
      <c r="G160">
        <v>3141617</v>
      </c>
      <c r="H160">
        <v>2663881</v>
      </c>
      <c r="I160">
        <v>2574315</v>
      </c>
      <c r="J160">
        <v>3785989</v>
      </c>
      <c r="K160">
        <v>2825701</v>
      </c>
      <c r="L160">
        <v>2264378</v>
      </c>
      <c r="M160">
        <v>2862319</v>
      </c>
      <c r="N160">
        <v>2627434</v>
      </c>
      <c r="O160">
        <v>2987465</v>
      </c>
      <c r="P160">
        <v>4090092</v>
      </c>
      <c r="Q160">
        <v>3164336</v>
      </c>
      <c r="R160">
        <v>2498862</v>
      </c>
      <c r="S160">
        <v>1054953</v>
      </c>
      <c r="T160">
        <v>483293</v>
      </c>
      <c r="U160">
        <v>167269</v>
      </c>
      <c r="V160">
        <v>70373</v>
      </c>
      <c r="W160">
        <v>37560</v>
      </c>
      <c r="X160">
        <v>31265</v>
      </c>
      <c r="Y160">
        <v>16633</v>
      </c>
      <c r="Z160">
        <v>0</v>
      </c>
    </row>
    <row r="161" spans="1:26" x14ac:dyDescent="0.2">
      <c r="A161">
        <v>2004</v>
      </c>
      <c r="B161">
        <v>56085</v>
      </c>
      <c r="C161">
        <v>342803</v>
      </c>
      <c r="D161">
        <v>1142212</v>
      </c>
      <c r="E161">
        <v>730454</v>
      </c>
      <c r="F161">
        <v>975866</v>
      </c>
      <c r="G161">
        <v>1510073</v>
      </c>
      <c r="H161">
        <v>1545617</v>
      </c>
      <c r="I161">
        <v>1958049</v>
      </c>
      <c r="J161">
        <v>1972848</v>
      </c>
      <c r="K161">
        <v>2112673</v>
      </c>
      <c r="L161">
        <v>1735198</v>
      </c>
      <c r="M161">
        <v>2188496</v>
      </c>
      <c r="N161">
        <v>2416359</v>
      </c>
      <c r="O161">
        <v>3970581</v>
      </c>
      <c r="P161">
        <v>4004506</v>
      </c>
      <c r="Q161">
        <v>2980195</v>
      </c>
      <c r="R161">
        <v>2336081</v>
      </c>
      <c r="S161">
        <v>1263910</v>
      </c>
      <c r="T161">
        <v>683935</v>
      </c>
      <c r="U161">
        <v>275135</v>
      </c>
      <c r="V161">
        <v>154997</v>
      </c>
      <c r="W161">
        <v>73671</v>
      </c>
      <c r="X161">
        <v>0</v>
      </c>
      <c r="Y161">
        <v>0</v>
      </c>
      <c r="Z161">
        <v>0</v>
      </c>
    </row>
    <row r="162" spans="1:26" x14ac:dyDescent="0.2">
      <c r="A162">
        <v>2006</v>
      </c>
      <c r="B162">
        <v>10686</v>
      </c>
      <c r="C162">
        <v>901577</v>
      </c>
      <c r="D162">
        <v>1517043</v>
      </c>
      <c r="E162">
        <v>748281</v>
      </c>
      <c r="F162">
        <v>1038094</v>
      </c>
      <c r="G162">
        <v>1193817</v>
      </c>
      <c r="H162">
        <v>1435270</v>
      </c>
      <c r="I162">
        <v>1377239</v>
      </c>
      <c r="J162">
        <v>1150415</v>
      </c>
      <c r="K162">
        <v>1264791</v>
      </c>
      <c r="L162">
        <v>1849940</v>
      </c>
      <c r="M162">
        <v>1857314</v>
      </c>
      <c r="N162">
        <v>1768626</v>
      </c>
      <c r="O162">
        <v>6269479</v>
      </c>
      <c r="P162">
        <v>8247537</v>
      </c>
      <c r="Q162">
        <v>5798953</v>
      </c>
      <c r="R162">
        <v>2527821</v>
      </c>
      <c r="S162">
        <v>1496730</v>
      </c>
      <c r="T162">
        <v>682119</v>
      </c>
      <c r="U162">
        <v>220101</v>
      </c>
      <c r="V162">
        <v>146800</v>
      </c>
      <c r="W162">
        <v>35768</v>
      </c>
      <c r="X162">
        <v>0</v>
      </c>
      <c r="Y162">
        <v>11473</v>
      </c>
      <c r="Z162">
        <v>0</v>
      </c>
    </row>
    <row r="163" spans="1:26" x14ac:dyDescent="0.2">
      <c r="A163">
        <v>2010</v>
      </c>
      <c r="B163">
        <v>57267</v>
      </c>
      <c r="C163">
        <v>192074</v>
      </c>
      <c r="D163">
        <v>1162285</v>
      </c>
      <c r="E163">
        <v>1183669</v>
      </c>
      <c r="F163">
        <v>1237088</v>
      </c>
      <c r="G163">
        <v>1659952</v>
      </c>
      <c r="H163">
        <v>2719571</v>
      </c>
      <c r="I163">
        <v>3245740</v>
      </c>
      <c r="J163">
        <v>4078774</v>
      </c>
      <c r="K163">
        <v>4654291</v>
      </c>
      <c r="L163">
        <v>4513921</v>
      </c>
      <c r="M163">
        <v>4486969</v>
      </c>
      <c r="N163">
        <v>3458218</v>
      </c>
      <c r="O163">
        <v>6443145</v>
      </c>
      <c r="P163">
        <v>5777600</v>
      </c>
      <c r="Q163">
        <v>3260373</v>
      </c>
      <c r="R163">
        <v>1403041</v>
      </c>
      <c r="S163">
        <v>622234</v>
      </c>
      <c r="T163">
        <v>467987</v>
      </c>
      <c r="U163">
        <v>394529</v>
      </c>
      <c r="V163">
        <v>183867</v>
      </c>
      <c r="W163">
        <v>110577</v>
      </c>
      <c r="X163">
        <v>2152</v>
      </c>
      <c r="Y163">
        <v>0</v>
      </c>
      <c r="Z163">
        <v>0</v>
      </c>
    </row>
    <row r="164" spans="1:26" x14ac:dyDescent="0.2">
      <c r="A164">
        <v>2012</v>
      </c>
      <c r="B164">
        <v>164061</v>
      </c>
      <c r="C164">
        <v>453450</v>
      </c>
      <c r="D164">
        <v>741938</v>
      </c>
      <c r="E164">
        <v>841029</v>
      </c>
      <c r="F164">
        <v>1061167</v>
      </c>
      <c r="G164">
        <v>1539994</v>
      </c>
      <c r="H164">
        <v>1738507</v>
      </c>
      <c r="I164">
        <v>3453898</v>
      </c>
      <c r="J164">
        <v>3493945</v>
      </c>
      <c r="K164">
        <v>2688364</v>
      </c>
      <c r="L164">
        <v>3387943</v>
      </c>
      <c r="M164">
        <v>4140494</v>
      </c>
      <c r="N164">
        <v>2619270</v>
      </c>
      <c r="O164">
        <v>3001101</v>
      </c>
      <c r="P164">
        <v>3793145</v>
      </c>
      <c r="Q164">
        <v>2569731</v>
      </c>
      <c r="R164">
        <v>1040233</v>
      </c>
      <c r="S164">
        <v>676044</v>
      </c>
      <c r="T164">
        <v>422008</v>
      </c>
      <c r="U164">
        <v>301679</v>
      </c>
      <c r="V164">
        <v>126154</v>
      </c>
      <c r="W164">
        <v>56412</v>
      </c>
      <c r="X164">
        <v>3862</v>
      </c>
      <c r="Y164">
        <v>0</v>
      </c>
      <c r="Z164">
        <v>0</v>
      </c>
    </row>
    <row r="165" spans="1:26" x14ac:dyDescent="0.2">
      <c r="A165">
        <v>2014</v>
      </c>
      <c r="B165">
        <v>149344</v>
      </c>
      <c r="C165">
        <v>418036</v>
      </c>
      <c r="D165">
        <v>1205951</v>
      </c>
      <c r="E165">
        <v>2502812</v>
      </c>
      <c r="F165">
        <v>1647384</v>
      </c>
      <c r="G165">
        <v>1583014</v>
      </c>
      <c r="H165">
        <v>2255377</v>
      </c>
      <c r="I165">
        <v>1991452</v>
      </c>
      <c r="J165">
        <v>1656683</v>
      </c>
      <c r="K165">
        <v>2074557</v>
      </c>
      <c r="L165">
        <v>1472374</v>
      </c>
      <c r="M165">
        <v>1621068</v>
      </c>
      <c r="N165">
        <v>2165495</v>
      </c>
      <c r="O165">
        <v>3234093</v>
      </c>
      <c r="P165">
        <v>5147691</v>
      </c>
      <c r="Q165">
        <v>5305329</v>
      </c>
      <c r="R165">
        <v>2696397</v>
      </c>
      <c r="S165">
        <v>1010606</v>
      </c>
      <c r="T165">
        <v>436738</v>
      </c>
      <c r="U165">
        <v>232711</v>
      </c>
      <c r="V165">
        <v>119307</v>
      </c>
      <c r="W165">
        <v>30154</v>
      </c>
      <c r="X165">
        <v>20555</v>
      </c>
      <c r="Y165">
        <v>27599</v>
      </c>
      <c r="Z165">
        <v>21480</v>
      </c>
    </row>
    <row r="166" spans="1:26" x14ac:dyDescent="0.2">
      <c r="A166">
        <v>2016</v>
      </c>
      <c r="B166">
        <v>161035</v>
      </c>
      <c r="C166">
        <v>554495</v>
      </c>
      <c r="D166">
        <v>1950977</v>
      </c>
      <c r="E166">
        <v>1476969</v>
      </c>
      <c r="F166">
        <v>1148946</v>
      </c>
      <c r="G166">
        <v>1089744</v>
      </c>
      <c r="H166">
        <v>1391336</v>
      </c>
      <c r="I166">
        <v>1282269</v>
      </c>
      <c r="J166">
        <v>1462307</v>
      </c>
      <c r="K166">
        <v>1675397</v>
      </c>
      <c r="L166">
        <v>1881030</v>
      </c>
      <c r="M166">
        <v>2270719</v>
      </c>
      <c r="N166">
        <v>2489095</v>
      </c>
      <c r="O166">
        <v>5333832</v>
      </c>
      <c r="P166">
        <v>8735161</v>
      </c>
      <c r="Q166">
        <v>7098227</v>
      </c>
      <c r="R166">
        <v>2654896</v>
      </c>
      <c r="S166">
        <v>624543</v>
      </c>
      <c r="T166">
        <v>381572</v>
      </c>
      <c r="U166">
        <v>299050</v>
      </c>
      <c r="V166">
        <v>111312</v>
      </c>
      <c r="W166">
        <v>15521</v>
      </c>
      <c r="X166">
        <v>11204</v>
      </c>
      <c r="Y166">
        <v>3191</v>
      </c>
      <c r="Z166">
        <v>1331</v>
      </c>
    </row>
    <row r="167" spans="1:26" x14ac:dyDescent="0.2">
      <c r="A167">
        <v>2018</v>
      </c>
      <c r="B167">
        <v>184400</v>
      </c>
      <c r="C167">
        <v>1361260</v>
      </c>
      <c r="D167">
        <v>2653702</v>
      </c>
      <c r="E167">
        <v>1503493</v>
      </c>
      <c r="F167">
        <v>992715</v>
      </c>
      <c r="G167">
        <v>1061110</v>
      </c>
      <c r="H167">
        <v>1412542</v>
      </c>
      <c r="I167">
        <v>1624344</v>
      </c>
      <c r="J167">
        <v>1469904</v>
      </c>
      <c r="K167">
        <v>1023961</v>
      </c>
      <c r="L167">
        <v>1203245</v>
      </c>
      <c r="M167">
        <v>1419446</v>
      </c>
      <c r="N167">
        <v>2015195</v>
      </c>
      <c r="O167">
        <v>4389624</v>
      </c>
      <c r="P167">
        <v>4492461</v>
      </c>
      <c r="Q167">
        <v>2765132</v>
      </c>
      <c r="R167">
        <v>1429293</v>
      </c>
      <c r="S167">
        <v>622274</v>
      </c>
      <c r="T167">
        <v>338312</v>
      </c>
      <c r="U167">
        <v>322957</v>
      </c>
      <c r="V167">
        <v>115681</v>
      </c>
      <c r="W167">
        <v>42358</v>
      </c>
      <c r="X167">
        <v>43387</v>
      </c>
      <c r="Y167">
        <v>4874</v>
      </c>
      <c r="Z167">
        <v>0</v>
      </c>
    </row>
    <row r="168" spans="1:26" x14ac:dyDescent="0.2">
      <c r="A168">
        <v>2022</v>
      </c>
      <c r="B168">
        <v>47128</v>
      </c>
      <c r="C168">
        <v>370881</v>
      </c>
      <c r="D168">
        <v>795301</v>
      </c>
      <c r="E168">
        <v>613719</v>
      </c>
      <c r="F168">
        <v>811638</v>
      </c>
      <c r="G168">
        <v>1156738</v>
      </c>
      <c r="H168">
        <v>1575866</v>
      </c>
      <c r="I168">
        <v>1558950</v>
      </c>
      <c r="J168">
        <v>1355787</v>
      </c>
      <c r="K168">
        <v>1538773</v>
      </c>
      <c r="L168">
        <v>1669773</v>
      </c>
      <c r="M168">
        <v>1856438</v>
      </c>
      <c r="N168">
        <v>1932451</v>
      </c>
      <c r="O168">
        <v>4111993</v>
      </c>
      <c r="P168">
        <v>4119359</v>
      </c>
      <c r="Q168">
        <v>2183329</v>
      </c>
      <c r="R168">
        <v>783997</v>
      </c>
      <c r="S168">
        <v>342986</v>
      </c>
      <c r="T168">
        <v>302363</v>
      </c>
      <c r="U168">
        <v>157111</v>
      </c>
      <c r="V168">
        <v>71622</v>
      </c>
      <c r="W168">
        <v>13907</v>
      </c>
      <c r="X168">
        <v>0</v>
      </c>
      <c r="Y168">
        <v>0</v>
      </c>
      <c r="Z168">
        <v>3593</v>
      </c>
    </row>
    <row r="169" spans="1:26" x14ac:dyDescent="0.2">
      <c r="A169">
        <v>2024</v>
      </c>
      <c r="B169">
        <v>39229</v>
      </c>
      <c r="C169">
        <v>138621</v>
      </c>
      <c r="D169">
        <v>718188</v>
      </c>
      <c r="E169">
        <v>509872</v>
      </c>
      <c r="F169">
        <v>433513</v>
      </c>
      <c r="G169">
        <v>743610</v>
      </c>
      <c r="H169">
        <v>933957</v>
      </c>
      <c r="I169">
        <v>1587039</v>
      </c>
      <c r="J169">
        <v>1495912</v>
      </c>
      <c r="K169">
        <v>1211675</v>
      </c>
      <c r="L169">
        <v>961647</v>
      </c>
      <c r="M169">
        <v>1120343</v>
      </c>
      <c r="N169">
        <v>1207503</v>
      </c>
      <c r="O169">
        <v>3333963</v>
      </c>
      <c r="P169">
        <v>5158777</v>
      </c>
      <c r="Q169">
        <v>2542063</v>
      </c>
      <c r="R169">
        <v>1404576</v>
      </c>
      <c r="S169">
        <v>714174</v>
      </c>
      <c r="T169">
        <v>305329</v>
      </c>
      <c r="U169">
        <v>241907</v>
      </c>
      <c r="V169">
        <v>69677</v>
      </c>
      <c r="W169">
        <v>11031</v>
      </c>
      <c r="X169">
        <v>4165</v>
      </c>
      <c r="Y169">
        <v>0</v>
      </c>
      <c r="Z169">
        <v>0</v>
      </c>
    </row>
    <row r="171" spans="1:26" x14ac:dyDescent="0.2">
      <c r="A171" t="s">
        <v>637</v>
      </c>
    </row>
    <row r="172" spans="1:26" x14ac:dyDescent="0.2">
      <c r="A172" t="s">
        <v>322</v>
      </c>
    </row>
    <row r="173" spans="1:26" x14ac:dyDescent="0.2">
      <c r="A173">
        <v>2002</v>
      </c>
      <c r="B173">
        <v>0</v>
      </c>
      <c r="C173">
        <v>0</v>
      </c>
      <c r="D173">
        <v>0</v>
      </c>
      <c r="E173">
        <v>0</v>
      </c>
      <c r="F173">
        <v>0</v>
      </c>
      <c r="G173">
        <v>28741</v>
      </c>
      <c r="H173">
        <v>18106</v>
      </c>
      <c r="I173">
        <v>98466</v>
      </c>
      <c r="J173">
        <v>198374</v>
      </c>
      <c r="K173">
        <v>279667</v>
      </c>
      <c r="L173">
        <v>497144</v>
      </c>
      <c r="M173">
        <v>683541</v>
      </c>
      <c r="N173">
        <v>839668</v>
      </c>
      <c r="O173">
        <v>2069504</v>
      </c>
      <c r="P173">
        <v>3330180</v>
      </c>
      <c r="Q173">
        <v>4695825</v>
      </c>
      <c r="R173">
        <v>5277422</v>
      </c>
      <c r="S173">
        <v>3027530</v>
      </c>
      <c r="T173">
        <v>2487697</v>
      </c>
      <c r="U173">
        <v>1840748</v>
      </c>
      <c r="V173">
        <v>1223730</v>
      </c>
      <c r="W173">
        <v>733115</v>
      </c>
      <c r="X173">
        <v>528858</v>
      </c>
      <c r="Y173">
        <v>363381</v>
      </c>
      <c r="Z173">
        <v>138893</v>
      </c>
    </row>
    <row r="174" spans="1:26" x14ac:dyDescent="0.2">
      <c r="A174">
        <v>2004</v>
      </c>
      <c r="B174">
        <v>0</v>
      </c>
      <c r="C174">
        <v>13225</v>
      </c>
      <c r="D174">
        <v>0</v>
      </c>
      <c r="E174">
        <v>3104</v>
      </c>
      <c r="F174">
        <v>37333</v>
      </c>
      <c r="G174">
        <v>91872</v>
      </c>
      <c r="H174">
        <v>150472</v>
      </c>
      <c r="I174">
        <v>117742</v>
      </c>
      <c r="J174">
        <v>350180</v>
      </c>
      <c r="K174">
        <v>598277</v>
      </c>
      <c r="L174">
        <v>1406228</v>
      </c>
      <c r="M174">
        <v>1751785</v>
      </c>
      <c r="N174">
        <v>2787544</v>
      </c>
      <c r="O174">
        <v>5997279</v>
      </c>
      <c r="P174">
        <v>6602605</v>
      </c>
      <c r="Q174">
        <v>5330091</v>
      </c>
      <c r="R174">
        <v>4540675</v>
      </c>
      <c r="S174">
        <v>4248003</v>
      </c>
      <c r="T174">
        <v>3040091</v>
      </c>
      <c r="U174">
        <v>1800882</v>
      </c>
      <c r="V174">
        <v>1224079</v>
      </c>
      <c r="W174">
        <v>1088605</v>
      </c>
      <c r="X174">
        <v>465507</v>
      </c>
      <c r="Y174">
        <v>289724</v>
      </c>
      <c r="Z174">
        <v>171929</v>
      </c>
    </row>
    <row r="175" spans="1:26" x14ac:dyDescent="0.2">
      <c r="A175">
        <v>2008</v>
      </c>
      <c r="B175">
        <v>0</v>
      </c>
      <c r="C175">
        <v>0</v>
      </c>
      <c r="D175">
        <v>0</v>
      </c>
      <c r="E175">
        <v>0</v>
      </c>
      <c r="F175">
        <v>17518</v>
      </c>
      <c r="G175">
        <v>3623</v>
      </c>
      <c r="H175">
        <v>43453</v>
      </c>
      <c r="I175">
        <v>39966</v>
      </c>
      <c r="J175">
        <v>65813</v>
      </c>
      <c r="K175">
        <v>316716</v>
      </c>
      <c r="L175">
        <v>808685</v>
      </c>
      <c r="M175">
        <v>2021610</v>
      </c>
      <c r="N175">
        <v>4416728</v>
      </c>
      <c r="O175">
        <v>7255685</v>
      </c>
      <c r="P175">
        <v>8554975</v>
      </c>
      <c r="Q175">
        <v>10544848</v>
      </c>
      <c r="R175">
        <v>7334320</v>
      </c>
      <c r="S175">
        <v>4593964</v>
      </c>
      <c r="T175">
        <v>3194524</v>
      </c>
      <c r="U175">
        <v>2287462</v>
      </c>
      <c r="V175">
        <v>1648570</v>
      </c>
      <c r="W175">
        <v>1090345</v>
      </c>
      <c r="X175">
        <v>734363</v>
      </c>
      <c r="Y175">
        <v>703173</v>
      </c>
      <c r="Z175">
        <v>268252</v>
      </c>
    </row>
    <row r="176" spans="1:26" x14ac:dyDescent="0.2">
      <c r="A176">
        <v>2010</v>
      </c>
      <c r="B176">
        <v>0</v>
      </c>
      <c r="C176">
        <v>4192</v>
      </c>
      <c r="D176">
        <v>0</v>
      </c>
      <c r="E176">
        <v>0</v>
      </c>
      <c r="F176">
        <v>5449</v>
      </c>
      <c r="G176">
        <v>16679</v>
      </c>
      <c r="H176">
        <v>22051</v>
      </c>
      <c r="I176">
        <v>59410</v>
      </c>
      <c r="J176">
        <v>272824</v>
      </c>
      <c r="K176">
        <v>350541</v>
      </c>
      <c r="L176">
        <v>545013</v>
      </c>
      <c r="M176">
        <v>1105393</v>
      </c>
      <c r="N176">
        <v>1958703</v>
      </c>
      <c r="O176">
        <v>4700450</v>
      </c>
      <c r="P176">
        <v>7719547</v>
      </c>
      <c r="Q176">
        <v>9620513</v>
      </c>
      <c r="R176">
        <v>9130792</v>
      </c>
      <c r="S176">
        <v>7665777</v>
      </c>
      <c r="T176">
        <v>3669158</v>
      </c>
      <c r="U176">
        <v>2661727</v>
      </c>
      <c r="V176">
        <v>1327309</v>
      </c>
      <c r="W176">
        <v>704639</v>
      </c>
      <c r="X176">
        <v>523969</v>
      </c>
      <c r="Y176">
        <v>389833</v>
      </c>
      <c r="Z176">
        <v>111492</v>
      </c>
    </row>
    <row r="177" spans="1:49" x14ac:dyDescent="0.2">
      <c r="A177">
        <v>2012</v>
      </c>
      <c r="B177">
        <v>0</v>
      </c>
      <c r="C177">
        <v>0</v>
      </c>
      <c r="D177">
        <v>0</v>
      </c>
      <c r="E177">
        <v>7512</v>
      </c>
      <c r="F177">
        <v>4942</v>
      </c>
      <c r="G177">
        <v>44719</v>
      </c>
      <c r="H177">
        <v>42886</v>
      </c>
      <c r="I177">
        <v>95966</v>
      </c>
      <c r="J177">
        <v>196809</v>
      </c>
      <c r="K177">
        <v>630585</v>
      </c>
      <c r="L177">
        <v>933269</v>
      </c>
      <c r="M177">
        <v>1638402</v>
      </c>
      <c r="N177">
        <v>3005357</v>
      </c>
      <c r="O177">
        <v>5907188</v>
      </c>
      <c r="P177">
        <v>6183752</v>
      </c>
      <c r="Q177">
        <v>6640038</v>
      </c>
      <c r="R177">
        <v>6780441</v>
      </c>
      <c r="S177">
        <v>7877136</v>
      </c>
      <c r="T177">
        <v>6250570</v>
      </c>
      <c r="U177">
        <v>4632733</v>
      </c>
      <c r="V177">
        <v>2403736</v>
      </c>
      <c r="W177">
        <v>695584</v>
      </c>
      <c r="X177">
        <v>296621</v>
      </c>
      <c r="Y177">
        <v>211659</v>
      </c>
      <c r="Z177">
        <v>74563</v>
      </c>
    </row>
    <row r="178" spans="1:49" x14ac:dyDescent="0.2">
      <c r="A178">
        <v>2016</v>
      </c>
      <c r="B178">
        <v>0</v>
      </c>
      <c r="C178">
        <v>0</v>
      </c>
      <c r="D178">
        <v>0</v>
      </c>
      <c r="E178">
        <v>10269</v>
      </c>
      <c r="F178">
        <v>10269</v>
      </c>
      <c r="G178">
        <v>19925</v>
      </c>
      <c r="H178">
        <v>71509</v>
      </c>
      <c r="I178">
        <v>59290</v>
      </c>
      <c r="J178">
        <v>294637</v>
      </c>
      <c r="K178">
        <v>569604</v>
      </c>
      <c r="L178">
        <v>931548</v>
      </c>
      <c r="M178">
        <v>1560373</v>
      </c>
      <c r="N178">
        <v>1639821</v>
      </c>
      <c r="O178">
        <v>2782174</v>
      </c>
      <c r="P178">
        <v>2439719</v>
      </c>
      <c r="Q178">
        <v>3799703</v>
      </c>
      <c r="R178">
        <v>4489287</v>
      </c>
      <c r="S178">
        <v>3705735</v>
      </c>
      <c r="T178">
        <v>3420032</v>
      </c>
      <c r="U178">
        <v>2606712</v>
      </c>
      <c r="V178">
        <v>1822220</v>
      </c>
      <c r="W178">
        <v>978170</v>
      </c>
      <c r="X178">
        <v>722634</v>
      </c>
      <c r="Y178">
        <v>291561</v>
      </c>
      <c r="Z178">
        <v>105528</v>
      </c>
    </row>
    <row r="180" spans="1:49" x14ac:dyDescent="0.2">
      <c r="A180" t="s">
        <v>320</v>
      </c>
    </row>
    <row r="181" spans="1:49" x14ac:dyDescent="0.2">
      <c r="A181">
        <v>2002</v>
      </c>
      <c r="B181">
        <v>0</v>
      </c>
      <c r="C181">
        <v>0</v>
      </c>
      <c r="D181">
        <v>0</v>
      </c>
      <c r="E181">
        <v>0</v>
      </c>
      <c r="F181">
        <v>17569</v>
      </c>
      <c r="G181">
        <v>5586</v>
      </c>
      <c r="H181">
        <v>30569</v>
      </c>
      <c r="I181">
        <v>5586</v>
      </c>
      <c r="J181">
        <v>59526</v>
      </c>
      <c r="K181">
        <v>189838</v>
      </c>
      <c r="L181">
        <v>195869</v>
      </c>
      <c r="M181">
        <v>578787</v>
      </c>
      <c r="N181">
        <v>836396</v>
      </c>
      <c r="O181">
        <v>2085879</v>
      </c>
      <c r="P181">
        <v>1894481</v>
      </c>
      <c r="Q181">
        <v>1047648</v>
      </c>
      <c r="R181">
        <v>544930</v>
      </c>
      <c r="S181">
        <v>142515</v>
      </c>
      <c r="T181">
        <v>106820</v>
      </c>
      <c r="U181">
        <v>73574</v>
      </c>
      <c r="V181">
        <v>11576</v>
      </c>
      <c r="W181">
        <v>0</v>
      </c>
      <c r="X181">
        <v>0</v>
      </c>
      <c r="Y181">
        <v>5944</v>
      </c>
      <c r="Z181">
        <v>0</v>
      </c>
    </row>
    <row r="182" spans="1:49" x14ac:dyDescent="0.2">
      <c r="A182">
        <v>2004</v>
      </c>
      <c r="B182">
        <v>0</v>
      </c>
      <c r="C182">
        <v>0</v>
      </c>
      <c r="D182">
        <v>0</v>
      </c>
      <c r="E182">
        <v>5343</v>
      </c>
      <c r="F182">
        <v>18324</v>
      </c>
      <c r="G182">
        <v>17935</v>
      </c>
      <c r="H182">
        <v>44615</v>
      </c>
      <c r="I182">
        <v>69842</v>
      </c>
      <c r="J182">
        <v>209677</v>
      </c>
      <c r="K182">
        <v>401246</v>
      </c>
      <c r="L182">
        <v>691091</v>
      </c>
      <c r="M182">
        <v>1085324</v>
      </c>
      <c r="N182">
        <v>2014462</v>
      </c>
      <c r="O182">
        <v>3043356</v>
      </c>
      <c r="P182">
        <v>2181913</v>
      </c>
      <c r="Q182">
        <v>1027918</v>
      </c>
      <c r="R182">
        <v>208517</v>
      </c>
      <c r="S182">
        <v>52342</v>
      </c>
      <c r="T182">
        <v>23846</v>
      </c>
      <c r="U182">
        <v>16474</v>
      </c>
      <c r="V182">
        <v>0</v>
      </c>
      <c r="W182">
        <v>0</v>
      </c>
      <c r="X182">
        <v>7259</v>
      </c>
      <c r="Y182">
        <v>0</v>
      </c>
      <c r="Z182">
        <v>0</v>
      </c>
    </row>
    <row r="183" spans="1:49" x14ac:dyDescent="0.2">
      <c r="A183">
        <v>2008</v>
      </c>
      <c r="B183">
        <v>0</v>
      </c>
      <c r="C183">
        <v>0</v>
      </c>
      <c r="D183">
        <v>0</v>
      </c>
      <c r="E183">
        <v>0</v>
      </c>
      <c r="F183">
        <v>0</v>
      </c>
      <c r="G183">
        <v>10614</v>
      </c>
      <c r="H183">
        <v>0</v>
      </c>
      <c r="I183">
        <v>127878</v>
      </c>
      <c r="J183">
        <v>126582</v>
      </c>
      <c r="K183">
        <v>249353</v>
      </c>
      <c r="L183">
        <v>1207423</v>
      </c>
      <c r="M183">
        <v>2000431</v>
      </c>
      <c r="N183">
        <v>2489193</v>
      </c>
      <c r="O183">
        <v>3195341</v>
      </c>
      <c r="P183">
        <v>2302429</v>
      </c>
      <c r="Q183">
        <v>680503</v>
      </c>
      <c r="R183">
        <v>312169</v>
      </c>
      <c r="S183">
        <v>92739</v>
      </c>
      <c r="T183">
        <v>15644</v>
      </c>
      <c r="U183">
        <v>21745</v>
      </c>
      <c r="V183">
        <v>7853</v>
      </c>
      <c r="W183">
        <v>3897</v>
      </c>
      <c r="X183">
        <v>3679</v>
      </c>
      <c r="Y183">
        <v>0</v>
      </c>
      <c r="Z183">
        <v>0</v>
      </c>
    </row>
    <row r="184" spans="1:49" x14ac:dyDescent="0.2">
      <c r="A184">
        <v>2010</v>
      </c>
      <c r="B184">
        <v>0</v>
      </c>
      <c r="C184">
        <v>0</v>
      </c>
      <c r="D184">
        <v>0</v>
      </c>
      <c r="E184">
        <v>0</v>
      </c>
      <c r="F184">
        <v>0</v>
      </c>
      <c r="G184">
        <v>0</v>
      </c>
      <c r="H184">
        <v>23839</v>
      </c>
      <c r="I184">
        <v>10200</v>
      </c>
      <c r="J184">
        <v>194378</v>
      </c>
      <c r="K184">
        <v>208609</v>
      </c>
      <c r="L184">
        <v>601089</v>
      </c>
      <c r="M184">
        <v>1009782</v>
      </c>
      <c r="N184">
        <v>2086405</v>
      </c>
      <c r="O184">
        <v>6822588</v>
      </c>
      <c r="P184">
        <v>5813470</v>
      </c>
      <c r="Q184">
        <v>1978664</v>
      </c>
      <c r="R184">
        <v>502324</v>
      </c>
      <c r="S184">
        <v>83758</v>
      </c>
      <c r="T184">
        <v>7900</v>
      </c>
      <c r="U184">
        <v>0</v>
      </c>
      <c r="V184">
        <v>4033</v>
      </c>
      <c r="W184">
        <v>2560</v>
      </c>
      <c r="X184">
        <v>0</v>
      </c>
      <c r="Y184">
        <v>0</v>
      </c>
      <c r="Z184">
        <v>0</v>
      </c>
    </row>
    <row r="185" spans="1:49" x14ac:dyDescent="0.2">
      <c r="A185">
        <v>2012</v>
      </c>
      <c r="B185">
        <v>0</v>
      </c>
      <c r="C185">
        <v>0</v>
      </c>
      <c r="D185">
        <v>0</v>
      </c>
      <c r="E185">
        <v>4942</v>
      </c>
      <c r="F185">
        <v>0</v>
      </c>
      <c r="G185">
        <v>4858</v>
      </c>
      <c r="H185">
        <v>43158</v>
      </c>
      <c r="I185">
        <v>51242</v>
      </c>
      <c r="J185">
        <v>137063</v>
      </c>
      <c r="K185">
        <v>218609</v>
      </c>
      <c r="L185">
        <v>428417</v>
      </c>
      <c r="M185">
        <v>1393286</v>
      </c>
      <c r="N185">
        <v>2237120</v>
      </c>
      <c r="O185">
        <v>3396647</v>
      </c>
      <c r="P185">
        <v>2464543</v>
      </c>
      <c r="Q185">
        <v>1243497</v>
      </c>
      <c r="R185">
        <v>238660</v>
      </c>
      <c r="S185">
        <v>63152</v>
      </c>
      <c r="T185">
        <v>18565</v>
      </c>
      <c r="U185">
        <v>0</v>
      </c>
      <c r="V185">
        <v>0</v>
      </c>
      <c r="W185">
        <v>4260</v>
      </c>
      <c r="X185">
        <v>0</v>
      </c>
      <c r="Y185">
        <v>0</v>
      </c>
      <c r="Z185">
        <v>0</v>
      </c>
    </row>
    <row r="186" spans="1:49" x14ac:dyDescent="0.2">
      <c r="A186">
        <v>2016</v>
      </c>
      <c r="B186">
        <v>0</v>
      </c>
      <c r="C186">
        <v>0</v>
      </c>
      <c r="D186">
        <v>6052</v>
      </c>
      <c r="E186">
        <v>0</v>
      </c>
      <c r="F186">
        <v>20782</v>
      </c>
      <c r="G186">
        <v>30806</v>
      </c>
      <c r="H186">
        <v>37853</v>
      </c>
      <c r="I186">
        <v>54384</v>
      </c>
      <c r="J186">
        <v>118354</v>
      </c>
      <c r="K186">
        <v>205566</v>
      </c>
      <c r="L186">
        <v>489521</v>
      </c>
      <c r="M186">
        <v>517113</v>
      </c>
      <c r="N186">
        <v>728356</v>
      </c>
      <c r="O186">
        <v>1073011</v>
      </c>
      <c r="P186">
        <v>977555</v>
      </c>
      <c r="Q186">
        <v>478328</v>
      </c>
      <c r="R186">
        <v>146545</v>
      </c>
      <c r="S186">
        <v>51558</v>
      </c>
      <c r="T186">
        <v>14061</v>
      </c>
      <c r="U186">
        <v>28973</v>
      </c>
      <c r="V186">
        <v>47521</v>
      </c>
      <c r="W186">
        <v>0</v>
      </c>
      <c r="X186">
        <v>0</v>
      </c>
      <c r="Y186">
        <v>0</v>
      </c>
      <c r="Z186">
        <v>0</v>
      </c>
    </row>
    <row r="188" spans="1:49" x14ac:dyDescent="0.2">
      <c r="A188" t="s">
        <v>636</v>
      </c>
    </row>
    <row r="189" spans="1:49" x14ac:dyDescent="0.2">
      <c r="A189">
        <v>1976</v>
      </c>
      <c r="B189">
        <v>1977</v>
      </c>
      <c r="C189">
        <v>1978</v>
      </c>
      <c r="D189">
        <v>1979</v>
      </c>
      <c r="E189">
        <v>1980</v>
      </c>
      <c r="F189">
        <v>1981</v>
      </c>
      <c r="G189">
        <v>1982</v>
      </c>
      <c r="H189">
        <v>1983</v>
      </c>
      <c r="I189">
        <v>1984</v>
      </c>
      <c r="J189">
        <v>1985</v>
      </c>
      <c r="K189">
        <v>1986</v>
      </c>
      <c r="L189">
        <v>1987</v>
      </c>
      <c r="M189">
        <v>1988</v>
      </c>
      <c r="N189">
        <v>1989</v>
      </c>
      <c r="O189">
        <v>1990</v>
      </c>
      <c r="P189">
        <v>1991</v>
      </c>
      <c r="Q189">
        <v>1992</v>
      </c>
      <c r="R189">
        <v>1993</v>
      </c>
      <c r="S189">
        <v>1994</v>
      </c>
      <c r="T189">
        <v>1995</v>
      </c>
      <c r="U189">
        <v>1996</v>
      </c>
      <c r="V189">
        <v>1997</v>
      </c>
      <c r="W189">
        <v>1998</v>
      </c>
      <c r="X189">
        <v>1999</v>
      </c>
      <c r="Y189">
        <v>2000</v>
      </c>
      <c r="Z189">
        <v>2001</v>
      </c>
      <c r="AA189">
        <v>2002</v>
      </c>
      <c r="AB189">
        <v>2003</v>
      </c>
      <c r="AC189">
        <v>2004</v>
      </c>
      <c r="AD189">
        <v>2005</v>
      </c>
      <c r="AE189">
        <v>2006</v>
      </c>
      <c r="AF189">
        <v>2007</v>
      </c>
      <c r="AG189">
        <v>2008</v>
      </c>
      <c r="AH189">
        <v>2009</v>
      </c>
      <c r="AI189">
        <v>2010</v>
      </c>
      <c r="AJ189">
        <v>2011</v>
      </c>
      <c r="AK189">
        <v>2012</v>
      </c>
      <c r="AL189">
        <v>2013</v>
      </c>
      <c r="AM189">
        <v>2014</v>
      </c>
      <c r="AN189">
        <v>2015</v>
      </c>
      <c r="AO189">
        <v>2016</v>
      </c>
      <c r="AP189">
        <v>2017</v>
      </c>
      <c r="AQ189">
        <v>2018</v>
      </c>
      <c r="AR189">
        <v>2019</v>
      </c>
      <c r="AS189">
        <v>2020</v>
      </c>
      <c r="AT189">
        <v>2021</v>
      </c>
      <c r="AU189">
        <v>2022</v>
      </c>
      <c r="AV189">
        <v>2023</v>
      </c>
      <c r="AW189">
        <v>2024</v>
      </c>
    </row>
    <row r="190" spans="1:49" x14ac:dyDescent="0.2">
      <c r="A190">
        <v>17258.400000000001</v>
      </c>
      <c r="B190">
        <v>10340.1</v>
      </c>
      <c r="C190">
        <v>9126</v>
      </c>
      <c r="D190">
        <v>12921.3</v>
      </c>
      <c r="E190">
        <v>16527.599999999999</v>
      </c>
      <c r="F190">
        <v>15401.7</v>
      </c>
      <c r="G190">
        <v>10366.200000000001</v>
      </c>
      <c r="H190">
        <v>12572.1</v>
      </c>
      <c r="I190">
        <v>8506.7999999999993</v>
      </c>
      <c r="J190">
        <v>6702.3</v>
      </c>
      <c r="K190">
        <v>6462.9</v>
      </c>
      <c r="L190">
        <v>4373.1000000000004</v>
      </c>
      <c r="M190">
        <v>17991</v>
      </c>
      <c r="N190">
        <v>6575.4</v>
      </c>
      <c r="O190">
        <v>11752.2</v>
      </c>
      <c r="P190">
        <v>17559</v>
      </c>
      <c r="Q190">
        <v>10707.3</v>
      </c>
      <c r="R190">
        <v>8369.1</v>
      </c>
      <c r="S190">
        <v>12904.2</v>
      </c>
      <c r="T190">
        <v>8355.6</v>
      </c>
      <c r="U190">
        <v>13188.6</v>
      </c>
      <c r="V190">
        <v>9422.1</v>
      </c>
      <c r="W190">
        <v>13713.3</v>
      </c>
      <c r="X190">
        <v>10240.200000000001</v>
      </c>
      <c r="Y190">
        <v>11907</v>
      </c>
      <c r="Z190">
        <v>12652.2</v>
      </c>
      <c r="AA190">
        <v>10669.5</v>
      </c>
      <c r="AB190">
        <v>11927.7</v>
      </c>
      <c r="AC190">
        <v>16366.5</v>
      </c>
      <c r="AD190">
        <v>12818.7</v>
      </c>
      <c r="AE190">
        <v>12097.8</v>
      </c>
      <c r="AF190">
        <v>10724.4</v>
      </c>
      <c r="AG190">
        <v>16305.665559999999</v>
      </c>
      <c r="AH190">
        <v>19644.41432</v>
      </c>
      <c r="AI190">
        <v>20873.657350000001</v>
      </c>
      <c r="AJ190">
        <v>20574.7219</v>
      </c>
      <c r="AK190">
        <v>22641.394899999999</v>
      </c>
      <c r="AL190">
        <v>21007.257300000001</v>
      </c>
      <c r="AM190">
        <v>19625.975200000001</v>
      </c>
      <c r="AN190">
        <v>11721.449699999999</v>
      </c>
      <c r="AO190">
        <v>11485.0887</v>
      </c>
      <c r="AP190">
        <v>6933.6244999999999</v>
      </c>
      <c r="AQ190">
        <v>7243.1678000000002</v>
      </c>
      <c r="AR190">
        <v>10373.9449</v>
      </c>
      <c r="AS190">
        <v>10874.294900000001</v>
      </c>
      <c r="AT190">
        <v>9013.7711999999992</v>
      </c>
      <c r="AU190">
        <v>7856.7007999999996</v>
      </c>
      <c r="AV190">
        <v>7278.5757000000003</v>
      </c>
      <c r="AW190">
        <v>7013.9387999999999</v>
      </c>
    </row>
    <row r="192" spans="1:49" x14ac:dyDescent="0.2">
      <c r="A192" t="s">
        <v>635</v>
      </c>
    </row>
    <row r="193" spans="1:26" x14ac:dyDescent="0.2">
      <c r="A193">
        <v>2024</v>
      </c>
      <c r="B193">
        <v>2025</v>
      </c>
      <c r="C193">
        <v>2026</v>
      </c>
    </row>
    <row r="194" spans="1:26" x14ac:dyDescent="0.2">
      <c r="A194">
        <v>9476.4675299999999</v>
      </c>
      <c r="B194">
        <v>8900</v>
      </c>
      <c r="C194">
        <v>7780</v>
      </c>
    </row>
    <row r="196" spans="1:26" x14ac:dyDescent="0.2">
      <c r="A196" t="s">
        <v>634</v>
      </c>
    </row>
    <row r="197" spans="1:26" x14ac:dyDescent="0.2">
      <c r="A197" t="s">
        <v>322</v>
      </c>
    </row>
    <row r="198" spans="1:26" x14ac:dyDescent="0.2">
      <c r="A198">
        <v>1990</v>
      </c>
      <c r="B198">
        <v>0</v>
      </c>
      <c r="C198">
        <v>0</v>
      </c>
      <c r="D198">
        <v>0</v>
      </c>
      <c r="E198">
        <v>0</v>
      </c>
      <c r="F198">
        <v>0</v>
      </c>
      <c r="G198">
        <v>0</v>
      </c>
      <c r="H198">
        <v>0</v>
      </c>
      <c r="I198">
        <v>1</v>
      </c>
      <c r="J198">
        <v>0</v>
      </c>
      <c r="K198">
        <v>2</v>
      </c>
      <c r="L198">
        <v>4</v>
      </c>
      <c r="M198">
        <v>2</v>
      </c>
      <c r="N198">
        <v>6</v>
      </c>
      <c r="O198">
        <v>17</v>
      </c>
      <c r="P198">
        <v>48</v>
      </c>
      <c r="Q198">
        <v>87</v>
      </c>
      <c r="R198">
        <v>119</v>
      </c>
      <c r="S198">
        <v>98</v>
      </c>
      <c r="T198">
        <v>121</v>
      </c>
      <c r="U198">
        <v>164</v>
      </c>
      <c r="V198">
        <v>148</v>
      </c>
      <c r="W198">
        <v>114</v>
      </c>
      <c r="X198">
        <v>69</v>
      </c>
      <c r="Y198">
        <v>32</v>
      </c>
      <c r="Z198">
        <v>34</v>
      </c>
    </row>
    <row r="199" spans="1:26" x14ac:dyDescent="0.2">
      <c r="A199">
        <v>1991</v>
      </c>
      <c r="B199">
        <v>0</v>
      </c>
      <c r="C199">
        <v>0</v>
      </c>
      <c r="D199">
        <v>0</v>
      </c>
      <c r="E199">
        <v>0</v>
      </c>
      <c r="F199">
        <v>0</v>
      </c>
      <c r="G199">
        <v>0</v>
      </c>
      <c r="H199">
        <v>0</v>
      </c>
      <c r="I199">
        <v>0</v>
      </c>
      <c r="J199">
        <v>1</v>
      </c>
      <c r="K199">
        <v>2</v>
      </c>
      <c r="L199">
        <v>1</v>
      </c>
      <c r="M199">
        <v>0</v>
      </c>
      <c r="N199">
        <v>1</v>
      </c>
      <c r="O199">
        <v>7</v>
      </c>
      <c r="P199">
        <v>42</v>
      </c>
      <c r="Q199">
        <v>80</v>
      </c>
      <c r="R199">
        <v>235</v>
      </c>
      <c r="S199">
        <v>185</v>
      </c>
      <c r="T199">
        <v>94</v>
      </c>
      <c r="U199">
        <v>43</v>
      </c>
      <c r="V199">
        <v>23</v>
      </c>
      <c r="W199">
        <v>21</v>
      </c>
      <c r="X199">
        <v>5</v>
      </c>
      <c r="Y199">
        <v>2</v>
      </c>
      <c r="Z199">
        <v>0</v>
      </c>
    </row>
    <row r="200" spans="1:26" x14ac:dyDescent="0.2">
      <c r="A200">
        <v>1992</v>
      </c>
      <c r="B200">
        <v>0</v>
      </c>
      <c r="C200">
        <v>0</v>
      </c>
      <c r="D200">
        <v>0</v>
      </c>
      <c r="E200">
        <v>5</v>
      </c>
      <c r="F200">
        <v>3</v>
      </c>
      <c r="G200">
        <v>9</v>
      </c>
      <c r="H200">
        <v>14</v>
      </c>
      <c r="I200">
        <v>9</v>
      </c>
      <c r="J200">
        <v>11</v>
      </c>
      <c r="K200">
        <v>8</v>
      </c>
      <c r="L200">
        <v>5</v>
      </c>
      <c r="M200">
        <v>0</v>
      </c>
      <c r="N200">
        <v>0</v>
      </c>
      <c r="O200">
        <v>0</v>
      </c>
      <c r="P200">
        <v>0</v>
      </c>
      <c r="Q200">
        <v>0</v>
      </c>
      <c r="R200">
        <v>0</v>
      </c>
      <c r="S200">
        <v>0</v>
      </c>
      <c r="T200">
        <v>0</v>
      </c>
      <c r="U200">
        <v>0</v>
      </c>
      <c r="V200">
        <v>0</v>
      </c>
      <c r="W200">
        <v>0</v>
      </c>
      <c r="X200">
        <v>0</v>
      </c>
      <c r="Y200">
        <v>0</v>
      </c>
      <c r="Z200">
        <v>0</v>
      </c>
    </row>
    <row r="201" spans="1:26" x14ac:dyDescent="0.2">
      <c r="A201">
        <v>1993</v>
      </c>
      <c r="B201">
        <v>0</v>
      </c>
      <c r="C201">
        <v>0</v>
      </c>
      <c r="D201">
        <v>0</v>
      </c>
      <c r="E201">
        <v>0</v>
      </c>
      <c r="F201">
        <v>0</v>
      </c>
      <c r="G201">
        <v>0</v>
      </c>
      <c r="H201">
        <v>0</v>
      </c>
      <c r="I201">
        <v>7</v>
      </c>
      <c r="J201">
        <v>12</v>
      </c>
      <c r="K201">
        <v>18</v>
      </c>
      <c r="L201">
        <v>15</v>
      </c>
      <c r="M201">
        <v>1</v>
      </c>
      <c r="N201">
        <v>1</v>
      </c>
      <c r="O201">
        <v>0</v>
      </c>
      <c r="P201">
        <v>0</v>
      </c>
      <c r="Q201">
        <v>0</v>
      </c>
      <c r="R201">
        <v>0</v>
      </c>
      <c r="S201">
        <v>0</v>
      </c>
      <c r="T201">
        <v>0</v>
      </c>
      <c r="U201">
        <v>0</v>
      </c>
      <c r="V201">
        <v>0</v>
      </c>
      <c r="W201">
        <v>0</v>
      </c>
      <c r="X201">
        <v>0</v>
      </c>
      <c r="Y201">
        <v>0</v>
      </c>
      <c r="Z201">
        <v>0</v>
      </c>
    </row>
    <row r="202" spans="1:26" x14ac:dyDescent="0.2">
      <c r="A202">
        <v>1994</v>
      </c>
      <c r="B202">
        <v>0</v>
      </c>
      <c r="C202">
        <v>0</v>
      </c>
      <c r="D202">
        <v>0</v>
      </c>
      <c r="E202">
        <v>1</v>
      </c>
      <c r="F202">
        <v>1</v>
      </c>
      <c r="G202">
        <v>3</v>
      </c>
      <c r="H202">
        <v>24</v>
      </c>
      <c r="I202">
        <v>33</v>
      </c>
      <c r="J202">
        <v>41</v>
      </c>
      <c r="K202">
        <v>28</v>
      </c>
      <c r="L202">
        <v>20</v>
      </c>
      <c r="M202">
        <v>2</v>
      </c>
      <c r="N202">
        <v>1</v>
      </c>
      <c r="O202">
        <v>0</v>
      </c>
      <c r="P202">
        <v>0</v>
      </c>
      <c r="Q202">
        <v>0</v>
      </c>
      <c r="R202">
        <v>0</v>
      </c>
      <c r="S202">
        <v>0</v>
      </c>
      <c r="T202">
        <v>0</v>
      </c>
      <c r="U202">
        <v>0</v>
      </c>
      <c r="V202">
        <v>0</v>
      </c>
      <c r="W202">
        <v>0</v>
      </c>
      <c r="X202">
        <v>0</v>
      </c>
      <c r="Y202">
        <v>0</v>
      </c>
      <c r="Z202">
        <v>0</v>
      </c>
    </row>
    <row r="203" spans="1:26" x14ac:dyDescent="0.2">
      <c r="A203">
        <v>1998</v>
      </c>
      <c r="B203">
        <v>0</v>
      </c>
      <c r="C203">
        <v>0</v>
      </c>
      <c r="D203">
        <v>0</v>
      </c>
      <c r="E203">
        <v>0</v>
      </c>
      <c r="F203">
        <v>1</v>
      </c>
      <c r="G203">
        <v>2</v>
      </c>
      <c r="H203">
        <v>4</v>
      </c>
      <c r="I203">
        <v>0</v>
      </c>
      <c r="J203">
        <v>3</v>
      </c>
      <c r="K203">
        <v>6</v>
      </c>
      <c r="L203">
        <v>8</v>
      </c>
      <c r="M203">
        <v>3</v>
      </c>
      <c r="N203">
        <v>0</v>
      </c>
      <c r="O203">
        <v>5</v>
      </c>
      <c r="P203">
        <v>5</v>
      </c>
      <c r="Q203">
        <v>37</v>
      </c>
      <c r="R203">
        <v>60</v>
      </c>
      <c r="S203">
        <v>106</v>
      </c>
      <c r="T203">
        <v>97</v>
      </c>
      <c r="U203">
        <v>59</v>
      </c>
      <c r="V203">
        <v>44</v>
      </c>
      <c r="W203">
        <v>30</v>
      </c>
      <c r="X203">
        <v>12</v>
      </c>
      <c r="Y203">
        <v>13</v>
      </c>
      <c r="Z203">
        <v>1</v>
      </c>
    </row>
    <row r="204" spans="1:26" x14ac:dyDescent="0.2">
      <c r="A204">
        <v>1999</v>
      </c>
      <c r="B204">
        <v>0</v>
      </c>
      <c r="C204">
        <v>0</v>
      </c>
      <c r="D204">
        <v>0</v>
      </c>
      <c r="E204">
        <v>0</v>
      </c>
      <c r="F204">
        <v>0</v>
      </c>
      <c r="G204">
        <v>0</v>
      </c>
      <c r="H204">
        <v>0</v>
      </c>
      <c r="I204">
        <v>0</v>
      </c>
      <c r="J204">
        <v>4</v>
      </c>
      <c r="K204">
        <v>0</v>
      </c>
      <c r="L204">
        <v>9</v>
      </c>
      <c r="M204">
        <v>11</v>
      </c>
      <c r="N204">
        <v>23</v>
      </c>
      <c r="O204">
        <v>35</v>
      </c>
      <c r="P204">
        <v>58</v>
      </c>
      <c r="Q204">
        <v>59</v>
      </c>
      <c r="R204">
        <v>92</v>
      </c>
      <c r="S204">
        <v>98</v>
      </c>
      <c r="T204">
        <v>85</v>
      </c>
      <c r="U204">
        <v>52</v>
      </c>
      <c r="V204">
        <v>37</v>
      </c>
      <c r="W204">
        <v>26</v>
      </c>
      <c r="X204">
        <v>20</v>
      </c>
      <c r="Y204">
        <v>12</v>
      </c>
      <c r="Z204">
        <v>2</v>
      </c>
    </row>
    <row r="205" spans="1:26" x14ac:dyDescent="0.2">
      <c r="A205">
        <v>2000</v>
      </c>
      <c r="B205">
        <v>0</v>
      </c>
      <c r="C205">
        <v>0</v>
      </c>
      <c r="D205">
        <v>0</v>
      </c>
      <c r="E205">
        <v>0</v>
      </c>
      <c r="F205">
        <v>1</v>
      </c>
      <c r="G205">
        <v>0</v>
      </c>
      <c r="H205">
        <v>0</v>
      </c>
      <c r="I205">
        <v>7</v>
      </c>
      <c r="J205">
        <v>3</v>
      </c>
      <c r="K205">
        <v>17</v>
      </c>
      <c r="L205">
        <v>14</v>
      </c>
      <c r="M205">
        <v>22</v>
      </c>
      <c r="N205">
        <v>34</v>
      </c>
      <c r="O205">
        <v>61</v>
      </c>
      <c r="P205">
        <v>61</v>
      </c>
      <c r="Q205">
        <v>83</v>
      </c>
      <c r="R205">
        <v>117</v>
      </c>
      <c r="S205">
        <v>148</v>
      </c>
      <c r="T205">
        <v>117</v>
      </c>
      <c r="U205">
        <v>60</v>
      </c>
      <c r="V205">
        <v>47</v>
      </c>
      <c r="W205">
        <v>35</v>
      </c>
      <c r="X205">
        <v>19</v>
      </c>
      <c r="Y205">
        <v>25</v>
      </c>
      <c r="Z205">
        <v>11</v>
      </c>
    </row>
    <row r="206" spans="1:26" x14ac:dyDescent="0.2">
      <c r="A206">
        <v>2001</v>
      </c>
      <c r="B206">
        <v>0</v>
      </c>
      <c r="C206">
        <v>1</v>
      </c>
      <c r="D206">
        <v>2</v>
      </c>
      <c r="E206">
        <v>1</v>
      </c>
      <c r="F206">
        <v>2</v>
      </c>
      <c r="G206">
        <v>6</v>
      </c>
      <c r="H206">
        <v>5</v>
      </c>
      <c r="I206">
        <v>5</v>
      </c>
      <c r="J206">
        <v>10</v>
      </c>
      <c r="K206">
        <v>13</v>
      </c>
      <c r="L206">
        <v>48</v>
      </c>
      <c r="M206">
        <v>50</v>
      </c>
      <c r="N206">
        <v>53</v>
      </c>
      <c r="O206">
        <v>131</v>
      </c>
      <c r="P206">
        <v>218</v>
      </c>
      <c r="Q206">
        <v>228</v>
      </c>
      <c r="R206">
        <v>206</v>
      </c>
      <c r="S206">
        <v>188</v>
      </c>
      <c r="T206">
        <v>179</v>
      </c>
      <c r="U206">
        <v>122</v>
      </c>
      <c r="V206">
        <v>86</v>
      </c>
      <c r="W206">
        <v>37</v>
      </c>
      <c r="X206">
        <v>28</v>
      </c>
      <c r="Y206">
        <v>40</v>
      </c>
      <c r="Z206">
        <v>10</v>
      </c>
    </row>
    <row r="207" spans="1:26" x14ac:dyDescent="0.2">
      <c r="A207">
        <v>2002</v>
      </c>
      <c r="B207">
        <v>0</v>
      </c>
      <c r="C207">
        <v>1</v>
      </c>
      <c r="D207">
        <v>1</v>
      </c>
      <c r="E207">
        <v>0</v>
      </c>
      <c r="F207">
        <v>1</v>
      </c>
      <c r="G207">
        <v>3</v>
      </c>
      <c r="H207">
        <v>5</v>
      </c>
      <c r="I207">
        <v>7</v>
      </c>
      <c r="J207">
        <v>9</v>
      </c>
      <c r="K207">
        <v>17</v>
      </c>
      <c r="L207">
        <v>9</v>
      </c>
      <c r="M207">
        <v>26</v>
      </c>
      <c r="N207">
        <v>44</v>
      </c>
      <c r="O207">
        <v>67</v>
      </c>
      <c r="P207">
        <v>101</v>
      </c>
      <c r="Q207">
        <v>138</v>
      </c>
      <c r="R207">
        <v>195</v>
      </c>
      <c r="S207">
        <v>168</v>
      </c>
      <c r="T207">
        <v>143</v>
      </c>
      <c r="U207">
        <v>98</v>
      </c>
      <c r="V207">
        <v>78</v>
      </c>
      <c r="W207">
        <v>57</v>
      </c>
      <c r="X207">
        <v>41</v>
      </c>
      <c r="Y207">
        <v>30</v>
      </c>
      <c r="Z207">
        <v>19</v>
      </c>
    </row>
    <row r="208" spans="1:26" x14ac:dyDescent="0.2">
      <c r="A208">
        <v>2003</v>
      </c>
      <c r="B208">
        <v>0</v>
      </c>
      <c r="C208">
        <v>1</v>
      </c>
      <c r="D208">
        <v>1</v>
      </c>
      <c r="E208">
        <v>7</v>
      </c>
      <c r="F208">
        <v>3</v>
      </c>
      <c r="G208">
        <v>5</v>
      </c>
      <c r="H208">
        <v>17</v>
      </c>
      <c r="I208">
        <v>21</v>
      </c>
      <c r="J208">
        <v>62</v>
      </c>
      <c r="K208">
        <v>76</v>
      </c>
      <c r="L208">
        <v>107</v>
      </c>
      <c r="M208">
        <v>111</v>
      </c>
      <c r="N208">
        <v>134</v>
      </c>
      <c r="O208">
        <v>214</v>
      </c>
      <c r="P208">
        <v>202</v>
      </c>
      <c r="Q208">
        <v>207</v>
      </c>
      <c r="R208">
        <v>216</v>
      </c>
      <c r="S208">
        <v>213</v>
      </c>
      <c r="T208">
        <v>179</v>
      </c>
      <c r="U208">
        <v>135</v>
      </c>
      <c r="V208">
        <v>115</v>
      </c>
      <c r="W208">
        <v>95</v>
      </c>
      <c r="X208">
        <v>54</v>
      </c>
      <c r="Y208">
        <v>54</v>
      </c>
      <c r="Z208">
        <v>13</v>
      </c>
    </row>
    <row r="209" spans="1:26" x14ac:dyDescent="0.2">
      <c r="A209">
        <v>2004</v>
      </c>
      <c r="B209">
        <v>2</v>
      </c>
      <c r="C209">
        <v>0</v>
      </c>
      <c r="D209">
        <v>1</v>
      </c>
      <c r="E209">
        <v>3</v>
      </c>
      <c r="F209">
        <v>8</v>
      </c>
      <c r="G209">
        <v>16</v>
      </c>
      <c r="H209">
        <v>38</v>
      </c>
      <c r="I209">
        <v>65</v>
      </c>
      <c r="J209">
        <v>69</v>
      </c>
      <c r="K209">
        <v>76</v>
      </c>
      <c r="L209">
        <v>97</v>
      </c>
      <c r="M209">
        <v>141</v>
      </c>
      <c r="N209">
        <v>167</v>
      </c>
      <c r="O209">
        <v>327</v>
      </c>
      <c r="P209">
        <v>348</v>
      </c>
      <c r="Q209">
        <v>262</v>
      </c>
      <c r="R209">
        <v>264</v>
      </c>
      <c r="S209">
        <v>275</v>
      </c>
      <c r="T209">
        <v>269</v>
      </c>
      <c r="U209">
        <v>204</v>
      </c>
      <c r="V209">
        <v>138</v>
      </c>
      <c r="W209">
        <v>87</v>
      </c>
      <c r="X209">
        <v>44</v>
      </c>
      <c r="Y209">
        <v>55</v>
      </c>
      <c r="Z209">
        <v>23</v>
      </c>
    </row>
    <row r="210" spans="1:26" x14ac:dyDescent="0.2">
      <c r="A210">
        <v>2005</v>
      </c>
      <c r="B210">
        <v>0</v>
      </c>
      <c r="C210">
        <v>0</v>
      </c>
      <c r="D210">
        <v>0</v>
      </c>
      <c r="E210">
        <v>2</v>
      </c>
      <c r="F210">
        <v>3</v>
      </c>
      <c r="G210">
        <v>3</v>
      </c>
      <c r="H210">
        <v>9</v>
      </c>
      <c r="I210">
        <v>17</v>
      </c>
      <c r="J210">
        <v>30</v>
      </c>
      <c r="K210">
        <v>50</v>
      </c>
      <c r="L210">
        <v>79</v>
      </c>
      <c r="M210">
        <v>68</v>
      </c>
      <c r="N210">
        <v>78</v>
      </c>
      <c r="O210">
        <v>178</v>
      </c>
      <c r="P210">
        <v>224</v>
      </c>
      <c r="Q210">
        <v>210</v>
      </c>
      <c r="R210">
        <v>162</v>
      </c>
      <c r="S210">
        <v>132</v>
      </c>
      <c r="T210">
        <v>101</v>
      </c>
      <c r="U210">
        <v>93</v>
      </c>
      <c r="V210">
        <v>72</v>
      </c>
      <c r="W210">
        <v>67</v>
      </c>
      <c r="X210">
        <v>43</v>
      </c>
      <c r="Y210">
        <v>43</v>
      </c>
      <c r="Z210">
        <v>37</v>
      </c>
    </row>
    <row r="211" spans="1:26" x14ac:dyDescent="0.2">
      <c r="A211">
        <v>2006</v>
      </c>
      <c r="B211">
        <v>0</v>
      </c>
      <c r="C211">
        <v>0</v>
      </c>
      <c r="D211">
        <v>0</v>
      </c>
      <c r="E211">
        <v>1</v>
      </c>
      <c r="F211">
        <v>5</v>
      </c>
      <c r="G211">
        <v>5</v>
      </c>
      <c r="H211">
        <v>9</v>
      </c>
      <c r="I211">
        <v>31</v>
      </c>
      <c r="J211">
        <v>69</v>
      </c>
      <c r="K211">
        <v>51</v>
      </c>
      <c r="L211">
        <v>62</v>
      </c>
      <c r="M211">
        <v>78</v>
      </c>
      <c r="N211">
        <v>97</v>
      </c>
      <c r="O211">
        <v>192</v>
      </c>
      <c r="P211">
        <v>160</v>
      </c>
      <c r="Q211">
        <v>147</v>
      </c>
      <c r="R211">
        <v>141</v>
      </c>
      <c r="S211">
        <v>88</v>
      </c>
      <c r="T211">
        <v>58</v>
      </c>
      <c r="U211">
        <v>68</v>
      </c>
      <c r="V211">
        <v>58</v>
      </c>
      <c r="W211">
        <v>54</v>
      </c>
      <c r="X211">
        <v>41</v>
      </c>
      <c r="Y211">
        <v>29</v>
      </c>
      <c r="Z211">
        <v>15</v>
      </c>
    </row>
    <row r="212" spans="1:26" x14ac:dyDescent="0.2">
      <c r="A212">
        <v>2007</v>
      </c>
      <c r="B212">
        <v>0</v>
      </c>
      <c r="C212">
        <v>0</v>
      </c>
      <c r="D212">
        <v>1</v>
      </c>
      <c r="E212">
        <v>0</v>
      </c>
      <c r="F212">
        <v>0</v>
      </c>
      <c r="G212">
        <v>0</v>
      </c>
      <c r="H212">
        <v>5</v>
      </c>
      <c r="I212">
        <v>2</v>
      </c>
      <c r="J212">
        <v>11</v>
      </c>
      <c r="K212">
        <v>15</v>
      </c>
      <c r="L212">
        <v>19</v>
      </c>
      <c r="M212">
        <v>21</v>
      </c>
      <c r="N212">
        <v>27</v>
      </c>
      <c r="O212">
        <v>40</v>
      </c>
      <c r="P212">
        <v>53</v>
      </c>
      <c r="Q212">
        <v>43</v>
      </c>
      <c r="R212">
        <v>32</v>
      </c>
      <c r="S212">
        <v>16</v>
      </c>
      <c r="T212">
        <v>17</v>
      </c>
      <c r="U212">
        <v>13</v>
      </c>
      <c r="V212">
        <v>21</v>
      </c>
      <c r="W212">
        <v>13</v>
      </c>
      <c r="X212">
        <v>11</v>
      </c>
      <c r="Y212">
        <v>10</v>
      </c>
      <c r="Z212">
        <v>13</v>
      </c>
    </row>
    <row r="213" spans="1:26" x14ac:dyDescent="0.2">
      <c r="A213">
        <v>2008</v>
      </c>
      <c r="B213">
        <v>0</v>
      </c>
      <c r="C213">
        <v>0</v>
      </c>
      <c r="D213">
        <v>0</v>
      </c>
      <c r="E213">
        <v>3</v>
      </c>
      <c r="F213">
        <v>2</v>
      </c>
      <c r="G213">
        <v>4</v>
      </c>
      <c r="H213">
        <v>6</v>
      </c>
      <c r="I213">
        <v>8</v>
      </c>
      <c r="J213">
        <v>12</v>
      </c>
      <c r="K213">
        <v>19</v>
      </c>
      <c r="L213">
        <v>19</v>
      </c>
      <c r="M213">
        <v>26</v>
      </c>
      <c r="N213">
        <v>42</v>
      </c>
      <c r="O213">
        <v>85</v>
      </c>
      <c r="P213">
        <v>89</v>
      </c>
      <c r="Q213">
        <v>115</v>
      </c>
      <c r="R213">
        <v>123</v>
      </c>
      <c r="S213">
        <v>73</v>
      </c>
      <c r="T213">
        <v>51</v>
      </c>
      <c r="U213">
        <v>29</v>
      </c>
      <c r="V213">
        <v>38</v>
      </c>
      <c r="W213">
        <v>25</v>
      </c>
      <c r="X213">
        <v>19</v>
      </c>
      <c r="Y213">
        <v>18</v>
      </c>
      <c r="Z213">
        <v>12</v>
      </c>
    </row>
    <row r="214" spans="1:26" x14ac:dyDescent="0.2">
      <c r="A214">
        <v>2009</v>
      </c>
      <c r="B214">
        <v>0</v>
      </c>
      <c r="C214">
        <v>0</v>
      </c>
      <c r="D214">
        <v>0</v>
      </c>
      <c r="E214">
        <v>1</v>
      </c>
      <c r="F214">
        <v>0</v>
      </c>
      <c r="G214">
        <v>1</v>
      </c>
      <c r="H214">
        <v>1</v>
      </c>
      <c r="I214">
        <v>1</v>
      </c>
      <c r="J214">
        <v>1</v>
      </c>
      <c r="K214">
        <v>2</v>
      </c>
      <c r="L214">
        <v>7</v>
      </c>
      <c r="M214">
        <v>8</v>
      </c>
      <c r="N214">
        <v>9</v>
      </c>
      <c r="O214">
        <v>25</v>
      </c>
      <c r="P214">
        <v>31</v>
      </c>
      <c r="Q214">
        <v>47</v>
      </c>
      <c r="R214">
        <v>36</v>
      </c>
      <c r="S214">
        <v>47</v>
      </c>
      <c r="T214">
        <v>33</v>
      </c>
      <c r="U214">
        <v>31</v>
      </c>
      <c r="V214">
        <v>20</v>
      </c>
      <c r="W214">
        <v>16</v>
      </c>
      <c r="X214">
        <v>9</v>
      </c>
      <c r="Y214">
        <v>8</v>
      </c>
      <c r="Z214">
        <v>3</v>
      </c>
    </row>
    <row r="215" spans="1:26" x14ac:dyDescent="0.2">
      <c r="A215">
        <v>2010</v>
      </c>
      <c r="B215">
        <v>0</v>
      </c>
      <c r="C215">
        <v>0</v>
      </c>
      <c r="D215">
        <v>0</v>
      </c>
      <c r="E215">
        <v>0</v>
      </c>
      <c r="F215">
        <v>1</v>
      </c>
      <c r="G215">
        <v>1</v>
      </c>
      <c r="H215">
        <v>1</v>
      </c>
      <c r="I215">
        <v>2</v>
      </c>
      <c r="J215">
        <v>3</v>
      </c>
      <c r="K215">
        <v>13</v>
      </c>
      <c r="L215">
        <v>12</v>
      </c>
      <c r="M215">
        <v>11</v>
      </c>
      <c r="N215">
        <v>12</v>
      </c>
      <c r="O215">
        <v>26</v>
      </c>
      <c r="P215">
        <v>48</v>
      </c>
      <c r="Q215">
        <v>78</v>
      </c>
      <c r="R215">
        <v>111</v>
      </c>
      <c r="S215">
        <v>138</v>
      </c>
      <c r="T215">
        <v>96</v>
      </c>
      <c r="U215">
        <v>50</v>
      </c>
      <c r="V215">
        <v>35</v>
      </c>
      <c r="W215">
        <v>23</v>
      </c>
      <c r="X215">
        <v>15</v>
      </c>
      <c r="Y215">
        <v>7</v>
      </c>
      <c r="Z215">
        <v>4</v>
      </c>
    </row>
    <row r="216" spans="1:26" x14ac:dyDescent="0.2">
      <c r="A216">
        <v>2011</v>
      </c>
      <c r="B216">
        <v>0</v>
      </c>
      <c r="C216">
        <v>0</v>
      </c>
      <c r="D216">
        <v>0</v>
      </c>
      <c r="E216">
        <v>2</v>
      </c>
      <c r="F216">
        <v>1</v>
      </c>
      <c r="G216">
        <v>1</v>
      </c>
      <c r="H216">
        <v>5</v>
      </c>
      <c r="I216">
        <v>6</v>
      </c>
      <c r="J216">
        <v>5</v>
      </c>
      <c r="K216">
        <v>5</v>
      </c>
      <c r="L216">
        <v>4</v>
      </c>
      <c r="M216">
        <v>8</v>
      </c>
      <c r="N216">
        <v>10</v>
      </c>
      <c r="O216">
        <v>29</v>
      </c>
      <c r="P216">
        <v>53</v>
      </c>
      <c r="Q216">
        <v>82</v>
      </c>
      <c r="R216">
        <v>78</v>
      </c>
      <c r="S216">
        <v>77</v>
      </c>
      <c r="T216">
        <v>65</v>
      </c>
      <c r="U216">
        <v>50</v>
      </c>
      <c r="V216">
        <v>37</v>
      </c>
      <c r="W216">
        <v>31</v>
      </c>
      <c r="X216">
        <v>9</v>
      </c>
      <c r="Y216">
        <v>9</v>
      </c>
      <c r="Z216">
        <v>15</v>
      </c>
    </row>
    <row r="217" spans="1:26" x14ac:dyDescent="0.2">
      <c r="A217">
        <v>2012</v>
      </c>
      <c r="B217">
        <v>0</v>
      </c>
      <c r="C217">
        <v>0</v>
      </c>
      <c r="D217">
        <v>0</v>
      </c>
      <c r="E217">
        <v>2</v>
      </c>
      <c r="F217">
        <v>4</v>
      </c>
      <c r="G217">
        <v>9</v>
      </c>
      <c r="H217">
        <v>3</v>
      </c>
      <c r="I217">
        <v>9</v>
      </c>
      <c r="J217">
        <v>7</v>
      </c>
      <c r="K217">
        <v>7</v>
      </c>
      <c r="L217">
        <v>2</v>
      </c>
      <c r="M217">
        <v>9</v>
      </c>
      <c r="N217">
        <v>9</v>
      </c>
      <c r="O217">
        <v>19</v>
      </c>
      <c r="P217">
        <v>33</v>
      </c>
      <c r="Q217">
        <v>31</v>
      </c>
      <c r="R217">
        <v>41</v>
      </c>
      <c r="S217">
        <v>61</v>
      </c>
      <c r="T217">
        <v>39</v>
      </c>
      <c r="U217">
        <v>13</v>
      </c>
      <c r="V217">
        <v>10</v>
      </c>
      <c r="W217">
        <v>9</v>
      </c>
      <c r="X217">
        <v>9</v>
      </c>
      <c r="Y217">
        <v>16</v>
      </c>
      <c r="Z217">
        <v>14</v>
      </c>
    </row>
    <row r="218" spans="1:26" x14ac:dyDescent="0.2">
      <c r="A218">
        <v>2013</v>
      </c>
      <c r="B218">
        <v>1</v>
      </c>
      <c r="C218">
        <v>1</v>
      </c>
      <c r="D218">
        <v>1</v>
      </c>
      <c r="E218">
        <v>1</v>
      </c>
      <c r="F218">
        <v>3</v>
      </c>
      <c r="G218">
        <v>1</v>
      </c>
      <c r="H218">
        <v>4</v>
      </c>
      <c r="I218">
        <v>10</v>
      </c>
      <c r="J218">
        <v>13</v>
      </c>
      <c r="K218">
        <v>10</v>
      </c>
      <c r="L218">
        <v>3</v>
      </c>
      <c r="M218">
        <v>9</v>
      </c>
      <c r="N218">
        <v>11</v>
      </c>
      <c r="O218">
        <v>28</v>
      </c>
      <c r="P218">
        <v>34</v>
      </c>
      <c r="Q218">
        <v>64</v>
      </c>
      <c r="R218">
        <v>59</v>
      </c>
      <c r="S218">
        <v>69</v>
      </c>
      <c r="T218">
        <v>65</v>
      </c>
      <c r="U218">
        <v>47</v>
      </c>
      <c r="V218">
        <v>21</v>
      </c>
      <c r="W218">
        <v>16</v>
      </c>
      <c r="X218">
        <v>3</v>
      </c>
      <c r="Y218">
        <v>7</v>
      </c>
      <c r="Z218">
        <v>8</v>
      </c>
    </row>
    <row r="219" spans="1:26" x14ac:dyDescent="0.2">
      <c r="A219">
        <v>2014</v>
      </c>
      <c r="B219">
        <v>0</v>
      </c>
      <c r="C219">
        <v>0</v>
      </c>
      <c r="D219">
        <v>0</v>
      </c>
      <c r="E219">
        <v>1</v>
      </c>
      <c r="F219">
        <v>0</v>
      </c>
      <c r="G219">
        <v>0</v>
      </c>
      <c r="H219">
        <v>0</v>
      </c>
      <c r="I219">
        <v>2</v>
      </c>
      <c r="J219">
        <v>0</v>
      </c>
      <c r="K219">
        <v>5</v>
      </c>
      <c r="L219">
        <v>2</v>
      </c>
      <c r="M219">
        <v>3</v>
      </c>
      <c r="N219">
        <v>5</v>
      </c>
      <c r="O219">
        <v>14</v>
      </c>
      <c r="P219">
        <v>7</v>
      </c>
      <c r="Q219">
        <v>9</v>
      </c>
      <c r="R219">
        <v>13</v>
      </c>
      <c r="S219">
        <v>25</v>
      </c>
      <c r="T219">
        <v>21</v>
      </c>
      <c r="U219">
        <v>14</v>
      </c>
      <c r="V219">
        <v>3</v>
      </c>
      <c r="W219">
        <v>3</v>
      </c>
      <c r="X219">
        <v>1</v>
      </c>
      <c r="Y219">
        <v>2</v>
      </c>
      <c r="Z219">
        <v>2</v>
      </c>
    </row>
    <row r="220" spans="1:26" x14ac:dyDescent="0.2">
      <c r="A220">
        <v>2015</v>
      </c>
      <c r="B220">
        <v>0</v>
      </c>
      <c r="C220">
        <v>0</v>
      </c>
      <c r="D220">
        <v>0</v>
      </c>
      <c r="E220">
        <v>0</v>
      </c>
      <c r="F220">
        <v>1</v>
      </c>
      <c r="G220">
        <v>1</v>
      </c>
      <c r="H220">
        <v>0</v>
      </c>
      <c r="I220">
        <v>0</v>
      </c>
      <c r="J220">
        <v>2</v>
      </c>
      <c r="K220">
        <v>1</v>
      </c>
      <c r="L220">
        <v>0</v>
      </c>
      <c r="M220">
        <v>1</v>
      </c>
      <c r="N220">
        <v>0</v>
      </c>
      <c r="O220">
        <v>0</v>
      </c>
      <c r="P220">
        <v>0</v>
      </c>
      <c r="Q220">
        <v>0</v>
      </c>
      <c r="R220">
        <v>0</v>
      </c>
      <c r="S220">
        <v>0</v>
      </c>
      <c r="T220">
        <v>0</v>
      </c>
      <c r="U220">
        <v>0</v>
      </c>
      <c r="V220">
        <v>0</v>
      </c>
      <c r="W220">
        <v>0</v>
      </c>
      <c r="X220">
        <v>0</v>
      </c>
      <c r="Y220">
        <v>0</v>
      </c>
      <c r="Z220">
        <v>0</v>
      </c>
    </row>
    <row r="221" spans="1:26" x14ac:dyDescent="0.2">
      <c r="A221">
        <v>2016</v>
      </c>
      <c r="B221">
        <v>0</v>
      </c>
      <c r="C221">
        <v>0</v>
      </c>
      <c r="D221">
        <v>0</v>
      </c>
      <c r="E221">
        <v>0</v>
      </c>
      <c r="F221">
        <v>0</v>
      </c>
      <c r="G221">
        <v>0</v>
      </c>
      <c r="H221">
        <v>0</v>
      </c>
      <c r="I221">
        <v>0</v>
      </c>
      <c r="J221">
        <v>0</v>
      </c>
      <c r="K221">
        <v>0</v>
      </c>
      <c r="L221">
        <v>3</v>
      </c>
      <c r="M221">
        <v>2</v>
      </c>
      <c r="N221">
        <v>2</v>
      </c>
      <c r="O221">
        <v>4</v>
      </c>
      <c r="P221">
        <v>12</v>
      </c>
      <c r="Q221">
        <v>11</v>
      </c>
      <c r="R221">
        <v>10</v>
      </c>
      <c r="S221">
        <v>11</v>
      </c>
      <c r="T221">
        <v>10</v>
      </c>
      <c r="U221">
        <v>4</v>
      </c>
      <c r="V221">
        <v>3</v>
      </c>
      <c r="W221">
        <v>2</v>
      </c>
      <c r="X221">
        <v>1</v>
      </c>
      <c r="Y221">
        <v>0</v>
      </c>
      <c r="Z221">
        <v>0</v>
      </c>
    </row>
    <row r="222" spans="1:26" x14ac:dyDescent="0.2">
      <c r="A222">
        <v>2017</v>
      </c>
      <c r="B222">
        <v>0</v>
      </c>
      <c r="C222">
        <v>0</v>
      </c>
      <c r="D222">
        <v>0</v>
      </c>
      <c r="E222">
        <v>0</v>
      </c>
      <c r="F222">
        <v>0</v>
      </c>
      <c r="G222">
        <v>0</v>
      </c>
      <c r="H222">
        <v>0</v>
      </c>
      <c r="I222">
        <v>0</v>
      </c>
      <c r="J222">
        <v>0</v>
      </c>
      <c r="K222">
        <v>0</v>
      </c>
      <c r="L222">
        <v>1</v>
      </c>
      <c r="M222">
        <v>2</v>
      </c>
      <c r="N222">
        <v>3</v>
      </c>
      <c r="O222">
        <v>9</v>
      </c>
      <c r="P222">
        <v>4</v>
      </c>
      <c r="Q222">
        <v>3</v>
      </c>
      <c r="R222">
        <v>1</v>
      </c>
      <c r="S222">
        <v>3</v>
      </c>
      <c r="T222">
        <v>3</v>
      </c>
      <c r="U222">
        <v>0</v>
      </c>
      <c r="V222">
        <v>0</v>
      </c>
      <c r="W222">
        <v>0</v>
      </c>
      <c r="X222">
        <v>0</v>
      </c>
      <c r="Y222">
        <v>1</v>
      </c>
      <c r="Z222">
        <v>1</v>
      </c>
    </row>
    <row r="223" spans="1:26" x14ac:dyDescent="0.2">
      <c r="A223">
        <v>2018</v>
      </c>
      <c r="B223">
        <v>0</v>
      </c>
      <c r="C223">
        <v>2</v>
      </c>
      <c r="D223">
        <v>1</v>
      </c>
      <c r="E223">
        <v>6</v>
      </c>
      <c r="F223">
        <v>10</v>
      </c>
      <c r="G223">
        <v>16</v>
      </c>
      <c r="H223">
        <v>21</v>
      </c>
      <c r="I223">
        <v>18</v>
      </c>
      <c r="J223">
        <v>41</v>
      </c>
      <c r="K223">
        <v>54</v>
      </c>
      <c r="L223">
        <v>75</v>
      </c>
      <c r="M223">
        <v>121</v>
      </c>
      <c r="N223">
        <v>191</v>
      </c>
      <c r="O223">
        <v>454</v>
      </c>
      <c r="P223">
        <v>602</v>
      </c>
      <c r="Q223">
        <v>541</v>
      </c>
      <c r="R223">
        <v>433</v>
      </c>
      <c r="S223">
        <v>412</v>
      </c>
      <c r="T223">
        <v>543</v>
      </c>
      <c r="U223">
        <v>428</v>
      </c>
      <c r="V223">
        <v>292</v>
      </c>
      <c r="W223">
        <v>117</v>
      </c>
      <c r="X223">
        <v>36</v>
      </c>
      <c r="Y223">
        <v>12</v>
      </c>
      <c r="Z223">
        <v>3</v>
      </c>
    </row>
    <row r="224" spans="1:26" x14ac:dyDescent="0.2">
      <c r="A224">
        <v>2019</v>
      </c>
      <c r="B224">
        <v>0</v>
      </c>
      <c r="C224">
        <v>0</v>
      </c>
      <c r="D224">
        <v>0</v>
      </c>
      <c r="E224">
        <v>7</v>
      </c>
      <c r="F224">
        <v>7</v>
      </c>
      <c r="G224">
        <v>10</v>
      </c>
      <c r="H224">
        <v>31</v>
      </c>
      <c r="I224">
        <v>89</v>
      </c>
      <c r="J224">
        <v>134</v>
      </c>
      <c r="K224">
        <v>164</v>
      </c>
      <c r="L224">
        <v>175</v>
      </c>
      <c r="M224">
        <v>168</v>
      </c>
      <c r="N224">
        <v>210</v>
      </c>
      <c r="O224">
        <v>430</v>
      </c>
      <c r="P224">
        <v>667</v>
      </c>
      <c r="Q224">
        <v>923</v>
      </c>
      <c r="R224">
        <v>942</v>
      </c>
      <c r="S224">
        <v>602</v>
      </c>
      <c r="T224">
        <v>455</v>
      </c>
      <c r="U224">
        <v>393</v>
      </c>
      <c r="V224">
        <v>372</v>
      </c>
      <c r="W224">
        <v>209</v>
      </c>
      <c r="X224">
        <v>87</v>
      </c>
      <c r="Y224">
        <v>30</v>
      </c>
      <c r="Z224">
        <v>19</v>
      </c>
    </row>
    <row r="225" spans="1:26" x14ac:dyDescent="0.2">
      <c r="A225">
        <v>2020</v>
      </c>
      <c r="B225">
        <v>0</v>
      </c>
      <c r="C225">
        <v>0</v>
      </c>
      <c r="D225">
        <v>1</v>
      </c>
      <c r="E225">
        <v>4</v>
      </c>
      <c r="F225">
        <v>8</v>
      </c>
      <c r="G225">
        <v>13</v>
      </c>
      <c r="H225">
        <v>24</v>
      </c>
      <c r="I225">
        <v>45</v>
      </c>
      <c r="J225">
        <v>82</v>
      </c>
      <c r="K225">
        <v>116</v>
      </c>
      <c r="L225">
        <v>182</v>
      </c>
      <c r="M225">
        <v>351</v>
      </c>
      <c r="N225">
        <v>454</v>
      </c>
      <c r="O225">
        <v>822</v>
      </c>
      <c r="P225">
        <v>1115</v>
      </c>
      <c r="Q225">
        <v>1221</v>
      </c>
      <c r="R225">
        <v>1464</v>
      </c>
      <c r="S225">
        <v>1206</v>
      </c>
      <c r="T225">
        <v>762</v>
      </c>
      <c r="U225">
        <v>544</v>
      </c>
      <c r="V225">
        <v>362</v>
      </c>
      <c r="W225">
        <v>245</v>
      </c>
      <c r="X225">
        <v>115</v>
      </c>
      <c r="Y225">
        <v>44</v>
      </c>
      <c r="Z225">
        <v>19</v>
      </c>
    </row>
    <row r="226" spans="1:26" x14ac:dyDescent="0.2">
      <c r="A226">
        <v>2021</v>
      </c>
      <c r="B226">
        <v>0</v>
      </c>
      <c r="C226">
        <v>0</v>
      </c>
      <c r="D226">
        <v>0</v>
      </c>
      <c r="E226">
        <v>5</v>
      </c>
      <c r="F226">
        <v>13</v>
      </c>
      <c r="G226">
        <v>25</v>
      </c>
      <c r="H226">
        <v>39</v>
      </c>
      <c r="I226">
        <v>53</v>
      </c>
      <c r="J226">
        <v>75</v>
      </c>
      <c r="K226">
        <v>92</v>
      </c>
      <c r="L226">
        <v>146</v>
      </c>
      <c r="M226">
        <v>247</v>
      </c>
      <c r="N226">
        <v>418</v>
      </c>
      <c r="O226">
        <v>1153</v>
      </c>
      <c r="P226">
        <v>1061</v>
      </c>
      <c r="Q226">
        <v>1028</v>
      </c>
      <c r="R226">
        <v>1045</v>
      </c>
      <c r="S226">
        <v>994</v>
      </c>
      <c r="T226">
        <v>665</v>
      </c>
      <c r="U226">
        <v>396</v>
      </c>
      <c r="V226">
        <v>232</v>
      </c>
      <c r="W226">
        <v>159</v>
      </c>
      <c r="X226">
        <v>90</v>
      </c>
      <c r="Y226">
        <v>41</v>
      </c>
      <c r="Z226">
        <v>17</v>
      </c>
    </row>
    <row r="227" spans="1:26" x14ac:dyDescent="0.2">
      <c r="A227">
        <v>2022</v>
      </c>
      <c r="B227">
        <v>0</v>
      </c>
      <c r="C227">
        <v>0</v>
      </c>
      <c r="D227">
        <v>0</v>
      </c>
      <c r="E227">
        <v>1</v>
      </c>
      <c r="F227">
        <v>3</v>
      </c>
      <c r="G227">
        <v>1</v>
      </c>
      <c r="H227">
        <v>9</v>
      </c>
      <c r="I227">
        <v>18</v>
      </c>
      <c r="J227">
        <v>32</v>
      </c>
      <c r="K227">
        <v>67</v>
      </c>
      <c r="L227">
        <v>87</v>
      </c>
      <c r="M227">
        <v>123</v>
      </c>
      <c r="N227">
        <v>228</v>
      </c>
      <c r="O227">
        <v>586</v>
      </c>
      <c r="P227">
        <v>719</v>
      </c>
      <c r="Q227">
        <v>791</v>
      </c>
      <c r="R227">
        <v>631</v>
      </c>
      <c r="S227">
        <v>555</v>
      </c>
      <c r="T227">
        <v>491</v>
      </c>
      <c r="U227">
        <v>270</v>
      </c>
      <c r="V227">
        <v>153</v>
      </c>
      <c r="W227">
        <v>80</v>
      </c>
      <c r="X227">
        <v>39</v>
      </c>
      <c r="Y227">
        <v>30</v>
      </c>
      <c r="Z227">
        <v>10</v>
      </c>
    </row>
    <row r="228" spans="1:26" x14ac:dyDescent="0.2">
      <c r="A228">
        <v>2023</v>
      </c>
      <c r="B228">
        <v>0</v>
      </c>
      <c r="C228">
        <v>0</v>
      </c>
      <c r="D228">
        <v>1</v>
      </c>
      <c r="E228">
        <v>2</v>
      </c>
      <c r="F228">
        <v>6</v>
      </c>
      <c r="G228">
        <v>2</v>
      </c>
      <c r="H228">
        <v>1</v>
      </c>
      <c r="I228">
        <v>13</v>
      </c>
      <c r="J228">
        <v>3</v>
      </c>
      <c r="K228">
        <v>29</v>
      </c>
      <c r="L228">
        <v>82</v>
      </c>
      <c r="M228">
        <v>158</v>
      </c>
      <c r="N228">
        <v>265</v>
      </c>
      <c r="O228">
        <v>624</v>
      </c>
      <c r="P228">
        <v>702</v>
      </c>
      <c r="Q228">
        <v>676</v>
      </c>
      <c r="R228">
        <v>715</v>
      </c>
      <c r="S228">
        <v>620</v>
      </c>
      <c r="T228">
        <v>498</v>
      </c>
      <c r="U228">
        <v>282</v>
      </c>
      <c r="V228">
        <v>157</v>
      </c>
      <c r="W228">
        <v>76</v>
      </c>
      <c r="X228">
        <v>36</v>
      </c>
      <c r="Y228">
        <v>30</v>
      </c>
      <c r="Z228">
        <v>10</v>
      </c>
    </row>
    <row r="230" spans="1:26" x14ac:dyDescent="0.2">
      <c r="A230" t="s">
        <v>320</v>
      </c>
    </row>
    <row r="231" spans="1:26" x14ac:dyDescent="0.2">
      <c r="A231">
        <v>1990</v>
      </c>
      <c r="B231">
        <v>0</v>
      </c>
      <c r="C231">
        <v>0</v>
      </c>
      <c r="D231">
        <v>0</v>
      </c>
      <c r="E231">
        <v>0</v>
      </c>
      <c r="F231">
        <v>0</v>
      </c>
      <c r="G231">
        <v>0</v>
      </c>
      <c r="H231">
        <v>0</v>
      </c>
      <c r="I231">
        <v>2</v>
      </c>
      <c r="J231">
        <v>0</v>
      </c>
      <c r="K231">
        <v>0</v>
      </c>
      <c r="L231">
        <v>0</v>
      </c>
      <c r="M231">
        <v>2</v>
      </c>
      <c r="N231">
        <v>4</v>
      </c>
      <c r="O231">
        <v>41</v>
      </c>
      <c r="P231">
        <v>158</v>
      </c>
      <c r="Q231">
        <v>289</v>
      </c>
      <c r="R231">
        <v>431</v>
      </c>
      <c r="S231">
        <v>261</v>
      </c>
      <c r="T231">
        <v>141</v>
      </c>
      <c r="U231">
        <v>116</v>
      </c>
      <c r="V231">
        <v>72</v>
      </c>
      <c r="W231">
        <v>40</v>
      </c>
      <c r="X231">
        <v>10</v>
      </c>
      <c r="Y231">
        <v>14</v>
      </c>
      <c r="Z231">
        <v>5</v>
      </c>
    </row>
    <row r="232" spans="1:26" x14ac:dyDescent="0.2">
      <c r="A232">
        <v>1991</v>
      </c>
      <c r="B232">
        <v>0</v>
      </c>
      <c r="C232">
        <v>0</v>
      </c>
      <c r="D232">
        <v>0</v>
      </c>
      <c r="E232">
        <v>0</v>
      </c>
      <c r="F232">
        <v>0</v>
      </c>
      <c r="G232">
        <v>0</v>
      </c>
      <c r="H232">
        <v>0</v>
      </c>
      <c r="I232">
        <v>1</v>
      </c>
      <c r="J232">
        <v>3</v>
      </c>
      <c r="K232">
        <v>0</v>
      </c>
      <c r="L232">
        <v>6</v>
      </c>
      <c r="M232">
        <v>3</v>
      </c>
      <c r="N232">
        <v>5</v>
      </c>
      <c r="O232">
        <v>33</v>
      </c>
      <c r="P232">
        <v>41</v>
      </c>
      <c r="Q232">
        <v>49</v>
      </c>
      <c r="R232">
        <v>98</v>
      </c>
      <c r="S232">
        <v>199</v>
      </c>
      <c r="T232">
        <v>94</v>
      </c>
      <c r="U232">
        <v>37</v>
      </c>
      <c r="V232">
        <v>11</v>
      </c>
      <c r="W232">
        <v>12</v>
      </c>
      <c r="X232">
        <v>3</v>
      </c>
      <c r="Y232">
        <v>0</v>
      </c>
      <c r="Z232">
        <v>0</v>
      </c>
    </row>
    <row r="233" spans="1:26" x14ac:dyDescent="0.2">
      <c r="A233">
        <v>1992</v>
      </c>
      <c r="B233">
        <v>0</v>
      </c>
      <c r="C233">
        <v>0</v>
      </c>
      <c r="D233">
        <v>0</v>
      </c>
      <c r="E233">
        <v>1</v>
      </c>
      <c r="F233">
        <v>7</v>
      </c>
      <c r="G233">
        <v>12</v>
      </c>
      <c r="H233">
        <v>21</v>
      </c>
      <c r="I233">
        <v>33</v>
      </c>
      <c r="J233">
        <v>17</v>
      </c>
      <c r="K233">
        <v>6</v>
      </c>
      <c r="L233">
        <v>2</v>
      </c>
      <c r="M233">
        <v>0</v>
      </c>
      <c r="N233">
        <v>0</v>
      </c>
      <c r="O233">
        <v>0</v>
      </c>
      <c r="P233">
        <v>0</v>
      </c>
      <c r="Q233">
        <v>0</v>
      </c>
      <c r="R233">
        <v>0</v>
      </c>
      <c r="S233">
        <v>0</v>
      </c>
      <c r="T233">
        <v>0</v>
      </c>
      <c r="U233">
        <v>0</v>
      </c>
      <c r="V233">
        <v>0</v>
      </c>
      <c r="W233">
        <v>0</v>
      </c>
      <c r="X233">
        <v>0</v>
      </c>
      <c r="Y233">
        <v>0</v>
      </c>
      <c r="Z233">
        <v>0</v>
      </c>
    </row>
    <row r="234" spans="1:26" x14ac:dyDescent="0.2">
      <c r="A234">
        <v>1993</v>
      </c>
      <c r="B234">
        <v>0</v>
      </c>
      <c r="C234">
        <v>0</v>
      </c>
      <c r="D234">
        <v>0</v>
      </c>
      <c r="E234">
        <v>0</v>
      </c>
      <c r="F234">
        <v>0</v>
      </c>
      <c r="G234">
        <v>0</v>
      </c>
      <c r="H234">
        <v>1</v>
      </c>
      <c r="I234">
        <v>3</v>
      </c>
      <c r="J234">
        <v>3</v>
      </c>
      <c r="K234">
        <v>1</v>
      </c>
      <c r="L234">
        <v>1</v>
      </c>
      <c r="M234">
        <v>0</v>
      </c>
      <c r="N234">
        <v>0</v>
      </c>
      <c r="O234">
        <v>0</v>
      </c>
      <c r="P234">
        <v>0</v>
      </c>
      <c r="Q234">
        <v>0</v>
      </c>
      <c r="R234">
        <v>0</v>
      </c>
      <c r="S234">
        <v>0</v>
      </c>
      <c r="T234">
        <v>0</v>
      </c>
      <c r="U234">
        <v>0</v>
      </c>
      <c r="V234">
        <v>0</v>
      </c>
      <c r="W234">
        <v>0</v>
      </c>
      <c r="X234">
        <v>0</v>
      </c>
      <c r="Y234">
        <v>0</v>
      </c>
      <c r="Z234">
        <v>0</v>
      </c>
    </row>
    <row r="235" spans="1:26" x14ac:dyDescent="0.2">
      <c r="A235">
        <v>1994</v>
      </c>
      <c r="B235">
        <v>0</v>
      </c>
      <c r="C235">
        <v>0</v>
      </c>
      <c r="D235">
        <v>0</v>
      </c>
      <c r="E235">
        <v>0</v>
      </c>
      <c r="F235">
        <v>3</v>
      </c>
      <c r="G235">
        <v>14</v>
      </c>
      <c r="H235">
        <v>21</v>
      </c>
      <c r="I235">
        <v>49</v>
      </c>
      <c r="J235">
        <v>27</v>
      </c>
      <c r="K235">
        <v>13</v>
      </c>
      <c r="L235">
        <v>1</v>
      </c>
      <c r="M235">
        <v>0</v>
      </c>
      <c r="N235">
        <v>0</v>
      </c>
      <c r="O235">
        <v>0</v>
      </c>
      <c r="P235">
        <v>0</v>
      </c>
      <c r="Q235">
        <v>0</v>
      </c>
      <c r="R235">
        <v>0</v>
      </c>
      <c r="S235">
        <v>0</v>
      </c>
      <c r="T235">
        <v>0</v>
      </c>
      <c r="U235">
        <v>0</v>
      </c>
      <c r="V235">
        <v>0</v>
      </c>
      <c r="W235">
        <v>0</v>
      </c>
      <c r="X235">
        <v>0</v>
      </c>
      <c r="Y235">
        <v>0</v>
      </c>
      <c r="Z235">
        <v>0</v>
      </c>
    </row>
    <row r="236" spans="1:26" x14ac:dyDescent="0.2">
      <c r="A236">
        <v>1998</v>
      </c>
      <c r="B236">
        <v>0</v>
      </c>
      <c r="C236">
        <v>0</v>
      </c>
      <c r="D236">
        <v>0</v>
      </c>
      <c r="E236">
        <v>0</v>
      </c>
      <c r="F236">
        <v>0</v>
      </c>
      <c r="G236">
        <v>0</v>
      </c>
      <c r="H236">
        <v>1</v>
      </c>
      <c r="I236">
        <v>1</v>
      </c>
      <c r="J236">
        <v>2</v>
      </c>
      <c r="K236">
        <v>0</v>
      </c>
      <c r="L236">
        <v>0</v>
      </c>
      <c r="M236">
        <v>0</v>
      </c>
      <c r="N236">
        <v>0</v>
      </c>
      <c r="O236">
        <v>1</v>
      </c>
      <c r="P236">
        <v>13</v>
      </c>
      <c r="Q236">
        <v>18</v>
      </c>
      <c r="R236">
        <v>13</v>
      </c>
      <c r="S236">
        <v>8</v>
      </c>
      <c r="T236">
        <v>8</v>
      </c>
      <c r="U236">
        <v>1</v>
      </c>
      <c r="V236">
        <v>1</v>
      </c>
      <c r="W236">
        <v>0</v>
      </c>
      <c r="X236">
        <v>0</v>
      </c>
      <c r="Y236">
        <v>0</v>
      </c>
      <c r="Z236">
        <v>0</v>
      </c>
    </row>
    <row r="237" spans="1:26" x14ac:dyDescent="0.2">
      <c r="A237">
        <v>1999</v>
      </c>
      <c r="B237">
        <v>0</v>
      </c>
      <c r="C237">
        <v>0</v>
      </c>
      <c r="D237">
        <v>0</v>
      </c>
      <c r="E237">
        <v>0</v>
      </c>
      <c r="F237">
        <v>0</v>
      </c>
      <c r="G237">
        <v>0</v>
      </c>
      <c r="H237">
        <v>1</v>
      </c>
      <c r="I237">
        <v>4</v>
      </c>
      <c r="J237">
        <v>3</v>
      </c>
      <c r="K237">
        <v>11</v>
      </c>
      <c r="L237">
        <v>15</v>
      </c>
      <c r="M237">
        <v>35</v>
      </c>
      <c r="N237">
        <v>29</v>
      </c>
      <c r="O237">
        <v>38</v>
      </c>
      <c r="P237">
        <v>63</v>
      </c>
      <c r="Q237">
        <v>63</v>
      </c>
      <c r="R237">
        <v>48</v>
      </c>
      <c r="S237">
        <v>27</v>
      </c>
      <c r="T237">
        <v>13</v>
      </c>
      <c r="U237">
        <v>4</v>
      </c>
      <c r="V237">
        <v>2</v>
      </c>
      <c r="W237">
        <v>4</v>
      </c>
      <c r="X237">
        <v>2</v>
      </c>
      <c r="Y237">
        <v>0</v>
      </c>
      <c r="Z237">
        <v>1</v>
      </c>
    </row>
    <row r="238" spans="1:26" x14ac:dyDescent="0.2">
      <c r="A238">
        <v>2000</v>
      </c>
      <c r="B238">
        <v>0</v>
      </c>
      <c r="C238">
        <v>0</v>
      </c>
      <c r="D238">
        <v>0</v>
      </c>
      <c r="E238">
        <v>0</v>
      </c>
      <c r="F238">
        <v>2</v>
      </c>
      <c r="G238">
        <v>0</v>
      </c>
      <c r="H238">
        <v>9</v>
      </c>
      <c r="I238">
        <v>10</v>
      </c>
      <c r="J238">
        <v>16</v>
      </c>
      <c r="K238">
        <v>19</v>
      </c>
      <c r="L238">
        <v>14</v>
      </c>
      <c r="M238">
        <v>21</v>
      </c>
      <c r="N238">
        <v>34</v>
      </c>
      <c r="O238">
        <v>59</v>
      </c>
      <c r="P238">
        <v>83</v>
      </c>
      <c r="Q238">
        <v>68</v>
      </c>
      <c r="R238">
        <v>58</v>
      </c>
      <c r="S238">
        <v>50</v>
      </c>
      <c r="T238">
        <v>36</v>
      </c>
      <c r="U238">
        <v>19</v>
      </c>
      <c r="V238">
        <v>9</v>
      </c>
      <c r="W238">
        <v>7</v>
      </c>
      <c r="X238">
        <v>4</v>
      </c>
      <c r="Y238">
        <v>5</v>
      </c>
      <c r="Z238">
        <v>2</v>
      </c>
    </row>
    <row r="239" spans="1:26" x14ac:dyDescent="0.2">
      <c r="A239">
        <v>2001</v>
      </c>
      <c r="B239">
        <v>0</v>
      </c>
      <c r="C239">
        <v>0</v>
      </c>
      <c r="D239">
        <v>0</v>
      </c>
      <c r="E239">
        <v>1</v>
      </c>
      <c r="F239">
        <v>5</v>
      </c>
      <c r="G239">
        <v>1</v>
      </c>
      <c r="H239">
        <v>3</v>
      </c>
      <c r="I239">
        <v>2</v>
      </c>
      <c r="J239">
        <v>9</v>
      </c>
      <c r="K239">
        <v>16</v>
      </c>
      <c r="L239">
        <v>29</v>
      </c>
      <c r="M239">
        <v>53</v>
      </c>
      <c r="N239">
        <v>77</v>
      </c>
      <c r="O239">
        <v>166</v>
      </c>
      <c r="P239">
        <v>176</v>
      </c>
      <c r="Q239">
        <v>147</v>
      </c>
      <c r="R239">
        <v>98</v>
      </c>
      <c r="S239">
        <v>90</v>
      </c>
      <c r="T239">
        <v>71</v>
      </c>
      <c r="U239">
        <v>41</v>
      </c>
      <c r="V239">
        <v>22</v>
      </c>
      <c r="W239">
        <v>11</v>
      </c>
      <c r="X239">
        <v>9</v>
      </c>
      <c r="Y239">
        <v>3</v>
      </c>
      <c r="Z239">
        <v>2</v>
      </c>
    </row>
    <row r="240" spans="1:26" x14ac:dyDescent="0.2">
      <c r="A240">
        <v>2002</v>
      </c>
      <c r="B240">
        <v>1</v>
      </c>
      <c r="C240">
        <v>0</v>
      </c>
      <c r="D240">
        <v>1</v>
      </c>
      <c r="E240">
        <v>0</v>
      </c>
      <c r="F240">
        <v>2</v>
      </c>
      <c r="G240">
        <v>1</v>
      </c>
      <c r="H240">
        <v>7</v>
      </c>
      <c r="I240">
        <v>13</v>
      </c>
      <c r="J240">
        <v>29</v>
      </c>
      <c r="K240">
        <v>28</v>
      </c>
      <c r="L240">
        <v>42</v>
      </c>
      <c r="M240">
        <v>62</v>
      </c>
      <c r="N240">
        <v>80</v>
      </c>
      <c r="O240">
        <v>151</v>
      </c>
      <c r="P240">
        <v>188</v>
      </c>
      <c r="Q240">
        <v>175</v>
      </c>
      <c r="R240">
        <v>154</v>
      </c>
      <c r="S240">
        <v>88</v>
      </c>
      <c r="T240">
        <v>52</v>
      </c>
      <c r="U240">
        <v>20</v>
      </c>
      <c r="V240">
        <v>13</v>
      </c>
      <c r="W240">
        <v>3</v>
      </c>
      <c r="X240">
        <v>7</v>
      </c>
      <c r="Y240">
        <v>8</v>
      </c>
      <c r="Z240">
        <v>2</v>
      </c>
    </row>
    <row r="241" spans="1:26" x14ac:dyDescent="0.2">
      <c r="A241">
        <v>2003</v>
      </c>
      <c r="B241">
        <v>1</v>
      </c>
      <c r="C241">
        <v>1</v>
      </c>
      <c r="D241">
        <v>0</v>
      </c>
      <c r="E241">
        <v>2</v>
      </c>
      <c r="F241">
        <v>3</v>
      </c>
      <c r="G241">
        <v>6</v>
      </c>
      <c r="H241">
        <v>16</v>
      </c>
      <c r="I241">
        <v>14</v>
      </c>
      <c r="J241">
        <v>44</v>
      </c>
      <c r="K241">
        <v>69</v>
      </c>
      <c r="L241">
        <v>70</v>
      </c>
      <c r="M241">
        <v>90</v>
      </c>
      <c r="N241">
        <v>100</v>
      </c>
      <c r="O241">
        <v>170</v>
      </c>
      <c r="P241">
        <v>172</v>
      </c>
      <c r="Q241">
        <v>149</v>
      </c>
      <c r="R241">
        <v>113</v>
      </c>
      <c r="S241">
        <v>82</v>
      </c>
      <c r="T241">
        <v>59</v>
      </c>
      <c r="U241">
        <v>31</v>
      </c>
      <c r="V241">
        <v>23</v>
      </c>
      <c r="W241">
        <v>17</v>
      </c>
      <c r="X241">
        <v>9</v>
      </c>
      <c r="Y241">
        <v>12</v>
      </c>
      <c r="Z241">
        <v>6</v>
      </c>
    </row>
    <row r="242" spans="1:26" x14ac:dyDescent="0.2">
      <c r="A242">
        <v>2004</v>
      </c>
      <c r="B242">
        <v>1</v>
      </c>
      <c r="C242">
        <v>0</v>
      </c>
      <c r="D242">
        <v>1</v>
      </c>
      <c r="E242">
        <v>1</v>
      </c>
      <c r="F242">
        <v>6</v>
      </c>
      <c r="G242">
        <v>15</v>
      </c>
      <c r="H242">
        <v>23</v>
      </c>
      <c r="I242">
        <v>45</v>
      </c>
      <c r="J242">
        <v>45</v>
      </c>
      <c r="K242">
        <v>49</v>
      </c>
      <c r="L242">
        <v>88</v>
      </c>
      <c r="M242">
        <v>125</v>
      </c>
      <c r="N242">
        <v>138</v>
      </c>
      <c r="O242">
        <v>233</v>
      </c>
      <c r="P242">
        <v>219</v>
      </c>
      <c r="Q242">
        <v>143</v>
      </c>
      <c r="R242">
        <v>82</v>
      </c>
      <c r="S242">
        <v>49</v>
      </c>
      <c r="T242">
        <v>33</v>
      </c>
      <c r="U242">
        <v>23</v>
      </c>
      <c r="V242">
        <v>18</v>
      </c>
      <c r="W242">
        <v>14</v>
      </c>
      <c r="X242">
        <v>8</v>
      </c>
      <c r="Y242">
        <v>12</v>
      </c>
      <c r="Z242">
        <v>6</v>
      </c>
    </row>
    <row r="243" spans="1:26" x14ac:dyDescent="0.2">
      <c r="A243">
        <v>2005</v>
      </c>
      <c r="B243">
        <v>0</v>
      </c>
      <c r="C243">
        <v>0</v>
      </c>
      <c r="D243">
        <v>3</v>
      </c>
      <c r="E243">
        <v>1</v>
      </c>
      <c r="F243">
        <v>1</v>
      </c>
      <c r="G243">
        <v>7</v>
      </c>
      <c r="H243">
        <v>16</v>
      </c>
      <c r="I243">
        <v>35</v>
      </c>
      <c r="J243">
        <v>52</v>
      </c>
      <c r="K243">
        <v>89</v>
      </c>
      <c r="L243">
        <v>67</v>
      </c>
      <c r="M243">
        <v>71</v>
      </c>
      <c r="N243">
        <v>100</v>
      </c>
      <c r="O243">
        <v>160</v>
      </c>
      <c r="P243">
        <v>126</v>
      </c>
      <c r="Q243">
        <v>82</v>
      </c>
      <c r="R243">
        <v>45</v>
      </c>
      <c r="S243">
        <v>31</v>
      </c>
      <c r="T243">
        <v>18</v>
      </c>
      <c r="U243">
        <v>14</v>
      </c>
      <c r="V243">
        <v>12</v>
      </c>
      <c r="W243">
        <v>8</v>
      </c>
      <c r="X243">
        <v>8</v>
      </c>
      <c r="Y243">
        <v>1</v>
      </c>
      <c r="Z243">
        <v>1</v>
      </c>
    </row>
    <row r="244" spans="1:26" x14ac:dyDescent="0.2">
      <c r="A244">
        <v>2006</v>
      </c>
      <c r="B244">
        <v>0</v>
      </c>
      <c r="C244">
        <v>0</v>
      </c>
      <c r="D244">
        <v>0</v>
      </c>
      <c r="E244">
        <v>2</v>
      </c>
      <c r="F244">
        <v>2</v>
      </c>
      <c r="G244">
        <v>6</v>
      </c>
      <c r="H244">
        <v>19</v>
      </c>
      <c r="I244">
        <v>19</v>
      </c>
      <c r="J244">
        <v>32</v>
      </c>
      <c r="K244">
        <v>30</v>
      </c>
      <c r="L244">
        <v>39</v>
      </c>
      <c r="M244">
        <v>61</v>
      </c>
      <c r="N244">
        <v>83</v>
      </c>
      <c r="O244">
        <v>118</v>
      </c>
      <c r="P244">
        <v>83</v>
      </c>
      <c r="Q244">
        <v>55</v>
      </c>
      <c r="R244">
        <v>44</v>
      </c>
      <c r="S244">
        <v>25</v>
      </c>
      <c r="T244">
        <v>26</v>
      </c>
      <c r="U244">
        <v>9</v>
      </c>
      <c r="V244">
        <v>6</v>
      </c>
      <c r="W244">
        <v>4</v>
      </c>
      <c r="X244">
        <v>3</v>
      </c>
      <c r="Y244">
        <v>2</v>
      </c>
      <c r="Z244">
        <v>1</v>
      </c>
    </row>
    <row r="245" spans="1:26" x14ac:dyDescent="0.2">
      <c r="A245">
        <v>2007</v>
      </c>
      <c r="B245">
        <v>0</v>
      </c>
      <c r="C245">
        <v>1</v>
      </c>
      <c r="D245">
        <v>0</v>
      </c>
      <c r="E245">
        <v>0</v>
      </c>
      <c r="F245">
        <v>0</v>
      </c>
      <c r="G245">
        <v>1</v>
      </c>
      <c r="H245">
        <v>2</v>
      </c>
      <c r="I245">
        <v>4</v>
      </c>
      <c r="J245">
        <v>9</v>
      </c>
      <c r="K245">
        <v>6</v>
      </c>
      <c r="L245">
        <v>13</v>
      </c>
      <c r="M245">
        <v>21</v>
      </c>
      <c r="N245">
        <v>14</v>
      </c>
      <c r="O245">
        <v>27</v>
      </c>
      <c r="P245">
        <v>25</v>
      </c>
      <c r="Q245">
        <v>20</v>
      </c>
      <c r="R245">
        <v>18</v>
      </c>
      <c r="S245">
        <v>5</v>
      </c>
      <c r="T245">
        <v>4</v>
      </c>
      <c r="U245">
        <v>3</v>
      </c>
      <c r="V245">
        <v>4</v>
      </c>
      <c r="W245">
        <v>4</v>
      </c>
      <c r="X245">
        <v>1</v>
      </c>
      <c r="Y245">
        <v>5</v>
      </c>
      <c r="Z245">
        <v>5</v>
      </c>
    </row>
    <row r="246" spans="1:26" x14ac:dyDescent="0.2">
      <c r="A246">
        <v>2008</v>
      </c>
      <c r="B246">
        <v>0</v>
      </c>
      <c r="C246">
        <v>0</v>
      </c>
      <c r="D246">
        <v>0</v>
      </c>
      <c r="E246">
        <v>1</v>
      </c>
      <c r="F246">
        <v>1</v>
      </c>
      <c r="G246">
        <v>8</v>
      </c>
      <c r="H246">
        <v>22</v>
      </c>
      <c r="I246">
        <v>21</v>
      </c>
      <c r="J246">
        <v>14</v>
      </c>
      <c r="K246">
        <v>21</v>
      </c>
      <c r="L246">
        <v>23</v>
      </c>
      <c r="M246">
        <v>39</v>
      </c>
      <c r="N246">
        <v>65</v>
      </c>
      <c r="O246">
        <v>124</v>
      </c>
      <c r="P246">
        <v>99</v>
      </c>
      <c r="Q246">
        <v>64</v>
      </c>
      <c r="R246">
        <v>31</v>
      </c>
      <c r="S246">
        <v>22</v>
      </c>
      <c r="T246">
        <v>14</v>
      </c>
      <c r="U246">
        <v>12</v>
      </c>
      <c r="V246">
        <v>6</v>
      </c>
      <c r="W246">
        <v>3</v>
      </c>
      <c r="X246">
        <v>5</v>
      </c>
      <c r="Y246">
        <v>3</v>
      </c>
      <c r="Z246">
        <v>1</v>
      </c>
    </row>
    <row r="247" spans="1:26" x14ac:dyDescent="0.2">
      <c r="A247">
        <v>2009</v>
      </c>
      <c r="B247">
        <v>0</v>
      </c>
      <c r="C247">
        <v>0</v>
      </c>
      <c r="D247">
        <v>0</v>
      </c>
      <c r="E247">
        <v>0</v>
      </c>
      <c r="F247">
        <v>0</v>
      </c>
      <c r="G247">
        <v>1</v>
      </c>
      <c r="H247">
        <v>1</v>
      </c>
      <c r="I247">
        <v>4</v>
      </c>
      <c r="J247">
        <v>1</v>
      </c>
      <c r="K247">
        <v>3</v>
      </c>
      <c r="L247">
        <v>4</v>
      </c>
      <c r="M247">
        <v>4</v>
      </c>
      <c r="N247">
        <v>23</v>
      </c>
      <c r="O247">
        <v>39</v>
      </c>
      <c r="P247">
        <v>39</v>
      </c>
      <c r="Q247">
        <v>20</v>
      </c>
      <c r="R247">
        <v>22</v>
      </c>
      <c r="S247">
        <v>25</v>
      </c>
      <c r="T247">
        <v>11</v>
      </c>
      <c r="U247">
        <v>5</v>
      </c>
      <c r="V247">
        <v>8</v>
      </c>
      <c r="W247">
        <v>4</v>
      </c>
      <c r="X247">
        <v>4</v>
      </c>
      <c r="Y247">
        <v>0</v>
      </c>
      <c r="Z247">
        <v>0</v>
      </c>
    </row>
    <row r="248" spans="1:26" x14ac:dyDescent="0.2">
      <c r="A248">
        <v>2010</v>
      </c>
      <c r="B248">
        <v>0</v>
      </c>
      <c r="C248">
        <v>0</v>
      </c>
      <c r="D248">
        <v>0</v>
      </c>
      <c r="E248">
        <v>0</v>
      </c>
      <c r="F248">
        <v>1</v>
      </c>
      <c r="G248">
        <v>0</v>
      </c>
      <c r="H248">
        <v>0</v>
      </c>
      <c r="I248">
        <v>4</v>
      </c>
      <c r="J248">
        <v>2</v>
      </c>
      <c r="K248">
        <v>1</v>
      </c>
      <c r="L248">
        <v>1</v>
      </c>
      <c r="M248">
        <v>2</v>
      </c>
      <c r="N248">
        <v>4</v>
      </c>
      <c r="O248">
        <v>40</v>
      </c>
      <c r="P248">
        <v>72</v>
      </c>
      <c r="Q248">
        <v>48</v>
      </c>
      <c r="R248">
        <v>12</v>
      </c>
      <c r="S248">
        <v>9</v>
      </c>
      <c r="T248">
        <v>12</v>
      </c>
      <c r="U248">
        <v>7</v>
      </c>
      <c r="V248">
        <v>12</v>
      </c>
      <c r="W248">
        <v>7</v>
      </c>
      <c r="X248">
        <v>0</v>
      </c>
      <c r="Y248">
        <v>0</v>
      </c>
      <c r="Z248">
        <v>0</v>
      </c>
    </row>
    <row r="249" spans="1:26" x14ac:dyDescent="0.2">
      <c r="A249">
        <v>2011</v>
      </c>
      <c r="B249">
        <v>0</v>
      </c>
      <c r="C249">
        <v>0</v>
      </c>
      <c r="D249">
        <v>0</v>
      </c>
      <c r="E249">
        <v>0</v>
      </c>
      <c r="F249">
        <v>1</v>
      </c>
      <c r="G249">
        <v>3</v>
      </c>
      <c r="H249">
        <v>3</v>
      </c>
      <c r="I249">
        <v>7</v>
      </c>
      <c r="J249">
        <v>6</v>
      </c>
      <c r="K249">
        <v>5</v>
      </c>
      <c r="L249">
        <v>10</v>
      </c>
      <c r="M249">
        <v>4</v>
      </c>
      <c r="N249">
        <v>15</v>
      </c>
      <c r="O249">
        <v>55</v>
      </c>
      <c r="P249">
        <v>82</v>
      </c>
      <c r="Q249">
        <v>48</v>
      </c>
      <c r="R249">
        <v>20</v>
      </c>
      <c r="S249">
        <v>21</v>
      </c>
      <c r="T249">
        <v>10</v>
      </c>
      <c r="U249">
        <v>5</v>
      </c>
      <c r="V249">
        <v>2</v>
      </c>
      <c r="W249">
        <v>0</v>
      </c>
      <c r="X249">
        <v>3</v>
      </c>
      <c r="Y249">
        <v>0</v>
      </c>
      <c r="Z249">
        <v>3</v>
      </c>
    </row>
    <row r="250" spans="1:26" x14ac:dyDescent="0.2">
      <c r="A250">
        <v>2012</v>
      </c>
      <c r="B250">
        <v>0</v>
      </c>
      <c r="C250">
        <v>0</v>
      </c>
      <c r="D250">
        <v>0</v>
      </c>
      <c r="E250">
        <v>0</v>
      </c>
      <c r="F250">
        <v>3</v>
      </c>
      <c r="G250">
        <v>1</v>
      </c>
      <c r="H250">
        <v>3</v>
      </c>
      <c r="I250">
        <v>4</v>
      </c>
      <c r="J250">
        <v>5</v>
      </c>
      <c r="K250">
        <v>3</v>
      </c>
      <c r="L250">
        <v>5</v>
      </c>
      <c r="M250">
        <v>9</v>
      </c>
      <c r="N250">
        <v>10</v>
      </c>
      <c r="O250">
        <v>20</v>
      </c>
      <c r="P250">
        <v>30</v>
      </c>
      <c r="Q250">
        <v>26</v>
      </c>
      <c r="R250">
        <v>16</v>
      </c>
      <c r="S250">
        <v>16</v>
      </c>
      <c r="T250">
        <v>6</v>
      </c>
      <c r="U250">
        <v>5</v>
      </c>
      <c r="V250">
        <v>1</v>
      </c>
      <c r="W250">
        <v>0</v>
      </c>
      <c r="X250">
        <v>0</v>
      </c>
      <c r="Y250">
        <v>1</v>
      </c>
      <c r="Z250">
        <v>1</v>
      </c>
    </row>
    <row r="251" spans="1:26" x14ac:dyDescent="0.2">
      <c r="A251">
        <v>2013</v>
      </c>
      <c r="B251">
        <v>0</v>
      </c>
      <c r="C251">
        <v>0</v>
      </c>
      <c r="D251">
        <v>0</v>
      </c>
      <c r="E251">
        <v>0</v>
      </c>
      <c r="F251">
        <v>0</v>
      </c>
      <c r="G251">
        <v>1</v>
      </c>
      <c r="H251">
        <v>2</v>
      </c>
      <c r="I251">
        <v>1</v>
      </c>
      <c r="J251">
        <v>2</v>
      </c>
      <c r="K251">
        <v>2</v>
      </c>
      <c r="L251">
        <v>7</v>
      </c>
      <c r="M251">
        <v>1</v>
      </c>
      <c r="N251">
        <v>5</v>
      </c>
      <c r="O251">
        <v>17</v>
      </c>
      <c r="P251">
        <v>41</v>
      </c>
      <c r="Q251">
        <v>29</v>
      </c>
      <c r="R251">
        <v>25</v>
      </c>
      <c r="S251">
        <v>4</v>
      </c>
      <c r="T251">
        <v>8</v>
      </c>
      <c r="U251">
        <v>5</v>
      </c>
      <c r="V251">
        <v>3</v>
      </c>
      <c r="W251">
        <v>0</v>
      </c>
      <c r="X251">
        <v>0</v>
      </c>
      <c r="Y251">
        <v>0</v>
      </c>
      <c r="Z251">
        <v>0</v>
      </c>
    </row>
    <row r="252" spans="1:26" x14ac:dyDescent="0.2">
      <c r="A252">
        <v>2014</v>
      </c>
      <c r="B252">
        <v>0</v>
      </c>
      <c r="C252">
        <v>0</v>
      </c>
      <c r="D252">
        <v>0</v>
      </c>
      <c r="E252">
        <v>0</v>
      </c>
      <c r="F252">
        <v>4</v>
      </c>
      <c r="G252">
        <v>2</v>
      </c>
      <c r="H252">
        <v>2</v>
      </c>
      <c r="I252">
        <v>2</v>
      </c>
      <c r="J252">
        <v>1</v>
      </c>
      <c r="K252">
        <v>2</v>
      </c>
      <c r="L252">
        <v>2</v>
      </c>
      <c r="M252">
        <v>4</v>
      </c>
      <c r="N252">
        <v>11</v>
      </c>
      <c r="O252">
        <v>16</v>
      </c>
      <c r="P252">
        <v>17</v>
      </c>
      <c r="Q252">
        <v>17</v>
      </c>
      <c r="R252">
        <v>7</v>
      </c>
      <c r="S252">
        <v>8</v>
      </c>
      <c r="T252">
        <v>7</v>
      </c>
      <c r="U252">
        <v>9</v>
      </c>
      <c r="V252">
        <v>1</v>
      </c>
      <c r="W252">
        <v>1</v>
      </c>
      <c r="X252">
        <v>0</v>
      </c>
      <c r="Y252">
        <v>0</v>
      </c>
      <c r="Z252">
        <v>0</v>
      </c>
    </row>
    <row r="253" spans="1:26" x14ac:dyDescent="0.2">
      <c r="A253">
        <v>2015</v>
      </c>
      <c r="B253">
        <v>0</v>
      </c>
      <c r="C253">
        <v>0</v>
      </c>
      <c r="D253">
        <v>0</v>
      </c>
      <c r="E253">
        <v>0</v>
      </c>
      <c r="F253">
        <v>0</v>
      </c>
      <c r="G253">
        <v>0</v>
      </c>
      <c r="H253">
        <v>0</v>
      </c>
      <c r="I253">
        <v>1</v>
      </c>
      <c r="J253">
        <v>0</v>
      </c>
      <c r="K253">
        <v>2</v>
      </c>
      <c r="L253">
        <v>1</v>
      </c>
      <c r="M253">
        <v>1</v>
      </c>
      <c r="N253">
        <v>0</v>
      </c>
      <c r="O253">
        <v>0</v>
      </c>
      <c r="P253">
        <v>0</v>
      </c>
      <c r="Q253">
        <v>2</v>
      </c>
      <c r="R253">
        <v>1</v>
      </c>
      <c r="S253">
        <v>0</v>
      </c>
      <c r="T253">
        <v>1</v>
      </c>
      <c r="U253">
        <v>0</v>
      </c>
      <c r="V253">
        <v>1</v>
      </c>
      <c r="W253">
        <v>0</v>
      </c>
      <c r="X253">
        <v>0</v>
      </c>
      <c r="Y253">
        <v>0</v>
      </c>
      <c r="Z253">
        <v>0</v>
      </c>
    </row>
    <row r="254" spans="1:26" x14ac:dyDescent="0.2">
      <c r="A254">
        <v>2016</v>
      </c>
      <c r="B254">
        <v>0</v>
      </c>
      <c r="C254">
        <v>0</v>
      </c>
      <c r="D254">
        <v>0</v>
      </c>
      <c r="E254">
        <v>0</v>
      </c>
      <c r="F254">
        <v>0</v>
      </c>
      <c r="G254">
        <v>0</v>
      </c>
      <c r="H254">
        <v>1</v>
      </c>
      <c r="I254">
        <v>0</v>
      </c>
      <c r="J254">
        <v>1</v>
      </c>
      <c r="K254">
        <v>0</v>
      </c>
      <c r="L254">
        <v>2</v>
      </c>
      <c r="M254">
        <v>3</v>
      </c>
      <c r="N254">
        <v>4</v>
      </c>
      <c r="O254">
        <v>2</v>
      </c>
      <c r="P254">
        <v>10</v>
      </c>
      <c r="Q254">
        <v>8</v>
      </c>
      <c r="R254">
        <v>10</v>
      </c>
      <c r="S254">
        <v>5</v>
      </c>
      <c r="T254">
        <v>3</v>
      </c>
      <c r="U254">
        <v>1</v>
      </c>
      <c r="V254">
        <v>0</v>
      </c>
      <c r="W254">
        <v>3</v>
      </c>
      <c r="X254">
        <v>0</v>
      </c>
      <c r="Y254">
        <v>0</v>
      </c>
      <c r="Z254">
        <v>0</v>
      </c>
    </row>
    <row r="255" spans="1:26" x14ac:dyDescent="0.2">
      <c r="A255">
        <v>2017</v>
      </c>
      <c r="B255">
        <v>0</v>
      </c>
      <c r="C255">
        <v>0</v>
      </c>
      <c r="D255">
        <v>0</v>
      </c>
      <c r="E255">
        <v>0</v>
      </c>
      <c r="F255">
        <v>0</v>
      </c>
      <c r="G255">
        <v>0</v>
      </c>
      <c r="H255">
        <v>0</v>
      </c>
      <c r="I255">
        <v>0</v>
      </c>
      <c r="J255">
        <v>0</v>
      </c>
      <c r="K255">
        <v>0</v>
      </c>
      <c r="L255">
        <v>0</v>
      </c>
      <c r="M255">
        <v>1</v>
      </c>
      <c r="N255">
        <v>3</v>
      </c>
      <c r="O255">
        <v>5</v>
      </c>
      <c r="P255">
        <v>3</v>
      </c>
      <c r="Q255">
        <v>3</v>
      </c>
      <c r="R255">
        <v>1</v>
      </c>
      <c r="S255">
        <v>0</v>
      </c>
      <c r="T255">
        <v>0</v>
      </c>
      <c r="U255">
        <v>0</v>
      </c>
      <c r="V255">
        <v>1</v>
      </c>
      <c r="W255">
        <v>0</v>
      </c>
      <c r="X255">
        <v>0</v>
      </c>
      <c r="Y255">
        <v>1</v>
      </c>
      <c r="Z255">
        <v>1</v>
      </c>
    </row>
    <row r="256" spans="1:26" x14ac:dyDescent="0.2">
      <c r="A256">
        <v>2018</v>
      </c>
      <c r="B256">
        <v>1</v>
      </c>
      <c r="C256">
        <v>0</v>
      </c>
      <c r="D256">
        <v>2</v>
      </c>
      <c r="E256">
        <v>9</v>
      </c>
      <c r="F256">
        <v>18</v>
      </c>
      <c r="G256">
        <v>29</v>
      </c>
      <c r="H256">
        <v>23</v>
      </c>
      <c r="I256">
        <v>43</v>
      </c>
      <c r="J256">
        <v>63</v>
      </c>
      <c r="K256">
        <v>75</v>
      </c>
      <c r="L256">
        <v>123</v>
      </c>
      <c r="M256">
        <v>208</v>
      </c>
      <c r="N256">
        <v>274</v>
      </c>
      <c r="O256">
        <v>570</v>
      </c>
      <c r="P256">
        <v>536</v>
      </c>
      <c r="Q256">
        <v>329</v>
      </c>
      <c r="R256">
        <v>213</v>
      </c>
      <c r="S256">
        <v>105</v>
      </c>
      <c r="T256">
        <v>110</v>
      </c>
      <c r="U256">
        <v>69</v>
      </c>
      <c r="V256">
        <v>39</v>
      </c>
      <c r="W256">
        <v>14</v>
      </c>
      <c r="X256">
        <v>5</v>
      </c>
      <c r="Y256">
        <v>3</v>
      </c>
      <c r="Z256">
        <v>0</v>
      </c>
    </row>
    <row r="257" spans="1:26" x14ac:dyDescent="0.2">
      <c r="A257">
        <v>2019</v>
      </c>
      <c r="B257">
        <v>1</v>
      </c>
      <c r="C257">
        <v>1</v>
      </c>
      <c r="D257">
        <v>1</v>
      </c>
      <c r="E257">
        <v>5</v>
      </c>
      <c r="F257">
        <v>5</v>
      </c>
      <c r="G257">
        <v>17</v>
      </c>
      <c r="H257">
        <v>60</v>
      </c>
      <c r="I257">
        <v>133</v>
      </c>
      <c r="J257">
        <v>217</v>
      </c>
      <c r="K257">
        <v>223</v>
      </c>
      <c r="L257">
        <v>192</v>
      </c>
      <c r="M257">
        <v>220</v>
      </c>
      <c r="N257">
        <v>277</v>
      </c>
      <c r="O257">
        <v>603</v>
      </c>
      <c r="P257">
        <v>820</v>
      </c>
      <c r="Q257">
        <v>628</v>
      </c>
      <c r="R257">
        <v>356</v>
      </c>
      <c r="S257">
        <v>195</v>
      </c>
      <c r="T257">
        <v>91</v>
      </c>
      <c r="U257">
        <v>85</v>
      </c>
      <c r="V257">
        <v>52</v>
      </c>
      <c r="W257">
        <v>25</v>
      </c>
      <c r="X257">
        <v>10</v>
      </c>
      <c r="Y257">
        <v>4</v>
      </c>
      <c r="Z257">
        <v>0</v>
      </c>
    </row>
    <row r="258" spans="1:26" x14ac:dyDescent="0.2">
      <c r="A258">
        <v>2020</v>
      </c>
      <c r="B258">
        <v>1</v>
      </c>
      <c r="C258">
        <v>0</v>
      </c>
      <c r="D258">
        <v>1</v>
      </c>
      <c r="E258">
        <v>4</v>
      </c>
      <c r="F258">
        <v>4</v>
      </c>
      <c r="G258">
        <v>16</v>
      </c>
      <c r="H258">
        <v>26</v>
      </c>
      <c r="I258">
        <v>37</v>
      </c>
      <c r="J258">
        <v>64</v>
      </c>
      <c r="K258">
        <v>107</v>
      </c>
      <c r="L258">
        <v>238</v>
      </c>
      <c r="M258">
        <v>326</v>
      </c>
      <c r="N258">
        <v>459</v>
      </c>
      <c r="O258">
        <v>863</v>
      </c>
      <c r="P258">
        <v>1062</v>
      </c>
      <c r="Q258">
        <v>708</v>
      </c>
      <c r="R258">
        <v>375</v>
      </c>
      <c r="S258">
        <v>150</v>
      </c>
      <c r="T258">
        <v>61</v>
      </c>
      <c r="U258">
        <v>29</v>
      </c>
      <c r="V258">
        <v>13</v>
      </c>
      <c r="W258">
        <v>20</v>
      </c>
      <c r="X258">
        <v>6</v>
      </c>
      <c r="Y258">
        <v>1</v>
      </c>
      <c r="Z258">
        <v>2</v>
      </c>
    </row>
    <row r="259" spans="1:26" x14ac:dyDescent="0.2">
      <c r="A259">
        <v>2021</v>
      </c>
      <c r="B259">
        <v>1</v>
      </c>
      <c r="C259">
        <v>0</v>
      </c>
      <c r="D259">
        <v>2</v>
      </c>
      <c r="E259">
        <v>3</v>
      </c>
      <c r="F259">
        <v>15</v>
      </c>
      <c r="G259">
        <v>35</v>
      </c>
      <c r="H259">
        <v>42</v>
      </c>
      <c r="I259">
        <v>64</v>
      </c>
      <c r="J259">
        <v>79</v>
      </c>
      <c r="K259">
        <v>102</v>
      </c>
      <c r="L259">
        <v>155</v>
      </c>
      <c r="M259">
        <v>326</v>
      </c>
      <c r="N259">
        <v>564</v>
      </c>
      <c r="O259">
        <v>956</v>
      </c>
      <c r="P259">
        <v>941</v>
      </c>
      <c r="Q259">
        <v>669</v>
      </c>
      <c r="R259">
        <v>286</v>
      </c>
      <c r="S259">
        <v>124</v>
      </c>
      <c r="T259">
        <v>68</v>
      </c>
      <c r="U259">
        <v>32</v>
      </c>
      <c r="V259">
        <v>26</v>
      </c>
      <c r="W259">
        <v>12</v>
      </c>
      <c r="X259">
        <v>9</v>
      </c>
      <c r="Y259">
        <v>3</v>
      </c>
      <c r="Z259">
        <v>1</v>
      </c>
    </row>
    <row r="260" spans="1:26" x14ac:dyDescent="0.2">
      <c r="A260">
        <v>2022</v>
      </c>
      <c r="B260">
        <v>0</v>
      </c>
      <c r="C260">
        <v>0</v>
      </c>
      <c r="D260">
        <v>2</v>
      </c>
      <c r="E260">
        <v>0</v>
      </c>
      <c r="F260">
        <v>0</v>
      </c>
      <c r="G260">
        <v>2</v>
      </c>
      <c r="H260">
        <v>10</v>
      </c>
      <c r="I260">
        <v>22</v>
      </c>
      <c r="J260">
        <v>30</v>
      </c>
      <c r="K260">
        <v>66</v>
      </c>
      <c r="L260">
        <v>93</v>
      </c>
      <c r="M260">
        <v>180</v>
      </c>
      <c r="N260">
        <v>337</v>
      </c>
      <c r="O260">
        <v>1099</v>
      </c>
      <c r="P260">
        <v>849</v>
      </c>
      <c r="Q260">
        <v>589</v>
      </c>
      <c r="R260">
        <v>306</v>
      </c>
      <c r="S260">
        <v>164</v>
      </c>
      <c r="T260">
        <v>80</v>
      </c>
      <c r="U260">
        <v>53</v>
      </c>
      <c r="V260">
        <v>31</v>
      </c>
      <c r="W260">
        <v>13</v>
      </c>
      <c r="X260">
        <v>15</v>
      </c>
      <c r="Y260">
        <v>10</v>
      </c>
      <c r="Z260">
        <v>2</v>
      </c>
    </row>
    <row r="261" spans="1:26" x14ac:dyDescent="0.2">
      <c r="A261">
        <v>2023</v>
      </c>
      <c r="B261">
        <v>0</v>
      </c>
      <c r="C261">
        <v>0</v>
      </c>
      <c r="D261">
        <v>1</v>
      </c>
      <c r="E261">
        <v>0</v>
      </c>
      <c r="F261">
        <v>0</v>
      </c>
      <c r="G261">
        <v>4</v>
      </c>
      <c r="H261">
        <v>4</v>
      </c>
      <c r="I261">
        <v>6</v>
      </c>
      <c r="J261">
        <v>14</v>
      </c>
      <c r="K261">
        <v>33</v>
      </c>
      <c r="L261">
        <v>82</v>
      </c>
      <c r="M261">
        <v>161</v>
      </c>
      <c r="N261">
        <v>351</v>
      </c>
      <c r="O261">
        <v>1555</v>
      </c>
      <c r="P261">
        <v>1474</v>
      </c>
      <c r="Q261">
        <v>555</v>
      </c>
      <c r="R261">
        <v>264</v>
      </c>
      <c r="S261">
        <v>126</v>
      </c>
      <c r="T261">
        <v>66</v>
      </c>
      <c r="U261">
        <v>32</v>
      </c>
      <c r="V261">
        <v>16</v>
      </c>
      <c r="W261">
        <v>13</v>
      </c>
      <c r="X261">
        <v>5</v>
      </c>
      <c r="Y261">
        <v>1</v>
      </c>
      <c r="Z261">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749DB-8D6E-0B48-AAE2-3A5889AC9800}">
  <dimension ref="A1:AU779"/>
  <sheetViews>
    <sheetView showGridLines="0" topLeftCell="A470" zoomScale="75" workbookViewId="0">
      <selection activeCell="T495" sqref="T495"/>
    </sheetView>
  </sheetViews>
  <sheetFormatPr baseColWidth="10" defaultRowHeight="16" x14ac:dyDescent="0.2"/>
  <cols>
    <col min="1" max="1" width="10.83203125" style="3"/>
    <col min="13" max="13" width="12.1640625" bestFit="1" customWidth="1"/>
  </cols>
  <sheetData>
    <row r="1" spans="2:8" x14ac:dyDescent="0.2">
      <c r="B1" t="s">
        <v>98</v>
      </c>
    </row>
    <row r="2" spans="2:8" x14ac:dyDescent="0.2">
      <c r="B2" t="s">
        <v>99</v>
      </c>
      <c r="C2" t="s">
        <v>102</v>
      </c>
      <c r="D2" t="s">
        <v>103</v>
      </c>
      <c r="E2" t="s">
        <v>104</v>
      </c>
      <c r="F2">
        <v>2023</v>
      </c>
      <c r="G2" t="s">
        <v>105</v>
      </c>
    </row>
    <row r="3" spans="2:8" x14ac:dyDescent="0.2">
      <c r="B3" t="s">
        <v>98</v>
      </c>
    </row>
    <row r="4" spans="2:8" x14ac:dyDescent="0.2">
      <c r="B4" t="s">
        <v>99</v>
      </c>
    </row>
    <row r="5" spans="2:8" x14ac:dyDescent="0.2">
      <c r="B5" t="s">
        <v>5</v>
      </c>
      <c r="C5" t="s">
        <v>106</v>
      </c>
      <c r="D5" t="s">
        <v>107</v>
      </c>
      <c r="E5" t="s">
        <v>108</v>
      </c>
      <c r="F5" t="s">
        <v>109</v>
      </c>
      <c r="G5" t="s">
        <v>110</v>
      </c>
      <c r="H5" t="s">
        <v>111</v>
      </c>
    </row>
    <row r="6" spans="2:8" x14ac:dyDescent="0.2">
      <c r="B6" t="s">
        <v>100</v>
      </c>
    </row>
    <row r="7" spans="2:8" x14ac:dyDescent="0.2">
      <c r="B7">
        <v>12</v>
      </c>
      <c r="C7">
        <v>12</v>
      </c>
      <c r="D7">
        <v>21</v>
      </c>
    </row>
    <row r="8" spans="2:8" x14ac:dyDescent="0.2">
      <c r="B8" t="s">
        <v>99</v>
      </c>
    </row>
    <row r="9" spans="2:8" x14ac:dyDescent="0.2">
      <c r="B9" t="s">
        <v>99</v>
      </c>
    </row>
    <row r="10" spans="2:8" x14ac:dyDescent="0.2">
      <c r="B10" t="s">
        <v>101</v>
      </c>
    </row>
    <row r="11" spans="2:8" x14ac:dyDescent="0.2">
      <c r="B11" t="s">
        <v>99</v>
      </c>
    </row>
    <row r="12" spans="2:8" x14ac:dyDescent="0.2">
      <c r="B12" t="s">
        <v>112</v>
      </c>
      <c r="C12" t="s">
        <v>113</v>
      </c>
      <c r="D12" t="s">
        <v>102</v>
      </c>
      <c r="E12" t="s">
        <v>114</v>
      </c>
    </row>
    <row r="13" spans="2:8" x14ac:dyDescent="0.2">
      <c r="B13" t="s">
        <v>99</v>
      </c>
    </row>
    <row r="14" spans="2:8" x14ac:dyDescent="0.2">
      <c r="B14" t="s">
        <v>101</v>
      </c>
    </row>
    <row r="15" spans="2:8" x14ac:dyDescent="0.2">
      <c r="B15" t="s">
        <v>99</v>
      </c>
    </row>
    <row r="16" spans="2:8" x14ac:dyDescent="0.2">
      <c r="B16" t="s">
        <v>99</v>
      </c>
    </row>
    <row r="17" spans="1:47" x14ac:dyDescent="0.2">
      <c r="B17" t="s">
        <v>100</v>
      </c>
    </row>
    <row r="18" spans="1:47" x14ac:dyDescent="0.2">
      <c r="B18" t="s">
        <v>115</v>
      </c>
      <c r="C18" t="s">
        <v>106</v>
      </c>
      <c r="D18" t="s">
        <v>107</v>
      </c>
      <c r="E18" t="s">
        <v>108</v>
      </c>
      <c r="F18" t="s">
        <v>116</v>
      </c>
      <c r="G18" t="s">
        <v>117</v>
      </c>
      <c r="H18" t="s">
        <v>118</v>
      </c>
      <c r="I18" t="s">
        <v>119</v>
      </c>
    </row>
    <row r="19" spans="1:47" x14ac:dyDescent="0.2">
      <c r="B19" t="s">
        <v>100</v>
      </c>
    </row>
    <row r="20" spans="1:47" x14ac:dyDescent="0.2">
      <c r="A20" s="3">
        <v>1</v>
      </c>
      <c r="B20">
        <v>46</v>
      </c>
      <c r="C20">
        <v>46</v>
      </c>
      <c r="D20">
        <v>46</v>
      </c>
    </row>
    <row r="21" spans="1:47" x14ac:dyDescent="0.2">
      <c r="B21" t="s">
        <v>100</v>
      </c>
    </row>
    <row r="22" spans="1:47" x14ac:dyDescent="0.2">
      <c r="B22" t="s">
        <v>120</v>
      </c>
      <c r="C22" t="s">
        <v>106</v>
      </c>
      <c r="D22" t="s">
        <v>116</v>
      </c>
      <c r="E22" t="s">
        <v>117</v>
      </c>
      <c r="F22" t="s">
        <v>119</v>
      </c>
    </row>
    <row r="23" spans="1:47" x14ac:dyDescent="0.2">
      <c r="B23" t="s">
        <v>100</v>
      </c>
    </row>
    <row r="24" spans="1:47" x14ac:dyDescent="0.2">
      <c r="B24">
        <v>1979</v>
      </c>
      <c r="C24">
        <v>1980</v>
      </c>
      <c r="D24">
        <v>1981</v>
      </c>
      <c r="E24">
        <v>1982</v>
      </c>
      <c r="F24">
        <v>1983</v>
      </c>
      <c r="G24">
        <v>1984</v>
      </c>
      <c r="H24">
        <v>1985</v>
      </c>
      <c r="I24">
        <v>1986</v>
      </c>
      <c r="J24">
        <v>1987</v>
      </c>
      <c r="K24">
        <v>1988</v>
      </c>
      <c r="L24">
        <v>1989</v>
      </c>
      <c r="M24">
        <v>1990</v>
      </c>
      <c r="N24">
        <v>1991</v>
      </c>
      <c r="O24">
        <v>1992</v>
      </c>
      <c r="P24">
        <v>1993</v>
      </c>
      <c r="Q24">
        <v>1994</v>
      </c>
      <c r="R24">
        <v>1995</v>
      </c>
      <c r="S24">
        <v>1996</v>
      </c>
      <c r="T24">
        <v>1997</v>
      </c>
      <c r="U24">
        <v>1998</v>
      </c>
      <c r="V24">
        <v>1999</v>
      </c>
      <c r="W24">
        <v>2000</v>
      </c>
      <c r="X24">
        <v>2001</v>
      </c>
      <c r="Y24">
        <v>2002</v>
      </c>
      <c r="Z24">
        <v>2003</v>
      </c>
      <c r="AA24">
        <v>2004</v>
      </c>
      <c r="AB24">
        <v>2005</v>
      </c>
      <c r="AC24">
        <v>2006</v>
      </c>
      <c r="AD24">
        <v>2007</v>
      </c>
      <c r="AE24">
        <v>2008</v>
      </c>
      <c r="AF24">
        <v>2009</v>
      </c>
      <c r="AG24">
        <v>2010</v>
      </c>
      <c r="AH24">
        <v>2011</v>
      </c>
      <c r="AI24">
        <v>2012</v>
      </c>
      <c r="AJ24">
        <v>2013</v>
      </c>
      <c r="AK24">
        <v>2014</v>
      </c>
      <c r="AL24">
        <v>2015</v>
      </c>
      <c r="AM24">
        <v>2016</v>
      </c>
      <c r="AN24">
        <v>2017</v>
      </c>
      <c r="AO24">
        <v>2018</v>
      </c>
      <c r="AP24">
        <v>2019</v>
      </c>
      <c r="AQ24">
        <v>2020</v>
      </c>
      <c r="AR24">
        <v>2021</v>
      </c>
      <c r="AS24">
        <v>2022</v>
      </c>
      <c r="AT24">
        <v>2023</v>
      </c>
      <c r="AU24">
        <v>2024</v>
      </c>
    </row>
    <row r="25" spans="1:47" x14ac:dyDescent="0.2">
      <c r="B25">
        <v>1979</v>
      </c>
      <c r="C25">
        <v>1980</v>
      </c>
      <c r="D25">
        <v>1981</v>
      </c>
      <c r="E25">
        <v>1982</v>
      </c>
      <c r="F25">
        <v>1983</v>
      </c>
      <c r="G25">
        <v>1984</v>
      </c>
      <c r="H25">
        <v>1985</v>
      </c>
      <c r="I25">
        <v>1986</v>
      </c>
      <c r="J25">
        <v>1987</v>
      </c>
      <c r="K25">
        <v>1988</v>
      </c>
      <c r="L25">
        <v>1989</v>
      </c>
      <c r="M25">
        <v>1990</v>
      </c>
      <c r="N25">
        <v>1991</v>
      </c>
      <c r="O25">
        <v>1992</v>
      </c>
      <c r="P25">
        <v>1993</v>
      </c>
      <c r="Q25">
        <v>1994</v>
      </c>
      <c r="R25">
        <v>1995</v>
      </c>
      <c r="S25">
        <v>1996</v>
      </c>
      <c r="T25">
        <v>1997</v>
      </c>
      <c r="U25">
        <v>1998</v>
      </c>
      <c r="V25">
        <v>1999</v>
      </c>
      <c r="W25">
        <v>2000</v>
      </c>
      <c r="X25">
        <v>2001</v>
      </c>
      <c r="Y25">
        <v>2002</v>
      </c>
      <c r="Z25">
        <v>2003</v>
      </c>
      <c r="AA25">
        <v>2004</v>
      </c>
      <c r="AB25">
        <v>2005</v>
      </c>
      <c r="AC25">
        <v>2006</v>
      </c>
      <c r="AD25">
        <v>2007</v>
      </c>
      <c r="AE25">
        <v>2008</v>
      </c>
      <c r="AF25">
        <v>2009</v>
      </c>
      <c r="AG25">
        <v>2010</v>
      </c>
      <c r="AH25">
        <v>2011</v>
      </c>
      <c r="AI25">
        <v>2012</v>
      </c>
      <c r="AJ25">
        <v>2013</v>
      </c>
      <c r="AK25">
        <v>2014</v>
      </c>
      <c r="AL25">
        <v>2015</v>
      </c>
      <c r="AM25">
        <v>2016</v>
      </c>
      <c r="AN25">
        <v>2017</v>
      </c>
      <c r="AO25">
        <v>2018</v>
      </c>
      <c r="AP25">
        <v>2019</v>
      </c>
      <c r="AQ25">
        <v>2020</v>
      </c>
      <c r="AR25">
        <v>2021</v>
      </c>
      <c r="AS25">
        <v>2022</v>
      </c>
      <c r="AT25">
        <v>2023</v>
      </c>
      <c r="AU25">
        <v>2024</v>
      </c>
    </row>
    <row r="26" spans="1:47" x14ac:dyDescent="0.2">
      <c r="B26">
        <v>1979</v>
      </c>
      <c r="C26">
        <v>1980</v>
      </c>
      <c r="D26">
        <v>1981</v>
      </c>
      <c r="E26">
        <v>1982</v>
      </c>
      <c r="F26">
        <v>1983</v>
      </c>
      <c r="G26">
        <v>1984</v>
      </c>
      <c r="H26">
        <v>1985</v>
      </c>
      <c r="I26">
        <v>1986</v>
      </c>
      <c r="J26">
        <v>1987</v>
      </c>
      <c r="K26">
        <v>1988</v>
      </c>
      <c r="L26">
        <v>1989</v>
      </c>
      <c r="M26">
        <v>1990</v>
      </c>
      <c r="N26">
        <v>1991</v>
      </c>
      <c r="O26">
        <v>1992</v>
      </c>
      <c r="P26">
        <v>1993</v>
      </c>
      <c r="Q26">
        <v>1994</v>
      </c>
      <c r="R26">
        <v>1995</v>
      </c>
      <c r="S26">
        <v>1996</v>
      </c>
      <c r="T26">
        <v>1997</v>
      </c>
      <c r="U26">
        <v>1998</v>
      </c>
      <c r="V26">
        <v>1999</v>
      </c>
      <c r="W26">
        <v>2000</v>
      </c>
      <c r="X26">
        <v>2001</v>
      </c>
      <c r="Y26">
        <v>2002</v>
      </c>
      <c r="Z26">
        <v>2003</v>
      </c>
      <c r="AA26">
        <v>2004</v>
      </c>
      <c r="AB26">
        <v>2005</v>
      </c>
      <c r="AC26">
        <v>2006</v>
      </c>
      <c r="AD26">
        <v>2007</v>
      </c>
      <c r="AE26">
        <v>2008</v>
      </c>
      <c r="AF26">
        <v>2009</v>
      </c>
      <c r="AG26">
        <v>2010</v>
      </c>
      <c r="AH26">
        <v>2011</v>
      </c>
      <c r="AI26">
        <v>2012</v>
      </c>
      <c r="AJ26">
        <v>2013</v>
      </c>
      <c r="AK26">
        <v>2014</v>
      </c>
      <c r="AL26">
        <v>2015</v>
      </c>
      <c r="AM26">
        <v>2016</v>
      </c>
      <c r="AN26">
        <v>2017</v>
      </c>
      <c r="AO26">
        <v>2018</v>
      </c>
      <c r="AP26">
        <v>2019</v>
      </c>
      <c r="AQ26">
        <v>2020</v>
      </c>
      <c r="AR26">
        <v>2021</v>
      </c>
      <c r="AS26">
        <v>2022</v>
      </c>
      <c r="AT26">
        <v>2023</v>
      </c>
      <c r="AU26">
        <v>2024</v>
      </c>
    </row>
    <row r="27" spans="1:47" x14ac:dyDescent="0.2">
      <c r="B27" t="s">
        <v>100</v>
      </c>
    </row>
    <row r="28" spans="1:47" x14ac:dyDescent="0.2">
      <c r="B28" t="s">
        <v>121</v>
      </c>
      <c r="C28" t="s">
        <v>106</v>
      </c>
      <c r="D28" t="s">
        <v>122</v>
      </c>
      <c r="E28" t="s">
        <v>117</v>
      </c>
      <c r="F28">
        <v>1000</v>
      </c>
    </row>
    <row r="29" spans="1:47" x14ac:dyDescent="0.2">
      <c r="B29" t="s">
        <v>100</v>
      </c>
    </row>
    <row r="30" spans="1:47" x14ac:dyDescent="0.2">
      <c r="B30" t="s">
        <v>99</v>
      </c>
      <c r="C30" t="s">
        <v>123</v>
      </c>
    </row>
    <row r="31" spans="1:47" x14ac:dyDescent="0.2">
      <c r="A31" s="3">
        <f>COUNT(B31:BT31)</f>
        <v>46</v>
      </c>
      <c r="B31">
        <f>'pm_24.dat '!Q143*1000</f>
        <v>935714</v>
      </c>
      <c r="C31">
        <f>'pm_24.dat '!R143*1000</f>
        <v>958280</v>
      </c>
      <c r="D31">
        <f>'pm_24.dat '!S143*1000</f>
        <v>973502</v>
      </c>
      <c r="E31">
        <f>'pm_24.dat '!T143*1000</f>
        <v>955964</v>
      </c>
      <c r="F31">
        <f>'pm_24.dat '!U143*1000</f>
        <v>981450</v>
      </c>
      <c r="G31">
        <f>'pm_24.dat '!V143*1000</f>
        <v>1092055</v>
      </c>
      <c r="H31">
        <f>'pm_24.dat '!W143*1000</f>
        <v>1139676</v>
      </c>
      <c r="I31">
        <f>'pm_24.dat '!X143*1000</f>
        <v>1141993</v>
      </c>
      <c r="J31">
        <f>'pm_24.dat '!Y143*1000</f>
        <v>859416</v>
      </c>
      <c r="K31">
        <f>'pm_24.dat '!Z143*1000</f>
        <v>1228721</v>
      </c>
      <c r="L31">
        <f>'pm_24.dat '!AA143*1000</f>
        <v>1229600</v>
      </c>
      <c r="M31">
        <f>'pm_24.dat '!AB143*1000</f>
        <v>1455193</v>
      </c>
      <c r="N31">
        <f>'pm_24.dat '!AC143*1000</f>
        <v>1195663.93</v>
      </c>
      <c r="O31">
        <f>'pm_24.dat '!AD143*1000</f>
        <v>1390309.16</v>
      </c>
      <c r="P31">
        <f>'pm_24.dat '!AE143*1000</f>
        <v>1326608.96</v>
      </c>
      <c r="Q31">
        <f>'pm_24.dat '!AF143*1000</f>
        <v>1329373.0599999998</v>
      </c>
      <c r="R31">
        <f>'pm_24.dat '!AG143*1000</f>
        <v>1264246.8899999999</v>
      </c>
      <c r="S31">
        <f>'pm_24.dat '!AH143*1000</f>
        <v>1192781.0899999999</v>
      </c>
      <c r="T31">
        <f>'pm_24.dat '!AI143*1000</f>
        <v>1124433.05</v>
      </c>
      <c r="U31">
        <f>'pm_24.dat '!AJ143*1000</f>
        <v>1102159.1399999999</v>
      </c>
      <c r="V31">
        <f>'pm_24.dat '!AK143*1000</f>
        <v>989680.30999999994</v>
      </c>
      <c r="W31">
        <f>'pm_24.dat '!AL143*1000</f>
        <v>1132709.8499999999</v>
      </c>
      <c r="X31">
        <f>'pm_24.dat '!AM143*1000</f>
        <v>1387197.02</v>
      </c>
      <c r="Y31">
        <f>'pm_24.dat '!AN143*1000</f>
        <v>1480776.11</v>
      </c>
      <c r="Z31">
        <f>'pm_24.dat '!AO143*1000</f>
        <v>1490779.227</v>
      </c>
      <c r="AA31">
        <f>'pm_24.dat '!AP143*1000</f>
        <v>1480551.669</v>
      </c>
      <c r="AB31">
        <f>'pm_24.dat '!AQ143*1000</f>
        <v>1483021.8090000001</v>
      </c>
      <c r="AC31">
        <f>'pm_24.dat '!AR143*1000</f>
        <v>1488031.0449999999</v>
      </c>
      <c r="AD31">
        <f>'pm_24.dat '!AS143*1000</f>
        <v>1354501.7889999999</v>
      </c>
      <c r="AE31">
        <f>'pm_24.dat '!AT143*1000</f>
        <v>990578.06800000009</v>
      </c>
      <c r="AF31">
        <f>'pm_24.dat '!AU143*1000</f>
        <v>810784.34600000002</v>
      </c>
      <c r="AG31">
        <f>'pm_24.dat '!AV143*1000</f>
        <v>810185.90780000004</v>
      </c>
      <c r="AH31">
        <f>'pm_24.dat '!AW143*1000</f>
        <v>1199040.625</v>
      </c>
      <c r="AI31">
        <f>'pm_24.dat '!AX143*1000</f>
        <v>1205221.865</v>
      </c>
      <c r="AJ31">
        <f>'pm_24.dat '!AY143*1000</f>
        <v>1270770.4679999999</v>
      </c>
      <c r="AK31">
        <f>'pm_24.dat '!AZ143*1000</f>
        <v>1297422.3389999999</v>
      </c>
      <c r="AL31">
        <f>'pm_24.dat '!BA143*1000</f>
        <v>1321583.7850000001</v>
      </c>
      <c r="AM31">
        <f>'pm_24.dat '!BB143*1000</f>
        <v>1352680.7960000001</v>
      </c>
      <c r="AN31">
        <f>'pm_24.dat '!BC143*1000</f>
        <v>1359182.0919999999</v>
      </c>
      <c r="AO31">
        <f>'pm_24.dat '!BD143*1000</f>
        <v>1379287.2689999999</v>
      </c>
      <c r="AP31">
        <f>'pm_24.dat '!BE143*1000</f>
        <v>1409337.138</v>
      </c>
      <c r="AQ31">
        <f>'pm_24.dat '!BF143*1000</f>
        <v>1367229.04</v>
      </c>
      <c r="AR31">
        <f>'pm_24.dat '!BG143*1000</f>
        <v>1376257.5819999999</v>
      </c>
      <c r="AS31">
        <f>'pm_24.dat '!BH143*1000</f>
        <v>1105418.6880000001</v>
      </c>
      <c r="AT31">
        <f>'pm_24.dat '!BI143*1000</f>
        <v>1310715.6000000001</v>
      </c>
      <c r="AU31">
        <f>'pm_24.dat '!BJ143*1000</f>
        <v>1300000</v>
      </c>
    </row>
    <row r="32" spans="1:47" x14ac:dyDescent="0.2">
      <c r="B32" t="s">
        <v>99</v>
      </c>
      <c r="C32" t="s">
        <v>124</v>
      </c>
    </row>
    <row r="33" spans="1:47" x14ac:dyDescent="0.2">
      <c r="A33" s="3">
        <f>COUNT(B33:BT33)</f>
        <v>46</v>
      </c>
      <c r="B33">
        <v>33761</v>
      </c>
      <c r="C33">
        <v>35058</v>
      </c>
      <c r="D33">
        <v>56507</v>
      </c>
      <c r="E33">
        <v>61104</v>
      </c>
      <c r="F33">
        <v>94801</v>
      </c>
      <c r="G33">
        <v>125103</v>
      </c>
      <c r="H33">
        <v>143447</v>
      </c>
      <c r="I33">
        <v>135605</v>
      </c>
      <c r="J33">
        <v>149903</v>
      </c>
      <c r="K33">
        <v>203071</v>
      </c>
      <c r="L33">
        <v>178323</v>
      </c>
      <c r="M33">
        <v>172067</v>
      </c>
      <c r="N33">
        <v>210241</v>
      </c>
      <c r="O33">
        <v>164210</v>
      </c>
      <c r="P33">
        <v>133186</v>
      </c>
      <c r="Q33">
        <v>172263</v>
      </c>
      <c r="R33">
        <v>228498</v>
      </c>
      <c r="S33">
        <v>209067</v>
      </c>
      <c r="T33">
        <v>232601</v>
      </c>
      <c r="U33">
        <v>158529</v>
      </c>
      <c r="V33">
        <v>145867</v>
      </c>
      <c r="W33">
        <v>151376</v>
      </c>
      <c r="X33">
        <v>142542</v>
      </c>
      <c r="Y33">
        <v>166555</v>
      </c>
      <c r="Z33">
        <v>175443</v>
      </c>
      <c r="AA33">
        <v>183748</v>
      </c>
      <c r="AB33">
        <v>182940</v>
      </c>
      <c r="AC33">
        <v>168818</v>
      </c>
      <c r="AD33">
        <v>140129</v>
      </c>
      <c r="AE33">
        <v>139802</v>
      </c>
      <c r="AF33">
        <v>147174</v>
      </c>
      <c r="AG33">
        <v>142844</v>
      </c>
      <c r="AH33">
        <v>209201</v>
      </c>
      <c r="AI33">
        <v>232623</v>
      </c>
      <c r="AJ33">
        <v>236691</v>
      </c>
      <c r="AK33">
        <v>238718</v>
      </c>
      <c r="AL33">
        <v>232829</v>
      </c>
      <c r="AM33">
        <v>247620</v>
      </c>
      <c r="AN33">
        <v>237851</v>
      </c>
      <c r="AO33">
        <v>199867</v>
      </c>
      <c r="AP33">
        <v>178904</v>
      </c>
      <c r="AQ33">
        <v>155665</v>
      </c>
      <c r="AR33">
        <v>121749</v>
      </c>
      <c r="AS33">
        <v>148810</v>
      </c>
      <c r="AT33">
        <v>143541</v>
      </c>
      <c r="AU33">
        <v>165659</v>
      </c>
    </row>
    <row r="34" spans="1:47" x14ac:dyDescent="0.2">
      <c r="B34" t="s">
        <v>99</v>
      </c>
      <c r="C34" t="s">
        <v>125</v>
      </c>
    </row>
    <row r="35" spans="1:47" x14ac:dyDescent="0.2">
      <c r="A35" s="3">
        <f>COUNT(B35:BT35)</f>
        <v>46</v>
      </c>
      <c r="B35">
        <f>bsaiatf_data_2024!D190</f>
        <v>12921.3</v>
      </c>
      <c r="C35">
        <f>bsaiatf_data_2024!E190</f>
        <v>16527.599999999999</v>
      </c>
      <c r="D35">
        <f>bsaiatf_data_2024!F190</f>
        <v>15401.7</v>
      </c>
      <c r="E35">
        <f>bsaiatf_data_2024!G190</f>
        <v>10366.200000000001</v>
      </c>
      <c r="F35">
        <f>bsaiatf_data_2024!H190</f>
        <v>12572.1</v>
      </c>
      <c r="G35">
        <f>bsaiatf_data_2024!I190</f>
        <v>8506.7999999999993</v>
      </c>
      <c r="H35">
        <f>bsaiatf_data_2024!J190</f>
        <v>6702.3</v>
      </c>
      <c r="I35">
        <f>bsaiatf_data_2024!K190</f>
        <v>6462.9</v>
      </c>
      <c r="J35">
        <f>bsaiatf_data_2024!L190</f>
        <v>4373.1000000000004</v>
      </c>
      <c r="K35">
        <f>bsaiatf_data_2024!M190</f>
        <v>17991</v>
      </c>
      <c r="L35">
        <f>bsaiatf_data_2024!N190</f>
        <v>6575.4</v>
      </c>
      <c r="M35">
        <f>bsaiatf_data_2024!O190</f>
        <v>11752.2</v>
      </c>
      <c r="N35">
        <f>bsaiatf_data_2024!P190</f>
        <v>17559</v>
      </c>
      <c r="O35">
        <f>bsaiatf_data_2024!Q190</f>
        <v>10707.3</v>
      </c>
      <c r="P35">
        <f>bsaiatf_data_2024!R190</f>
        <v>8369.1</v>
      </c>
      <c r="Q35">
        <f>bsaiatf_data_2024!S190</f>
        <v>12904.2</v>
      </c>
      <c r="R35">
        <f>bsaiatf_data_2024!T190</f>
        <v>8355.6</v>
      </c>
      <c r="S35">
        <f>bsaiatf_data_2024!U190</f>
        <v>13188.6</v>
      </c>
      <c r="T35">
        <f>bsaiatf_data_2024!V190</f>
        <v>9422.1</v>
      </c>
      <c r="U35">
        <f>bsaiatf_data_2024!W190</f>
        <v>13713.3</v>
      </c>
      <c r="V35">
        <f>bsaiatf_data_2024!X190</f>
        <v>10240.200000000001</v>
      </c>
      <c r="W35">
        <f>bsaiatf_data_2024!Y190</f>
        <v>11907</v>
      </c>
      <c r="X35">
        <f>bsaiatf_data_2024!Z190</f>
        <v>12652.2</v>
      </c>
      <c r="Y35">
        <f>bsaiatf_data_2024!AA190</f>
        <v>10669.5</v>
      </c>
      <c r="Z35">
        <f>bsaiatf_data_2024!AB190</f>
        <v>11927.7</v>
      </c>
      <c r="AA35">
        <f>bsaiatf_data_2024!AC190</f>
        <v>16366.5</v>
      </c>
      <c r="AB35">
        <f>bsaiatf_data_2024!AD190</f>
        <v>12818.7</v>
      </c>
      <c r="AC35">
        <f>bsaiatf_data_2024!AE190</f>
        <v>12097.8</v>
      </c>
      <c r="AD35">
        <f>bsaiatf_data_2024!AF190</f>
        <v>10724.4</v>
      </c>
      <c r="AE35">
        <f>bsaiatf_data_2024!AG190</f>
        <v>16305.665559999999</v>
      </c>
      <c r="AF35">
        <f>bsaiatf_data_2024!AH190</f>
        <v>19644.41432</v>
      </c>
      <c r="AG35">
        <f>bsaiatf_data_2024!AI190</f>
        <v>20873.657350000001</v>
      </c>
      <c r="AH35">
        <f>bsaiatf_data_2024!AJ190</f>
        <v>20574.7219</v>
      </c>
      <c r="AI35">
        <f>bsaiatf_data_2024!AK190</f>
        <v>22641.394899999999</v>
      </c>
      <c r="AJ35">
        <f>bsaiatf_data_2024!AL190</f>
        <v>21007.257300000001</v>
      </c>
      <c r="AK35">
        <f>bsaiatf_data_2024!AM190</f>
        <v>19625.975200000001</v>
      </c>
      <c r="AL35">
        <f>bsaiatf_data_2024!AN190</f>
        <v>11721.449699999999</v>
      </c>
      <c r="AM35">
        <f>bsaiatf_data_2024!AO190</f>
        <v>11485.0887</v>
      </c>
      <c r="AN35">
        <f>bsaiatf_data_2024!AP190</f>
        <v>6933.6244999999999</v>
      </c>
      <c r="AO35">
        <f>bsaiatf_data_2024!AQ190</f>
        <v>7243.1678000000002</v>
      </c>
      <c r="AP35">
        <f>bsaiatf_data_2024!AR190</f>
        <v>10373.9449</v>
      </c>
      <c r="AQ35">
        <f>bsaiatf_data_2024!AS190</f>
        <v>10874.294900000001</v>
      </c>
      <c r="AR35">
        <f>bsaiatf_data_2024!AT190</f>
        <v>9013.7711999999992</v>
      </c>
      <c r="AS35">
        <f>bsaiatf_data_2024!AU190</f>
        <v>7856.7007999999996</v>
      </c>
      <c r="AT35">
        <f>bsaiatf_data_2024!AV190</f>
        <v>7278.5757000000003</v>
      </c>
      <c r="AU35">
        <f>bsaiatf_data_2024!AW190</f>
        <v>7013.9387999999999</v>
      </c>
    </row>
    <row r="36" spans="1:47" x14ac:dyDescent="0.2">
      <c r="B36" t="s">
        <v>126</v>
      </c>
      <c r="C36" t="s">
        <v>127</v>
      </c>
      <c r="D36" t="s">
        <v>116</v>
      </c>
      <c r="E36" t="s">
        <v>128</v>
      </c>
      <c r="F36" t="s">
        <v>129</v>
      </c>
      <c r="G36" t="s">
        <v>130</v>
      </c>
      <c r="H36" t="s">
        <v>131</v>
      </c>
      <c r="I36" t="s">
        <v>132</v>
      </c>
      <c r="J36" t="s">
        <v>133</v>
      </c>
      <c r="K36" t="s">
        <v>134</v>
      </c>
      <c r="L36" t="s">
        <v>135</v>
      </c>
      <c r="M36">
        <v>2006</v>
      </c>
      <c r="N36" t="s">
        <v>136</v>
      </c>
      <c r="O36">
        <v>7</v>
      </c>
      <c r="P36">
        <v>2014</v>
      </c>
      <c r="Q36" t="s">
        <v>137</v>
      </c>
      <c r="R36" t="s">
        <v>138</v>
      </c>
      <c r="S36" t="s">
        <v>133</v>
      </c>
      <c r="T36" t="s">
        <v>139</v>
      </c>
      <c r="U36" t="s">
        <v>140</v>
      </c>
      <c r="V36" t="s">
        <v>133</v>
      </c>
      <c r="W36" t="s">
        <v>141</v>
      </c>
      <c r="X36" t="s">
        <v>142</v>
      </c>
      <c r="Y36" t="s">
        <v>143</v>
      </c>
      <c r="Z36" t="s">
        <v>144</v>
      </c>
      <c r="AA36" t="s">
        <v>66</v>
      </c>
      <c r="AB36" t="s">
        <v>145</v>
      </c>
      <c r="AC36" t="s">
        <v>146</v>
      </c>
    </row>
    <row r="37" spans="1:47" x14ac:dyDescent="0.2">
      <c r="B37" t="s">
        <v>100</v>
      </c>
    </row>
    <row r="38" spans="1:47" x14ac:dyDescent="0.2">
      <c r="B38" t="s">
        <v>147</v>
      </c>
      <c r="C38" t="s">
        <v>106</v>
      </c>
      <c r="D38" t="s">
        <v>148</v>
      </c>
      <c r="E38" t="s">
        <v>149</v>
      </c>
      <c r="F38" t="s">
        <v>150</v>
      </c>
      <c r="G38" t="s">
        <v>151</v>
      </c>
      <c r="H38" t="s">
        <v>152</v>
      </c>
    </row>
    <row r="39" spans="1:47" x14ac:dyDescent="0.2">
      <c r="B39" t="s">
        <v>100</v>
      </c>
    </row>
    <row r="40" spans="1:47" x14ac:dyDescent="0.2">
      <c r="B40">
        <f>COUNT(B44:BD44)</f>
        <v>45</v>
      </c>
      <c r="C40">
        <v>45</v>
      </c>
      <c r="D40">
        <v>45</v>
      </c>
    </row>
    <row r="41" spans="1:47" x14ac:dyDescent="0.2">
      <c r="B41" t="s">
        <v>100</v>
      </c>
    </row>
    <row r="42" spans="1:47" x14ac:dyDescent="0.2">
      <c r="B42" t="s">
        <v>153</v>
      </c>
      <c r="C42" t="s">
        <v>106</v>
      </c>
      <c r="D42" t="s">
        <v>154</v>
      </c>
      <c r="E42" t="s">
        <v>108</v>
      </c>
      <c r="F42" t="s">
        <v>155</v>
      </c>
      <c r="G42" t="s">
        <v>151</v>
      </c>
      <c r="H42" t="s">
        <v>156</v>
      </c>
      <c r="I42" t="s">
        <v>99</v>
      </c>
      <c r="J42" t="s">
        <v>125</v>
      </c>
      <c r="K42" t="s">
        <v>157</v>
      </c>
      <c r="L42" t="s">
        <v>158</v>
      </c>
      <c r="M42" t="s">
        <v>159</v>
      </c>
      <c r="N42" t="s">
        <v>160</v>
      </c>
      <c r="O42" t="s">
        <v>161</v>
      </c>
      <c r="P42" t="s">
        <v>162</v>
      </c>
      <c r="Q42" t="s">
        <v>143</v>
      </c>
      <c r="R42" t="s">
        <v>163</v>
      </c>
      <c r="S42" t="s">
        <v>164</v>
      </c>
      <c r="T42" t="s">
        <v>165</v>
      </c>
    </row>
    <row r="43" spans="1:47" x14ac:dyDescent="0.2">
      <c r="B43" t="s">
        <v>100</v>
      </c>
    </row>
    <row r="44" spans="1:47" x14ac:dyDescent="0.2">
      <c r="A44" s="3">
        <f>COUNT(B44:BT44)</f>
        <v>45</v>
      </c>
      <c r="B44">
        <v>1979</v>
      </c>
      <c r="C44">
        <v>1980</v>
      </c>
      <c r="D44">
        <v>1981</v>
      </c>
      <c r="E44">
        <v>1982</v>
      </c>
      <c r="F44">
        <v>1983</v>
      </c>
      <c r="G44">
        <v>1984</v>
      </c>
      <c r="H44">
        <v>1985</v>
      </c>
      <c r="I44">
        <v>1986</v>
      </c>
      <c r="J44">
        <v>1987</v>
      </c>
      <c r="K44">
        <v>1988</v>
      </c>
      <c r="L44">
        <v>1989</v>
      </c>
      <c r="M44">
        <v>1990</v>
      </c>
      <c r="N44">
        <v>1991</v>
      </c>
      <c r="O44">
        <v>1992</v>
      </c>
      <c r="P44">
        <v>1993</v>
      </c>
      <c r="Q44">
        <v>1994</v>
      </c>
      <c r="R44">
        <v>1995</v>
      </c>
      <c r="S44">
        <v>1996</v>
      </c>
      <c r="T44">
        <v>1997</v>
      </c>
      <c r="U44">
        <v>1998</v>
      </c>
      <c r="V44">
        <v>1999</v>
      </c>
      <c r="W44">
        <v>2000</v>
      </c>
      <c r="X44">
        <v>2001</v>
      </c>
      <c r="Y44">
        <v>2002</v>
      </c>
      <c r="Z44">
        <v>2003</v>
      </c>
      <c r="AA44">
        <v>2004</v>
      </c>
      <c r="AB44">
        <v>2005</v>
      </c>
      <c r="AC44">
        <v>2006</v>
      </c>
      <c r="AD44">
        <v>2007</v>
      </c>
      <c r="AE44">
        <v>2008</v>
      </c>
      <c r="AF44">
        <v>2009</v>
      </c>
      <c r="AG44">
        <v>2010</v>
      </c>
      <c r="AH44">
        <v>2011</v>
      </c>
      <c r="AI44">
        <v>2012</v>
      </c>
      <c r="AJ44">
        <v>2013</v>
      </c>
      <c r="AK44">
        <v>2014</v>
      </c>
      <c r="AL44">
        <v>2015</v>
      </c>
      <c r="AM44">
        <v>2016</v>
      </c>
      <c r="AN44">
        <v>2017</v>
      </c>
      <c r="AO44">
        <v>2018</v>
      </c>
      <c r="AP44">
        <v>2019</v>
      </c>
      <c r="AQ44">
        <v>2020</v>
      </c>
      <c r="AR44">
        <v>2021</v>
      </c>
      <c r="AS44">
        <v>2022</v>
      </c>
      <c r="AT44">
        <v>2023</v>
      </c>
    </row>
    <row r="45" spans="1:47" x14ac:dyDescent="0.2">
      <c r="A45" s="3">
        <f>COUNT(B45:BT45)</f>
        <v>46</v>
      </c>
      <c r="B45">
        <v>1979</v>
      </c>
      <c r="C45">
        <v>1980</v>
      </c>
      <c r="D45">
        <v>1981</v>
      </c>
      <c r="E45">
        <v>1982</v>
      </c>
      <c r="F45">
        <v>1983</v>
      </c>
      <c r="G45">
        <v>1984</v>
      </c>
      <c r="H45">
        <v>1985</v>
      </c>
      <c r="I45">
        <v>1986</v>
      </c>
      <c r="J45">
        <v>1987</v>
      </c>
      <c r="K45">
        <v>1988</v>
      </c>
      <c r="L45">
        <v>1989</v>
      </c>
      <c r="M45">
        <v>1990</v>
      </c>
      <c r="N45">
        <v>1991</v>
      </c>
      <c r="O45">
        <v>1992</v>
      </c>
      <c r="P45">
        <v>1993</v>
      </c>
      <c r="Q45">
        <v>1994</v>
      </c>
      <c r="R45">
        <v>1995</v>
      </c>
      <c r="S45">
        <v>1996</v>
      </c>
      <c r="T45">
        <v>1997</v>
      </c>
      <c r="U45">
        <v>1998</v>
      </c>
      <c r="V45">
        <v>1999</v>
      </c>
      <c r="W45">
        <v>2000</v>
      </c>
      <c r="X45">
        <v>2001</v>
      </c>
      <c r="Y45">
        <v>2002</v>
      </c>
      <c r="Z45">
        <v>2003</v>
      </c>
      <c r="AA45">
        <v>2004</v>
      </c>
      <c r="AB45">
        <v>2005</v>
      </c>
      <c r="AC45">
        <v>2006</v>
      </c>
      <c r="AD45">
        <v>2007</v>
      </c>
      <c r="AE45">
        <v>2008</v>
      </c>
      <c r="AF45">
        <v>2009</v>
      </c>
      <c r="AG45">
        <v>2010</v>
      </c>
      <c r="AH45">
        <v>2011</v>
      </c>
      <c r="AI45">
        <v>2012</v>
      </c>
      <c r="AJ45">
        <v>2013</v>
      </c>
      <c r="AK45">
        <v>2014</v>
      </c>
      <c r="AL45">
        <v>2015</v>
      </c>
      <c r="AM45">
        <v>2016</v>
      </c>
      <c r="AN45">
        <v>2017</v>
      </c>
      <c r="AO45">
        <v>2018</v>
      </c>
      <c r="AP45">
        <v>2019</v>
      </c>
      <c r="AQ45">
        <v>2020</v>
      </c>
      <c r="AR45">
        <v>2021</v>
      </c>
      <c r="AS45">
        <v>2022</v>
      </c>
      <c r="AT45">
        <v>2023</v>
      </c>
      <c r="AU45">
        <v>2024</v>
      </c>
    </row>
    <row r="46" spans="1:47" x14ac:dyDescent="0.2">
      <c r="A46" s="3">
        <f>COUNT(B46:BT46)</f>
        <v>45</v>
      </c>
      <c r="B46">
        <v>1979</v>
      </c>
      <c r="C46">
        <v>1980</v>
      </c>
      <c r="D46">
        <v>1981</v>
      </c>
      <c r="E46">
        <v>1982</v>
      </c>
      <c r="F46">
        <v>1983</v>
      </c>
      <c r="G46">
        <v>1984</v>
      </c>
      <c r="H46">
        <v>1985</v>
      </c>
      <c r="I46">
        <v>1986</v>
      </c>
      <c r="J46">
        <v>1987</v>
      </c>
      <c r="K46">
        <v>1988</v>
      </c>
      <c r="L46">
        <v>1990</v>
      </c>
      <c r="M46">
        <v>1991</v>
      </c>
      <c r="N46">
        <v>1992</v>
      </c>
      <c r="O46">
        <v>1993</v>
      </c>
      <c r="P46">
        <v>1994</v>
      </c>
      <c r="Q46">
        <v>1995</v>
      </c>
      <c r="R46">
        <v>1996</v>
      </c>
      <c r="S46">
        <v>1997</v>
      </c>
      <c r="T46">
        <v>1998</v>
      </c>
      <c r="U46">
        <v>1999</v>
      </c>
      <c r="V46">
        <v>2000</v>
      </c>
      <c r="W46">
        <v>2001</v>
      </c>
      <c r="X46">
        <v>2002</v>
      </c>
      <c r="Y46">
        <v>2003</v>
      </c>
      <c r="Z46">
        <v>2004</v>
      </c>
      <c r="AA46">
        <v>2005</v>
      </c>
      <c r="AB46">
        <v>2006</v>
      </c>
      <c r="AC46">
        <v>2007</v>
      </c>
      <c r="AD46">
        <v>2008</v>
      </c>
      <c r="AE46">
        <v>2009</v>
      </c>
      <c r="AF46">
        <v>2010</v>
      </c>
      <c r="AG46">
        <v>2011</v>
      </c>
      <c r="AH46">
        <v>2012</v>
      </c>
      <c r="AI46">
        <v>2013</v>
      </c>
      <c r="AJ46">
        <v>2014</v>
      </c>
      <c r="AK46">
        <v>2016</v>
      </c>
      <c r="AL46">
        <v>2018</v>
      </c>
      <c r="AM46">
        <v>2019</v>
      </c>
      <c r="AN46">
        <v>2020</v>
      </c>
      <c r="AO46">
        <v>2021</v>
      </c>
      <c r="AP46">
        <v>2022</v>
      </c>
      <c r="AQ46">
        <v>2020</v>
      </c>
      <c r="AR46">
        <v>2021</v>
      </c>
      <c r="AS46">
        <v>2022</v>
      </c>
      <c r="AT46">
        <v>2023</v>
      </c>
    </row>
    <row r="47" spans="1:47" x14ac:dyDescent="0.2">
      <c r="B47" t="s">
        <v>100</v>
      </c>
    </row>
    <row r="48" spans="1:47" x14ac:dyDescent="0.2">
      <c r="B48" t="s">
        <v>166</v>
      </c>
      <c r="C48" t="s">
        <v>106</v>
      </c>
      <c r="D48" t="s">
        <v>167</v>
      </c>
      <c r="E48" t="s">
        <v>108</v>
      </c>
      <c r="F48" t="s">
        <v>127</v>
      </c>
      <c r="G48" t="s">
        <v>168</v>
      </c>
      <c r="H48" t="s">
        <v>169</v>
      </c>
      <c r="I48" t="s">
        <v>170</v>
      </c>
    </row>
    <row r="49" spans="1:16" x14ac:dyDescent="0.2">
      <c r="B49" t="s">
        <v>100</v>
      </c>
    </row>
    <row r="50" spans="1:16" x14ac:dyDescent="0.2">
      <c r="B50">
        <v>1</v>
      </c>
    </row>
    <row r="51" spans="1:16" x14ac:dyDescent="0.2">
      <c r="B51">
        <v>2</v>
      </c>
    </row>
    <row r="52" spans="1:16" x14ac:dyDescent="0.2">
      <c r="B52">
        <v>2</v>
      </c>
    </row>
    <row r="53" spans="1:16" x14ac:dyDescent="0.2">
      <c r="B53" t="s">
        <v>100</v>
      </c>
    </row>
    <row r="54" spans="1:16" x14ac:dyDescent="0.2">
      <c r="B54" t="s">
        <v>171</v>
      </c>
      <c r="C54" t="s">
        <v>106</v>
      </c>
      <c r="D54" t="s">
        <v>172</v>
      </c>
      <c r="E54" t="s">
        <v>104</v>
      </c>
      <c r="F54" t="s">
        <v>127</v>
      </c>
      <c r="G54" t="s">
        <v>109</v>
      </c>
      <c r="H54" t="s">
        <v>173</v>
      </c>
      <c r="I54" t="s">
        <v>66</v>
      </c>
    </row>
    <row r="55" spans="1:16" x14ac:dyDescent="0.2">
      <c r="B55" t="s">
        <v>100</v>
      </c>
    </row>
    <row r="56" spans="1:16" x14ac:dyDescent="0.2">
      <c r="B56">
        <v>12</v>
      </c>
    </row>
    <row r="57" spans="1:16" x14ac:dyDescent="0.2">
      <c r="B57">
        <v>25</v>
      </c>
    </row>
    <row r="58" spans="1:16" x14ac:dyDescent="0.2">
      <c r="B58">
        <v>25</v>
      </c>
    </row>
    <row r="59" spans="1:16" x14ac:dyDescent="0.2">
      <c r="B59" t="s">
        <v>100</v>
      </c>
    </row>
    <row r="60" spans="1:16" x14ac:dyDescent="0.2">
      <c r="B60" t="s">
        <v>10</v>
      </c>
      <c r="C60" t="s">
        <v>106</v>
      </c>
      <c r="D60" t="s">
        <v>174</v>
      </c>
      <c r="E60" t="s">
        <v>116</v>
      </c>
      <c r="F60" t="s">
        <v>175</v>
      </c>
    </row>
    <row r="61" spans="1:16" x14ac:dyDescent="0.2">
      <c r="B61" t="s">
        <v>100</v>
      </c>
    </row>
    <row r="62" spans="1:16" x14ac:dyDescent="0.2">
      <c r="A62" s="3">
        <v>1979</v>
      </c>
      <c r="B62">
        <v>82971</v>
      </c>
      <c r="C62">
        <v>444313</v>
      </c>
      <c r="D62">
        <v>588930</v>
      </c>
      <c r="E62">
        <v>343746</v>
      </c>
      <c r="F62">
        <v>321153</v>
      </c>
      <c r="G62">
        <v>176316</v>
      </c>
      <c r="H62">
        <v>46046</v>
      </c>
      <c r="I62">
        <v>21030</v>
      </c>
      <c r="J62">
        <v>29351</v>
      </c>
      <c r="K62">
        <v>22488</v>
      </c>
      <c r="L62">
        <v>14414</v>
      </c>
      <c r="M62">
        <v>9767</v>
      </c>
      <c r="N62" t="s">
        <v>99</v>
      </c>
      <c r="O62">
        <v>1979</v>
      </c>
      <c r="P62">
        <v>1</v>
      </c>
    </row>
    <row r="63" spans="1:16" x14ac:dyDescent="0.2">
      <c r="A63" s="3">
        <v>1980</v>
      </c>
      <c r="B63">
        <v>10161</v>
      </c>
      <c r="C63">
        <v>480923</v>
      </c>
      <c r="D63">
        <v>856212</v>
      </c>
      <c r="E63">
        <v>461236</v>
      </c>
      <c r="F63">
        <v>262269</v>
      </c>
      <c r="G63">
        <v>219432</v>
      </c>
      <c r="H63">
        <v>87081</v>
      </c>
      <c r="I63">
        <v>39105</v>
      </c>
      <c r="J63">
        <v>22622</v>
      </c>
      <c r="K63">
        <v>24878</v>
      </c>
      <c r="L63">
        <v>26468</v>
      </c>
      <c r="M63">
        <v>28435</v>
      </c>
      <c r="N63" t="s">
        <v>99</v>
      </c>
      <c r="O63">
        <v>1980</v>
      </c>
      <c r="P63">
        <v>2</v>
      </c>
    </row>
    <row r="64" spans="1:16" x14ac:dyDescent="0.2">
      <c r="A64" s="3">
        <v>1981</v>
      </c>
      <c r="B64">
        <v>655</v>
      </c>
      <c r="C64">
        <v>83024</v>
      </c>
      <c r="D64">
        <v>1164542</v>
      </c>
      <c r="E64">
        <v>733539</v>
      </c>
      <c r="F64">
        <v>261026</v>
      </c>
      <c r="G64">
        <v>118296</v>
      </c>
      <c r="H64">
        <v>59408</v>
      </c>
      <c r="I64">
        <v>34033</v>
      </c>
      <c r="J64">
        <v>18512</v>
      </c>
      <c r="K64">
        <v>10750</v>
      </c>
      <c r="L64">
        <v>8634</v>
      </c>
      <c r="M64">
        <v>8142</v>
      </c>
      <c r="N64" t="s">
        <v>99</v>
      </c>
      <c r="O64">
        <v>1981</v>
      </c>
      <c r="P64">
        <v>3</v>
      </c>
    </row>
    <row r="65" spans="1:16" x14ac:dyDescent="0.2">
      <c r="A65" s="3">
        <v>1982</v>
      </c>
      <c r="B65">
        <v>4602</v>
      </c>
      <c r="C65">
        <v>24560</v>
      </c>
      <c r="D65">
        <v>156400</v>
      </c>
      <c r="E65">
        <v>1135849</v>
      </c>
      <c r="F65">
        <v>409190</v>
      </c>
      <c r="G65">
        <v>100488</v>
      </c>
      <c r="H65">
        <v>34858</v>
      </c>
      <c r="I65">
        <v>34897</v>
      </c>
      <c r="J65">
        <v>20859</v>
      </c>
      <c r="K65">
        <v>8798</v>
      </c>
      <c r="L65">
        <v>5250</v>
      </c>
      <c r="M65">
        <v>5901</v>
      </c>
      <c r="N65" t="s">
        <v>99</v>
      </c>
      <c r="O65">
        <v>1982</v>
      </c>
      <c r="P65">
        <v>4</v>
      </c>
    </row>
    <row r="66" spans="1:16" x14ac:dyDescent="0.2">
      <c r="A66" s="3">
        <v>1983</v>
      </c>
      <c r="B66">
        <v>5114</v>
      </c>
      <c r="C66">
        <v>119598</v>
      </c>
      <c r="D66">
        <v>159132</v>
      </c>
      <c r="E66">
        <v>315652</v>
      </c>
      <c r="F66">
        <v>823909</v>
      </c>
      <c r="G66">
        <v>220127</v>
      </c>
      <c r="H66">
        <v>41772</v>
      </c>
      <c r="I66">
        <v>24930</v>
      </c>
      <c r="J66">
        <v>19978</v>
      </c>
      <c r="K66">
        <v>11195</v>
      </c>
      <c r="L66">
        <v>7665</v>
      </c>
      <c r="M66">
        <v>10629</v>
      </c>
      <c r="N66" t="s">
        <v>99</v>
      </c>
      <c r="O66">
        <v>1983</v>
      </c>
      <c r="P66">
        <v>5</v>
      </c>
    </row>
    <row r="67" spans="1:16" x14ac:dyDescent="0.2">
      <c r="A67" s="3">
        <v>1984</v>
      </c>
      <c r="B67">
        <v>1966</v>
      </c>
      <c r="C67">
        <v>42919</v>
      </c>
      <c r="D67">
        <v>83019</v>
      </c>
      <c r="E67">
        <v>403465</v>
      </c>
      <c r="F67">
        <v>460657</v>
      </c>
      <c r="G67">
        <v>612723</v>
      </c>
      <c r="H67">
        <v>125385</v>
      </c>
      <c r="I67">
        <v>33321</v>
      </c>
      <c r="J67">
        <v>23506</v>
      </c>
      <c r="K67">
        <v>14656</v>
      </c>
      <c r="L67">
        <v>6650</v>
      </c>
      <c r="M67">
        <v>8568</v>
      </c>
      <c r="N67" t="s">
        <v>99</v>
      </c>
      <c r="O67">
        <v>1984</v>
      </c>
      <c r="P67">
        <v>6</v>
      </c>
    </row>
    <row r="68" spans="1:16" x14ac:dyDescent="0.2">
      <c r="A68" s="3">
        <v>1985</v>
      </c>
      <c r="B68">
        <v>2504</v>
      </c>
      <c r="C68">
        <v>52256</v>
      </c>
      <c r="D68">
        <v>360967</v>
      </c>
      <c r="E68">
        <v>115286</v>
      </c>
      <c r="F68">
        <v>346292</v>
      </c>
      <c r="G68">
        <v>304397</v>
      </c>
      <c r="H68">
        <v>419635</v>
      </c>
      <c r="I68">
        <v>106493</v>
      </c>
      <c r="J68">
        <v>34631</v>
      </c>
      <c r="K68">
        <v>24452</v>
      </c>
      <c r="L68">
        <v>23506</v>
      </c>
      <c r="M68">
        <v>27681</v>
      </c>
      <c r="N68" t="s">
        <v>99</v>
      </c>
      <c r="O68">
        <v>1985</v>
      </c>
      <c r="P68">
        <v>7</v>
      </c>
    </row>
    <row r="69" spans="1:16" x14ac:dyDescent="0.2">
      <c r="A69" s="3">
        <v>1986</v>
      </c>
      <c r="B69">
        <v>2687</v>
      </c>
      <c r="C69">
        <v>74815</v>
      </c>
      <c r="D69">
        <v>80260</v>
      </c>
      <c r="E69">
        <v>651084</v>
      </c>
      <c r="F69">
        <v>186224</v>
      </c>
      <c r="G69">
        <v>328860</v>
      </c>
      <c r="H69">
        <v>192982</v>
      </c>
      <c r="I69">
        <v>186362</v>
      </c>
      <c r="J69">
        <v>51911</v>
      </c>
      <c r="K69">
        <v>13205</v>
      </c>
      <c r="L69">
        <v>2905</v>
      </c>
      <c r="M69">
        <v>3512</v>
      </c>
      <c r="N69" t="s">
        <v>99</v>
      </c>
      <c r="O69">
        <v>1986</v>
      </c>
      <c r="P69">
        <v>8</v>
      </c>
    </row>
    <row r="70" spans="1:16" x14ac:dyDescent="0.2">
      <c r="A70" s="3">
        <v>1987</v>
      </c>
      <c r="B70">
        <v>1E-3</v>
      </c>
      <c r="C70">
        <v>21795</v>
      </c>
      <c r="D70">
        <v>122851</v>
      </c>
      <c r="E70">
        <v>85461</v>
      </c>
      <c r="F70">
        <v>455340</v>
      </c>
      <c r="G70">
        <v>152938</v>
      </c>
      <c r="H70">
        <v>134876</v>
      </c>
      <c r="I70">
        <v>99830</v>
      </c>
      <c r="J70">
        <v>272284</v>
      </c>
      <c r="K70">
        <v>59537</v>
      </c>
      <c r="L70">
        <v>42616</v>
      </c>
      <c r="M70">
        <v>70992</v>
      </c>
      <c r="N70" t="s">
        <v>99</v>
      </c>
      <c r="O70">
        <v>1987</v>
      </c>
      <c r="P70">
        <v>9</v>
      </c>
    </row>
    <row r="71" spans="1:16" x14ac:dyDescent="0.2">
      <c r="A71" s="3">
        <v>1988</v>
      </c>
      <c r="B71">
        <v>1E-3</v>
      </c>
      <c r="C71">
        <v>8931</v>
      </c>
      <c r="D71">
        <v>380002</v>
      </c>
      <c r="E71">
        <v>352898</v>
      </c>
      <c r="F71">
        <v>211040</v>
      </c>
      <c r="G71">
        <v>455651</v>
      </c>
      <c r="H71">
        <v>188144</v>
      </c>
      <c r="I71">
        <v>87837</v>
      </c>
      <c r="J71">
        <v>32796</v>
      </c>
      <c r="K71">
        <v>81016</v>
      </c>
      <c r="L71">
        <v>15275</v>
      </c>
      <c r="M71">
        <v>21478</v>
      </c>
      <c r="N71" t="s">
        <v>99</v>
      </c>
      <c r="O71">
        <v>1988</v>
      </c>
      <c r="P71">
        <v>10</v>
      </c>
    </row>
    <row r="72" spans="1:16" x14ac:dyDescent="0.2">
      <c r="A72" s="3">
        <v>1989</v>
      </c>
      <c r="B72">
        <v>1E-3</v>
      </c>
      <c r="C72">
        <v>4546</v>
      </c>
      <c r="D72">
        <v>52597</v>
      </c>
      <c r="E72">
        <v>142159</v>
      </c>
      <c r="F72">
        <v>430396</v>
      </c>
      <c r="G72">
        <v>159087</v>
      </c>
      <c r="H72">
        <v>545947</v>
      </c>
      <c r="I72">
        <v>91901</v>
      </c>
      <c r="J72">
        <v>98996</v>
      </c>
      <c r="K72">
        <v>30935</v>
      </c>
      <c r="L72">
        <v>123102</v>
      </c>
      <c r="M72">
        <v>22292</v>
      </c>
      <c r="N72" t="s">
        <v>99</v>
      </c>
      <c r="O72">
        <v>1989</v>
      </c>
      <c r="P72">
        <v>11</v>
      </c>
    </row>
    <row r="73" spans="1:16" x14ac:dyDescent="0.2">
      <c r="A73" s="3">
        <v>1990</v>
      </c>
      <c r="B73">
        <v>1429</v>
      </c>
      <c r="C73">
        <v>35916</v>
      </c>
      <c r="D73">
        <v>61995</v>
      </c>
      <c r="E73">
        <v>238875</v>
      </c>
      <c r="F73">
        <v>218459</v>
      </c>
      <c r="G73">
        <v>519968</v>
      </c>
      <c r="H73">
        <v>140627</v>
      </c>
      <c r="I73">
        <v>400979</v>
      </c>
      <c r="J73">
        <v>71510</v>
      </c>
      <c r="K73">
        <v>110913</v>
      </c>
      <c r="L73">
        <v>9839</v>
      </c>
      <c r="M73">
        <v>89727</v>
      </c>
      <c r="N73" t="s">
        <v>99</v>
      </c>
      <c r="O73">
        <v>1990</v>
      </c>
      <c r="P73">
        <v>12</v>
      </c>
    </row>
    <row r="74" spans="1:16" x14ac:dyDescent="0.2">
      <c r="A74" s="3">
        <v>1991</v>
      </c>
      <c r="B74">
        <f>'pm_24.dat '!B237/1000</f>
        <v>683.57768650000287</v>
      </c>
      <c r="C74">
        <f>'pm_24.dat '!C237/1000</f>
        <v>112880.0876100017</v>
      </c>
      <c r="D74">
        <f>'pm_24.dat '!D237/1000</f>
        <v>43777.914009999913</v>
      </c>
      <c r="E74">
        <f>'pm_24.dat '!E237/1000</f>
        <v>90273.357909999744</v>
      </c>
      <c r="F74">
        <f>'pm_24.dat '!F237/1000</f>
        <v>153872.04611000078</v>
      </c>
      <c r="G74">
        <f>'pm_24.dat '!G237/1000</f>
        <v>184421.82900999908</v>
      </c>
      <c r="H74">
        <f>'pm_24.dat '!H237/1000</f>
        <v>497488.47300999367</v>
      </c>
      <c r="I74">
        <f>'pm_24.dat '!I237/1000</f>
        <v>78130.957209999775</v>
      </c>
      <c r="J74">
        <f>'pm_24.dat '!J237/1000</f>
        <v>288014.647009996</v>
      </c>
      <c r="K74">
        <f>'pm_24.dat '!K237/1000</f>
        <v>28863.692300000082</v>
      </c>
      <c r="L74">
        <f>'pm_24.dat '!L237/1000</f>
        <v>144079.92201000152</v>
      </c>
      <c r="M74">
        <f>SUM('pm_24.dat '!M237:P237)/1000</f>
        <v>185938.58529999998</v>
      </c>
      <c r="N74" t="s">
        <v>99</v>
      </c>
      <c r="O74">
        <v>1991</v>
      </c>
      <c r="P74">
        <v>13</v>
      </c>
    </row>
    <row r="75" spans="1:16" x14ac:dyDescent="0.2">
      <c r="A75" s="3">
        <v>1992</v>
      </c>
      <c r="B75">
        <f>'pm_24.dat '!B238/1000</f>
        <v>1102.6227100000042</v>
      </c>
      <c r="C75">
        <f>'pm_24.dat '!C238/1000</f>
        <v>84678.150409999769</v>
      </c>
      <c r="D75">
        <f>'pm_24.dat '!D238/1000</f>
        <v>675761.78000999289</v>
      </c>
      <c r="E75">
        <f>'pm_24.dat '!E238/1000</f>
        <v>130066.9756100018</v>
      </c>
      <c r="F75">
        <f>'pm_24.dat '!F238/1000</f>
        <v>79592.747509999812</v>
      </c>
      <c r="G75">
        <f>'pm_24.dat '!G238/1000</f>
        <v>108673.58711000103</v>
      </c>
      <c r="H75">
        <f>'pm_24.dat '!H238/1000</f>
        <v>133759.83711000226</v>
      </c>
      <c r="I75">
        <f>'pm_24.dat '!I238/1000</f>
        <v>253630.15910999678</v>
      </c>
      <c r="J75">
        <f>'pm_24.dat '!J238/1000</f>
        <v>102288.40321000051</v>
      </c>
      <c r="K75">
        <f>'pm_24.dat '!K238/1000</f>
        <v>147011.28411000129</v>
      </c>
      <c r="L75">
        <f>'pm_24.dat '!L238/1000</f>
        <v>57951.820509999816</v>
      </c>
      <c r="M75">
        <f>SUM('pm_24.dat '!M238:P238)/1000</f>
        <v>138081.34950599988</v>
      </c>
      <c r="N75" t="s">
        <v>99</v>
      </c>
      <c r="O75">
        <v>1992</v>
      </c>
      <c r="P75">
        <v>14</v>
      </c>
    </row>
    <row r="76" spans="1:16" x14ac:dyDescent="0.2">
      <c r="A76" s="3">
        <v>1993</v>
      </c>
      <c r="B76">
        <f>'pm_24.dat '!B239/1000</f>
        <v>66.176086200000398</v>
      </c>
      <c r="C76">
        <f>'pm_24.dat '!C239/1000</f>
        <v>7426.337107999987</v>
      </c>
      <c r="D76">
        <f>'pm_24.dat '!D239/1000</f>
        <v>260512.44600999658</v>
      </c>
      <c r="E76">
        <f>'pm_24.dat '!E239/1000</f>
        <v>1146678.408009992</v>
      </c>
      <c r="F76">
        <f>'pm_24.dat '!F239/1000</f>
        <v>102976.39421000058</v>
      </c>
      <c r="G76">
        <f>'pm_24.dat '!G239/1000</f>
        <v>66160.521509999759</v>
      </c>
      <c r="H76">
        <f>'pm_24.dat '!H239/1000</f>
        <v>66364.140509999706</v>
      </c>
      <c r="I76">
        <f>'pm_24.dat '!I239/1000</f>
        <v>56464.135009999831</v>
      </c>
      <c r="J76">
        <f>'pm_24.dat '!J239/1000</f>
        <v>86182.155409999788</v>
      </c>
      <c r="K76">
        <f>'pm_24.dat '!K239/1000</f>
        <v>21160.222480000091</v>
      </c>
      <c r="L76">
        <f>'pm_24.dat '!L239/1000</f>
        <v>32683.045300000107</v>
      </c>
      <c r="M76">
        <f>SUM('pm_24.dat '!M239:P239)/1000</f>
        <v>48704.533427000082</v>
      </c>
      <c r="N76" t="s">
        <v>99</v>
      </c>
      <c r="O76">
        <v>1993</v>
      </c>
      <c r="P76">
        <v>15</v>
      </c>
    </row>
    <row r="77" spans="1:16" x14ac:dyDescent="0.2">
      <c r="A77" s="3">
        <v>1994</v>
      </c>
      <c r="B77">
        <f>'pm_24.dat '!B240/1000</f>
        <v>749.51842200000283</v>
      </c>
      <c r="C77">
        <f>'pm_24.dat '!C240/1000</f>
        <v>30188.763760000093</v>
      </c>
      <c r="D77">
        <f>'pm_24.dat '!D240/1000</f>
        <v>55145.321109999823</v>
      </c>
      <c r="E77">
        <f>'pm_24.dat '!E240/1000</f>
        <v>361151.31300999492</v>
      </c>
      <c r="F77">
        <f>'pm_24.dat '!F240/1000</f>
        <v>1059660.0520099921</v>
      </c>
      <c r="G77">
        <f>'pm_24.dat '!G240/1000</f>
        <v>175694.39210999952</v>
      </c>
      <c r="H77">
        <f>'pm_24.dat '!H240/1000</f>
        <v>53531.420309999863</v>
      </c>
      <c r="I77">
        <f>'pm_24.dat '!I240/1000</f>
        <v>19105.978470000053</v>
      </c>
      <c r="J77">
        <f>'pm_24.dat '!J240/1000</f>
        <v>13140.716680000023</v>
      </c>
      <c r="K77">
        <f>'pm_24.dat '!K240/1000</f>
        <v>20163.830980000064</v>
      </c>
      <c r="L77">
        <f>'pm_24.dat '!L240/1000</f>
        <v>9715.2403139999933</v>
      </c>
      <c r="M77">
        <f>SUM('pm_24.dat '!M240:P240)/1000</f>
        <v>29198.218928999999</v>
      </c>
      <c r="N77" t="s">
        <v>99</v>
      </c>
      <c r="O77">
        <v>1994</v>
      </c>
      <c r="P77">
        <v>16</v>
      </c>
    </row>
    <row r="78" spans="1:16" x14ac:dyDescent="0.2">
      <c r="A78" s="3">
        <v>1995</v>
      </c>
      <c r="B78">
        <f>'pm_24.dat '!B241/1000</f>
        <v>1.0009999999999832E-2</v>
      </c>
      <c r="C78">
        <f>'pm_24.dat '!C241/1000</f>
        <v>514.34873127000208</v>
      </c>
      <c r="D78">
        <f>'pm_24.dat '!D241/1000</f>
        <v>72906.750009999698</v>
      </c>
      <c r="E78">
        <f>'pm_24.dat '!E241/1000</f>
        <v>146786.64811000132</v>
      </c>
      <c r="F78">
        <f>'pm_24.dat '!F241/1000</f>
        <v>395472.51800999453</v>
      </c>
      <c r="G78">
        <f>'pm_24.dat '!G241/1000</f>
        <v>761106.42300999258</v>
      </c>
      <c r="H78">
        <f>'pm_24.dat '!H241/1000</f>
        <v>136271.21561000182</v>
      </c>
      <c r="I78">
        <f>'pm_24.dat '!I241/1000</f>
        <v>34575.493260000112</v>
      </c>
      <c r="J78">
        <f>'pm_24.dat '!J241/1000</f>
        <v>12271.419881000013</v>
      </c>
      <c r="K78">
        <f>'pm_24.dat '!K241/1000</f>
        <v>7501.9281120000041</v>
      </c>
      <c r="L78">
        <f>'pm_24.dat '!L241/1000</f>
        <v>17477.639980000051</v>
      </c>
      <c r="M78">
        <f>SUM('pm_24.dat '!M241:P241)/1000</f>
        <v>21394.452993999996</v>
      </c>
      <c r="N78" t="s">
        <v>99</v>
      </c>
      <c r="O78">
        <v>1995</v>
      </c>
      <c r="P78">
        <v>17</v>
      </c>
    </row>
    <row r="79" spans="1:16" x14ac:dyDescent="0.2">
      <c r="A79" s="3">
        <v>1996</v>
      </c>
      <c r="B79">
        <f>'pm_24.dat '!B242/1000</f>
        <v>1.0009999999999832E-2</v>
      </c>
      <c r="C79">
        <f>'pm_24.dat '!C242/1000</f>
        <v>21661.749058000074</v>
      </c>
      <c r="D79">
        <f>'pm_24.dat '!D242/1000</f>
        <v>48084.775628999872</v>
      </c>
      <c r="E79">
        <f>'pm_24.dat '!E242/1000</f>
        <v>71786.09710999974</v>
      </c>
      <c r="F79">
        <f>'pm_24.dat '!F242/1000</f>
        <v>160974.89141000036</v>
      </c>
      <c r="G79">
        <f>'pm_24.dat '!G242/1000</f>
        <v>361906.14100999484</v>
      </c>
      <c r="H79">
        <f>'pm_24.dat '!H242/1000</f>
        <v>481726.89300999377</v>
      </c>
      <c r="I79">
        <f>'pm_24.dat '!I242/1000</f>
        <v>184638.42400999911</v>
      </c>
      <c r="J79">
        <f>'pm_24.dat '!J242/1000</f>
        <v>33635.762390000098</v>
      </c>
      <c r="K79">
        <f>'pm_24.dat '!K242/1000</f>
        <v>13448.442540000031</v>
      </c>
      <c r="L79">
        <f>'pm_24.dat '!L242/1000</f>
        <v>7948.4999059999927</v>
      </c>
      <c r="M79">
        <f>SUM('pm_24.dat '!M242:P242)/1000</f>
        <v>24288.27706739998</v>
      </c>
      <c r="N79" t="s">
        <v>99</v>
      </c>
      <c r="O79">
        <v>1996</v>
      </c>
      <c r="P79">
        <v>18</v>
      </c>
    </row>
    <row r="80" spans="1:16" x14ac:dyDescent="0.2">
      <c r="A80" s="3">
        <v>1997</v>
      </c>
      <c r="B80">
        <f>'pm_24.dat '!B243/1000</f>
        <v>1030.6614370000036</v>
      </c>
      <c r="C80">
        <f>'pm_24.dat '!C243/1000</f>
        <v>77692.162959999754</v>
      </c>
      <c r="D80">
        <f>'pm_24.dat '!D243/1000</f>
        <v>40326.288640000006</v>
      </c>
      <c r="E80">
        <f>'pm_24.dat '!E243/1000</f>
        <v>118974.61221000153</v>
      </c>
      <c r="F80">
        <f>'pm_24.dat '!F243/1000</f>
        <v>455137.95500999404</v>
      </c>
      <c r="G80">
        <f>'pm_24.dat '!G243/1000</f>
        <v>288956.82200999599</v>
      </c>
      <c r="H80">
        <f>'pm_24.dat '!H243/1000</f>
        <v>256371.88800999668</v>
      </c>
      <c r="I80">
        <f>'pm_24.dat '!I243/1000</f>
        <v>198555.20790999848</v>
      </c>
      <c r="J80">
        <f>'pm_24.dat '!J243/1000</f>
        <v>64018.159779999769</v>
      </c>
      <c r="K80">
        <f>'pm_24.dat '!K243/1000</f>
        <v>13335.152930000004</v>
      </c>
      <c r="L80">
        <f>'pm_24.dat '!L243/1000</f>
        <v>5970.2666279999912</v>
      </c>
      <c r="M80">
        <f>SUM('pm_24.dat '!M243:P243)/1000</f>
        <v>21441.73992499998</v>
      </c>
      <c r="N80" t="s">
        <v>99</v>
      </c>
      <c r="O80">
        <v>1997</v>
      </c>
      <c r="P80">
        <v>19</v>
      </c>
    </row>
    <row r="81" spans="1:16" x14ac:dyDescent="0.2">
      <c r="A81" s="3">
        <v>1998</v>
      </c>
      <c r="B81">
        <f>'pm_24.dat '!B244/1000</f>
        <v>288.3878760000016</v>
      </c>
      <c r="C81">
        <f>'pm_24.dat '!C244/1000</f>
        <v>42025.190849999984</v>
      </c>
      <c r="D81">
        <f>'pm_24.dat '!D244/1000</f>
        <v>84532.243609999714</v>
      </c>
      <c r="E81">
        <f>'pm_24.dat '!E244/1000</f>
        <v>70495.498309999719</v>
      </c>
      <c r="F81">
        <f>'pm_24.dat '!F244/1000</f>
        <v>153354.7163100008</v>
      </c>
      <c r="G81">
        <f>'pm_24.dat '!G244/1000</f>
        <v>702792.24200999271</v>
      </c>
      <c r="H81">
        <f>'pm_24.dat '!H244/1000</f>
        <v>199570.18700999848</v>
      </c>
      <c r="I81">
        <f>'pm_24.dat '!I244/1000</f>
        <v>131723.43661000225</v>
      </c>
      <c r="J81">
        <f>'pm_24.dat '!J244/1000</f>
        <v>110744.18821000146</v>
      </c>
      <c r="K81">
        <f>'pm_24.dat '!K244/1000</f>
        <v>27795.326130000107</v>
      </c>
      <c r="L81">
        <f>'pm_24.dat '!L244/1000</f>
        <v>6145.3187349999926</v>
      </c>
      <c r="M81">
        <f>SUM('pm_24.dat '!M244:P244)/1000</f>
        <v>15107.209382000006</v>
      </c>
      <c r="N81" t="s">
        <v>99</v>
      </c>
      <c r="O81">
        <v>1998</v>
      </c>
      <c r="P81">
        <v>20</v>
      </c>
    </row>
    <row r="82" spans="1:16" x14ac:dyDescent="0.2">
      <c r="A82" s="3">
        <v>1999</v>
      </c>
      <c r="B82">
        <f>'pm_24.dat '!B245/1000</f>
        <v>232.5741220000013</v>
      </c>
      <c r="C82">
        <f>'pm_24.dat '!C245/1000</f>
        <v>10347.391936000004</v>
      </c>
      <c r="D82">
        <f>'pm_24.dat '!D245/1000</f>
        <v>298714.37500999583</v>
      </c>
      <c r="E82">
        <f>'pm_24.dat '!E245/1000</f>
        <v>225033.34400999753</v>
      </c>
      <c r="F82">
        <f>'pm_24.dat '!F245/1000</f>
        <v>103037.47461000069</v>
      </c>
      <c r="G82">
        <f>'pm_24.dat '!G245/1000</f>
        <v>157017.98701000062</v>
      </c>
      <c r="H82">
        <f>'pm_24.dat '!H245/1000</f>
        <v>469737.14600999391</v>
      </c>
      <c r="I82">
        <f>'pm_24.dat '!I245/1000</f>
        <v>130998.45191000227</v>
      </c>
      <c r="J82">
        <f>'pm_24.dat '!J245/1000</f>
        <v>56503.034209999809</v>
      </c>
      <c r="K82">
        <f>'pm_24.dat '!K245/1000</f>
        <v>33180.522910000094</v>
      </c>
      <c r="L82">
        <f>'pm_24.dat '!L245/1000</f>
        <v>3960.0798099999979</v>
      </c>
      <c r="M82">
        <f>SUM('pm_24.dat '!M245:P245)/1000</f>
        <v>5579.2494939000053</v>
      </c>
      <c r="N82" t="s">
        <v>99</v>
      </c>
      <c r="O82">
        <v>1999</v>
      </c>
      <c r="P82">
        <v>21</v>
      </c>
    </row>
    <row r="83" spans="1:16" x14ac:dyDescent="0.2">
      <c r="A83" s="3">
        <v>2000</v>
      </c>
      <c r="B83">
        <f>'pm_24.dat '!B246/1000</f>
        <v>1.0009999999999832E-2</v>
      </c>
      <c r="C83">
        <f>'pm_24.dat '!C246/1000</f>
        <v>16076.799820000062</v>
      </c>
      <c r="D83">
        <f>'pm_24.dat '!D246/1000</f>
        <v>82441.649609999746</v>
      </c>
      <c r="E83">
        <f>'pm_24.dat '!E246/1000</f>
        <v>428501.21500999422</v>
      </c>
      <c r="F83">
        <f>'pm_24.dat '!F246/1000</f>
        <v>346512.36500999512</v>
      </c>
      <c r="G83">
        <f>'pm_24.dat '!G246/1000</f>
        <v>106681.58031000102</v>
      </c>
      <c r="H83">
        <f>'pm_24.dat '!H246/1000</f>
        <v>168385.38000999996</v>
      </c>
      <c r="I83">
        <f>'pm_24.dat '!I246/1000</f>
        <v>357715.94700999494</v>
      </c>
      <c r="J83">
        <f>'pm_24.dat '!J246/1000</f>
        <v>84913.329409999598</v>
      </c>
      <c r="K83">
        <f>'pm_24.dat '!K246/1000</f>
        <v>29722.613810000108</v>
      </c>
      <c r="L83">
        <f>'pm_24.dat '!L246/1000</f>
        <v>22045.490030000088</v>
      </c>
      <c r="M83">
        <f>SUM('pm_24.dat '!M246:P246)/1000</f>
        <v>8226.4442050000089</v>
      </c>
      <c r="N83" t="s">
        <v>99</v>
      </c>
      <c r="O83">
        <v>2000</v>
      </c>
      <c r="P83">
        <v>22</v>
      </c>
    </row>
    <row r="84" spans="1:16" x14ac:dyDescent="0.2">
      <c r="A84" s="3">
        <v>2001</v>
      </c>
      <c r="B84">
        <f>'pm_24.dat '!B247/1000</f>
        <v>1.0009999999999832E-2</v>
      </c>
      <c r="C84">
        <f>'pm_24.dat '!C247/1000</f>
        <v>3213.8220203999904</v>
      </c>
      <c r="D84">
        <f>'pm_24.dat '!D247/1000</f>
        <v>42795.561009999918</v>
      </c>
      <c r="E84">
        <f>'pm_24.dat '!E247/1000</f>
        <v>154501.10701000076</v>
      </c>
      <c r="F84">
        <f>'pm_24.dat '!F247/1000</f>
        <v>581039.83100999321</v>
      </c>
      <c r="G84">
        <f>'pm_24.dat '!G247/1000</f>
        <v>415044.52700999432</v>
      </c>
      <c r="H84">
        <f>'pm_24.dat '!H247/1000</f>
        <v>137184.79401000208</v>
      </c>
      <c r="I84">
        <f>'pm_24.dat '!I247/1000</f>
        <v>129002.92111000219</v>
      </c>
      <c r="J84">
        <f>'pm_24.dat '!J247/1000</f>
        <v>157229.5900100006</v>
      </c>
      <c r="K84">
        <f>'pm_24.dat '!K247/1000</f>
        <v>57854.815909999859</v>
      </c>
      <c r="L84">
        <f>'pm_24.dat '!L247/1000</f>
        <v>33643.741510000051</v>
      </c>
      <c r="M84">
        <f>SUM('pm_24.dat '!M247:P247)/1000</f>
        <v>26731.477277000056</v>
      </c>
      <c r="N84" t="s">
        <v>99</v>
      </c>
      <c r="O84">
        <v>2001</v>
      </c>
      <c r="P84">
        <v>23</v>
      </c>
    </row>
    <row r="85" spans="1:16" x14ac:dyDescent="0.2">
      <c r="A85" s="3">
        <v>2002</v>
      </c>
      <c r="B85">
        <f>'pm_24.dat '!B248/1000</f>
        <v>773.33606900000314</v>
      </c>
      <c r="C85">
        <f>'pm_24.dat '!C248/1000</f>
        <v>47047.125409999906</v>
      </c>
      <c r="D85">
        <f>'pm_24.dat '!D248/1000</f>
        <v>108051.65591000109</v>
      </c>
      <c r="E85">
        <f>'pm_24.dat '!E248/1000</f>
        <v>217818.11700999778</v>
      </c>
      <c r="F85">
        <f>'pm_24.dat '!F248/1000</f>
        <v>287550.103009996</v>
      </c>
      <c r="G85">
        <f>'pm_24.dat '!G248/1000</f>
        <v>606330.90200999321</v>
      </c>
      <c r="H85">
        <f>'pm_24.dat '!H248/1000</f>
        <v>267955.7450099964</v>
      </c>
      <c r="I85">
        <f>'pm_24.dat '!I248/1000</f>
        <v>98464.239410000315</v>
      </c>
      <c r="J85">
        <f>'pm_24.dat '!J248/1000</f>
        <v>85885.59080999966</v>
      </c>
      <c r="K85">
        <f>'pm_24.dat '!K248/1000</f>
        <v>93924.68941000021</v>
      </c>
      <c r="L85">
        <f>'pm_24.dat '!L248/1000</f>
        <v>34608.141210000038</v>
      </c>
      <c r="M85">
        <f>SUM('pm_24.dat '!M248:P248)/1000</f>
        <v>30216.000332200016</v>
      </c>
      <c r="N85" t="s">
        <v>99</v>
      </c>
      <c r="O85">
        <v>2002</v>
      </c>
      <c r="P85">
        <v>24</v>
      </c>
    </row>
    <row r="86" spans="1:16" x14ac:dyDescent="0.2">
      <c r="A86" s="3">
        <v>2003</v>
      </c>
      <c r="B86">
        <f>'pm_24.dat '!B249/1000</f>
        <v>1.0009999999999832E-2</v>
      </c>
      <c r="C86">
        <f>'pm_24.dat '!C249/1000</f>
        <v>14537.705940000054</v>
      </c>
      <c r="D86">
        <f>'pm_24.dat '!D249/1000</f>
        <v>411772.50600999431</v>
      </c>
      <c r="E86">
        <f>'pm_24.dat '!E249/1000</f>
        <v>324118.31400999537</v>
      </c>
      <c r="F86">
        <f>'pm_24.dat '!F249/1000</f>
        <v>360408.64500999491</v>
      </c>
      <c r="G86">
        <f>'pm_24.dat '!G249/1000</f>
        <v>301476.08900999575</v>
      </c>
      <c r="H86">
        <f>'pm_24.dat '!H249/1000</f>
        <v>337593.89500999521</v>
      </c>
      <c r="I86">
        <f>'pm_24.dat '!I249/1000</f>
        <v>158551.81101000053</v>
      </c>
      <c r="J86">
        <f>'pm_24.dat '!J249/1000</f>
        <v>49422.631709999921</v>
      </c>
      <c r="K86">
        <f>'pm_24.dat '!K249/1000</f>
        <v>39279.391709999996</v>
      </c>
      <c r="L86">
        <f>'pm_24.dat '!L249/1000</f>
        <v>35708.840710000099</v>
      </c>
      <c r="M86">
        <f>SUM('pm_24.dat '!M249:P249)/1000</f>
        <v>36385.630570700087</v>
      </c>
      <c r="N86" t="s">
        <v>99</v>
      </c>
      <c r="O86">
        <v>2003</v>
      </c>
      <c r="P86">
        <v>25</v>
      </c>
    </row>
    <row r="87" spans="1:16" x14ac:dyDescent="0.2">
      <c r="A87" s="3">
        <v>2004</v>
      </c>
      <c r="B87">
        <f>'pm_24.dat '!B250/1000</f>
        <v>1.0009999999999832E-2</v>
      </c>
      <c r="C87">
        <f>'pm_24.dat '!C250/1000</f>
        <v>539.18904580000242</v>
      </c>
      <c r="D87">
        <f>'pm_24.dat '!D250/1000</f>
        <v>89601.071610000043</v>
      </c>
      <c r="E87">
        <f>'pm_24.dat '!E250/1000</f>
        <v>831121.29600999248</v>
      </c>
      <c r="F87">
        <f>'pm_24.dat '!F250/1000</f>
        <v>480648.05000999378</v>
      </c>
      <c r="G87">
        <f>'pm_24.dat '!G250/1000</f>
        <v>236817.93400999723</v>
      </c>
      <c r="H87">
        <f>'pm_24.dat '!H250/1000</f>
        <v>169278.79200999989</v>
      </c>
      <c r="I87">
        <f>'pm_24.dat '!I250/1000</f>
        <v>156280.83601000067</v>
      </c>
      <c r="J87">
        <f>'pm_24.dat '!J250/1000</f>
        <v>64958.948409999699</v>
      </c>
      <c r="K87">
        <f>'pm_24.dat '!K250/1000</f>
        <v>16118.106200000044</v>
      </c>
      <c r="L87">
        <f>'pm_24.dat '!L250/1000</f>
        <v>17061.328110000053</v>
      </c>
      <c r="M87">
        <f>SUM('pm_24.dat '!M250:P250)/1000</f>
        <v>47511.586661000088</v>
      </c>
      <c r="N87" t="s">
        <v>99</v>
      </c>
      <c r="O87">
        <v>2004</v>
      </c>
      <c r="P87">
        <v>26</v>
      </c>
    </row>
    <row r="88" spans="1:16" x14ac:dyDescent="0.2">
      <c r="A88" s="3">
        <v>2005</v>
      </c>
      <c r="B88">
        <f>'pm_24.dat '!B251/1000</f>
        <v>1.0009999999999832E-2</v>
      </c>
      <c r="C88">
        <f>'pm_24.dat '!C251/1000</f>
        <v>4794.9227247999925</v>
      </c>
      <c r="D88">
        <f>'pm_24.dat '!D251/1000</f>
        <v>52152.254309999844</v>
      </c>
      <c r="E88">
        <f>'pm_24.dat '!E251/1000</f>
        <v>392851.18200999452</v>
      </c>
      <c r="F88">
        <f>'pm_24.dat '!F251/1000</f>
        <v>863793.39700999239</v>
      </c>
      <c r="G88">
        <f>'pm_24.dat '!G251/1000</f>
        <v>484636.4390099938</v>
      </c>
      <c r="H88">
        <f>'pm_24.dat '!H251/1000</f>
        <v>159461.86781000049</v>
      </c>
      <c r="I88">
        <f>'pm_24.dat '!I251/1000</f>
        <v>68082.212709999789</v>
      </c>
      <c r="J88">
        <f>'pm_24.dat '!J251/1000</f>
        <v>66622.232709999807</v>
      </c>
      <c r="K88">
        <f>'pm_24.dat '!K251/1000</f>
        <v>30103.697510000111</v>
      </c>
      <c r="L88">
        <f>'pm_24.dat '!L251/1000</f>
        <v>9999.1176500000001</v>
      </c>
      <c r="M88">
        <f>SUM('pm_24.dat '!M251:P251)/1000</f>
        <v>18226.632764999969</v>
      </c>
      <c r="N88" t="s">
        <v>99</v>
      </c>
      <c r="O88">
        <v>2005</v>
      </c>
      <c r="P88">
        <v>27</v>
      </c>
    </row>
    <row r="89" spans="1:16" x14ac:dyDescent="0.2">
      <c r="A89" s="3">
        <v>2006</v>
      </c>
      <c r="B89">
        <f>'pm_24.dat '!B252/1000</f>
        <v>1.0009999999999832E-2</v>
      </c>
      <c r="C89">
        <f>'pm_24.dat '!C252/1000</f>
        <v>9895.8865200000164</v>
      </c>
      <c r="D89">
        <f>'pm_24.dat '!D252/1000</f>
        <v>84176.891909999846</v>
      </c>
      <c r="E89">
        <f>'pm_24.dat '!E252/1000</f>
        <v>295759.6780099959</v>
      </c>
      <c r="F89">
        <f>'pm_24.dat '!F252/1000</f>
        <v>619632.53400999308</v>
      </c>
      <c r="G89">
        <f>'pm_24.dat '!G252/1000</f>
        <v>597614.10900999315</v>
      </c>
      <c r="H89">
        <f>'pm_24.dat '!H252/1000</f>
        <v>278588.97300999617</v>
      </c>
      <c r="I89">
        <f>'pm_24.dat '!I252/1000</f>
        <v>107342.91981000104</v>
      </c>
      <c r="J89">
        <f>'pm_24.dat '!J252/1000</f>
        <v>48018.542609999822</v>
      </c>
      <c r="K89">
        <f>'pm_24.dat '!K252/1000</f>
        <v>38365.705909999946</v>
      </c>
      <c r="L89">
        <f>'pm_24.dat '!L252/1000</f>
        <v>17699.070450000065</v>
      </c>
      <c r="M89">
        <f>SUM('pm_24.dat '!M252:P252)/1000</f>
        <v>29092.360833899984</v>
      </c>
      <c r="N89" t="s">
        <v>99</v>
      </c>
      <c r="O89">
        <v>2006</v>
      </c>
      <c r="P89">
        <v>28</v>
      </c>
    </row>
    <row r="90" spans="1:16" x14ac:dyDescent="0.2">
      <c r="A90" s="3">
        <v>2007</v>
      </c>
      <c r="B90">
        <f>'pm_24.dat '!B253/1000</f>
        <v>1659.6595100000011</v>
      </c>
      <c r="C90">
        <f>'pm_24.dat '!C253/1000</f>
        <v>15740.40241000005</v>
      </c>
      <c r="D90">
        <f>'pm_24.dat '!D253/1000</f>
        <v>59186.795609999877</v>
      </c>
      <c r="E90">
        <f>'pm_24.dat '!E253/1000</f>
        <v>139160.57811000192</v>
      </c>
      <c r="F90">
        <f>'pm_24.dat '!F253/1000</f>
        <v>389416.42500999459</v>
      </c>
      <c r="G90">
        <f>'pm_24.dat '!G253/1000</f>
        <v>511985.96500999352</v>
      </c>
      <c r="H90">
        <f>'pm_24.dat '!H253/1000</f>
        <v>300781.14200999576</v>
      </c>
      <c r="I90">
        <f>'pm_24.dat '!I253/1000</f>
        <v>137084.4771100021</v>
      </c>
      <c r="J90">
        <f>'pm_24.dat '!J253/1000</f>
        <v>47608.280409999883</v>
      </c>
      <c r="K90">
        <f>'pm_24.dat '!K253/1000</f>
        <v>27511.730010000079</v>
      </c>
      <c r="L90">
        <f>'pm_24.dat '!L253/1000</f>
        <v>21870.33365000007</v>
      </c>
      <c r="M90">
        <f>SUM('pm_24.dat '!M253:P253)/1000</f>
        <v>29646.321364000014</v>
      </c>
      <c r="N90" t="s">
        <v>99</v>
      </c>
      <c r="O90">
        <v>2007</v>
      </c>
      <c r="P90">
        <v>29</v>
      </c>
    </row>
    <row r="91" spans="1:16" x14ac:dyDescent="0.2">
      <c r="A91" s="3">
        <v>2008</v>
      </c>
      <c r="B91">
        <f>'pm_24.dat '!B254/1000</f>
        <v>1.0009999999999832E-2</v>
      </c>
      <c r="C91">
        <f>'pm_24.dat '!C254/1000</f>
        <v>25191.42811000011</v>
      </c>
      <c r="D91">
        <f>'pm_24.dat '!D254/1000</f>
        <v>58819.66740999982</v>
      </c>
      <c r="E91">
        <f>'pm_24.dat '!E254/1000</f>
        <v>79220.410509999725</v>
      </c>
      <c r="F91">
        <f>'pm_24.dat '!F254/1000</f>
        <v>147007.51401000129</v>
      </c>
      <c r="G91">
        <f>'pm_24.dat '!G254/1000</f>
        <v>309671.75100999558</v>
      </c>
      <c r="H91">
        <f>'pm_24.dat '!H254/1000</f>
        <v>242289.07100999705</v>
      </c>
      <c r="I91">
        <f>'pm_24.dat '!I254/1000</f>
        <v>148734.01901000118</v>
      </c>
      <c r="J91">
        <f>'pm_24.dat '!J254/1000</f>
        <v>84275.08590999966</v>
      </c>
      <c r="K91">
        <f>'pm_24.dat '!K254/1000</f>
        <v>22177.833210000088</v>
      </c>
      <c r="L91">
        <f>'pm_24.dat '!L254/1000</f>
        <v>17567.691480000074</v>
      </c>
      <c r="M91">
        <f>SUM('pm_24.dat '!M254:P254)/1000</f>
        <v>38492.408685800074</v>
      </c>
      <c r="N91" t="s">
        <v>99</v>
      </c>
      <c r="O91">
        <v>2008</v>
      </c>
      <c r="P91">
        <v>30</v>
      </c>
    </row>
    <row r="92" spans="1:16" x14ac:dyDescent="0.2">
      <c r="A92" s="3">
        <v>2009</v>
      </c>
      <c r="B92">
        <f>'pm_24.dat '!B255/1000</f>
        <v>1.0009999999999832E-2</v>
      </c>
      <c r="C92">
        <f>'pm_24.dat '!C255/1000</f>
        <v>1316.2643350000012</v>
      </c>
      <c r="D92">
        <f>'pm_24.dat '!D255/1000</f>
        <v>175524.08100999959</v>
      </c>
      <c r="E92">
        <f>'pm_24.dat '!E255/1000</f>
        <v>200579.59200999839</v>
      </c>
      <c r="F92">
        <f>'pm_24.dat '!F255/1000</f>
        <v>82553.813309999779</v>
      </c>
      <c r="G92">
        <f>'pm_24.dat '!G255/1000</f>
        <v>114443.55711000157</v>
      </c>
      <c r="H92">
        <f>'pm_24.dat '!H255/1000</f>
        <v>124315.76441000206</v>
      </c>
      <c r="I92">
        <f>'pm_24.dat '!I255/1000</f>
        <v>104320.63911000089</v>
      </c>
      <c r="J92">
        <f>'pm_24.dat '!J255/1000</f>
        <v>66639.422909999732</v>
      </c>
      <c r="K92">
        <f>'pm_24.dat '!K255/1000</f>
        <v>40218.133210000022</v>
      </c>
      <c r="L92">
        <f>'pm_24.dat '!L255/1000</f>
        <v>23534.400190000088</v>
      </c>
      <c r="M92">
        <f>SUM('pm_24.dat '!M255:P255)/1000</f>
        <v>26521.504041999982</v>
      </c>
      <c r="N92" t="s">
        <v>99</v>
      </c>
      <c r="O92">
        <v>2009</v>
      </c>
      <c r="P92">
        <v>31</v>
      </c>
    </row>
    <row r="93" spans="1:16" x14ac:dyDescent="0.2">
      <c r="A93" s="3">
        <v>2010</v>
      </c>
      <c r="B93">
        <f>'pm_24.dat '!B256/1000</f>
        <v>1080.8659710000024</v>
      </c>
      <c r="C93">
        <f>'pm_24.dat '!C256/1000</f>
        <v>26460.160580000076</v>
      </c>
      <c r="D93">
        <f>'pm_24.dat '!D256/1000</f>
        <v>31848.66765000009</v>
      </c>
      <c r="E93">
        <f>'pm_24.dat '!E256/1000</f>
        <v>559371.81000999326</v>
      </c>
      <c r="F93">
        <f>'pm_24.dat '!F256/1000</f>
        <v>220484.88200999767</v>
      </c>
      <c r="G93">
        <f>'pm_24.dat '!G256/1000</f>
        <v>54738.225909999812</v>
      </c>
      <c r="H93">
        <f>'pm_24.dat '!H256/1000</f>
        <v>43008.810309999986</v>
      </c>
      <c r="I93">
        <f>'pm_24.dat '!I256/1000</f>
        <v>57679.465309999832</v>
      </c>
      <c r="J93">
        <f>'pm_24.dat '!J256/1000</f>
        <v>51779.004609999822</v>
      </c>
      <c r="K93">
        <f>'pm_24.dat '!K256/1000</f>
        <v>31823.597710000082</v>
      </c>
      <c r="L93">
        <f>'pm_24.dat '!L256/1000</f>
        <v>15964.115780000046</v>
      </c>
      <c r="M93">
        <f>SUM('pm_24.dat '!M256:P256)/1000</f>
        <v>24073.133808999988</v>
      </c>
      <c r="N93" t="s">
        <v>99</v>
      </c>
      <c r="O93">
        <v>2010</v>
      </c>
      <c r="P93">
        <v>32</v>
      </c>
    </row>
    <row r="94" spans="1:16" x14ac:dyDescent="0.2">
      <c r="A94" s="3">
        <v>2011</v>
      </c>
      <c r="B94">
        <f>'pm_24.dat '!B257/1000</f>
        <v>382.13280100000321</v>
      </c>
      <c r="C94">
        <f>'pm_24.dat '!C257/1000</f>
        <v>10353.313847000009</v>
      </c>
      <c r="D94">
        <f>'pm_24.dat '!D257/1000</f>
        <v>193325.23400999871</v>
      </c>
      <c r="E94">
        <f>'pm_24.dat '!E257/1000</f>
        <v>115370.30811000182</v>
      </c>
      <c r="F94">
        <f>'pm_24.dat '!F257/1000</f>
        <v>809168.0930099925</v>
      </c>
      <c r="G94">
        <f>'pm_24.dat '!G257/1000</f>
        <v>284700.26000999613</v>
      </c>
      <c r="H94">
        <f>'pm_24.dat '!H257/1000</f>
        <v>63564.863709999772</v>
      </c>
      <c r="I94">
        <f>'pm_24.dat '!I257/1000</f>
        <v>37514.185310000052</v>
      </c>
      <c r="J94">
        <f>'pm_24.dat '!J257/1000</f>
        <v>38494.702210000032</v>
      </c>
      <c r="K94">
        <f>'pm_24.dat '!K257/1000</f>
        <v>41410.187910000037</v>
      </c>
      <c r="L94">
        <f>'pm_24.dat '!L257/1000</f>
        <v>25804.157680000088</v>
      </c>
      <c r="M94">
        <f>SUM('pm_24.dat '!M257:P257)/1000</f>
        <v>22529.620035600023</v>
      </c>
      <c r="N94" t="s">
        <v>99</v>
      </c>
      <c r="O94">
        <v>2011</v>
      </c>
      <c r="P94">
        <v>33</v>
      </c>
    </row>
    <row r="95" spans="1:16" x14ac:dyDescent="0.2">
      <c r="A95" s="3">
        <v>2012</v>
      </c>
      <c r="B95">
        <f>'pm_24.dat '!B258/1000</f>
        <v>1.0009999999999832E-2</v>
      </c>
      <c r="C95">
        <f>'pm_24.dat '!C258/1000</f>
        <v>22271.670350000102</v>
      </c>
      <c r="D95">
        <f>'pm_24.dat '!D258/1000</f>
        <v>116748.21661000157</v>
      </c>
      <c r="E95">
        <f>'pm_24.dat '!E258/1000</f>
        <v>946698.18600999215</v>
      </c>
      <c r="F95">
        <f>'pm_24.dat '!F258/1000</f>
        <v>172786.11200999969</v>
      </c>
      <c r="G95">
        <f>'pm_24.dat '!G258/1000</f>
        <v>432561.29800999415</v>
      </c>
      <c r="H95">
        <f>'pm_24.dat '!H258/1000</f>
        <v>141550.73921000175</v>
      </c>
      <c r="I95">
        <f>'pm_24.dat '!I258/1000</f>
        <v>36681.20521000008</v>
      </c>
      <c r="J95">
        <f>'pm_24.dat '!J258/1000</f>
        <v>17431.762810000055</v>
      </c>
      <c r="K95">
        <f>'pm_24.dat '!K258/1000</f>
        <v>14602.365660000052</v>
      </c>
      <c r="L95">
        <f>'pm_24.dat '!L258/1000</f>
        <v>15918.74307000007</v>
      </c>
      <c r="M95">
        <f>SUM('pm_24.dat '!M258:P258)/1000</f>
        <v>30374.576671000032</v>
      </c>
      <c r="N95" t="s">
        <v>99</v>
      </c>
      <c r="O95">
        <v>2012</v>
      </c>
      <c r="P95">
        <v>34</v>
      </c>
    </row>
    <row r="96" spans="1:16" x14ac:dyDescent="0.2">
      <c r="A96" s="3">
        <v>2013</v>
      </c>
      <c r="B96">
        <f>'pm_24.dat '!B259/1000</f>
        <v>1845.9811070000017</v>
      </c>
      <c r="C96">
        <f>'pm_24.dat '!C259/1000</f>
        <v>972.16306390000057</v>
      </c>
      <c r="D96">
        <f>'pm_24.dat '!D259/1000</f>
        <v>63950.72360999979</v>
      </c>
      <c r="E96">
        <f>'pm_24.dat '!E259/1000</f>
        <v>342392.38100999512</v>
      </c>
      <c r="F96">
        <f>'pm_24.dat '!F259/1000</f>
        <v>955865.74600999209</v>
      </c>
      <c r="G96">
        <f>'pm_24.dat '!G259/1000</f>
        <v>194432.70100999865</v>
      </c>
      <c r="H96">
        <f>'pm_24.dat '!H259/1000</f>
        <v>156538.32961000063</v>
      </c>
      <c r="I96">
        <f>'pm_24.dat '!I259/1000</f>
        <v>69971.108609999646</v>
      </c>
      <c r="J96">
        <f>'pm_24.dat '!J259/1000</f>
        <v>20678.954110000086</v>
      </c>
      <c r="K96">
        <f>'pm_24.dat '!K259/1000</f>
        <v>12750.152460000023</v>
      </c>
      <c r="L96">
        <f>'pm_24.dat '!L259/1000</f>
        <v>12754.855850000016</v>
      </c>
      <c r="M96">
        <f>SUM('pm_24.dat '!M259:P259)/1000</f>
        <v>29193.804818000011</v>
      </c>
      <c r="N96" t="s">
        <v>99</v>
      </c>
      <c r="O96">
        <v>2013</v>
      </c>
      <c r="P96">
        <v>35</v>
      </c>
    </row>
    <row r="97" spans="1:31" x14ac:dyDescent="0.2">
      <c r="A97" s="3">
        <v>2014</v>
      </c>
      <c r="B97">
        <f>'pm_24.dat '!B260/1000</f>
        <v>1.0009999999999832E-2</v>
      </c>
      <c r="C97">
        <f>'pm_24.dat '!C260/1000</f>
        <v>39223.065109999967</v>
      </c>
      <c r="D97">
        <f>'pm_24.dat '!D260/1000</f>
        <v>31030.785400000132</v>
      </c>
      <c r="E97">
        <f>'pm_24.dat '!E260/1000</f>
        <v>167779.24900999994</v>
      </c>
      <c r="F97">
        <f>'pm_24.dat '!F260/1000</f>
        <v>399292.36100999446</v>
      </c>
      <c r="G97">
        <f>'pm_24.dat '!G260/1000</f>
        <v>751755.41500999255</v>
      </c>
      <c r="H97">
        <f>'pm_24.dat '!H260/1000</f>
        <v>210227.072009998</v>
      </c>
      <c r="I97">
        <f>'pm_24.dat '!I260/1000</f>
        <v>86232.072609999668</v>
      </c>
      <c r="J97">
        <f>'pm_24.dat '!J260/1000</f>
        <v>29830.652170000096</v>
      </c>
      <c r="K97">
        <f>'pm_24.dat '!K260/1000</f>
        <v>8966.0211749999853</v>
      </c>
      <c r="L97">
        <f>'pm_24.dat '!L260/1000</f>
        <v>4490.470271000001</v>
      </c>
      <c r="M97">
        <f>SUM('pm_24.dat '!M260:P260)/1000</f>
        <v>17875.483046399993</v>
      </c>
      <c r="N97" t="s">
        <v>99</v>
      </c>
      <c r="O97">
        <v>2014</v>
      </c>
      <c r="P97">
        <v>36</v>
      </c>
    </row>
    <row r="98" spans="1:31" x14ac:dyDescent="0.2">
      <c r="A98" s="3">
        <v>2015</v>
      </c>
      <c r="B98">
        <f>'pm_24.dat '!B261/1000</f>
        <v>1.0009999999999832E-2</v>
      </c>
      <c r="C98">
        <f>'pm_24.dat '!C261/1000</f>
        <v>15473.07068000003</v>
      </c>
      <c r="D98">
        <f>'pm_24.dat '!D261/1000</f>
        <v>632440.23200999305</v>
      </c>
      <c r="E98">
        <f>'pm_24.dat '!E261/1000</f>
        <v>196403.93000999856</v>
      </c>
      <c r="F98">
        <f>'pm_24.dat '!F261/1000</f>
        <v>228574.62300999742</v>
      </c>
      <c r="G98">
        <f>'pm_24.dat '!G261/1000</f>
        <v>384287.02500999463</v>
      </c>
      <c r="H98">
        <f>'pm_24.dat '!H261/1000</f>
        <v>510140.13300999359</v>
      </c>
      <c r="I98">
        <f>'pm_24.dat '!I261/1000</f>
        <v>88813.654209999877</v>
      </c>
      <c r="J98">
        <f>'pm_24.dat '!J261/1000</f>
        <v>42130.083609999951</v>
      </c>
      <c r="K98">
        <f>'pm_24.dat '!K261/1000</f>
        <v>17652.618170000089</v>
      </c>
      <c r="L98">
        <f>'pm_24.dat '!L261/1000</f>
        <v>2935.5568649999909</v>
      </c>
      <c r="M98">
        <f>SUM('pm_24.dat '!M261:P261)/1000</f>
        <v>9029.6811112000014</v>
      </c>
      <c r="N98" t="s">
        <v>99</v>
      </c>
      <c r="O98">
        <v>2015</v>
      </c>
      <c r="P98">
        <v>37</v>
      </c>
    </row>
    <row r="99" spans="1:31" x14ac:dyDescent="0.2">
      <c r="A99" s="3">
        <v>2016</v>
      </c>
      <c r="B99">
        <f>'pm_24.dat '!B262/1000</f>
        <v>1.0009999999999832E-2</v>
      </c>
      <c r="C99">
        <f>'pm_24.dat '!C262/1000</f>
        <v>497.35655000000344</v>
      </c>
      <c r="D99">
        <f>'pm_24.dat '!D262/1000</f>
        <v>90562.431009999927</v>
      </c>
      <c r="E99">
        <f>'pm_24.dat '!E262/1000</f>
        <v>1390295.0600099918</v>
      </c>
      <c r="F99">
        <f>'pm_24.dat '!F262/1000</f>
        <v>159881.71401000046</v>
      </c>
      <c r="G99">
        <f>'pm_24.dat '!G262/1000</f>
        <v>174494.88400999957</v>
      </c>
      <c r="H99">
        <f>'pm_24.dat '!H262/1000</f>
        <v>174787.36380999957</v>
      </c>
      <c r="I99">
        <f>'pm_24.dat '!I262/1000</f>
        <v>224671.81800999754</v>
      </c>
      <c r="J99">
        <f>'pm_24.dat '!J262/1000</f>
        <v>34077.95047000012</v>
      </c>
      <c r="K99">
        <f>'pm_24.dat '!K262/1000</f>
        <v>13820.848694000037</v>
      </c>
      <c r="L99">
        <f>'pm_24.dat '!L262/1000</f>
        <v>7996.3247049999964</v>
      </c>
      <c r="M99">
        <f>SUM('pm_24.dat '!M262:P262)/1000</f>
        <v>3327.494721580008</v>
      </c>
      <c r="N99" t="s">
        <v>99</v>
      </c>
      <c r="O99">
        <v>2016</v>
      </c>
      <c r="P99">
        <v>38</v>
      </c>
    </row>
    <row r="100" spans="1:31" x14ac:dyDescent="0.2">
      <c r="A100" s="3">
        <v>2017</v>
      </c>
      <c r="B100">
        <f>'pm_24.dat '!B263/1000</f>
        <v>1.0009999999999832E-2</v>
      </c>
      <c r="C100">
        <f>'pm_24.dat '!C263/1000</f>
        <v>2176.1318437599998</v>
      </c>
      <c r="D100">
        <f>'pm_24.dat '!D263/1000</f>
        <v>28170.152850000108</v>
      </c>
      <c r="E100">
        <f>'pm_24.dat '!E263/1000</f>
        <v>549073.70600999345</v>
      </c>
      <c r="F100">
        <f>'pm_24.dat '!F263/1000</f>
        <v>899023.00100999221</v>
      </c>
      <c r="G100">
        <f>'pm_24.dat '!G263/1000</f>
        <v>215492.50100999785</v>
      </c>
      <c r="H100">
        <f>'pm_24.dat '!H263/1000</f>
        <v>147563.02891000127</v>
      </c>
      <c r="I100">
        <f>'pm_24.dat '!I263/1000</f>
        <v>122129.14821000192</v>
      </c>
      <c r="J100">
        <f>'pm_24.dat '!J263/1000</f>
        <v>97250.345910000193</v>
      </c>
      <c r="K100">
        <f>'pm_24.dat '!K263/1000</f>
        <v>21756.105020000101</v>
      </c>
      <c r="L100">
        <f>'pm_24.dat '!L263/1000</f>
        <v>7215.2048289999993</v>
      </c>
      <c r="M100">
        <f>SUM('pm_24.dat '!M263:P263)/1000</f>
        <v>6470.4443875999868</v>
      </c>
      <c r="N100" t="s">
        <v>99</v>
      </c>
      <c r="O100">
        <v>2017</v>
      </c>
      <c r="P100">
        <v>39</v>
      </c>
    </row>
    <row r="101" spans="1:31" x14ac:dyDescent="0.2">
      <c r="A101" s="3">
        <v>2018</v>
      </c>
      <c r="B101">
        <f>'pm_24.dat '!B264/1000</f>
        <v>1.0009999999999832E-2</v>
      </c>
      <c r="C101">
        <f>'pm_24.dat '!C264/1000</f>
        <v>1297.2873090000035</v>
      </c>
      <c r="D101">
        <f>'pm_24.dat '!D264/1000</f>
        <v>13801.701367000034</v>
      </c>
      <c r="E101">
        <f>'pm_24.dat '!E264/1000</f>
        <v>115017.72371000156</v>
      </c>
      <c r="F101">
        <f>'pm_24.dat '!F264/1000</f>
        <v>1216103.6500099918</v>
      </c>
      <c r="G101">
        <f>'pm_24.dat '!G264/1000</f>
        <v>506565.15600999363</v>
      </c>
      <c r="H101">
        <f>'pm_24.dat '!H264/1000</f>
        <v>104803.47051000092</v>
      </c>
      <c r="I101">
        <f>'pm_24.dat '!I264/1000</f>
        <v>81982.744709999723</v>
      </c>
      <c r="J101">
        <f>'pm_24.dat '!J264/1000</f>
        <v>60624.830609999721</v>
      </c>
      <c r="K101">
        <f>'pm_24.dat '!K264/1000</f>
        <v>25893.995110000102</v>
      </c>
      <c r="L101">
        <f>'pm_24.dat '!L264/1000</f>
        <v>4271.1291439999895</v>
      </c>
      <c r="M101">
        <f>SUM('pm_24.dat '!M264:P264)/1000</f>
        <v>2593.6357666000104</v>
      </c>
      <c r="N101" t="s">
        <v>99</v>
      </c>
      <c r="O101">
        <v>2018</v>
      </c>
      <c r="P101">
        <v>40</v>
      </c>
    </row>
    <row r="102" spans="1:31" x14ac:dyDescent="0.2">
      <c r="A102" s="3">
        <v>2019</v>
      </c>
      <c r="B102">
        <f>'pm_24.dat '!B265/1000</f>
        <v>695.02407700000253</v>
      </c>
      <c r="C102">
        <f>'pm_24.dat '!C265/1000</f>
        <v>10900.812700000033</v>
      </c>
      <c r="D102">
        <f>'pm_24.dat '!D265/1000</f>
        <v>12311.938070000031</v>
      </c>
      <c r="E102">
        <f>'pm_24.dat '!E265/1000</f>
        <v>18362.616070000062</v>
      </c>
      <c r="F102">
        <f>'pm_24.dat '!F265/1000</f>
        <v>157598.98501000059</v>
      </c>
      <c r="G102">
        <f>'pm_24.dat '!G265/1000</f>
        <v>916763.10000999225</v>
      </c>
      <c r="H102">
        <f>'pm_24.dat '!H265/1000</f>
        <v>422457.0320099942</v>
      </c>
      <c r="I102">
        <f>'pm_24.dat '!I265/1000</f>
        <v>93181.390309999973</v>
      </c>
      <c r="J102">
        <f>'pm_24.dat '!J265/1000</f>
        <v>52142.666209999887</v>
      </c>
      <c r="K102">
        <f>'pm_24.dat '!K265/1000</f>
        <v>52991.770709999844</v>
      </c>
      <c r="L102">
        <f>'pm_24.dat '!L265/1000</f>
        <v>10059.287879999996</v>
      </c>
      <c r="M102">
        <f>SUM('pm_24.dat '!M265:P265)/1000</f>
        <v>3751.0358334999978</v>
      </c>
      <c r="N102" t="s">
        <v>99</v>
      </c>
      <c r="O102">
        <v>2019</v>
      </c>
      <c r="P102">
        <v>41</v>
      </c>
    </row>
    <row r="103" spans="1:31" x14ac:dyDescent="0.2">
      <c r="A103" s="3">
        <v>2020</v>
      </c>
      <c r="B103">
        <f>'pm_24.dat '!B266/1000</f>
        <v>3476.1265099999919</v>
      </c>
      <c r="C103">
        <f>'pm_24.dat '!C266/1000</f>
        <v>247726.42200999692</v>
      </c>
      <c r="D103">
        <f>'pm_24.dat '!D266/1000</f>
        <v>85517.629109999762</v>
      </c>
      <c r="E103">
        <f>'pm_24.dat '!E266/1000</f>
        <v>101053.19911000073</v>
      </c>
      <c r="F103">
        <f>'pm_24.dat '!F266/1000</f>
        <v>135160.73071000224</v>
      </c>
      <c r="G103">
        <f>'pm_24.dat '!G266/1000</f>
        <v>551129.27800999349</v>
      </c>
      <c r="H103">
        <f>'pm_24.dat '!H266/1000</f>
        <v>597816.17900999321</v>
      </c>
      <c r="I103">
        <f>'pm_24.dat '!I266/1000</f>
        <v>123958.08191000207</v>
      </c>
      <c r="J103">
        <f>'pm_24.dat '!J266/1000</f>
        <v>52764.64730999992</v>
      </c>
      <c r="K103">
        <f>'pm_24.dat '!K266/1000</f>
        <v>38639.087410000022</v>
      </c>
      <c r="L103">
        <f>'pm_24.dat '!L266/1000</f>
        <v>27260.537210000115</v>
      </c>
      <c r="M103">
        <f>SUM('pm_24.dat '!M266:P266)/1000</f>
        <v>9709.6470168000033</v>
      </c>
      <c r="N103" t="s">
        <v>99</v>
      </c>
      <c r="O103">
        <v>2020</v>
      </c>
      <c r="P103">
        <v>42</v>
      </c>
    </row>
    <row r="104" spans="1:31" x14ac:dyDescent="0.2">
      <c r="A104" s="3">
        <v>2021</v>
      </c>
      <c r="B104">
        <f>'pm_24.dat '!B267/1000</f>
        <v>1.0009999999999832E-2</v>
      </c>
      <c r="C104">
        <f>'pm_24.dat '!C267/1000</f>
        <v>111454.37641000131</v>
      </c>
      <c r="D104">
        <f>'pm_24.dat '!D267/1000</f>
        <v>1296951.4900099919</v>
      </c>
      <c r="E104">
        <f>'pm_24.dat '!E267/1000</f>
        <v>144173.54771000153</v>
      </c>
      <c r="F104">
        <f>'pm_24.dat '!F267/1000</f>
        <v>110067.42191000136</v>
      </c>
      <c r="G104">
        <f>'pm_24.dat '!G267/1000</f>
        <v>107224.52381000115</v>
      </c>
      <c r="H104">
        <f>'pm_24.dat '!H267/1000</f>
        <v>309628.22700999567</v>
      </c>
      <c r="I104">
        <f>'pm_24.dat '!I267/1000</f>
        <v>296046.66000999586</v>
      </c>
      <c r="J104">
        <f>'pm_24.dat '!J267/1000</f>
        <v>72136.752109999754</v>
      </c>
      <c r="K104">
        <f>'pm_24.dat '!K267/1000</f>
        <v>26546.165710000103</v>
      </c>
      <c r="L104">
        <f>'pm_24.dat '!L267/1000</f>
        <v>16152.710330000058</v>
      </c>
      <c r="M104">
        <f>SUM('pm_24.dat '!M267:P267)/1000</f>
        <v>10983.565981999996</v>
      </c>
      <c r="N104" t="s">
        <v>99</v>
      </c>
      <c r="O104">
        <v>2021</v>
      </c>
      <c r="P104">
        <v>43</v>
      </c>
    </row>
    <row r="105" spans="1:31" x14ac:dyDescent="0.2">
      <c r="A105" s="3">
        <v>2022</v>
      </c>
      <c r="B105">
        <f>'pm_24.dat '!B268/1000</f>
        <v>1.0009999999999832E-2</v>
      </c>
      <c r="C105">
        <f>'pm_24.dat '!C268/1000</f>
        <v>62263.751709999706</v>
      </c>
      <c r="D105">
        <f>'pm_24.dat '!D268/1000</f>
        <v>174468.59800999961</v>
      </c>
      <c r="E105">
        <f>'pm_24.dat '!E268/1000</f>
        <v>1035401.758009992</v>
      </c>
      <c r="F105">
        <f>'pm_24.dat '!F268/1000</f>
        <v>183671.21700999912</v>
      </c>
      <c r="G105">
        <f>'pm_24.dat '!G268/1000</f>
        <v>70439.397709999699</v>
      </c>
      <c r="H105">
        <f>'pm_24.dat '!H268/1000</f>
        <v>79535.291209999705</v>
      </c>
      <c r="I105">
        <f>'pm_24.dat '!I268/1000</f>
        <v>141917.8970100017</v>
      </c>
      <c r="J105">
        <f>'pm_24.dat '!J268/1000</f>
        <v>81128.750609999741</v>
      </c>
      <c r="K105">
        <f>'pm_24.dat '!K268/1000</f>
        <v>16332.880010000052</v>
      </c>
      <c r="L105">
        <f>'pm_24.dat '!L268/1000</f>
        <v>11268.962820000021</v>
      </c>
      <c r="M105">
        <f>SUM('pm_24.dat '!M268:P268)/1000</f>
        <v>11064.702879</v>
      </c>
      <c r="N105" t="s">
        <v>99</v>
      </c>
      <c r="O105">
        <v>2022</v>
      </c>
      <c r="P105">
        <v>44</v>
      </c>
    </row>
    <row r="106" spans="1:31" x14ac:dyDescent="0.2">
      <c r="A106" s="3">
        <v>2023</v>
      </c>
      <c r="B106">
        <f>'pm_24.dat '!B269/1000</f>
        <v>0</v>
      </c>
      <c r="C106">
        <f>'pm_24.dat '!C269/1000</f>
        <v>25232.198769999992</v>
      </c>
      <c r="D106">
        <f>'pm_24.dat '!D269/1000</f>
        <v>86614.446099999928</v>
      </c>
      <c r="E106">
        <f>'pm_24.dat '!E269/1000</f>
        <v>263022.799</v>
      </c>
      <c r="F106">
        <f>'pm_24.dat '!F269/1000</f>
        <v>1473087.58</v>
      </c>
      <c r="G106">
        <f>'pm_24.dat '!G269/1000</f>
        <v>227246.26</v>
      </c>
      <c r="H106">
        <f>'pm_24.dat '!H269/1000</f>
        <v>29365.171410000021</v>
      </c>
      <c r="I106">
        <f>'pm_24.dat '!I269/1000</f>
        <v>45350.42609999999</v>
      </c>
      <c r="J106">
        <f>'pm_24.dat '!J269/1000</f>
        <v>63553.232300000003</v>
      </c>
      <c r="K106">
        <f>'pm_24.dat '!K269/1000</f>
        <v>42627.308700000045</v>
      </c>
      <c r="L106">
        <f>'pm_24.dat '!L269/1000</f>
        <v>18819.884963999993</v>
      </c>
      <c r="M106">
        <f>SUM('pm_24.dat '!M269:P269)/1000</f>
        <v>16949.998812000002</v>
      </c>
      <c r="N106" t="s">
        <v>99</v>
      </c>
      <c r="O106">
        <v>2022</v>
      </c>
      <c r="P106">
        <v>44</v>
      </c>
    </row>
    <row r="107" spans="1:31" x14ac:dyDescent="0.2">
      <c r="B107" t="s">
        <v>177</v>
      </c>
      <c r="C107">
        <v>12</v>
      </c>
      <c r="D107">
        <v>15</v>
      </c>
      <c r="E107">
        <v>18</v>
      </c>
      <c r="F107">
        <v>21</v>
      </c>
      <c r="G107">
        <v>24</v>
      </c>
      <c r="H107">
        <v>27</v>
      </c>
      <c r="I107">
        <v>30</v>
      </c>
      <c r="J107">
        <v>33</v>
      </c>
      <c r="K107">
        <v>36</v>
      </c>
      <c r="L107">
        <v>39</v>
      </c>
      <c r="M107">
        <v>42</v>
      </c>
      <c r="N107">
        <v>45</v>
      </c>
      <c r="O107">
        <v>50</v>
      </c>
      <c r="P107">
        <v>55</v>
      </c>
      <c r="Q107">
        <v>60</v>
      </c>
      <c r="R107">
        <v>65</v>
      </c>
      <c r="S107">
        <v>70</v>
      </c>
      <c r="T107">
        <v>75</v>
      </c>
      <c r="U107">
        <v>80</v>
      </c>
      <c r="V107">
        <v>85</v>
      </c>
      <c r="W107">
        <v>90</v>
      </c>
      <c r="X107">
        <v>95</v>
      </c>
      <c r="Y107">
        <v>100</v>
      </c>
      <c r="Z107">
        <v>105</v>
      </c>
    </row>
    <row r="108" spans="1:31" x14ac:dyDescent="0.2">
      <c r="B108" t="s">
        <v>99</v>
      </c>
      <c r="C108" t="s">
        <v>178</v>
      </c>
      <c r="D108" t="s">
        <v>179</v>
      </c>
    </row>
    <row r="109" spans="1:31" x14ac:dyDescent="0.2">
      <c r="A109" s="3">
        <v>1979</v>
      </c>
      <c r="B109">
        <f>[1]Sheet1!L97</f>
        <v>0</v>
      </c>
      <c r="C109">
        <f>[1]Sheet1!M97</f>
        <v>0</v>
      </c>
      <c r="D109">
        <f>[1]Sheet1!N97</f>
        <v>0</v>
      </c>
      <c r="E109">
        <f>[1]Sheet1!O97</f>
        <v>0</v>
      </c>
      <c r="F109">
        <f>[1]Sheet1!P97</f>
        <v>0</v>
      </c>
      <c r="G109">
        <f>[1]Sheet1!Q97</f>
        <v>1.64069E-4</v>
      </c>
      <c r="H109">
        <f>[1]Sheet1!R97</f>
        <v>1.07643E-3</v>
      </c>
      <c r="I109">
        <f>[1]Sheet1!S97</f>
        <v>2.5452030000000002E-3</v>
      </c>
      <c r="J109">
        <f>[1]Sheet1!T97</f>
        <v>4.8432300000000005E-3</v>
      </c>
      <c r="K109">
        <f>[1]Sheet1!U97</f>
        <v>1.6237269999999998E-2</v>
      </c>
      <c r="L109">
        <f>[1]Sheet1!V97</f>
        <v>5.5158100000000002E-2</v>
      </c>
      <c r="M109">
        <f>[1]Sheet1!W97</f>
        <v>7.43061E-2</v>
      </c>
      <c r="N109">
        <f>[1]Sheet1!X97</f>
        <v>0.16428610000000002</v>
      </c>
      <c r="O109">
        <f>[1]Sheet1!Y97</f>
        <v>0.12391283</v>
      </c>
      <c r="P109">
        <f>[1]Sheet1!Z97</f>
        <v>0.11408820000000001</v>
      </c>
      <c r="Q109">
        <f>[1]Sheet1!AA97</f>
        <v>0.19457039999999998</v>
      </c>
      <c r="R109">
        <f>[1]Sheet1!AB97</f>
        <v>0.16021960000000002</v>
      </c>
      <c r="S109">
        <f>[1]Sheet1!AC97</f>
        <v>6.3686039999999999E-2</v>
      </c>
      <c r="T109">
        <f>[1]Sheet1!AD97</f>
        <v>1.7763737000000002E-2</v>
      </c>
      <c r="U109">
        <f>[1]Sheet1!AE97</f>
        <v>5.7254849999999998E-3</v>
      </c>
      <c r="V109">
        <f>[1]Sheet1!AF97</f>
        <v>5.746429999999999E-4</v>
      </c>
      <c r="W109">
        <f>[1]Sheet1!AG97</f>
        <v>2.7729999999999996E-4</v>
      </c>
      <c r="X109">
        <f>[1]Sheet1!AH97</f>
        <v>1.1294E-4</v>
      </c>
      <c r="Y109">
        <f>[1]Sheet1!AI97</f>
        <v>4.34325E-4</v>
      </c>
      <c r="Z109">
        <f>[1]Sheet1!AJ97</f>
        <v>1.8E-5</v>
      </c>
      <c r="AA109" t="s">
        <v>99</v>
      </c>
      <c r="AB109">
        <v>1979</v>
      </c>
      <c r="AC109">
        <v>1</v>
      </c>
      <c r="AD109">
        <v>0.99999999100000003</v>
      </c>
      <c r="AE109">
        <v>17072</v>
      </c>
    </row>
    <row r="110" spans="1:31" x14ac:dyDescent="0.2">
      <c r="A110" s="3">
        <v>1980</v>
      </c>
      <c r="B110">
        <f>[1]Sheet1!L98</f>
        <v>0</v>
      </c>
      <c r="C110">
        <f>[1]Sheet1!M98</f>
        <v>0</v>
      </c>
      <c r="D110">
        <f>[1]Sheet1!N98</f>
        <v>0</v>
      </c>
      <c r="E110">
        <f>[1]Sheet1!O98</f>
        <v>0</v>
      </c>
      <c r="F110">
        <f>[1]Sheet1!P98</f>
        <v>0</v>
      </c>
      <c r="G110">
        <f>[1]Sheet1!Q98</f>
        <v>1.2500000000000001E-5</v>
      </c>
      <c r="H110">
        <f>[1]Sheet1!R98</f>
        <v>3.214466E-3</v>
      </c>
      <c r="I110">
        <f>[1]Sheet1!S98</f>
        <v>1.148916E-2</v>
      </c>
      <c r="J110">
        <f>[1]Sheet1!T98</f>
        <v>3.6359700000000002E-2</v>
      </c>
      <c r="K110">
        <f>[1]Sheet1!U98</f>
        <v>7.3167800000000005E-2</v>
      </c>
      <c r="L110">
        <f>[1]Sheet1!V98</f>
        <v>0.13105439999999999</v>
      </c>
      <c r="M110">
        <f>[1]Sheet1!W98</f>
        <v>0.13089110000000001</v>
      </c>
      <c r="N110">
        <f>[1]Sheet1!X98</f>
        <v>0.17547200000000002</v>
      </c>
      <c r="O110">
        <f>[1]Sheet1!Y98</f>
        <v>0.1253078</v>
      </c>
      <c r="P110">
        <f>[1]Sheet1!Z98</f>
        <v>9.4154899999999986E-2</v>
      </c>
      <c r="Q110">
        <f>[1]Sheet1!AA98</f>
        <v>9.2412420000000009E-2</v>
      </c>
      <c r="R110">
        <f>[1]Sheet1!AB98</f>
        <v>3.860106E-2</v>
      </c>
      <c r="S110">
        <f>[1]Sheet1!AC98</f>
        <v>2.6522770000000001E-2</v>
      </c>
      <c r="T110">
        <f>[1]Sheet1!AD98</f>
        <v>3.037194E-2</v>
      </c>
      <c r="U110">
        <f>[1]Sheet1!AE98</f>
        <v>1.3819325000000002E-2</v>
      </c>
      <c r="V110">
        <f>[1]Sheet1!AF98</f>
        <v>1.0130311999999999E-2</v>
      </c>
      <c r="W110">
        <f>[1]Sheet1!AG98</f>
        <v>1.0328540000000002E-3</v>
      </c>
      <c r="X110">
        <f>[1]Sheet1!AH98</f>
        <v>5.8243899999999996E-3</v>
      </c>
      <c r="Y110">
        <f>[1]Sheet1!AI98</f>
        <v>1.4042999999999998E-4</v>
      </c>
      <c r="Z110">
        <f>[1]Sheet1!AJ98</f>
        <v>2.0800000000000001E-5</v>
      </c>
      <c r="AA110" t="s">
        <v>99</v>
      </c>
      <c r="AB110">
        <v>1980</v>
      </c>
      <c r="AC110">
        <v>2</v>
      </c>
      <c r="AD110">
        <v>0.999999894</v>
      </c>
      <c r="AE110">
        <v>14963</v>
      </c>
    </row>
    <row r="111" spans="1:31" x14ac:dyDescent="0.2">
      <c r="A111" s="3">
        <v>1981</v>
      </c>
      <c r="B111">
        <f>[1]Sheet1!L99</f>
        <v>0</v>
      </c>
      <c r="C111">
        <f>[1]Sheet1!M99</f>
        <v>0</v>
      </c>
      <c r="D111">
        <f>[1]Sheet1!N99</f>
        <v>7.8100000000000001E-5</v>
      </c>
      <c r="E111">
        <f>[1]Sheet1!O99</f>
        <v>3.08578E-4</v>
      </c>
      <c r="F111">
        <f>[1]Sheet1!P99</f>
        <v>2.4949999999999999E-4</v>
      </c>
      <c r="G111">
        <f>[1]Sheet1!Q99</f>
        <v>7.3711100000000004E-4</v>
      </c>
      <c r="H111">
        <f>[1]Sheet1!R99</f>
        <v>2.506122E-3</v>
      </c>
      <c r="I111">
        <f>[1]Sheet1!S99</f>
        <v>1.466052E-2</v>
      </c>
      <c r="J111">
        <f>[1]Sheet1!T99</f>
        <v>4.5229800000000001E-2</v>
      </c>
      <c r="K111">
        <f>[1]Sheet1!U99</f>
        <v>5.16357E-2</v>
      </c>
      <c r="L111">
        <f>[1]Sheet1!V99</f>
        <v>4.0273299999999998E-2</v>
      </c>
      <c r="M111">
        <f>[1]Sheet1!W99</f>
        <v>5.53004E-2</v>
      </c>
      <c r="N111">
        <f>[1]Sheet1!X99</f>
        <v>0.14892539999999999</v>
      </c>
      <c r="O111">
        <f>[1]Sheet1!Y99</f>
        <v>0.18545970000000001</v>
      </c>
      <c r="P111">
        <f>[1]Sheet1!Z99</f>
        <v>0.17833550000000001</v>
      </c>
      <c r="Q111">
        <f>[1]Sheet1!AA99</f>
        <v>0.1352498</v>
      </c>
      <c r="R111">
        <f>[1]Sheet1!AB99</f>
        <v>8.0470779999999992E-2</v>
      </c>
      <c r="S111">
        <f>[1]Sheet1!AC99</f>
        <v>3.879676E-2</v>
      </c>
      <c r="T111">
        <f>[1]Sheet1!AD99</f>
        <v>1.0777419999999999E-2</v>
      </c>
      <c r="U111">
        <f>[1]Sheet1!AE99</f>
        <v>6.2098859999999995E-3</v>
      </c>
      <c r="V111">
        <f>[1]Sheet1!AF99</f>
        <v>3.1338569999999999E-3</v>
      </c>
      <c r="W111">
        <f>[1]Sheet1!AG99</f>
        <v>1.4085139999999998E-3</v>
      </c>
      <c r="X111">
        <f>[1]Sheet1!AH99</f>
        <v>2.2628399999999999E-4</v>
      </c>
      <c r="Y111">
        <f>[1]Sheet1!AI99</f>
        <v>0</v>
      </c>
      <c r="Z111">
        <f>[1]Sheet1!AJ99</f>
        <v>2.6699999999999998E-5</v>
      </c>
      <c r="AA111" t="s">
        <v>99</v>
      </c>
      <c r="AB111">
        <v>1981</v>
      </c>
      <c r="AC111">
        <v>3</v>
      </c>
      <c r="AD111">
        <v>1.0000000019999999</v>
      </c>
      <c r="AE111">
        <v>10729</v>
      </c>
    </row>
    <row r="112" spans="1:31" x14ac:dyDescent="0.2">
      <c r="A112" s="3">
        <v>1982</v>
      </c>
      <c r="B112">
        <f>[1]Sheet1!L100</f>
        <v>0</v>
      </c>
      <c r="C112">
        <f>[1]Sheet1!M100</f>
        <v>0</v>
      </c>
      <c r="D112">
        <f>[1]Sheet1!N100</f>
        <v>0</v>
      </c>
      <c r="E112">
        <f>[1]Sheet1!O100</f>
        <v>0</v>
      </c>
      <c r="F112">
        <f>[1]Sheet1!P100</f>
        <v>2.3744E-4</v>
      </c>
      <c r="G112">
        <f>[1]Sheet1!Q100</f>
        <v>5.0300000000000001E-6</v>
      </c>
      <c r="H112">
        <f>[1]Sheet1!R100</f>
        <v>2.4749800000000002E-4</v>
      </c>
      <c r="I112">
        <f>[1]Sheet1!S100</f>
        <v>1.396354E-3</v>
      </c>
      <c r="J112">
        <f>[1]Sheet1!T100</f>
        <v>1.0069089999999999E-2</v>
      </c>
      <c r="K112">
        <f>[1]Sheet1!U100</f>
        <v>1.8455600000000003E-2</v>
      </c>
      <c r="L112">
        <f>[1]Sheet1!V100</f>
        <v>8.3491499999999996E-3</v>
      </c>
      <c r="M112">
        <f>[1]Sheet1!W100</f>
        <v>2.9335509999999999E-2</v>
      </c>
      <c r="N112">
        <f>[1]Sheet1!X100</f>
        <v>6.5841629999999998E-2</v>
      </c>
      <c r="O112">
        <f>[1]Sheet1!Y100</f>
        <v>0.1165322</v>
      </c>
      <c r="P112">
        <f>[1]Sheet1!Z100</f>
        <v>0.15608469999999999</v>
      </c>
      <c r="Q112">
        <f>[1]Sheet1!AA100</f>
        <v>0.17753869999999999</v>
      </c>
      <c r="R112">
        <f>[1]Sheet1!AB100</f>
        <v>0.15112590000000001</v>
      </c>
      <c r="S112">
        <f>[1]Sheet1!AC100</f>
        <v>0.11919869999999999</v>
      </c>
      <c r="T112">
        <f>[1]Sheet1!AD100</f>
        <v>7.3571800000000007E-2</v>
      </c>
      <c r="U112">
        <f>[1]Sheet1!AE100</f>
        <v>4.570486E-2</v>
      </c>
      <c r="V112">
        <f>[1]Sheet1!AF100</f>
        <v>1.651215E-2</v>
      </c>
      <c r="W112">
        <f>[1]Sheet1!AG100</f>
        <v>6.1106099999999998E-3</v>
      </c>
      <c r="X112">
        <f>[1]Sheet1!AH100</f>
        <v>2.3125620000000002E-3</v>
      </c>
      <c r="Y112">
        <f>[1]Sheet1!AI100</f>
        <v>9.7537099999999994E-4</v>
      </c>
      <c r="Z112">
        <f>[1]Sheet1!AJ100</f>
        <v>3.9508700000000002E-4</v>
      </c>
      <c r="AA112" t="s">
        <v>99</v>
      </c>
      <c r="AB112">
        <v>1982</v>
      </c>
      <c r="AC112">
        <v>4</v>
      </c>
      <c r="AD112">
        <v>1.0000001270000001</v>
      </c>
      <c r="AE112">
        <v>13423</v>
      </c>
    </row>
    <row r="113" spans="1:31" x14ac:dyDescent="0.2">
      <c r="A113" s="3">
        <v>1983</v>
      </c>
      <c r="B113">
        <f>[1]Sheet1!L101</f>
        <v>0</v>
      </c>
      <c r="C113">
        <f>[1]Sheet1!M101</f>
        <v>0</v>
      </c>
      <c r="D113">
        <f>[1]Sheet1!N101</f>
        <v>0</v>
      </c>
      <c r="E113">
        <f>[1]Sheet1!O101</f>
        <v>0</v>
      </c>
      <c r="F113">
        <f>[1]Sheet1!P101</f>
        <v>3.4902300000000001E-4</v>
      </c>
      <c r="G113">
        <f>[1]Sheet1!Q101</f>
        <v>9.1608300000000004E-4</v>
      </c>
      <c r="H113">
        <f>[1]Sheet1!R101</f>
        <v>2.1150869999999999E-3</v>
      </c>
      <c r="I113">
        <f>[1]Sheet1!S101</f>
        <v>2.154918E-3</v>
      </c>
      <c r="J113">
        <f>[1]Sheet1!T101</f>
        <v>1.915389E-3</v>
      </c>
      <c r="K113">
        <f>[1]Sheet1!U101</f>
        <v>4.532136E-3</v>
      </c>
      <c r="L113">
        <f>[1]Sheet1!V101</f>
        <v>2.4700840000000002E-2</v>
      </c>
      <c r="M113">
        <f>[1]Sheet1!W101</f>
        <v>3.0685400000000002E-2</v>
      </c>
      <c r="N113">
        <f>[1]Sheet1!X101</f>
        <v>3.2435430000000001E-2</v>
      </c>
      <c r="O113">
        <f>[1]Sheet1!Y101</f>
        <v>7.1582030000000005E-2</v>
      </c>
      <c r="P113">
        <f>[1]Sheet1!Z101</f>
        <v>0.1726531</v>
      </c>
      <c r="Q113">
        <f>[1]Sheet1!AA101</f>
        <v>0.20676810000000001</v>
      </c>
      <c r="R113">
        <f>[1]Sheet1!AB101</f>
        <v>0.20175180000000001</v>
      </c>
      <c r="S113">
        <f>[1]Sheet1!AC101</f>
        <v>0.11818920000000001</v>
      </c>
      <c r="T113">
        <f>[1]Sheet1!AD101</f>
        <v>7.495969999999999E-2</v>
      </c>
      <c r="U113">
        <f>[1]Sheet1!AE101</f>
        <v>3.3605499999999996E-2</v>
      </c>
      <c r="V113">
        <f>[1]Sheet1!AF101</f>
        <v>1.3414829999999999E-2</v>
      </c>
      <c r="W113">
        <f>[1]Sheet1!AG101</f>
        <v>5.3092429999999999E-3</v>
      </c>
      <c r="X113">
        <f>[1]Sheet1!AH101</f>
        <v>1.6274130000000001E-3</v>
      </c>
      <c r="Y113">
        <f>[1]Sheet1!AI101</f>
        <v>3.2240600000000002E-4</v>
      </c>
      <c r="Z113">
        <f>[1]Sheet1!AJ101</f>
        <v>1.2310000000000001E-5</v>
      </c>
      <c r="AA113" t="s">
        <v>99</v>
      </c>
      <c r="AB113">
        <v>1983</v>
      </c>
      <c r="AC113">
        <v>5</v>
      </c>
      <c r="AD113">
        <v>0.99999973200000003</v>
      </c>
      <c r="AE113">
        <v>56692</v>
      </c>
    </row>
    <row r="114" spans="1:31" x14ac:dyDescent="0.2">
      <c r="A114" s="3">
        <v>1984</v>
      </c>
      <c r="B114">
        <f>[1]Sheet1!L102</f>
        <v>1.5668799999999999E-4</v>
      </c>
      <c r="C114">
        <f>[1]Sheet1!M102</f>
        <v>1.91E-5</v>
      </c>
      <c r="D114">
        <f>[1]Sheet1!N102</f>
        <v>3.0017900000000003E-4</v>
      </c>
      <c r="E114">
        <f>[1]Sheet1!O102</f>
        <v>2.095754E-3</v>
      </c>
      <c r="F114">
        <f>[1]Sheet1!P102</f>
        <v>5.8511399999999995E-3</v>
      </c>
      <c r="G114">
        <f>[1]Sheet1!Q102</f>
        <v>1.7750620000000002E-2</v>
      </c>
      <c r="H114">
        <f>[1]Sheet1!R102</f>
        <v>3.087268E-2</v>
      </c>
      <c r="I114">
        <f>[1]Sheet1!S102</f>
        <v>3.4664899999999998E-2</v>
      </c>
      <c r="J114">
        <f>[1]Sheet1!T102</f>
        <v>2.7176739999999998E-2</v>
      </c>
      <c r="K114">
        <f>[1]Sheet1!U102</f>
        <v>3.9216899999999999E-2</v>
      </c>
      <c r="L114">
        <f>[1]Sheet1!V102</f>
        <v>4.3464699999999995E-2</v>
      </c>
      <c r="M114">
        <f>[1]Sheet1!W102</f>
        <v>3.1934489999999996E-2</v>
      </c>
      <c r="N114">
        <f>[1]Sheet1!X102</f>
        <v>4.250106E-2</v>
      </c>
      <c r="O114">
        <f>[1]Sheet1!Y102</f>
        <v>5.9887140000000005E-2</v>
      </c>
      <c r="P114">
        <f>[1]Sheet1!Z102</f>
        <v>0.1003706</v>
      </c>
      <c r="Q114">
        <f>[1]Sheet1!AA102</f>
        <v>0.12985229999999998</v>
      </c>
      <c r="R114">
        <f>[1]Sheet1!AB102</f>
        <v>0.1636958</v>
      </c>
      <c r="S114">
        <f>[1]Sheet1!AC102</f>
        <v>0.12291540000000001</v>
      </c>
      <c r="T114">
        <f>[1]Sheet1!AD102</f>
        <v>7.4620000000000006E-2</v>
      </c>
      <c r="U114">
        <f>[1]Sheet1!AE102</f>
        <v>4.4826450000000004E-2</v>
      </c>
      <c r="V114">
        <f>[1]Sheet1!AF102</f>
        <v>1.8726110000000001E-2</v>
      </c>
      <c r="W114">
        <f>[1]Sheet1!AG102</f>
        <v>7.1947209999999994E-3</v>
      </c>
      <c r="X114">
        <f>[1]Sheet1!AH102</f>
        <v>1.4877270000000001E-3</v>
      </c>
      <c r="Y114">
        <f>[1]Sheet1!AI102</f>
        <v>3.3117800000000001E-4</v>
      </c>
      <c r="Z114">
        <f>[1]Sheet1!AJ102</f>
        <v>8.7969999999999986E-5</v>
      </c>
      <c r="AA114" t="s">
        <v>99</v>
      </c>
      <c r="AB114">
        <v>1984</v>
      </c>
      <c r="AC114">
        <v>6</v>
      </c>
      <c r="AD114">
        <v>0.99999994199999998</v>
      </c>
      <c r="AE114">
        <v>138445</v>
      </c>
    </row>
    <row r="115" spans="1:31" x14ac:dyDescent="0.2">
      <c r="A115" s="3">
        <v>1985</v>
      </c>
      <c r="B115">
        <f>[1]Sheet1!L103</f>
        <v>0</v>
      </c>
      <c r="C115">
        <f>[1]Sheet1!M103</f>
        <v>6.1E-6</v>
      </c>
      <c r="D115">
        <f>[1]Sheet1!N103</f>
        <v>6.1E-6</v>
      </c>
      <c r="E115">
        <f>[1]Sheet1!O103</f>
        <v>0</v>
      </c>
      <c r="F115">
        <f>[1]Sheet1!P103</f>
        <v>2.1160000000000001E-5</v>
      </c>
      <c r="G115">
        <f>[1]Sheet1!Q103</f>
        <v>0</v>
      </c>
      <c r="H115">
        <f>[1]Sheet1!R103</f>
        <v>1.0191000000000001E-4</v>
      </c>
      <c r="I115">
        <f>[1]Sheet1!S103</f>
        <v>1.169142E-3</v>
      </c>
      <c r="J115">
        <f>[1]Sheet1!T103</f>
        <v>2.2788850000000003E-2</v>
      </c>
      <c r="K115">
        <f>[1]Sheet1!U103</f>
        <v>2.4920379999999999E-2</v>
      </c>
      <c r="L115">
        <f>[1]Sheet1!V103</f>
        <v>4.6804999999999999E-2</v>
      </c>
      <c r="M115">
        <f>[1]Sheet1!W103</f>
        <v>9.3992499999999993E-2</v>
      </c>
      <c r="N115">
        <f>[1]Sheet1!X103</f>
        <v>0.22459080000000001</v>
      </c>
      <c r="O115">
        <f>[1]Sheet1!Y103</f>
        <v>0.15194370000000001</v>
      </c>
      <c r="P115">
        <f>[1]Sheet1!Z103</f>
        <v>8.1030439999999995E-2</v>
      </c>
      <c r="Q115">
        <f>[1]Sheet1!AA103</f>
        <v>4.8625479999999999E-2</v>
      </c>
      <c r="R115">
        <f>[1]Sheet1!AB103</f>
        <v>7.0212099999999902E-2</v>
      </c>
      <c r="S115">
        <f>[1]Sheet1!AC103</f>
        <v>9.9136799999999997E-2</v>
      </c>
      <c r="T115">
        <f>[1]Sheet1!AD103</f>
        <v>6.1237100000000003E-2</v>
      </c>
      <c r="U115">
        <f>[1]Sheet1!AE103</f>
        <v>4.2154620000000004E-2</v>
      </c>
      <c r="V115">
        <f>[1]Sheet1!AF103</f>
        <v>1.682608E-2</v>
      </c>
      <c r="W115">
        <f>[1]Sheet1!AG103</f>
        <v>9.0956600000000002E-3</v>
      </c>
      <c r="X115">
        <f>[1]Sheet1!AH103</f>
        <v>3.6580060000000001E-3</v>
      </c>
      <c r="Y115">
        <f>[1]Sheet1!AI103</f>
        <v>1.4878970000000002E-3</v>
      </c>
      <c r="Z115">
        <f>[1]Sheet1!AJ103</f>
        <v>1.9005400000000002E-4</v>
      </c>
      <c r="AA115" t="s">
        <v>99</v>
      </c>
      <c r="AB115">
        <v>1985</v>
      </c>
      <c r="AC115">
        <v>7</v>
      </c>
      <c r="AD115">
        <v>0.99999993799999998</v>
      </c>
      <c r="AE115">
        <v>204686</v>
      </c>
    </row>
    <row r="116" spans="1:31" x14ac:dyDescent="0.2">
      <c r="A116" s="3">
        <v>1986</v>
      </c>
      <c r="B116">
        <f>[1]Sheet1!L104</f>
        <v>3.5599999999999998E-6</v>
      </c>
      <c r="C116">
        <f>[1]Sheet1!M104</f>
        <v>1.7799999999999999E-5</v>
      </c>
      <c r="D116">
        <f>[1]Sheet1!N104</f>
        <v>1.415E-4</v>
      </c>
      <c r="E116">
        <f>[1]Sheet1!O104</f>
        <v>1.5339999999999999E-4</v>
      </c>
      <c r="F116">
        <f>[1]Sheet1!P104</f>
        <v>4.8807000000000001E-4</v>
      </c>
      <c r="G116">
        <f>[1]Sheet1!Q104</f>
        <v>6.9695699999999996E-3</v>
      </c>
      <c r="H116">
        <f>[1]Sheet1!R104</f>
        <v>1.3575449999999999E-2</v>
      </c>
      <c r="I116">
        <f>[1]Sheet1!S104</f>
        <v>2.425163E-2</v>
      </c>
      <c r="J116">
        <f>[1]Sheet1!T104</f>
        <v>4.9653200000000002E-2</v>
      </c>
      <c r="K116">
        <f>[1]Sheet1!U104</f>
        <v>4.3678999999999996E-2</v>
      </c>
      <c r="L116">
        <f>[1]Sheet1!V104</f>
        <v>4.3122399999999998E-2</v>
      </c>
      <c r="M116">
        <f>[1]Sheet1!W104</f>
        <v>4.3293059999999994E-2</v>
      </c>
      <c r="N116">
        <f>[1]Sheet1!X104</f>
        <v>0.1168894</v>
      </c>
      <c r="O116">
        <f>[1]Sheet1!Y104</f>
        <v>0.1536682</v>
      </c>
      <c r="P116">
        <f>[1]Sheet1!Z104</f>
        <v>0.15864119999999998</v>
      </c>
      <c r="Q116">
        <f>[1]Sheet1!AA104</f>
        <v>0.1056014</v>
      </c>
      <c r="R116">
        <f>[1]Sheet1!AB104</f>
        <v>6.9561399999999995E-2</v>
      </c>
      <c r="S116">
        <f>[1]Sheet1!AC104</f>
        <v>5.8801849999999996E-2</v>
      </c>
      <c r="T116">
        <f>[1]Sheet1!AD104</f>
        <v>4.5231819999999999E-2</v>
      </c>
      <c r="U116">
        <f>[1]Sheet1!AE104</f>
        <v>3.5974859999999997E-2</v>
      </c>
      <c r="V116">
        <f>[1]Sheet1!AF104</f>
        <v>1.639266E-2</v>
      </c>
      <c r="W116">
        <f>[1]Sheet1!AG104</f>
        <v>8.044299999999999E-3</v>
      </c>
      <c r="X116">
        <f>[1]Sheet1!AH104</f>
        <v>3.285339E-3</v>
      </c>
      <c r="Y116">
        <f>[1]Sheet1!AI104</f>
        <v>1.2340139999999999E-3</v>
      </c>
      <c r="Z116">
        <f>[1]Sheet1!AJ104</f>
        <v>1.3247510000000001E-3</v>
      </c>
      <c r="AA116" t="s">
        <v>99</v>
      </c>
      <c r="AB116">
        <v>1986</v>
      </c>
      <c r="AC116">
        <v>8</v>
      </c>
      <c r="AD116">
        <v>1.0000003470000001</v>
      </c>
      <c r="AE116">
        <v>178623</v>
      </c>
    </row>
    <row r="117" spans="1:31" x14ac:dyDescent="0.2">
      <c r="A117" s="3">
        <v>1987</v>
      </c>
      <c r="B117">
        <f>[1]Sheet1!L105</f>
        <v>0</v>
      </c>
      <c r="C117">
        <f>[1]Sheet1!M105</f>
        <v>2.2220000000000001E-5</v>
      </c>
      <c r="D117">
        <f>[1]Sheet1!N105</f>
        <v>2.96779E-4</v>
      </c>
      <c r="E117">
        <f>[1]Sheet1!O105</f>
        <v>1.13305E-3</v>
      </c>
      <c r="F117">
        <f>[1]Sheet1!P105</f>
        <v>1.4611700000000001E-3</v>
      </c>
      <c r="G117">
        <f>[1]Sheet1!Q105</f>
        <v>1.506987E-3</v>
      </c>
      <c r="H117">
        <f>[1]Sheet1!R105</f>
        <v>5.2062700000000007E-3</v>
      </c>
      <c r="I117">
        <f>[1]Sheet1!S105</f>
        <v>1.339593E-2</v>
      </c>
      <c r="J117">
        <f>[1]Sheet1!T105</f>
        <v>2.383062E-2</v>
      </c>
      <c r="K117">
        <f>[1]Sheet1!U105</f>
        <v>2.6429690000000002E-2</v>
      </c>
      <c r="L117">
        <f>[1]Sheet1!V105</f>
        <v>2.2499470000000001E-2</v>
      </c>
      <c r="M117">
        <f>[1]Sheet1!W105</f>
        <v>3.6429100000000006E-2</v>
      </c>
      <c r="N117">
        <f>[1]Sheet1!X105</f>
        <v>8.8777800000000004E-2</v>
      </c>
      <c r="O117">
        <f>[1]Sheet1!Y105</f>
        <v>7.7572799999999997E-2</v>
      </c>
      <c r="P117">
        <f>[1]Sheet1!Z105</f>
        <v>0.10666870000000001</v>
      </c>
      <c r="Q117">
        <f>[1]Sheet1!AA105</f>
        <v>0.1192429</v>
      </c>
      <c r="R117">
        <f>[1]Sheet1!AB105</f>
        <v>0.1253775</v>
      </c>
      <c r="S117">
        <f>[1]Sheet1!AC105</f>
        <v>0.11908749999999999</v>
      </c>
      <c r="T117">
        <f>[1]Sheet1!AD105</f>
        <v>9.39942E-2</v>
      </c>
      <c r="U117">
        <f>[1]Sheet1!AE105</f>
        <v>6.4102559999999989E-2</v>
      </c>
      <c r="V117">
        <f>[1]Sheet1!AF105</f>
        <v>3.6801899999999999E-2</v>
      </c>
      <c r="W117">
        <f>[1]Sheet1!AG105</f>
        <v>2.6009239999999999E-2</v>
      </c>
      <c r="X117">
        <f>[1]Sheet1!AH105</f>
        <v>6.9454040000000005E-3</v>
      </c>
      <c r="Y117">
        <f>[1]Sheet1!AI105</f>
        <v>2.4793889999999998E-3</v>
      </c>
      <c r="Z117">
        <f>[1]Sheet1!AJ105</f>
        <v>7.2912000000000009E-4</v>
      </c>
      <c r="AA117" t="s">
        <v>99</v>
      </c>
      <c r="AB117">
        <v>1987</v>
      </c>
      <c r="AC117">
        <v>9</v>
      </c>
      <c r="AD117">
        <v>0.99999987899999998</v>
      </c>
      <c r="AE117">
        <v>340561</v>
      </c>
    </row>
    <row r="118" spans="1:31" x14ac:dyDescent="0.2">
      <c r="A118" s="3">
        <v>1988</v>
      </c>
      <c r="B118">
        <f>[1]Sheet1!L106</f>
        <v>5.5999999999999999E-5</v>
      </c>
      <c r="C118">
        <f>[1]Sheet1!M106</f>
        <v>1.8329999999999998E-4</v>
      </c>
      <c r="D118">
        <f>[1]Sheet1!N106</f>
        <v>4.1187799999999996E-4</v>
      </c>
      <c r="E118">
        <f>[1]Sheet1!O106</f>
        <v>2.8263400000000003E-4</v>
      </c>
      <c r="F118">
        <f>[1]Sheet1!P106</f>
        <v>1.7700600000000001E-4</v>
      </c>
      <c r="G118">
        <f>[1]Sheet1!Q106</f>
        <v>3.4486299999999999E-4</v>
      </c>
      <c r="H118">
        <f>[1]Sheet1!R106</f>
        <v>1.557016E-3</v>
      </c>
      <c r="I118">
        <f>[1]Sheet1!S106</f>
        <v>1.007577E-2</v>
      </c>
      <c r="J118">
        <f>[1]Sheet1!T106</f>
        <v>2.162553E-2</v>
      </c>
      <c r="K118">
        <f>[1]Sheet1!U106</f>
        <v>1.958814E-2</v>
      </c>
      <c r="L118">
        <f>[1]Sheet1!V106</f>
        <v>2.433128E-2</v>
      </c>
      <c r="M118">
        <f>[1]Sheet1!W106</f>
        <v>4.3710300000000007E-2</v>
      </c>
      <c r="N118">
        <f>[1]Sheet1!X106</f>
        <v>9.9260900000000013E-2</v>
      </c>
      <c r="O118">
        <f>[1]Sheet1!Y106</f>
        <v>0.10511469999999999</v>
      </c>
      <c r="P118">
        <f>[1]Sheet1!Z106</f>
        <v>9.7249100000000005E-2</v>
      </c>
      <c r="Q118">
        <f>[1]Sheet1!AA106</f>
        <v>0.1056892</v>
      </c>
      <c r="R118">
        <f>[1]Sheet1!AB106</f>
        <v>0.11187420000000001</v>
      </c>
      <c r="S118">
        <f>[1]Sheet1!AC106</f>
        <v>0.1341861</v>
      </c>
      <c r="T118">
        <f>[1]Sheet1!AD106</f>
        <v>9.8808299999999988E-2</v>
      </c>
      <c r="U118">
        <f>[1]Sheet1!AE106</f>
        <v>5.9940609999999991E-2</v>
      </c>
      <c r="V118">
        <f>[1]Sheet1!AF106</f>
        <v>3.6717380000000001E-2</v>
      </c>
      <c r="W118">
        <f>[1]Sheet1!AG106</f>
        <v>1.782771E-2</v>
      </c>
      <c r="X118">
        <f>[1]Sheet1!AH106</f>
        <v>7.1020509999999999E-3</v>
      </c>
      <c r="Y118">
        <f>[1]Sheet1!AI106</f>
        <v>2.9004900000000004E-3</v>
      </c>
      <c r="Z118">
        <f>[1]Sheet1!AJ106</f>
        <v>9.8559199999999998E-4</v>
      </c>
      <c r="AA118" t="s">
        <v>99</v>
      </c>
      <c r="AB118">
        <v>1988</v>
      </c>
      <c r="AC118">
        <v>10</v>
      </c>
      <c r="AD118">
        <v>0.99999983400000003</v>
      </c>
      <c r="AE118">
        <v>105626</v>
      </c>
    </row>
    <row r="119" spans="1:31" x14ac:dyDescent="0.2">
      <c r="A119" s="3">
        <v>1989</v>
      </c>
      <c r="B119">
        <f>[1]Sheet1!L107</f>
        <v>0</v>
      </c>
      <c r="C119">
        <f>[1]Sheet1!M107</f>
        <v>0</v>
      </c>
      <c r="D119">
        <f>[1]Sheet1!N107</f>
        <v>6.6249999999999998E-5</v>
      </c>
      <c r="E119">
        <f>[1]Sheet1!O107</f>
        <v>1.27088E-4</v>
      </c>
      <c r="F119">
        <f>[1]Sheet1!P107</f>
        <v>8.7299999999999994E-6</v>
      </c>
      <c r="G119">
        <f>[1]Sheet1!Q107</f>
        <v>4.6699999999999997E-5</v>
      </c>
      <c r="H119">
        <f>[1]Sheet1!R107</f>
        <v>1.5193170000000001E-3</v>
      </c>
      <c r="I119">
        <f>[1]Sheet1!S107</f>
        <v>4.5905300000000007E-3</v>
      </c>
      <c r="J119">
        <f>[1]Sheet1!T107</f>
        <v>1.0580200000000001E-2</v>
      </c>
      <c r="K119">
        <f>[1]Sheet1!U107</f>
        <v>1.3585940000000001E-2</v>
      </c>
      <c r="L119">
        <f>[1]Sheet1!V107</f>
        <v>1.067149E-2</v>
      </c>
      <c r="M119">
        <f>[1]Sheet1!W107</f>
        <v>2.2011710000000004E-2</v>
      </c>
      <c r="N119">
        <f>[1]Sheet1!X107</f>
        <v>7.0324200000000003E-2</v>
      </c>
      <c r="O119">
        <f>[1]Sheet1!Y107</f>
        <v>8.9860700000000002E-2</v>
      </c>
      <c r="P119">
        <f>[1]Sheet1!Z107</f>
        <v>9.1195499999999985E-2</v>
      </c>
      <c r="Q119">
        <f>[1]Sheet1!AA107</f>
        <v>0.1108912</v>
      </c>
      <c r="R119">
        <f>[1]Sheet1!AB107</f>
        <v>0.12158240000000001</v>
      </c>
      <c r="S119">
        <f>[1]Sheet1!AC107</f>
        <v>0.14150409999999999</v>
      </c>
      <c r="T119">
        <f>[1]Sheet1!AD107</f>
        <v>0.12172659999999999</v>
      </c>
      <c r="U119">
        <f>[1]Sheet1!AE107</f>
        <v>8.889409999999999E-2</v>
      </c>
      <c r="V119">
        <f>[1]Sheet1!AF107</f>
        <v>5.3234480000000001E-2</v>
      </c>
      <c r="W119">
        <f>[1]Sheet1!AG107</f>
        <v>2.783567E-2</v>
      </c>
      <c r="X119">
        <f>[1]Sheet1!AH107</f>
        <v>1.313106E-2</v>
      </c>
      <c r="Y119">
        <f>[1]Sheet1!AI107</f>
        <v>4.6291819999999999E-3</v>
      </c>
      <c r="Z119">
        <f>[1]Sheet1!AJ107</f>
        <v>1.9830270000000001E-3</v>
      </c>
      <c r="AA119" t="s">
        <v>99</v>
      </c>
      <c r="AB119">
        <v>1989</v>
      </c>
      <c r="AC119">
        <v>11</v>
      </c>
      <c r="AD119">
        <v>1.0000002990000001</v>
      </c>
      <c r="AE119">
        <v>70009</v>
      </c>
    </row>
    <row r="120" spans="1:31" x14ac:dyDescent="0.2">
      <c r="A120" s="3">
        <v>1990</v>
      </c>
      <c r="B120">
        <f>[1]Sheet1!L108</f>
        <v>0</v>
      </c>
      <c r="C120">
        <f>[1]Sheet1!M108</f>
        <v>0</v>
      </c>
      <c r="D120">
        <f>[1]Sheet1!N108</f>
        <v>7.7000000000000008E-6</v>
      </c>
      <c r="E120">
        <f>[1]Sheet1!O108</f>
        <v>1.8300000000000001E-5</v>
      </c>
      <c r="F120">
        <f>[1]Sheet1!P108</f>
        <v>0</v>
      </c>
      <c r="G120">
        <f>[1]Sheet1!Q108</f>
        <v>9.8779399999999996E-4</v>
      </c>
      <c r="H120">
        <f>[1]Sheet1!R108</f>
        <v>6.0531200000000004E-3</v>
      </c>
      <c r="I120">
        <f>[1]Sheet1!S108</f>
        <v>9.4511999999999999E-3</v>
      </c>
      <c r="J120">
        <f>[1]Sheet1!T108</f>
        <v>6.4514999999999998E-3</v>
      </c>
      <c r="K120">
        <f>[1]Sheet1!U108</f>
        <v>3.048037E-3</v>
      </c>
      <c r="L120">
        <f>[1]Sheet1!V108</f>
        <v>2.5073560000000001E-3</v>
      </c>
      <c r="M120">
        <f>[1]Sheet1!W108</f>
        <v>1.6381340000000001E-3</v>
      </c>
      <c r="N120">
        <f>[1]Sheet1!X108</f>
        <v>9.0971279999999995E-3</v>
      </c>
      <c r="O120">
        <f>[1]Sheet1!Y108</f>
        <v>2.094679E-2</v>
      </c>
      <c r="P120">
        <f>[1]Sheet1!Z108</f>
        <v>5.4939660000000001E-2</v>
      </c>
      <c r="Q120">
        <f>[1]Sheet1!AA108</f>
        <v>0.11409710000000001</v>
      </c>
      <c r="R120">
        <f>[1]Sheet1!AB108</f>
        <v>0.16059319999999999</v>
      </c>
      <c r="S120">
        <f>[1]Sheet1!AC108</f>
        <v>0.17551169999999999</v>
      </c>
      <c r="T120">
        <f>[1]Sheet1!AD108</f>
        <v>0.1573137</v>
      </c>
      <c r="U120">
        <f>[1]Sheet1!AE108</f>
        <v>0.12039649999999999</v>
      </c>
      <c r="V120">
        <f>[1]Sheet1!AF108</f>
        <v>7.8913800000000006E-2</v>
      </c>
      <c r="W120">
        <f>[1]Sheet1!AG108</f>
        <v>4.8946250000000004E-2</v>
      </c>
      <c r="X120">
        <f>[1]Sheet1!AH108</f>
        <v>1.9378659999999999E-2</v>
      </c>
      <c r="Y120">
        <f>[1]Sheet1!AI108</f>
        <v>7.9411199999999994E-3</v>
      </c>
      <c r="Z120">
        <f>[1]Sheet1!AJ108</f>
        <v>1.7612709999999998E-3</v>
      </c>
      <c r="AA120" t="s">
        <v>99</v>
      </c>
      <c r="AB120">
        <v>1990</v>
      </c>
      <c r="AC120">
        <v>12</v>
      </c>
      <c r="AD120">
        <v>0.99995765000000003</v>
      </c>
      <c r="AE120">
        <v>260939</v>
      </c>
    </row>
    <row r="121" spans="1:31" x14ac:dyDescent="0.2">
      <c r="A121" s="3">
        <v>1991</v>
      </c>
      <c r="B121">
        <f>[1]Sheet1!L109</f>
        <v>1.17E-5</v>
      </c>
      <c r="C121">
        <f>[1]Sheet1!M109</f>
        <v>5.0309999999999998E-6</v>
      </c>
      <c r="D121">
        <f>[1]Sheet1!N109</f>
        <v>2.9916999999999998E-5</v>
      </c>
      <c r="E121">
        <f>[1]Sheet1!O109</f>
        <v>3.375E-5</v>
      </c>
      <c r="F121">
        <f>[1]Sheet1!P109</f>
        <v>7.4800000000000002E-5</v>
      </c>
      <c r="G121">
        <f>[1]Sheet1!Q109</f>
        <v>4.22457E-4</v>
      </c>
      <c r="H121">
        <f>[1]Sheet1!R109</f>
        <v>2.103981E-3</v>
      </c>
      <c r="I121">
        <f>[1]Sheet1!S109</f>
        <v>4.3419699999999997E-3</v>
      </c>
      <c r="J121">
        <f>[1]Sheet1!T109</f>
        <v>4.4123299999999999E-3</v>
      </c>
      <c r="K121">
        <f>[1]Sheet1!U109</f>
        <v>4.5408800000000006E-3</v>
      </c>
      <c r="L121">
        <f>[1]Sheet1!V109</f>
        <v>8.0218000000000008E-3</v>
      </c>
      <c r="M121">
        <f>[1]Sheet1!W109</f>
        <v>1.895722E-2</v>
      </c>
      <c r="N121">
        <f>[1]Sheet1!X109</f>
        <v>7.1671499999999999E-2</v>
      </c>
      <c r="O121">
        <f>[1]Sheet1!Y109</f>
        <v>7.2976899999999997E-2</v>
      </c>
      <c r="P121">
        <f>[1]Sheet1!Z109</f>
        <v>8.1253800000000001E-2</v>
      </c>
      <c r="Q121">
        <f>[1]Sheet1!AA109</f>
        <v>0.1096273</v>
      </c>
      <c r="R121">
        <f>[1]Sheet1!AB109</f>
        <v>0.14862420000000001</v>
      </c>
      <c r="S121">
        <f>[1]Sheet1!AC109</f>
        <v>0.15935640000000001</v>
      </c>
      <c r="T121">
        <f>[1]Sheet1!AD109</f>
        <v>0.1225673</v>
      </c>
      <c r="U121">
        <f>[1]Sheet1!AE109</f>
        <v>8.712049999999999E-2</v>
      </c>
      <c r="V121">
        <f>[1]Sheet1!AF109</f>
        <v>5.0405759999999994E-2</v>
      </c>
      <c r="W121">
        <f>[1]Sheet1!AG109</f>
        <v>3.0115980000000004E-2</v>
      </c>
      <c r="X121">
        <f>[1]Sheet1!AH109</f>
        <v>1.542661E-2</v>
      </c>
      <c r="Y121">
        <f>[1]Sheet1!AI109</f>
        <v>5.5557589999999995E-3</v>
      </c>
      <c r="Z121">
        <f>[1]Sheet1!AJ109</f>
        <v>2.3421239999999997E-3</v>
      </c>
      <c r="AA121" t="s">
        <v>99</v>
      </c>
      <c r="AB121">
        <v>1991</v>
      </c>
      <c r="AC121">
        <v>13</v>
      </c>
      <c r="AD121">
        <v>1.000000174</v>
      </c>
      <c r="AE121">
        <v>358383</v>
      </c>
    </row>
    <row r="122" spans="1:31" x14ac:dyDescent="0.2">
      <c r="A122" s="3">
        <v>1992</v>
      </c>
      <c r="B122">
        <f>[1]Sheet1!L110</f>
        <v>6.7100000000000001E-6</v>
      </c>
      <c r="C122">
        <f>[1]Sheet1!M110</f>
        <v>2.033E-5</v>
      </c>
      <c r="D122">
        <f>[1]Sheet1!N110</f>
        <v>4.4110000000000003E-5</v>
      </c>
      <c r="E122">
        <f>[1]Sheet1!O110</f>
        <v>3.5259999999999998E-5</v>
      </c>
      <c r="F122">
        <f>[1]Sheet1!P110</f>
        <v>1.6090000000000001E-4</v>
      </c>
      <c r="G122">
        <f>[1]Sheet1!Q110</f>
        <v>4.3692299999999998E-4</v>
      </c>
      <c r="H122">
        <f>[1]Sheet1!R110</f>
        <v>1.8768719999999999E-3</v>
      </c>
      <c r="I122">
        <f>[1]Sheet1!S110</f>
        <v>3.958423E-3</v>
      </c>
      <c r="J122">
        <f>[1]Sheet1!T110</f>
        <v>8.4626000000000007E-3</v>
      </c>
      <c r="K122">
        <f>[1]Sheet1!U110</f>
        <v>5.0984939999999999E-2</v>
      </c>
      <c r="L122">
        <f>[1]Sheet1!V110</f>
        <v>5.2727899999999994E-2</v>
      </c>
      <c r="M122">
        <f>[1]Sheet1!W110</f>
        <v>3.9445600000000004E-2</v>
      </c>
      <c r="N122">
        <f>[1]Sheet1!X110</f>
        <v>9.2161199999999999E-2</v>
      </c>
      <c r="O122">
        <f>[1]Sheet1!Y110</f>
        <v>9.6766600000000008E-2</v>
      </c>
      <c r="P122">
        <f>[1]Sheet1!Z110</f>
        <v>9.0896600000000008E-2</v>
      </c>
      <c r="Q122">
        <f>[1]Sheet1!AA110</f>
        <v>0.1078885</v>
      </c>
      <c r="R122">
        <f>[1]Sheet1!AB110</f>
        <v>0.12296270000000001</v>
      </c>
      <c r="S122">
        <f>[1]Sheet1!AC110</f>
        <v>0.10514030000000001</v>
      </c>
      <c r="T122">
        <f>[1]Sheet1!AD110</f>
        <v>8.4919900000000006E-2</v>
      </c>
      <c r="U122">
        <f>[1]Sheet1!AE110</f>
        <v>5.9641900000000005E-2</v>
      </c>
      <c r="V122">
        <f>[1]Sheet1!AF110</f>
        <v>3.8596609999999996E-2</v>
      </c>
      <c r="W122">
        <f>[1]Sheet1!AG110</f>
        <v>2.258423E-2</v>
      </c>
      <c r="X122">
        <f>[1]Sheet1!AH110</f>
        <v>1.3061969999999999E-2</v>
      </c>
      <c r="Y122">
        <f>[1]Sheet1!AI110</f>
        <v>5.3941810000000005E-3</v>
      </c>
      <c r="Z122">
        <f>[1]Sheet1!AJ110</f>
        <v>1.8246709999999999E-3</v>
      </c>
      <c r="AA122" t="s">
        <v>99</v>
      </c>
      <c r="AB122">
        <v>1992</v>
      </c>
      <c r="AC122">
        <v>14</v>
      </c>
      <c r="AD122">
        <v>1.0000000200000001</v>
      </c>
      <c r="AE122">
        <v>371204</v>
      </c>
    </row>
    <row r="123" spans="1:31" x14ac:dyDescent="0.2">
      <c r="A123" s="3">
        <v>1993</v>
      </c>
      <c r="B123">
        <f>[1]Sheet1!L111</f>
        <v>9.9300000000000006E-7</v>
      </c>
      <c r="C123">
        <f>[1]Sheet1!M111</f>
        <v>2.23E-7</v>
      </c>
      <c r="D123">
        <f>[1]Sheet1!N111</f>
        <v>5.1685200000000004E-4</v>
      </c>
      <c r="E123">
        <f>[1]Sheet1!O111</f>
        <v>1.0673619999999999E-3</v>
      </c>
      <c r="F123">
        <f>[1]Sheet1!P111</f>
        <v>1.2439999999999999E-4</v>
      </c>
      <c r="G123">
        <f>[1]Sheet1!Q111</f>
        <v>1.4832030000000002E-3</v>
      </c>
      <c r="H123">
        <f>[1]Sheet1!R111</f>
        <v>2.0537730000000001E-3</v>
      </c>
      <c r="I123">
        <f>[1]Sheet1!S111</f>
        <v>7.0824E-3</v>
      </c>
      <c r="J123">
        <f>[1]Sheet1!T111</f>
        <v>7.3864499999999993E-3</v>
      </c>
      <c r="K123">
        <f>[1]Sheet1!U111</f>
        <v>1.9144339999999999E-2</v>
      </c>
      <c r="L123">
        <f>[1]Sheet1!V111</f>
        <v>3.60691E-2</v>
      </c>
      <c r="M123">
        <f>[1]Sheet1!W111</f>
        <v>4.8403000000000002E-2</v>
      </c>
      <c r="N123">
        <f>[1]Sheet1!X111</f>
        <v>0.1429455</v>
      </c>
      <c r="O123">
        <f>[1]Sheet1!Y111</f>
        <v>0.14719880000000002</v>
      </c>
      <c r="P123">
        <f>[1]Sheet1!Z111</f>
        <v>0.15279359999999997</v>
      </c>
      <c r="Q123">
        <f>[1]Sheet1!AA111</f>
        <v>0.13636299999999998</v>
      </c>
      <c r="R123">
        <f>[1]Sheet1!AB111</f>
        <v>7.7430799999999994E-2</v>
      </c>
      <c r="S123">
        <f>[1]Sheet1!AC111</f>
        <v>7.5240899999999999E-2</v>
      </c>
      <c r="T123">
        <f>[1]Sheet1!AD111</f>
        <v>4.8947859999999996E-2</v>
      </c>
      <c r="U123">
        <f>[1]Sheet1!AE111</f>
        <v>3.7944199999999997E-2</v>
      </c>
      <c r="V123">
        <f>[1]Sheet1!AF111</f>
        <v>2.5975190000000002E-2</v>
      </c>
      <c r="W123">
        <f>[1]Sheet1!AG111</f>
        <v>1.5492379999999998E-2</v>
      </c>
      <c r="X123">
        <f>[1]Sheet1!AH111</f>
        <v>8.8735389999999997E-3</v>
      </c>
      <c r="Y123">
        <f>[1]Sheet1!AI111</f>
        <v>5.9658330000000002E-3</v>
      </c>
      <c r="Z123">
        <f>[1]Sheet1!AJ111</f>
        <v>1.4962949999999999E-3</v>
      </c>
      <c r="AA123" t="s">
        <v>99</v>
      </c>
      <c r="AB123">
        <v>1993</v>
      </c>
      <c r="AC123">
        <v>15</v>
      </c>
      <c r="AD123">
        <v>0.99999996899999999</v>
      </c>
      <c r="AE123">
        <v>233591</v>
      </c>
    </row>
    <row r="124" spans="1:31" x14ac:dyDescent="0.2">
      <c r="A124" s="3">
        <v>1994</v>
      </c>
      <c r="B124">
        <f>[1]Sheet1!L112</f>
        <v>0</v>
      </c>
      <c r="C124">
        <f>[1]Sheet1!M112</f>
        <v>1.556E-6</v>
      </c>
      <c r="D124">
        <f>[1]Sheet1!N112</f>
        <v>4.2889999999999999E-6</v>
      </c>
      <c r="E124">
        <f>[1]Sheet1!O112</f>
        <v>2.3410000000000001E-5</v>
      </c>
      <c r="F124">
        <f>[1]Sheet1!P112</f>
        <v>5.3600000000000002E-5</v>
      </c>
      <c r="G124">
        <f>[1]Sheet1!Q112</f>
        <v>6.5421199999999994E-4</v>
      </c>
      <c r="H124">
        <f>[1]Sheet1!R112</f>
        <v>3.1989119999999999E-3</v>
      </c>
      <c r="I124">
        <f>[1]Sheet1!S112</f>
        <v>6.6737799999999998E-3</v>
      </c>
      <c r="J124">
        <f>[1]Sheet1!T112</f>
        <v>8.1267699999999984E-3</v>
      </c>
      <c r="K124">
        <f>[1]Sheet1!U112</f>
        <v>7.73437E-3</v>
      </c>
      <c r="L124">
        <f>[1]Sheet1!V112</f>
        <v>1.3916069999999999E-2</v>
      </c>
      <c r="M124">
        <f>[1]Sheet1!W112</f>
        <v>4.2514820000000002E-2</v>
      </c>
      <c r="N124">
        <f>[1]Sheet1!X112</f>
        <v>0.11766070000000001</v>
      </c>
      <c r="O124">
        <f>[1]Sheet1!Y112</f>
        <v>0.12118340000000001</v>
      </c>
      <c r="P124">
        <f>[1]Sheet1!Z112</f>
        <v>0.15806780000000001</v>
      </c>
      <c r="Q124">
        <f>[1]Sheet1!AA112</f>
        <v>0.1688702</v>
      </c>
      <c r="R124">
        <f>[1]Sheet1!AB112</f>
        <v>0.14880879999999999</v>
      </c>
      <c r="S124">
        <f>[1]Sheet1!AC112</f>
        <v>8.5935600000000001E-2</v>
      </c>
      <c r="T124">
        <f>[1]Sheet1!AD112</f>
        <v>4.8576170000000002E-2</v>
      </c>
      <c r="U124">
        <f>[1]Sheet1!AE112</f>
        <v>2.9445979999999997E-2</v>
      </c>
      <c r="V124">
        <f>[1]Sheet1!AF112</f>
        <v>1.8422419999999998E-2</v>
      </c>
      <c r="W124">
        <f>[1]Sheet1!AG112</f>
        <v>1.1135260000000001E-2</v>
      </c>
      <c r="X124">
        <f>[1]Sheet1!AH112</f>
        <v>5.4765979999999992E-3</v>
      </c>
      <c r="Y124">
        <f>[1]Sheet1!AI112</f>
        <v>2.4257059999999997E-3</v>
      </c>
      <c r="Z124">
        <f>[1]Sheet1!AJ112</f>
        <v>1.0892810000000001E-3</v>
      </c>
      <c r="AA124" t="s">
        <v>99</v>
      </c>
      <c r="AB124">
        <v>1994</v>
      </c>
      <c r="AC124">
        <v>16</v>
      </c>
      <c r="AD124">
        <v>0.99999992999999998</v>
      </c>
      <c r="AE124">
        <v>373943</v>
      </c>
    </row>
    <row r="125" spans="1:31" x14ac:dyDescent="0.2">
      <c r="A125" s="3">
        <v>1995</v>
      </c>
      <c r="B125">
        <f>[1]Sheet1!L113</f>
        <v>0</v>
      </c>
      <c r="C125">
        <f>[1]Sheet1!M113</f>
        <v>0</v>
      </c>
      <c r="D125">
        <f>[1]Sheet1!N113</f>
        <v>5.0500000000000001E-5</v>
      </c>
      <c r="E125">
        <f>[1]Sheet1!O113</f>
        <v>8.5799999999999998E-5</v>
      </c>
      <c r="F125">
        <f>[1]Sheet1!P113</f>
        <v>1.339E-4</v>
      </c>
      <c r="G125">
        <f>[1]Sheet1!Q113</f>
        <v>5.3275300000000007E-4</v>
      </c>
      <c r="H125">
        <f>[1]Sheet1!R113</f>
        <v>2.003679E-3</v>
      </c>
      <c r="I125">
        <f>[1]Sheet1!S113</f>
        <v>3.5769399999999998E-3</v>
      </c>
      <c r="J125">
        <f>[1]Sheet1!T113</f>
        <v>5.7403699999999998E-3</v>
      </c>
      <c r="K125">
        <f>[1]Sheet1!U113</f>
        <v>1.27875E-2</v>
      </c>
      <c r="L125">
        <f>[1]Sheet1!V113</f>
        <v>4.1410199999999994E-2</v>
      </c>
      <c r="M125">
        <f>[1]Sheet1!W113</f>
        <v>7.1050199999999994E-2</v>
      </c>
      <c r="N125">
        <f>[1]Sheet1!X113</f>
        <v>0.10050540000000001</v>
      </c>
      <c r="O125">
        <f>[1]Sheet1!Y113</f>
        <v>0.1074281</v>
      </c>
      <c r="P125">
        <f>[1]Sheet1!Z113</f>
        <v>0.14611640000000001</v>
      </c>
      <c r="Q125">
        <f>[1]Sheet1!AA113</f>
        <v>0.16204460000000001</v>
      </c>
      <c r="R125">
        <f>[1]Sheet1!AB113</f>
        <v>0.14733660000000001</v>
      </c>
      <c r="S125">
        <f>[1]Sheet1!AC113</f>
        <v>9.4906900000000002E-2</v>
      </c>
      <c r="T125">
        <f>[1]Sheet1!AD113</f>
        <v>4.9102649999999998E-2</v>
      </c>
      <c r="U125">
        <f>[1]Sheet1!AE113</f>
        <v>2.569453E-2</v>
      </c>
      <c r="V125">
        <f>[1]Sheet1!AF113</f>
        <v>1.4821230000000001E-2</v>
      </c>
      <c r="W125">
        <f>[1]Sheet1!AG113</f>
        <v>8.1755100000000004E-3</v>
      </c>
      <c r="X125">
        <f>[1]Sheet1!AH113</f>
        <v>4.2089630000000005E-3</v>
      </c>
      <c r="Y125">
        <f>[1]Sheet1!AI113</f>
        <v>1.7028530000000003E-3</v>
      </c>
      <c r="Z125">
        <f>[1]Sheet1!AJ113</f>
        <v>5.8447600000000001E-4</v>
      </c>
      <c r="AA125" t="s">
        <v>99</v>
      </c>
      <c r="AB125">
        <v>1995</v>
      </c>
      <c r="AC125">
        <v>17</v>
      </c>
      <c r="AD125">
        <v>0.99999899999999997</v>
      </c>
      <c r="AE125">
        <v>370204</v>
      </c>
    </row>
    <row r="126" spans="1:31" x14ac:dyDescent="0.2">
      <c r="A126" s="3">
        <v>1996</v>
      </c>
      <c r="B126">
        <f>[1]Sheet1!L114</f>
        <v>4.6600000000000003E-6</v>
      </c>
      <c r="C126">
        <f>[1]Sheet1!M114</f>
        <v>1.401E-5</v>
      </c>
      <c r="D126">
        <f>[1]Sheet1!N114</f>
        <v>2.8170000000000003E-5</v>
      </c>
      <c r="E126">
        <f>[1]Sheet1!O114</f>
        <v>3.7939999999999999E-5</v>
      </c>
      <c r="F126">
        <f>[1]Sheet1!P114</f>
        <v>3.4329999999999998E-5</v>
      </c>
      <c r="G126">
        <f>[1]Sheet1!Q114</f>
        <v>2.4306100000000001E-4</v>
      </c>
      <c r="H126">
        <f>[1]Sheet1!R114</f>
        <v>1.2591710000000001E-3</v>
      </c>
      <c r="I126">
        <f>[1]Sheet1!S114</f>
        <v>2.5660079999999998E-3</v>
      </c>
      <c r="J126">
        <f>[1]Sheet1!T114</f>
        <v>3.5294559999999994E-3</v>
      </c>
      <c r="K126">
        <f>[1]Sheet1!U114</f>
        <v>3.4383599999999997E-3</v>
      </c>
      <c r="L126">
        <f>[1]Sheet1!V114</f>
        <v>7.2894099999999996E-3</v>
      </c>
      <c r="M126">
        <f>[1]Sheet1!W114</f>
        <v>1.9930360000000001E-2</v>
      </c>
      <c r="N126">
        <f>[1]Sheet1!X114</f>
        <v>7.8670299999999999E-2</v>
      </c>
      <c r="O126">
        <f>[1]Sheet1!Y114</f>
        <v>0.14133109999999999</v>
      </c>
      <c r="P126">
        <f>[1]Sheet1!Z114</f>
        <v>0.15589500000000001</v>
      </c>
      <c r="Q126">
        <f>[1]Sheet1!AA114</f>
        <v>0.15425820000000001</v>
      </c>
      <c r="R126">
        <f>[1]Sheet1!AB114</f>
        <v>0.1436315</v>
      </c>
      <c r="S126">
        <f>[1]Sheet1!AC114</f>
        <v>0.1134662</v>
      </c>
      <c r="T126">
        <f>[1]Sheet1!AD114</f>
        <v>7.6501399999999997E-2</v>
      </c>
      <c r="U126">
        <f>[1]Sheet1!AE114</f>
        <v>4.5090989999999997E-2</v>
      </c>
      <c r="V126">
        <f>[1]Sheet1!AF114</f>
        <v>2.602894E-2</v>
      </c>
      <c r="W126">
        <f>[1]Sheet1!AG114</f>
        <v>1.4218339999999999E-2</v>
      </c>
      <c r="X126">
        <f>[1]Sheet1!AH114</f>
        <v>8.0550699999999992E-3</v>
      </c>
      <c r="Y126">
        <f>[1]Sheet1!AI114</f>
        <v>3.1867359999999999E-3</v>
      </c>
      <c r="Z126">
        <f>[1]Sheet1!AJ114</f>
        <v>1.291082E-3</v>
      </c>
      <c r="AA126" t="s">
        <v>99</v>
      </c>
      <c r="AB126">
        <v>1996</v>
      </c>
      <c r="AC126">
        <v>18</v>
      </c>
      <c r="AD126">
        <v>0.99999970400000004</v>
      </c>
      <c r="AE126">
        <v>465413</v>
      </c>
    </row>
    <row r="127" spans="1:31" x14ac:dyDescent="0.2">
      <c r="A127" s="3">
        <v>1997</v>
      </c>
      <c r="B127">
        <f>[1]Sheet1!L115</f>
        <v>3.5540000000000002E-5</v>
      </c>
      <c r="C127">
        <f>[1]Sheet1!M115</f>
        <v>1.155E-5</v>
      </c>
      <c r="D127">
        <f>[1]Sheet1!N115</f>
        <v>8.3419999999999998E-5</v>
      </c>
      <c r="E127">
        <f>[1]Sheet1!O115</f>
        <v>1.892889E-3</v>
      </c>
      <c r="F127">
        <f>[1]Sheet1!P115</f>
        <v>7.23612E-4</v>
      </c>
      <c r="G127">
        <f>[1]Sheet1!Q115</f>
        <v>1.129746E-3</v>
      </c>
      <c r="H127">
        <f>[1]Sheet1!R115</f>
        <v>1.7049090000000001E-3</v>
      </c>
      <c r="I127">
        <f>[1]Sheet1!S115</f>
        <v>5.44503E-3</v>
      </c>
      <c r="J127">
        <f>[1]Sheet1!T115</f>
        <v>8.0885799999999997E-3</v>
      </c>
      <c r="K127">
        <f>[1]Sheet1!U115</f>
        <v>8.3769500000000011E-3</v>
      </c>
      <c r="L127">
        <f>[1]Sheet1!V115</f>
        <v>8.1183100000000001E-3</v>
      </c>
      <c r="M127">
        <f>[1]Sheet1!W115</f>
        <v>1.8540770000000002E-2</v>
      </c>
      <c r="N127">
        <f>[1]Sheet1!X115</f>
        <v>5.8620850000000002E-2</v>
      </c>
      <c r="O127">
        <f>[1]Sheet1!Y115</f>
        <v>9.061269999999999E-2</v>
      </c>
      <c r="P127">
        <f>[1]Sheet1!Z115</f>
        <v>0.14637459999999999</v>
      </c>
      <c r="Q127">
        <f>[1]Sheet1!AA115</f>
        <v>0.19331180000000001</v>
      </c>
      <c r="R127">
        <f>[1]Sheet1!AB115</f>
        <v>0.17952620000000002</v>
      </c>
      <c r="S127">
        <f>[1]Sheet1!AC115</f>
        <v>0.12320620000000002</v>
      </c>
      <c r="T127">
        <f>[1]Sheet1!AD115</f>
        <v>7.4346099999999998E-2</v>
      </c>
      <c r="U127">
        <f>[1]Sheet1!AE115</f>
        <v>3.8809530000000002E-2</v>
      </c>
      <c r="V127">
        <f>[1]Sheet1!AF115</f>
        <v>2.2127419999999998E-2</v>
      </c>
      <c r="W127">
        <f>[1]Sheet1!AG115</f>
        <v>1.080089E-2</v>
      </c>
      <c r="X127">
        <f>[1]Sheet1!AH115</f>
        <v>4.9759489999999995E-3</v>
      </c>
      <c r="Y127">
        <f>[1]Sheet1!AI115</f>
        <v>2.2049280000000001E-3</v>
      </c>
      <c r="Z127">
        <f>[1]Sheet1!AJ115</f>
        <v>9.3116499999999997E-4</v>
      </c>
      <c r="AA127" t="s">
        <v>99</v>
      </c>
      <c r="AB127">
        <v>1997</v>
      </c>
      <c r="AC127">
        <v>19</v>
      </c>
      <c r="AD127">
        <v>1.000000054</v>
      </c>
      <c r="AE127">
        <v>504780</v>
      </c>
    </row>
    <row r="128" spans="1:31" x14ac:dyDescent="0.2">
      <c r="A128" s="3">
        <v>1998</v>
      </c>
      <c r="B128">
        <f>[1]Sheet1!L116</f>
        <v>2.6399999999999998E-7</v>
      </c>
      <c r="C128">
        <f>[1]Sheet1!M116</f>
        <v>7.8999999999999989E-6</v>
      </c>
      <c r="D128">
        <f>[1]Sheet1!N116</f>
        <v>1.9449999999999992E-5</v>
      </c>
      <c r="E128">
        <f>[1]Sheet1!O116</f>
        <v>2.9489999999999997E-5</v>
      </c>
      <c r="F128">
        <f>[1]Sheet1!P116</f>
        <v>2.391E-5</v>
      </c>
      <c r="G128">
        <f>[1]Sheet1!Q116</f>
        <v>5.4747800000000001E-4</v>
      </c>
      <c r="H128">
        <f>[1]Sheet1!R116</f>
        <v>2.5737349999999997E-3</v>
      </c>
      <c r="I128">
        <f>[1]Sheet1!S116</f>
        <v>3.6327900000000003E-3</v>
      </c>
      <c r="J128">
        <f>[1]Sheet1!T116</f>
        <v>4.0031400000000005E-3</v>
      </c>
      <c r="K128">
        <f>[1]Sheet1!U116</f>
        <v>4.6997699999999998E-3</v>
      </c>
      <c r="L128">
        <f>[1]Sheet1!V116</f>
        <v>1.055761E-2</v>
      </c>
      <c r="M128">
        <f>[1]Sheet1!W116</f>
        <v>2.28697E-2</v>
      </c>
      <c r="N128">
        <f>[1]Sheet1!X116</f>
        <v>6.3900600000000002E-2</v>
      </c>
      <c r="O128">
        <f>[1]Sheet1!Y116</f>
        <v>9.3238000000000001E-2</v>
      </c>
      <c r="P128">
        <f>[1]Sheet1!Z116</f>
        <v>0.13062889999999999</v>
      </c>
      <c r="Q128">
        <f>[1]Sheet1!AA116</f>
        <v>0.1713925</v>
      </c>
      <c r="R128">
        <f>[1]Sheet1!AB116</f>
        <v>0.18114540000000001</v>
      </c>
      <c r="S128">
        <f>[1]Sheet1!AC116</f>
        <v>0.14109340000000001</v>
      </c>
      <c r="T128">
        <f>[1]Sheet1!AD116</f>
        <v>8.3425200000000005E-2</v>
      </c>
      <c r="U128">
        <f>[1]Sheet1!AE116</f>
        <v>4.1917570000000001E-2</v>
      </c>
      <c r="V128">
        <f>[1]Sheet1!AF116</f>
        <v>2.1980550000000001E-2</v>
      </c>
      <c r="W128">
        <f>[1]Sheet1!AG116</f>
        <v>1.1786630000000001E-2</v>
      </c>
      <c r="X128">
        <f>[1]Sheet1!AH116</f>
        <v>6.5689590000000001E-3</v>
      </c>
      <c r="Y128">
        <f>[1]Sheet1!AI116</f>
        <v>2.7481739999999999E-3</v>
      </c>
      <c r="Z128">
        <f>[1]Sheet1!AJ116</f>
        <v>1.2091669999999999E-3</v>
      </c>
      <c r="AA128" t="s">
        <v>99</v>
      </c>
      <c r="AB128">
        <v>1998</v>
      </c>
      <c r="AC128">
        <v>20</v>
      </c>
      <c r="AD128">
        <v>0.99999979400000005</v>
      </c>
      <c r="AE128">
        <v>448236</v>
      </c>
    </row>
    <row r="129" spans="1:31" x14ac:dyDescent="0.2">
      <c r="A129" s="3">
        <v>1999</v>
      </c>
      <c r="B129">
        <f>[1]Sheet1!L117</f>
        <v>1.2267300000000001E-4</v>
      </c>
      <c r="C129">
        <f>[1]Sheet1!M117</f>
        <v>0</v>
      </c>
      <c r="D129">
        <f>[1]Sheet1!N117</f>
        <v>1.1E-5</v>
      </c>
      <c r="E129">
        <f>[1]Sheet1!O117</f>
        <v>1.033E-4</v>
      </c>
      <c r="F129">
        <f>[1]Sheet1!P117</f>
        <v>1.1420000000000001E-4</v>
      </c>
      <c r="G129">
        <f>[1]Sheet1!Q117</f>
        <v>3.1082800000000003E-4</v>
      </c>
      <c r="H129">
        <f>[1]Sheet1!R117</f>
        <v>2.727134E-3</v>
      </c>
      <c r="I129">
        <f>[1]Sheet1!S117</f>
        <v>5.5487699999999997E-3</v>
      </c>
      <c r="J129">
        <f>[1]Sheet1!T117</f>
        <v>4.9475999999999999E-3</v>
      </c>
      <c r="K129">
        <f>[1]Sheet1!U117</f>
        <v>7.4059099999999999E-3</v>
      </c>
      <c r="L129">
        <f>[1]Sheet1!V117</f>
        <v>2.8620960000000001E-2</v>
      </c>
      <c r="M129">
        <f>[1]Sheet1!W117</f>
        <v>5.6505E-2</v>
      </c>
      <c r="N129">
        <f>[1]Sheet1!X117</f>
        <v>0.11063490000000001</v>
      </c>
      <c r="O129">
        <f>[1]Sheet1!Y117</f>
        <v>0.1108415</v>
      </c>
      <c r="P129">
        <f>[1]Sheet1!Z117</f>
        <v>0.11683669999999999</v>
      </c>
      <c r="Q129">
        <f>[1]Sheet1!AA117</f>
        <v>0.13594600000000001</v>
      </c>
      <c r="R129">
        <f>[1]Sheet1!AB117</f>
        <v>0.13960819999999999</v>
      </c>
      <c r="S129">
        <f>[1]Sheet1!AC117</f>
        <v>0.1172839</v>
      </c>
      <c r="T129">
        <f>[1]Sheet1!AD117</f>
        <v>7.7790500000000012E-2</v>
      </c>
      <c r="U129">
        <f>[1]Sheet1!AE117</f>
        <v>4.4431389999999994E-2</v>
      </c>
      <c r="V129">
        <f>[1]Sheet1!AF117</f>
        <v>2.1701450000000001E-2</v>
      </c>
      <c r="W129">
        <f>[1]Sheet1!AG117</f>
        <v>1.0661990000000001E-2</v>
      </c>
      <c r="X129">
        <f>[1]Sheet1!AH117</f>
        <v>4.8394040000000003E-3</v>
      </c>
      <c r="Y129">
        <f>[1]Sheet1!AI117</f>
        <v>1.8712709999999999E-3</v>
      </c>
      <c r="Z129">
        <f>[1]Sheet1!AJ117</f>
        <v>1.1349909999999997E-3</v>
      </c>
      <c r="AA129" t="s">
        <v>99</v>
      </c>
      <c r="AB129">
        <v>1999</v>
      </c>
      <c r="AC129">
        <v>21</v>
      </c>
      <c r="AD129">
        <v>0.99996759800000001</v>
      </c>
      <c r="AE129">
        <v>191044</v>
      </c>
    </row>
    <row r="130" spans="1:31" x14ac:dyDescent="0.2">
      <c r="A130" s="3">
        <v>2000</v>
      </c>
      <c r="B130">
        <f>[1]Sheet1!L118</f>
        <v>5.0859999999999998E-5</v>
      </c>
      <c r="C130">
        <f>[1]Sheet1!M118</f>
        <v>1.29E-5</v>
      </c>
      <c r="D130">
        <f>[1]Sheet1!N118</f>
        <v>5.9968499999999998E-4</v>
      </c>
      <c r="E130">
        <f>[1]Sheet1!O118</f>
        <v>2.3779999999999999E-5</v>
      </c>
      <c r="F130">
        <f>[1]Sheet1!P118</f>
        <v>8.2800000000000003E-6</v>
      </c>
      <c r="G130">
        <f>[1]Sheet1!Q118</f>
        <v>2.9044599999999998E-4</v>
      </c>
      <c r="H130">
        <f>[1]Sheet1!R118</f>
        <v>1.6173170000000001E-3</v>
      </c>
      <c r="I130">
        <f>[1]Sheet1!S118</f>
        <v>3.1872699999999999E-3</v>
      </c>
      <c r="J130">
        <f>[1]Sheet1!T118</f>
        <v>2.7129370000000003E-3</v>
      </c>
      <c r="K130">
        <f>[1]Sheet1!U118</f>
        <v>7.2448199999999999E-3</v>
      </c>
      <c r="L130">
        <f>[1]Sheet1!V118</f>
        <v>1.8162440000000002E-2</v>
      </c>
      <c r="M130">
        <f>[1]Sheet1!W118</f>
        <v>3.3802399999999996E-2</v>
      </c>
      <c r="N130">
        <f>[1]Sheet1!X118</f>
        <v>0.10916899999999999</v>
      </c>
      <c r="O130">
        <f>[1]Sheet1!Y118</f>
        <v>0.19385810000000003</v>
      </c>
      <c r="P130">
        <f>[1]Sheet1!Z118</f>
        <v>0.17711279999999999</v>
      </c>
      <c r="Q130">
        <f>[1]Sheet1!AA118</f>
        <v>0.14144370000000001</v>
      </c>
      <c r="R130">
        <f>[1]Sheet1!AB118</f>
        <v>0.1159775</v>
      </c>
      <c r="S130">
        <f>[1]Sheet1!AC118</f>
        <v>7.8577800000000003E-2</v>
      </c>
      <c r="T130">
        <f>[1]Sheet1!AD118</f>
        <v>5.1833829999999997E-2</v>
      </c>
      <c r="U130">
        <f>[1]Sheet1!AE118</f>
        <v>3.0907649999999998E-2</v>
      </c>
      <c r="V130">
        <f>[1]Sheet1!AF118</f>
        <v>1.6696759999999998E-2</v>
      </c>
      <c r="W130">
        <f>[1]Sheet1!AG118</f>
        <v>1.0186550000000001E-2</v>
      </c>
      <c r="X130">
        <f>[1]Sheet1!AH118</f>
        <v>4.0666000000000001E-3</v>
      </c>
      <c r="Y130">
        <f>[1]Sheet1!AI118</f>
        <v>1.6545880000000002E-3</v>
      </c>
      <c r="Z130">
        <f>[1]Sheet1!AJ118</f>
        <v>8.0203900000000005E-4</v>
      </c>
      <c r="AA130" t="s">
        <v>99</v>
      </c>
      <c r="AB130">
        <v>2000</v>
      </c>
      <c r="AC130">
        <v>22</v>
      </c>
      <c r="AD130">
        <v>1.000000287</v>
      </c>
      <c r="AE130">
        <v>200868</v>
      </c>
    </row>
    <row r="131" spans="1:31" x14ac:dyDescent="0.2">
      <c r="A131" s="3">
        <v>2001</v>
      </c>
      <c r="B131">
        <f>[1]Sheet1!L119</f>
        <v>1.9380000000000001E-5</v>
      </c>
      <c r="C131">
        <f>[1]Sheet1!M119</f>
        <v>0</v>
      </c>
      <c r="D131">
        <f>[1]Sheet1!N119</f>
        <v>1.205E-4</v>
      </c>
      <c r="E131">
        <f>[1]Sheet1!O119</f>
        <v>5.3219500000000006E-4</v>
      </c>
      <c r="F131">
        <f>[1]Sheet1!P119</f>
        <v>1.2059000000000001E-4</v>
      </c>
      <c r="G131">
        <f>[1]Sheet1!Q119</f>
        <v>1.2420080000000002E-3</v>
      </c>
      <c r="H131">
        <f>[1]Sheet1!R119</f>
        <v>6.3821600000000004E-4</v>
      </c>
      <c r="I131">
        <f>[1]Sheet1!S119</f>
        <v>2.4769900000000001E-3</v>
      </c>
      <c r="J131">
        <f>[1]Sheet1!T119</f>
        <v>3.9823899999999997E-3</v>
      </c>
      <c r="K131">
        <f>[1]Sheet1!U119</f>
        <v>6.5532899999999998E-3</v>
      </c>
      <c r="L131">
        <f>[1]Sheet1!V119</f>
        <v>1.1625170000000001E-2</v>
      </c>
      <c r="M131">
        <f>[1]Sheet1!W119</f>
        <v>1.9495020000000002E-2</v>
      </c>
      <c r="N131">
        <f>[1]Sheet1!X119</f>
        <v>6.853012E-2</v>
      </c>
      <c r="O131">
        <f>[1]Sheet1!Y119</f>
        <v>0.1249653</v>
      </c>
      <c r="P131">
        <f>[1]Sheet1!Z119</f>
        <v>0.17894969999999999</v>
      </c>
      <c r="Q131">
        <f>[1]Sheet1!AA119</f>
        <v>0.20603469999999999</v>
      </c>
      <c r="R131">
        <f>[1]Sheet1!AB119</f>
        <v>0.1705303</v>
      </c>
      <c r="S131">
        <f>[1]Sheet1!AC119</f>
        <v>9.87426E-2</v>
      </c>
      <c r="T131">
        <f>[1]Sheet1!AD119</f>
        <v>4.943583E-2</v>
      </c>
      <c r="U131">
        <f>[1]Sheet1!AE119</f>
        <v>2.7512080000000001E-2</v>
      </c>
      <c r="V131">
        <f>[1]Sheet1!AF119</f>
        <v>1.437134E-2</v>
      </c>
      <c r="W131">
        <f>[1]Sheet1!AG119</f>
        <v>7.8628399999999994E-3</v>
      </c>
      <c r="X131">
        <f>[1]Sheet1!AH119</f>
        <v>3.6418449999999999E-3</v>
      </c>
      <c r="Y131">
        <f>[1]Sheet1!AI119</f>
        <v>2.0413159999999996E-3</v>
      </c>
      <c r="Z131">
        <f>[1]Sheet1!AJ119</f>
        <v>5.7608699999999997E-4</v>
      </c>
      <c r="AA131" t="s">
        <v>99</v>
      </c>
      <c r="AB131">
        <v>2001</v>
      </c>
      <c r="AC131">
        <v>23</v>
      </c>
      <c r="AD131">
        <v>0.99993289799999996</v>
      </c>
      <c r="AE131">
        <v>211995</v>
      </c>
    </row>
    <row r="132" spans="1:31" x14ac:dyDescent="0.2">
      <c r="A132" s="3">
        <v>2002</v>
      </c>
      <c r="B132">
        <f>[1]Sheet1!L120</f>
        <v>3.6699999999999998E-5</v>
      </c>
      <c r="C132">
        <f>[1]Sheet1!M120</f>
        <v>1.3729999999999999E-5</v>
      </c>
      <c r="D132">
        <f>[1]Sheet1!N120</f>
        <v>2.9269999999999999E-5</v>
      </c>
      <c r="E132">
        <f>[1]Sheet1!O120</f>
        <v>2.6540199999999998E-4</v>
      </c>
      <c r="F132">
        <f>[1]Sheet1!P120</f>
        <v>3.3486200000000001E-4</v>
      </c>
      <c r="G132">
        <f>[1]Sheet1!Q120</f>
        <v>5.5450399999999993E-4</v>
      </c>
      <c r="H132">
        <f>[1]Sheet1!R120</f>
        <v>3.1369670000000001E-3</v>
      </c>
      <c r="I132">
        <f>[1]Sheet1!S120</f>
        <v>1.0879150000000001E-2</v>
      </c>
      <c r="J132">
        <f>[1]Sheet1!T120</f>
        <v>1.5491619999999999E-2</v>
      </c>
      <c r="K132">
        <f>[1]Sheet1!U120</f>
        <v>1.788855E-2</v>
      </c>
      <c r="L132">
        <f>[1]Sheet1!V120</f>
        <v>2.5308990000000003E-2</v>
      </c>
      <c r="M132">
        <f>[1]Sheet1!W120</f>
        <v>3.8785800000000002E-2</v>
      </c>
      <c r="N132">
        <f>[1]Sheet1!X120</f>
        <v>9.1763200000000003E-2</v>
      </c>
      <c r="O132">
        <f>[1]Sheet1!Y120</f>
        <v>0.120757</v>
      </c>
      <c r="P132">
        <f>[1]Sheet1!Z120</f>
        <v>0.15483059999999998</v>
      </c>
      <c r="Q132">
        <f>[1]Sheet1!AA120</f>
        <v>0.1756279</v>
      </c>
      <c r="R132">
        <f>[1]Sheet1!AB120</f>
        <v>0.15705340000000001</v>
      </c>
      <c r="S132">
        <f>[1]Sheet1!AC120</f>
        <v>9.8950499999999997E-2</v>
      </c>
      <c r="T132">
        <f>[1]Sheet1!AD120</f>
        <v>4.7925159999999994E-2</v>
      </c>
      <c r="U132">
        <f>[1]Sheet1!AE120</f>
        <v>2.1840640000000001E-2</v>
      </c>
      <c r="V132">
        <f>[1]Sheet1!AF120</f>
        <v>1.0052159999999999E-2</v>
      </c>
      <c r="W132">
        <f>[1]Sheet1!AG120</f>
        <v>4.7775379999999996E-3</v>
      </c>
      <c r="X132">
        <f>[1]Sheet1!AH120</f>
        <v>2.2053259999999996E-3</v>
      </c>
      <c r="Y132">
        <f>[1]Sheet1!AI120</f>
        <v>1.0113680000000001E-3</v>
      </c>
      <c r="Z132">
        <f>[1]Sheet1!AJ120</f>
        <v>4.7939499999999997E-4</v>
      </c>
      <c r="AA132" t="s">
        <v>99</v>
      </c>
      <c r="AB132">
        <v>2002</v>
      </c>
      <c r="AC132">
        <v>24</v>
      </c>
      <c r="AD132">
        <v>0.99997420199999998</v>
      </c>
      <c r="AE132">
        <v>232141</v>
      </c>
    </row>
    <row r="133" spans="1:31" x14ac:dyDescent="0.2">
      <c r="A133" s="3">
        <v>2003</v>
      </c>
      <c r="B133">
        <f>[1]Sheet1!L121</f>
        <v>4.2349999999999999E-5</v>
      </c>
      <c r="C133">
        <f>[1]Sheet1!M121</f>
        <v>2.6400000000000001E-5</v>
      </c>
      <c r="D133">
        <f>[1]Sheet1!N121</f>
        <v>2.5599999999999999E-5</v>
      </c>
      <c r="E133">
        <f>[1]Sheet1!O121</f>
        <v>6.7479999999999998E-5</v>
      </c>
      <c r="F133">
        <f>[1]Sheet1!P121</f>
        <v>2.6840000000000001E-5</v>
      </c>
      <c r="G133">
        <f>[1]Sheet1!Q121</f>
        <v>6.0940000000000003E-5</v>
      </c>
      <c r="H133">
        <f>[1]Sheet1!R121</f>
        <v>3.13109E-4</v>
      </c>
      <c r="I133">
        <f>[1]Sheet1!S121</f>
        <v>2.2763009999999997E-3</v>
      </c>
      <c r="J133">
        <f>[1]Sheet1!T121</f>
        <v>5.3439799999999999E-3</v>
      </c>
      <c r="K133">
        <f>[1]Sheet1!U121</f>
        <v>8.3422299999999991E-3</v>
      </c>
      <c r="L133">
        <f>[1]Sheet1!V121</f>
        <v>1.662247E-2</v>
      </c>
      <c r="M133">
        <f>[1]Sheet1!W121</f>
        <v>3.3855960000000004E-2</v>
      </c>
      <c r="N133">
        <f>[1]Sheet1!X121</f>
        <v>9.4251299999999996E-2</v>
      </c>
      <c r="O133">
        <f>[1]Sheet1!Y121</f>
        <v>0.1430778</v>
      </c>
      <c r="P133">
        <f>[1]Sheet1!Z121</f>
        <v>0.1576536</v>
      </c>
      <c r="Q133">
        <f>[1]Sheet1!AA121</f>
        <v>0.1562781</v>
      </c>
      <c r="R133">
        <f>[1]Sheet1!AB121</f>
        <v>0.14767469999999999</v>
      </c>
      <c r="S133">
        <f>[1]Sheet1!AC121</f>
        <v>0.10866900000000002</v>
      </c>
      <c r="T133">
        <f>[1]Sheet1!AD121</f>
        <v>6.5929299999999996E-2</v>
      </c>
      <c r="U133">
        <f>[1]Sheet1!AE121</f>
        <v>3.4162729999999995E-2</v>
      </c>
      <c r="V133">
        <f>[1]Sheet1!AF121</f>
        <v>1.5096759999999999E-2</v>
      </c>
      <c r="W133">
        <f>[1]Sheet1!AG121</f>
        <v>6.5343780000000004E-3</v>
      </c>
      <c r="X133">
        <f>[1]Sheet1!AH121</f>
        <v>2.4167530000000002E-3</v>
      </c>
      <c r="Y133">
        <f>[1]Sheet1!AI121</f>
        <v>9.6080499999999991E-4</v>
      </c>
      <c r="Z133">
        <f>[1]Sheet1!AJ121</f>
        <v>2.9110799999999988E-4</v>
      </c>
      <c r="AA133" t="s">
        <v>99</v>
      </c>
      <c r="AB133">
        <v>2003</v>
      </c>
      <c r="AC133">
        <v>25</v>
      </c>
      <c r="AD133">
        <v>0.99998042700000001</v>
      </c>
      <c r="AE133">
        <v>289554</v>
      </c>
    </row>
    <row r="134" spans="1:31" x14ac:dyDescent="0.2">
      <c r="A134" s="3">
        <v>2004</v>
      </c>
      <c r="B134">
        <f>[1]Sheet1!L122</f>
        <v>8.8509999999999988E-6</v>
      </c>
      <c r="C134">
        <f>[1]Sheet1!M122</f>
        <v>4.7199999999999995E-5</v>
      </c>
      <c r="D134">
        <f>[1]Sheet1!N122</f>
        <v>3.96E-5</v>
      </c>
      <c r="E134">
        <f>[1]Sheet1!O122</f>
        <v>1.738E-4</v>
      </c>
      <c r="F134">
        <f>[1]Sheet1!P122</f>
        <v>1.1129999999999999E-4</v>
      </c>
      <c r="G134">
        <f>[1]Sheet1!Q122</f>
        <v>5.7793699999999994E-4</v>
      </c>
      <c r="H134">
        <f>[1]Sheet1!R122</f>
        <v>2.3142700000000002E-3</v>
      </c>
      <c r="I134">
        <f>[1]Sheet1!S122</f>
        <v>4.6240099999999996E-3</v>
      </c>
      <c r="J134">
        <f>[1]Sheet1!T122</f>
        <v>8.4007500000000002E-3</v>
      </c>
      <c r="K134">
        <f>[1]Sheet1!U122</f>
        <v>8.3400499999999999E-3</v>
      </c>
      <c r="L134">
        <f>[1]Sheet1!V122</f>
        <v>1.069035E-2</v>
      </c>
      <c r="M134">
        <f>[1]Sheet1!W122</f>
        <v>1.75605E-2</v>
      </c>
      <c r="N134">
        <f>[1]Sheet1!X122</f>
        <v>7.2219900000000004E-2</v>
      </c>
      <c r="O134">
        <f>[1]Sheet1!Y122</f>
        <v>0.12960439999999998</v>
      </c>
      <c r="P134">
        <f>[1]Sheet1!Z122</f>
        <v>0.18137939999999997</v>
      </c>
      <c r="Q134">
        <f>[1]Sheet1!AA122</f>
        <v>0.19366240000000001</v>
      </c>
      <c r="R134">
        <f>[1]Sheet1!AB122</f>
        <v>0.15325360000000002</v>
      </c>
      <c r="S134">
        <f>[1]Sheet1!AC122</f>
        <v>9.3414300000000006E-2</v>
      </c>
      <c r="T134">
        <f>[1]Sheet1!AD122</f>
        <v>5.5355639999999998E-2</v>
      </c>
      <c r="U134">
        <f>[1]Sheet1!AE122</f>
        <v>3.3009510000000006E-2</v>
      </c>
      <c r="V134">
        <f>[1]Sheet1!AF122</f>
        <v>1.8714830000000002E-2</v>
      </c>
      <c r="W134">
        <f>[1]Sheet1!AG122</f>
        <v>9.47455E-3</v>
      </c>
      <c r="X134">
        <f>[1]Sheet1!AH122</f>
        <v>4.6681309999999998E-3</v>
      </c>
      <c r="Y134">
        <f>[1]Sheet1!AI122</f>
        <v>1.7965140000000001E-3</v>
      </c>
      <c r="Z134">
        <f>[1]Sheet1!AJ122</f>
        <v>5.5828699999999987E-4</v>
      </c>
      <c r="AA134" t="s">
        <v>99</v>
      </c>
      <c r="AB134">
        <v>2004</v>
      </c>
      <c r="AC134">
        <v>26</v>
      </c>
      <c r="AD134">
        <v>0.99996990200000002</v>
      </c>
      <c r="AE134">
        <v>235106</v>
      </c>
    </row>
    <row r="135" spans="1:31" x14ac:dyDescent="0.2">
      <c r="A135" s="3">
        <v>2005</v>
      </c>
      <c r="B135">
        <f>[1]Sheet1!L123</f>
        <v>1.9285999999999998E-5</v>
      </c>
      <c r="C135">
        <f>[1]Sheet1!M123</f>
        <v>0</v>
      </c>
      <c r="D135">
        <f>[1]Sheet1!N123</f>
        <v>3.1560000000000003E-5</v>
      </c>
      <c r="E135">
        <f>[1]Sheet1!O123</f>
        <v>8.0690000000000002E-5</v>
      </c>
      <c r="F135">
        <f>[1]Sheet1!P123</f>
        <v>2.8668299999999998E-4</v>
      </c>
      <c r="G135">
        <f>[1]Sheet1!Q123</f>
        <v>3.09907E-4</v>
      </c>
      <c r="H135">
        <f>[1]Sheet1!R123</f>
        <v>8.719E-4</v>
      </c>
      <c r="I135">
        <f>[1]Sheet1!S123</f>
        <v>3.2494960000000002E-3</v>
      </c>
      <c r="J135">
        <f>[1]Sheet1!T123</f>
        <v>7.0659299999999998E-3</v>
      </c>
      <c r="K135">
        <f>[1]Sheet1!U123</f>
        <v>8.8124099999999997E-3</v>
      </c>
      <c r="L135">
        <f>[1]Sheet1!V123</f>
        <v>1.1466529999999999E-2</v>
      </c>
      <c r="M135">
        <f>[1]Sheet1!W123</f>
        <v>1.9917219999999999E-2</v>
      </c>
      <c r="N135">
        <f>[1]Sheet1!X123</f>
        <v>6.2267290000000003E-2</v>
      </c>
      <c r="O135">
        <f>[1]Sheet1!Y123</f>
        <v>0.10001769999999999</v>
      </c>
      <c r="P135">
        <f>[1]Sheet1!Z123</f>
        <v>0.13967859999999999</v>
      </c>
      <c r="Q135">
        <f>[1]Sheet1!AA123</f>
        <v>0.17420670000000002</v>
      </c>
      <c r="R135">
        <f>[1]Sheet1!AB123</f>
        <v>0.18110029999999999</v>
      </c>
      <c r="S135">
        <f>[1]Sheet1!AC123</f>
        <v>0.12833739999999999</v>
      </c>
      <c r="T135">
        <f>[1]Sheet1!AD123</f>
        <v>7.5159900000000002E-2</v>
      </c>
      <c r="U135">
        <f>[1]Sheet1!AE123</f>
        <v>4.2905470000000001E-2</v>
      </c>
      <c r="V135">
        <f>[1]Sheet1!AF123</f>
        <v>2.4586580000000004E-2</v>
      </c>
      <c r="W135">
        <f>[1]Sheet1!AG123</f>
        <v>1.2170479999999999E-2</v>
      </c>
      <c r="X135">
        <f>[1]Sheet1!AH123</f>
        <v>5.3596690000000009E-3</v>
      </c>
      <c r="Y135">
        <f>[1]Sheet1!AI123</f>
        <v>1.657461E-3</v>
      </c>
      <c r="Z135">
        <f>[1]Sheet1!AJ123</f>
        <v>4.4065600000000004E-4</v>
      </c>
      <c r="AA135" t="s">
        <v>99</v>
      </c>
      <c r="AB135">
        <v>2005</v>
      </c>
      <c r="AC135">
        <v>27</v>
      </c>
      <c r="AD135">
        <v>0.99995959400000001</v>
      </c>
      <c r="AE135">
        <v>230240</v>
      </c>
    </row>
    <row r="136" spans="1:31" x14ac:dyDescent="0.2">
      <c r="A136" s="3">
        <v>2006</v>
      </c>
      <c r="B136">
        <f>[1]Sheet1!L124</f>
        <v>2.3089999999999997E-5</v>
      </c>
      <c r="C136">
        <f>[1]Sheet1!M124</f>
        <v>0</v>
      </c>
      <c r="D136">
        <f>[1]Sheet1!N124</f>
        <v>1.7519999999999998E-5</v>
      </c>
      <c r="E136">
        <f>[1]Sheet1!O124</f>
        <v>4.0299999999999997E-5</v>
      </c>
      <c r="F136">
        <f>[1]Sheet1!P124</f>
        <v>5.1939999999999994E-5</v>
      </c>
      <c r="G136">
        <f>[1]Sheet1!Q124</f>
        <v>3.4199999999999998E-5</v>
      </c>
      <c r="H136">
        <f>[1]Sheet1!R124</f>
        <v>3.3799000000000004E-4</v>
      </c>
      <c r="I136">
        <f>[1]Sheet1!S124</f>
        <v>2.5408679999999999E-3</v>
      </c>
      <c r="J136">
        <f>[1]Sheet1!T124</f>
        <v>5.7295100000000002E-3</v>
      </c>
      <c r="K136">
        <f>[1]Sheet1!U124</f>
        <v>1.049832E-2</v>
      </c>
      <c r="L136">
        <f>[1]Sheet1!V124</f>
        <v>1.2898690000000001E-2</v>
      </c>
      <c r="M136">
        <f>[1]Sheet1!W124</f>
        <v>1.497538E-2</v>
      </c>
      <c r="N136">
        <f>[1]Sheet1!X124</f>
        <v>6.3993099999999997E-2</v>
      </c>
      <c r="O136">
        <f>[1]Sheet1!Y124</f>
        <v>0.1158136</v>
      </c>
      <c r="P136">
        <f>[1]Sheet1!Z124</f>
        <v>0.14289930000000001</v>
      </c>
      <c r="Q136">
        <f>[1]Sheet1!AA124</f>
        <v>0.14485810000000002</v>
      </c>
      <c r="R136">
        <f>[1]Sheet1!AB124</f>
        <v>0.14506089999999999</v>
      </c>
      <c r="S136">
        <f>[1]Sheet1!AC124</f>
        <v>0.1222432</v>
      </c>
      <c r="T136">
        <f>[1]Sheet1!AD124</f>
        <v>8.96097E-2</v>
      </c>
      <c r="U136">
        <f>[1]Sheet1!AE124</f>
        <v>6.0568950000000003E-2</v>
      </c>
      <c r="V136">
        <f>[1]Sheet1!AF124</f>
        <v>3.7199740000000002E-2</v>
      </c>
      <c r="W136">
        <f>[1]Sheet1!AG124</f>
        <v>1.7704360000000002E-2</v>
      </c>
      <c r="X136">
        <f>[1]Sheet1!AH124</f>
        <v>8.6772499999999992E-3</v>
      </c>
      <c r="Y136">
        <f>[1]Sheet1!AI124</f>
        <v>3.0407800000000003E-3</v>
      </c>
      <c r="Z136">
        <f>[1]Sheet1!AJ124</f>
        <v>1.1834619999999999E-3</v>
      </c>
      <c r="AA136" t="s">
        <v>99</v>
      </c>
      <c r="AB136">
        <v>2006</v>
      </c>
      <c r="AC136">
        <v>28</v>
      </c>
      <c r="AD136">
        <v>0.99999235900000005</v>
      </c>
      <c r="AE136">
        <v>181719</v>
      </c>
    </row>
    <row r="137" spans="1:31" x14ac:dyDescent="0.2">
      <c r="A137" s="3">
        <v>2007</v>
      </c>
      <c r="B137">
        <f>[1]Sheet1!L125</f>
        <v>2.743E-5</v>
      </c>
      <c r="C137">
        <f>[1]Sheet1!M125</f>
        <v>1.3220000000000001E-4</v>
      </c>
      <c r="D137">
        <f>[1]Sheet1!N125</f>
        <v>1.2418600000000001E-4</v>
      </c>
      <c r="E137">
        <f>[1]Sheet1!O125</f>
        <v>2.9247400000000003E-4</v>
      </c>
      <c r="F137">
        <f>[1]Sheet1!P125</f>
        <v>2.9511800000000003E-4</v>
      </c>
      <c r="G137">
        <f>[1]Sheet1!Q125</f>
        <v>1.9231820000000001E-3</v>
      </c>
      <c r="H137">
        <f>[1]Sheet1!R125</f>
        <v>2.2234260000000001E-3</v>
      </c>
      <c r="I137">
        <f>[1]Sheet1!S125</f>
        <v>5.5922699999999999E-3</v>
      </c>
      <c r="J137">
        <f>[1]Sheet1!T125</f>
        <v>1.2928179999999999E-2</v>
      </c>
      <c r="K137">
        <f>[1]Sheet1!U125</f>
        <v>2.1390849999999999E-2</v>
      </c>
      <c r="L137">
        <f>[1]Sheet1!V125</f>
        <v>1.8459250000000003E-2</v>
      </c>
      <c r="M137">
        <f>[1]Sheet1!W125</f>
        <v>2.410035E-2</v>
      </c>
      <c r="N137">
        <f>[1]Sheet1!X125</f>
        <v>5.8988659999999998E-2</v>
      </c>
      <c r="O137">
        <f>[1]Sheet1!Y125</f>
        <v>0.10175200000000001</v>
      </c>
      <c r="P137">
        <f>[1]Sheet1!Z125</f>
        <v>0.14989959999999999</v>
      </c>
      <c r="Q137">
        <f>[1]Sheet1!AA125</f>
        <v>0.1666456</v>
      </c>
      <c r="R137">
        <f>[1]Sheet1!AB125</f>
        <v>0.14129050000000001</v>
      </c>
      <c r="S137">
        <f>[1]Sheet1!AC125</f>
        <v>9.8535700000000004E-2</v>
      </c>
      <c r="T137">
        <f>[1]Sheet1!AD125</f>
        <v>7.1015099999999998E-2</v>
      </c>
      <c r="U137">
        <f>[1]Sheet1!AE125</f>
        <v>5.2820400000000003E-2</v>
      </c>
      <c r="V137">
        <f>[1]Sheet1!AF125</f>
        <v>3.564465E-2</v>
      </c>
      <c r="W137">
        <f>[1]Sheet1!AG125</f>
        <v>2.0471349999999999E-2</v>
      </c>
      <c r="X137">
        <f>[1]Sheet1!AH125</f>
        <v>1.0278789999999999E-2</v>
      </c>
      <c r="Y137">
        <f>[1]Sheet1!AI125</f>
        <v>3.7132929999999999E-3</v>
      </c>
      <c r="Z137">
        <f>[1]Sheet1!AJ125</f>
        <v>1.4552899999999997E-3</v>
      </c>
      <c r="AA137" t="s">
        <v>99</v>
      </c>
      <c r="AB137">
        <v>2007</v>
      </c>
      <c r="AC137">
        <v>29</v>
      </c>
      <c r="AD137">
        <v>0.99998108799999996</v>
      </c>
      <c r="AE137">
        <v>141530</v>
      </c>
    </row>
    <row r="138" spans="1:31" x14ac:dyDescent="0.2">
      <c r="A138" s="3">
        <v>2008</v>
      </c>
      <c r="B138">
        <f>[1]Sheet1!L126</f>
        <v>3.1693800000000001E-4</v>
      </c>
      <c r="C138">
        <f>[1]Sheet1!M126</f>
        <v>0</v>
      </c>
      <c r="D138">
        <f>[1]Sheet1!N126</f>
        <v>6.5872099999999992E-4</v>
      </c>
      <c r="E138">
        <f>[1]Sheet1!O126</f>
        <v>1.3269000000000001E-4</v>
      </c>
      <c r="F138">
        <f>[1]Sheet1!P126</f>
        <v>1.0838599999999999E-3</v>
      </c>
      <c r="G138">
        <f>[1]Sheet1!Q126</f>
        <v>6.5019190000000001E-3</v>
      </c>
      <c r="H138">
        <f>[1]Sheet1!R126</f>
        <v>7.7017899999999992E-3</v>
      </c>
      <c r="I138">
        <f>[1]Sheet1!S126</f>
        <v>1.417086E-2</v>
      </c>
      <c r="J138">
        <f>[1]Sheet1!T126</f>
        <v>3.1791819999999998E-2</v>
      </c>
      <c r="K138">
        <f>[1]Sheet1!U126</f>
        <v>4.7105300000000003E-2</v>
      </c>
      <c r="L138">
        <f>[1]Sheet1!V126</f>
        <v>3.8465399999999997E-2</v>
      </c>
      <c r="M138">
        <f>[1]Sheet1!W126</f>
        <v>2.7635380000000001E-2</v>
      </c>
      <c r="N138">
        <f>[1]Sheet1!X126</f>
        <v>6.2373480000000002E-2</v>
      </c>
      <c r="O138">
        <f>[1]Sheet1!Y126</f>
        <v>0.10340129999999989</v>
      </c>
      <c r="P138">
        <f>[1]Sheet1!Z126</f>
        <v>0.1336803</v>
      </c>
      <c r="Q138">
        <f>[1]Sheet1!AA126</f>
        <v>0.1465486</v>
      </c>
      <c r="R138">
        <f>[1]Sheet1!AB126</f>
        <v>0.14271790000000001</v>
      </c>
      <c r="S138">
        <f>[1]Sheet1!AC126</f>
        <v>9.4229500000000008E-2</v>
      </c>
      <c r="T138">
        <f>[1]Sheet1!AD126</f>
        <v>5.5108520000000001E-2</v>
      </c>
      <c r="U138">
        <f>[1]Sheet1!AE126</f>
        <v>3.291765E-2</v>
      </c>
      <c r="V138">
        <f>[1]Sheet1!AF126</f>
        <v>2.346028E-2</v>
      </c>
      <c r="W138">
        <f>[1]Sheet1!AG126</f>
        <v>1.619518E-2</v>
      </c>
      <c r="X138">
        <f>[1]Sheet1!AH126</f>
        <v>9.0368600000000007E-3</v>
      </c>
      <c r="Y138">
        <f>[1]Sheet1!AI126</f>
        <v>3.8202589999999999E-3</v>
      </c>
      <c r="Z138">
        <f>[1]Sheet1!AJ126</f>
        <v>9.4528200000000009E-4</v>
      </c>
      <c r="AA138" t="s">
        <v>99</v>
      </c>
      <c r="AB138">
        <v>2008</v>
      </c>
      <c r="AC138">
        <v>30</v>
      </c>
      <c r="AD138">
        <v>0.99997716000000003</v>
      </c>
      <c r="AE138">
        <v>168001</v>
      </c>
    </row>
    <row r="139" spans="1:31" x14ac:dyDescent="0.2">
      <c r="A139" s="3">
        <v>2009</v>
      </c>
      <c r="B139">
        <f>[1]Sheet1!L127</f>
        <v>0</v>
      </c>
      <c r="C139">
        <f>[1]Sheet1!M127</f>
        <v>0</v>
      </c>
      <c r="D139">
        <f>[1]Sheet1!N127</f>
        <v>8.0699999999999996E-5</v>
      </c>
      <c r="E139">
        <f>[1]Sheet1!O127</f>
        <v>6.5300000000000002E-5</v>
      </c>
      <c r="F139">
        <f>[1]Sheet1!P127</f>
        <v>9.4199999999999996E-6</v>
      </c>
      <c r="G139">
        <f>[1]Sheet1!Q127</f>
        <v>4.2536000000000006E-4</v>
      </c>
      <c r="H139">
        <f>[1]Sheet1!R127</f>
        <v>2.1944310000000002E-3</v>
      </c>
      <c r="I139">
        <f>[1]Sheet1!S127</f>
        <v>4.8576130000000002E-3</v>
      </c>
      <c r="J139">
        <f>[1]Sheet1!T127</f>
        <v>7.5772100000000009E-3</v>
      </c>
      <c r="K139">
        <f>[1]Sheet1!U127</f>
        <v>1.39703E-2</v>
      </c>
      <c r="L139">
        <f>[1]Sheet1!V127</f>
        <v>3.7499809999999995E-2</v>
      </c>
      <c r="M139">
        <f>[1]Sheet1!W127</f>
        <v>6.5014699999999995E-2</v>
      </c>
      <c r="N139">
        <f>[1]Sheet1!X127</f>
        <v>0.1675758</v>
      </c>
      <c r="O139">
        <f>[1]Sheet1!Y127</f>
        <v>0.17578929999999998</v>
      </c>
      <c r="P139">
        <f>[1]Sheet1!Z127</f>
        <v>0.1191921</v>
      </c>
      <c r="Q139">
        <f>[1]Sheet1!AA127</f>
        <v>0.1195319</v>
      </c>
      <c r="R139">
        <f>[1]Sheet1!AB127</f>
        <v>0.11579419999999999</v>
      </c>
      <c r="S139">
        <f>[1]Sheet1!AC127</f>
        <v>8.1984100000000004E-2</v>
      </c>
      <c r="T139">
        <f>[1]Sheet1!AD127</f>
        <v>4.2519759999999997E-2</v>
      </c>
      <c r="U139">
        <f>[1]Sheet1!AE127</f>
        <v>2.1543680000000003E-2</v>
      </c>
      <c r="V139">
        <f>[1]Sheet1!AF127</f>
        <v>1.1503550000000001E-2</v>
      </c>
      <c r="W139">
        <f>[1]Sheet1!AG127</f>
        <v>6.6042699999999998E-3</v>
      </c>
      <c r="X139">
        <f>[1]Sheet1!AH127</f>
        <v>3.8451790000000002E-3</v>
      </c>
      <c r="Y139">
        <f>[1]Sheet1!AI127</f>
        <v>1.8044000000000001E-3</v>
      </c>
      <c r="Z139">
        <f>[1]Sheet1!AJ127</f>
        <v>6.1698000000000005E-4</v>
      </c>
      <c r="AA139" t="s">
        <v>99</v>
      </c>
      <c r="AB139">
        <v>2009</v>
      </c>
      <c r="AC139">
        <v>31</v>
      </c>
      <c r="AD139">
        <v>0.99997775899999997</v>
      </c>
      <c r="AE139">
        <v>148728</v>
      </c>
    </row>
    <row r="140" spans="1:31" x14ac:dyDescent="0.2">
      <c r="A140" s="3">
        <v>2010</v>
      </c>
      <c r="B140">
        <f>[1]Sheet1!L128</f>
        <v>0</v>
      </c>
      <c r="C140">
        <f>[1]Sheet1!M128</f>
        <v>0</v>
      </c>
      <c r="D140">
        <f>[1]Sheet1!N128</f>
        <v>0</v>
      </c>
      <c r="E140">
        <f>[1]Sheet1!O128</f>
        <v>7.6000000000000004E-5</v>
      </c>
      <c r="F140">
        <f>[1]Sheet1!P128</f>
        <v>8.6199999999999995E-5</v>
      </c>
      <c r="G140">
        <f>[1]Sheet1!Q128</f>
        <v>1.2248159999999999E-2</v>
      </c>
      <c r="H140">
        <f>[1]Sheet1!R128</f>
        <v>1.2346350000000001E-2</v>
      </c>
      <c r="I140">
        <f>[1]Sheet1!S128</f>
        <v>5.5464399999999997E-3</v>
      </c>
      <c r="J140">
        <f>[1]Sheet1!T128</f>
        <v>1.0868539999999999E-2</v>
      </c>
      <c r="K140">
        <f>[1]Sheet1!U128</f>
        <v>2.6917240000000002E-2</v>
      </c>
      <c r="L140">
        <f>[1]Sheet1!V128</f>
        <v>3.61036E-2</v>
      </c>
      <c r="M140">
        <f>[1]Sheet1!W128</f>
        <v>3.4344800000000002E-2</v>
      </c>
      <c r="N140">
        <f>[1]Sheet1!X128</f>
        <v>8.7315199999999996E-2</v>
      </c>
      <c r="O140">
        <f>[1]Sheet1!Y128</f>
        <v>0.1549722</v>
      </c>
      <c r="P140">
        <f>[1]Sheet1!Z128</f>
        <v>0.1880097</v>
      </c>
      <c r="Q140">
        <f>[1]Sheet1!AA128</f>
        <v>0.17785210000000001</v>
      </c>
      <c r="R140">
        <f>[1]Sheet1!AB128</f>
        <v>0.11946299999999999</v>
      </c>
      <c r="S140">
        <f>[1]Sheet1!AC128</f>
        <v>6.803809999999999E-2</v>
      </c>
      <c r="T140">
        <f>[1]Sheet1!AD128</f>
        <v>3.5261859999999992E-2</v>
      </c>
      <c r="U140">
        <f>[1]Sheet1!AE128</f>
        <v>1.7482009999999999E-2</v>
      </c>
      <c r="V140">
        <f>[1]Sheet1!AF128</f>
        <v>7.1438489999999999E-3</v>
      </c>
      <c r="W140">
        <f>[1]Sheet1!AG128</f>
        <v>2.9295359999999999E-3</v>
      </c>
      <c r="X140">
        <f>[1]Sheet1!AH128</f>
        <v>1.6476479999999998E-3</v>
      </c>
      <c r="Y140">
        <f>[1]Sheet1!AI128</f>
        <v>9.5241500000000008E-4</v>
      </c>
      <c r="Z140">
        <f>[1]Sheet1!AJ128</f>
        <v>3.9513099999999995E-4</v>
      </c>
      <c r="AA140" t="s">
        <v>99</v>
      </c>
      <c r="AB140">
        <v>2010</v>
      </c>
      <c r="AC140">
        <v>32</v>
      </c>
      <c r="AD140">
        <v>0.99998908900000005</v>
      </c>
      <c r="AE140">
        <v>131119</v>
      </c>
    </row>
    <row r="141" spans="1:31" x14ac:dyDescent="0.2">
      <c r="A141" s="3">
        <v>2011</v>
      </c>
      <c r="B141">
        <f>[1]Sheet1!L129</f>
        <v>3.5599999999999998E-6</v>
      </c>
      <c r="C141">
        <f>[1]Sheet1!M129</f>
        <v>0</v>
      </c>
      <c r="D141">
        <f>[1]Sheet1!N129</f>
        <v>0</v>
      </c>
      <c r="E141">
        <f>[1]Sheet1!O129</f>
        <v>0</v>
      </c>
      <c r="F141">
        <f>[1]Sheet1!P129</f>
        <v>7.1390000000000006E-5</v>
      </c>
      <c r="G141">
        <f>[1]Sheet1!Q129</f>
        <v>6.7924400000000007E-4</v>
      </c>
      <c r="H141">
        <f>[1]Sheet1!R129</f>
        <v>2.9541799999999998E-3</v>
      </c>
      <c r="I141">
        <f>[1]Sheet1!S129</f>
        <v>3.4135279999999999E-3</v>
      </c>
      <c r="J141">
        <f>[1]Sheet1!T129</f>
        <v>3.148601E-3</v>
      </c>
      <c r="K141">
        <f>[1]Sheet1!U129</f>
        <v>1.2540920000000001E-2</v>
      </c>
      <c r="L141">
        <f>[1]Sheet1!V129</f>
        <v>3.0268719999999999E-2</v>
      </c>
      <c r="M141">
        <f>[1]Sheet1!W129</f>
        <v>5.6285799999999997E-2</v>
      </c>
      <c r="N141">
        <f>[1]Sheet1!X129</f>
        <v>0.16336239999999999</v>
      </c>
      <c r="O141">
        <f>[1]Sheet1!Y129</f>
        <v>0.13529840000000001</v>
      </c>
      <c r="P141">
        <f>[1]Sheet1!Z129</f>
        <v>0.13710709999999998</v>
      </c>
      <c r="Q141">
        <f>[1]Sheet1!AA129</f>
        <v>0.18023260000000002</v>
      </c>
      <c r="R141">
        <f>[1]Sheet1!AB129</f>
        <v>0.1475215</v>
      </c>
      <c r="S141">
        <f>[1]Sheet1!AC129</f>
        <v>7.1214020000000003E-2</v>
      </c>
      <c r="T141">
        <f>[1]Sheet1!AD129</f>
        <v>3.0552450000000002E-2</v>
      </c>
      <c r="U141">
        <f>[1]Sheet1!AE129</f>
        <v>1.4324520000000002E-2</v>
      </c>
      <c r="V141">
        <f>[1]Sheet1!AF129</f>
        <v>6.3787139999999997E-3</v>
      </c>
      <c r="W141">
        <f>[1]Sheet1!AG129</f>
        <v>2.825742E-3</v>
      </c>
      <c r="X141">
        <f>[1]Sheet1!AH129</f>
        <v>1.2298039999999999E-3</v>
      </c>
      <c r="Y141">
        <f>[1]Sheet1!AI129</f>
        <v>4.2427800000000005E-4</v>
      </c>
      <c r="Z141">
        <f>[1]Sheet1!AJ129</f>
        <v>1.6287999999999999E-4</v>
      </c>
      <c r="AA141" t="s">
        <v>99</v>
      </c>
      <c r="AB141">
        <v>2011</v>
      </c>
      <c r="AC141">
        <v>33</v>
      </c>
      <c r="AD141">
        <v>1.0000000630000001</v>
      </c>
      <c r="AE141">
        <v>171418</v>
      </c>
    </row>
    <row r="142" spans="1:31" x14ac:dyDescent="0.2">
      <c r="A142" s="3">
        <v>2012</v>
      </c>
      <c r="B142">
        <f>[1]Sheet1!L130</f>
        <v>0</v>
      </c>
      <c r="C142">
        <f>[1]Sheet1!M130</f>
        <v>0</v>
      </c>
      <c r="D142">
        <f>[1]Sheet1!N130</f>
        <v>0</v>
      </c>
      <c r="E142">
        <f>[1]Sheet1!O130</f>
        <v>9.4299999999999995E-6</v>
      </c>
      <c r="F142">
        <f>[1]Sheet1!P130</f>
        <v>2.7329999999999998E-5</v>
      </c>
      <c r="G142">
        <f>[1]Sheet1!Q130</f>
        <v>7.2552200000000004E-4</v>
      </c>
      <c r="H142">
        <f>[1]Sheet1!R130</f>
        <v>2.2820200000000001E-3</v>
      </c>
      <c r="I142">
        <f>[1]Sheet1!S130</f>
        <v>5.4967499999999999E-3</v>
      </c>
      <c r="J142">
        <f>[1]Sheet1!T130</f>
        <v>8.6858200000000003E-3</v>
      </c>
      <c r="K142">
        <f>[1]Sheet1!U130</f>
        <v>1.9390310000000001E-2</v>
      </c>
      <c r="L142">
        <f>[1]Sheet1!V130</f>
        <v>1.9482679999999999E-2</v>
      </c>
      <c r="M142">
        <f>[1]Sheet1!W130</f>
        <v>2.315327E-2</v>
      </c>
      <c r="N142">
        <f>[1]Sheet1!X130</f>
        <v>8.0335999999999991E-2</v>
      </c>
      <c r="O142">
        <f>[1]Sheet1!Y130</f>
        <v>0.19041549999999999</v>
      </c>
      <c r="P142">
        <f>[1]Sheet1!Z130</f>
        <v>0.19770969999999999</v>
      </c>
      <c r="Q142">
        <f>[1]Sheet1!AA130</f>
        <v>0.16963300000000001</v>
      </c>
      <c r="R142">
        <f>[1]Sheet1!AB130</f>
        <v>0.14016729999999999</v>
      </c>
      <c r="S142">
        <f>[1]Sheet1!AC130</f>
        <v>8.4241200000000016E-2</v>
      </c>
      <c r="T142">
        <f>[1]Sheet1!AD130</f>
        <v>3.5326119999999996E-2</v>
      </c>
      <c r="U142">
        <f>[1]Sheet1!AE130</f>
        <v>1.421217E-2</v>
      </c>
      <c r="V142">
        <f>[1]Sheet1!AF130</f>
        <v>5.47614E-3</v>
      </c>
      <c r="W142">
        <f>[1]Sheet1!AG130</f>
        <v>1.9320959999999999E-3</v>
      </c>
      <c r="X142">
        <f>[1]Sheet1!AH130</f>
        <v>8.3697600000000002E-4</v>
      </c>
      <c r="Y142">
        <f>[1]Sheet1!AI130</f>
        <v>3.0420000000000002E-4</v>
      </c>
      <c r="Z142">
        <f>[1]Sheet1!AJ130</f>
        <v>1.56174E-4</v>
      </c>
      <c r="AA142" t="s">
        <v>99</v>
      </c>
      <c r="AB142">
        <v>2012</v>
      </c>
      <c r="AC142">
        <v>34</v>
      </c>
      <c r="AD142">
        <v>1.0000000790000001</v>
      </c>
      <c r="AE142">
        <v>188917</v>
      </c>
    </row>
    <row r="143" spans="1:31" x14ac:dyDescent="0.2">
      <c r="A143" s="3">
        <v>2013</v>
      </c>
      <c r="B143">
        <f>[1]Sheet1!L131</f>
        <v>2.4919999999999999E-5</v>
      </c>
      <c r="C143">
        <f>[1]Sheet1!M131</f>
        <v>0</v>
      </c>
      <c r="D143">
        <f>[1]Sheet1!N131</f>
        <v>0</v>
      </c>
      <c r="E143">
        <f>[1]Sheet1!O131</f>
        <v>5.2200000000000002E-5</v>
      </c>
      <c r="F143">
        <f>[1]Sheet1!P131</f>
        <v>7.9509599999999991E-4</v>
      </c>
      <c r="G143">
        <f>[1]Sheet1!Q131</f>
        <v>2.3895679999999999E-3</v>
      </c>
      <c r="H143">
        <f>[1]Sheet1!R131</f>
        <v>9.1177799999999989E-3</v>
      </c>
      <c r="I143">
        <f>[1]Sheet1!S131</f>
        <v>1.361061E-2</v>
      </c>
      <c r="J143">
        <f>[1]Sheet1!T131</f>
        <v>1.4830430000000002E-2</v>
      </c>
      <c r="K143">
        <f>[1]Sheet1!U131</f>
        <v>1.8454059999999998E-2</v>
      </c>
      <c r="L143">
        <f>[1]Sheet1!V131</f>
        <v>2.4821450000000002E-2</v>
      </c>
      <c r="M143">
        <f>[1]Sheet1!W131</f>
        <v>3.4433800000000001E-2</v>
      </c>
      <c r="N143">
        <f>[1]Sheet1!X131</f>
        <v>8.4850900000000007E-2</v>
      </c>
      <c r="O143">
        <f>[1]Sheet1!Y131</f>
        <v>0.12460499999999999</v>
      </c>
      <c r="P143">
        <f>[1]Sheet1!Z131</f>
        <v>0.1638085</v>
      </c>
      <c r="Q143">
        <f>[1]Sheet1!AA131</f>
        <v>0.20372000000000001</v>
      </c>
      <c r="R143">
        <f>[1]Sheet1!AB131</f>
        <v>0.16175199999999998</v>
      </c>
      <c r="S143">
        <f>[1]Sheet1!AC131</f>
        <v>8.655560000000001E-2</v>
      </c>
      <c r="T143">
        <f>[1]Sheet1!AD131</f>
        <v>3.6178630000000003E-2</v>
      </c>
      <c r="U143">
        <f>[1]Sheet1!AE131</f>
        <v>1.29839E-2</v>
      </c>
      <c r="V143">
        <f>[1]Sheet1!AF131</f>
        <v>4.370657E-3</v>
      </c>
      <c r="W143">
        <f>[1]Sheet1!AG131</f>
        <v>1.7114790000000001E-3</v>
      </c>
      <c r="X143">
        <f>[1]Sheet1!AH131</f>
        <v>6.1657900000000002E-4</v>
      </c>
      <c r="Y143">
        <f>[1]Sheet1!AI131</f>
        <v>2.0120000000000001E-4</v>
      </c>
      <c r="Z143">
        <f>[1]Sheet1!AJ131</f>
        <v>1.16271E-4</v>
      </c>
      <c r="AA143" t="s">
        <v>99</v>
      </c>
      <c r="AB143">
        <v>2013</v>
      </c>
      <c r="AC143">
        <v>35</v>
      </c>
      <c r="AD143">
        <v>0.99999679100000005</v>
      </c>
      <c r="AE143">
        <v>237857</v>
      </c>
    </row>
    <row r="144" spans="1:31" x14ac:dyDescent="0.2">
      <c r="A144" s="3">
        <v>2014</v>
      </c>
      <c r="B144">
        <f>[1]Sheet1!L132</f>
        <v>0</v>
      </c>
      <c r="C144">
        <f>[1]Sheet1!M132</f>
        <v>1.2500000000000001E-5</v>
      </c>
      <c r="D144">
        <f>[1]Sheet1!N132</f>
        <v>2.0808299999999999E-4</v>
      </c>
      <c r="E144">
        <f>[1]Sheet1!O132</f>
        <v>1.0319999999999999E-4</v>
      </c>
      <c r="F144">
        <f>[1]Sheet1!P132</f>
        <v>2.9630000000000003E-5</v>
      </c>
      <c r="G144">
        <f>[1]Sheet1!Q132</f>
        <v>2.9882699999999999E-4</v>
      </c>
      <c r="H144">
        <f>[1]Sheet1!R132</f>
        <v>2.5294799999999997E-3</v>
      </c>
      <c r="I144">
        <f>[1]Sheet1!S132</f>
        <v>6.68046E-3</v>
      </c>
      <c r="J144">
        <f>[1]Sheet1!T132</f>
        <v>7.8858899999999996E-3</v>
      </c>
      <c r="K144">
        <f>[1]Sheet1!U132</f>
        <v>1.1377379999999999E-2</v>
      </c>
      <c r="L144">
        <f>[1]Sheet1!V132</f>
        <v>3.4318359999999999E-2</v>
      </c>
      <c r="M144">
        <f>[1]Sheet1!W132</f>
        <v>5.5935399999999996E-2</v>
      </c>
      <c r="N144">
        <f>[1]Sheet1!X132</f>
        <v>9.9826200000000004E-2</v>
      </c>
      <c r="O144">
        <f>[1]Sheet1!Y132</f>
        <v>0.1200396</v>
      </c>
      <c r="P144">
        <f>[1]Sheet1!Z132</f>
        <v>0.1475207</v>
      </c>
      <c r="Q144">
        <f>[1]Sheet1!AA132</f>
        <v>0.16374109999999997</v>
      </c>
      <c r="R144">
        <f>[1]Sheet1!AB132</f>
        <v>0.1571535</v>
      </c>
      <c r="S144">
        <f>[1]Sheet1!AC132</f>
        <v>0.1118972</v>
      </c>
      <c r="T144">
        <f>[1]Sheet1!AD132</f>
        <v>5.1529580000000005E-2</v>
      </c>
      <c r="U144">
        <f>[1]Sheet1!AE132</f>
        <v>1.9239139999999998E-2</v>
      </c>
      <c r="V144">
        <f>[1]Sheet1!AF132</f>
        <v>6.0763680000000004E-3</v>
      </c>
      <c r="W144">
        <f>[1]Sheet1!AG132</f>
        <v>2.2696829999999998E-3</v>
      </c>
      <c r="X144">
        <f>[1]Sheet1!AH132</f>
        <v>9.9100100000000003E-4</v>
      </c>
      <c r="Y144">
        <f>[1]Sheet1!AI132</f>
        <v>2.7169999999999999E-4</v>
      </c>
      <c r="Z144">
        <f>[1]Sheet1!AJ132</f>
        <v>6.5229999999999997E-5</v>
      </c>
      <c r="AA144" t="s">
        <v>99</v>
      </c>
      <c r="AB144">
        <v>2014</v>
      </c>
      <c r="AC144">
        <v>36</v>
      </c>
      <c r="AD144">
        <v>0.99999970800000004</v>
      </c>
      <c r="AE144">
        <v>234761</v>
      </c>
    </row>
    <row r="145" spans="1:31" x14ac:dyDescent="0.2">
      <c r="A145" s="3">
        <v>2015</v>
      </c>
      <c r="B145">
        <f>[1]Sheet1!L133</f>
        <v>1.9740000000000001E-5</v>
      </c>
      <c r="C145">
        <f>[1]Sheet1!M133</f>
        <v>0</v>
      </c>
      <c r="D145">
        <f>[1]Sheet1!N133</f>
        <v>0</v>
      </c>
      <c r="E145">
        <f>[1]Sheet1!O133</f>
        <v>0</v>
      </c>
      <c r="F145">
        <f>[1]Sheet1!P133</f>
        <v>2.5128999999999999E-4</v>
      </c>
      <c r="G145">
        <f>[1]Sheet1!Q133</f>
        <v>8.0099999999999995E-5</v>
      </c>
      <c r="H145">
        <f>[1]Sheet1!R133</f>
        <v>8.7998500000000001E-4</v>
      </c>
      <c r="I145">
        <f>[1]Sheet1!S133</f>
        <v>4.093953E-3</v>
      </c>
      <c r="J145">
        <f>[1]Sheet1!T133</f>
        <v>7.2639999999999996E-3</v>
      </c>
      <c r="K145">
        <f>[1]Sheet1!U133</f>
        <v>9.1790799999999992E-3</v>
      </c>
      <c r="L145">
        <f>[1]Sheet1!V133</f>
        <v>8.6852100000000005E-3</v>
      </c>
      <c r="M145">
        <f>[1]Sheet1!W133</f>
        <v>2.0688430000000001E-2</v>
      </c>
      <c r="N145">
        <f>[1]Sheet1!X133</f>
        <v>6.8364800000000003E-2</v>
      </c>
      <c r="O145">
        <f>[1]Sheet1!Y133</f>
        <v>0.1390429</v>
      </c>
      <c r="P145">
        <f>[1]Sheet1!Z133</f>
        <v>0.19971219999999998</v>
      </c>
      <c r="Q145">
        <f>[1]Sheet1!AA133</f>
        <v>0.18813000000000002</v>
      </c>
      <c r="R145">
        <f>[1]Sheet1!AB133</f>
        <v>0.15951070000000001</v>
      </c>
      <c r="S145">
        <f>[1]Sheet1!AC133</f>
        <v>0.10042890000000002</v>
      </c>
      <c r="T145">
        <f>[1]Sheet1!AD133</f>
        <v>5.3976910000000003E-2</v>
      </c>
      <c r="U145">
        <f>[1]Sheet1!AE133</f>
        <v>2.4842739999999999E-2</v>
      </c>
      <c r="V145">
        <f>[1]Sheet1!AF133</f>
        <v>1.0466359999999999E-2</v>
      </c>
      <c r="W145">
        <f>[1]Sheet1!AG133</f>
        <v>3.0213279999999998E-3</v>
      </c>
      <c r="X145">
        <f>[1]Sheet1!AH133</f>
        <v>1.0270119999999999E-3</v>
      </c>
      <c r="Y145">
        <f>[1]Sheet1!AI133</f>
        <v>2.6164999999999994E-4</v>
      </c>
      <c r="Z145">
        <f>[1]Sheet1!AJ133</f>
        <v>7.3097999999999997E-5</v>
      </c>
      <c r="AA145" t="s">
        <v>99</v>
      </c>
      <c r="AB145">
        <v>2015</v>
      </c>
      <c r="AC145">
        <v>37</v>
      </c>
      <c r="AD145">
        <v>0.99997570999999996</v>
      </c>
      <c r="AE145">
        <v>215764</v>
      </c>
    </row>
    <row r="146" spans="1:31" x14ac:dyDescent="0.2">
      <c r="A146" s="3">
        <v>2016</v>
      </c>
      <c r="B146">
        <f>[1]Sheet1!L134</f>
        <v>0</v>
      </c>
      <c r="C146">
        <f>[1]Sheet1!M134</f>
        <v>0</v>
      </c>
      <c r="D146">
        <f>[1]Sheet1!N134</f>
        <v>2.41E-5</v>
      </c>
      <c r="E146">
        <f>[1]Sheet1!O134</f>
        <v>0</v>
      </c>
      <c r="F146">
        <f>[1]Sheet1!P134</f>
        <v>5.1100000000000002E-5</v>
      </c>
      <c r="G146">
        <f>[1]Sheet1!Q134</f>
        <v>5.7299999999999996E-7</v>
      </c>
      <c r="H146">
        <f>[1]Sheet1!R134</f>
        <v>1.6090000000000001E-4</v>
      </c>
      <c r="I146">
        <f>[1]Sheet1!S134</f>
        <v>8.1578700000000011E-4</v>
      </c>
      <c r="J146">
        <f>[1]Sheet1!T134</f>
        <v>1.347778E-3</v>
      </c>
      <c r="K146">
        <f>[1]Sheet1!U134</f>
        <v>4.0906049999999998E-3</v>
      </c>
      <c r="L146">
        <f>[1]Sheet1!V134</f>
        <v>1.0459599999999999E-2</v>
      </c>
      <c r="M146">
        <f>[1]Sheet1!W134</f>
        <v>2.4751189999999999E-2</v>
      </c>
      <c r="N146">
        <f>[1]Sheet1!X134</f>
        <v>8.1081300000000009E-2</v>
      </c>
      <c r="O146">
        <f>[1]Sheet1!Y134</f>
        <v>0.1069339</v>
      </c>
      <c r="P146">
        <f>[1]Sheet1!Z134</f>
        <v>0.1558754</v>
      </c>
      <c r="Q146">
        <f>[1]Sheet1!AA134</f>
        <v>0.2088624</v>
      </c>
      <c r="R146">
        <f>[1]Sheet1!AB134</f>
        <v>0.19611769999999998</v>
      </c>
      <c r="S146">
        <f>[1]Sheet1!AC134</f>
        <v>0.1130128</v>
      </c>
      <c r="T146">
        <f>[1]Sheet1!AD134</f>
        <v>5.6529469999999998E-2</v>
      </c>
      <c r="U146">
        <f>[1]Sheet1!AE134</f>
        <v>2.4198369999999997E-2</v>
      </c>
      <c r="V146">
        <f>[1]Sheet1!AF134</f>
        <v>9.9328100000000003E-3</v>
      </c>
      <c r="W146">
        <f>[1]Sheet1!AG134</f>
        <v>3.8178160000000004E-3</v>
      </c>
      <c r="X146">
        <f>[1]Sheet1!AH134</f>
        <v>1.1786939999999999E-3</v>
      </c>
      <c r="Y146">
        <f>[1]Sheet1!AI134</f>
        <v>6.5121199999999997E-4</v>
      </c>
      <c r="Z146">
        <f>[1]Sheet1!AJ134</f>
        <v>1.0669E-4</v>
      </c>
      <c r="AA146" t="s">
        <v>99</v>
      </c>
      <c r="AB146">
        <v>2016</v>
      </c>
      <c r="AC146">
        <v>38</v>
      </c>
      <c r="AD146">
        <v>1.000000212</v>
      </c>
      <c r="AE146">
        <v>187683</v>
      </c>
    </row>
    <row r="147" spans="1:31" x14ac:dyDescent="0.2">
      <c r="A147" s="3">
        <v>2017</v>
      </c>
      <c r="B147">
        <f>[1]Sheet1!L135</f>
        <v>1.4610000000000001E-5</v>
      </c>
      <c r="C147">
        <f>[1]Sheet1!M135</f>
        <v>1.88E-6</v>
      </c>
      <c r="D147">
        <f>[1]Sheet1!N135</f>
        <v>0</v>
      </c>
      <c r="E147">
        <f>[1]Sheet1!O135</f>
        <v>1.579E-5</v>
      </c>
      <c r="F147">
        <f>[1]Sheet1!P135</f>
        <v>2.8588099999999998E-4</v>
      </c>
      <c r="G147">
        <f>[1]Sheet1!Q135</f>
        <v>3.5200000000000002E-5</v>
      </c>
      <c r="H147">
        <f>[1]Sheet1!R135</f>
        <v>5.4999999999999999E-6</v>
      </c>
      <c r="I147">
        <f>[1]Sheet1!S135</f>
        <v>7.5400000000000003E-5</v>
      </c>
      <c r="J147">
        <f>[1]Sheet1!T135</f>
        <v>6.8135500000000002E-4</v>
      </c>
      <c r="K147">
        <f>[1]Sheet1!U135</f>
        <v>1.788324E-3</v>
      </c>
      <c r="L147">
        <f>[1]Sheet1!V135</f>
        <v>2.8546610000000001E-3</v>
      </c>
      <c r="M147">
        <f>[1]Sheet1!W135</f>
        <v>7.1879200000000004E-3</v>
      </c>
      <c r="N147">
        <f>[1]Sheet1!X135</f>
        <v>3.9798350000000003E-2</v>
      </c>
      <c r="O147">
        <f>[1]Sheet1!Y135</f>
        <v>0.13173750000000001</v>
      </c>
      <c r="P147">
        <f>[1]Sheet1!Z135</f>
        <v>0.19769279999999997</v>
      </c>
      <c r="Q147">
        <f>[1]Sheet1!AA135</f>
        <v>0.19574469999999999</v>
      </c>
      <c r="R147">
        <f>[1]Sheet1!AB135</f>
        <v>0.17629330000000001</v>
      </c>
      <c r="S147">
        <f>[1]Sheet1!AC135</f>
        <v>0.12774280000000002</v>
      </c>
      <c r="T147">
        <f>[1]Sheet1!AD135</f>
        <v>7.2108800000000001E-2</v>
      </c>
      <c r="U147">
        <f>[1]Sheet1!AE135</f>
        <v>2.792857E-2</v>
      </c>
      <c r="V147">
        <f>[1]Sheet1!AF135</f>
        <v>1.225912E-2</v>
      </c>
      <c r="W147">
        <f>[1]Sheet1!AG135</f>
        <v>3.6937260000000005E-3</v>
      </c>
      <c r="X147">
        <f>[1]Sheet1!AH135</f>
        <v>1.4755760000000001E-3</v>
      </c>
      <c r="Y147">
        <f>[1]Sheet1!AI135</f>
        <v>4.0729399999999999E-4</v>
      </c>
      <c r="Z147">
        <f>[1]Sheet1!AJ135</f>
        <v>1.7069999999999998E-4</v>
      </c>
      <c r="AA147" t="s">
        <v>99</v>
      </c>
      <c r="AB147">
        <v>2017</v>
      </c>
      <c r="AC147">
        <v>39</v>
      </c>
      <c r="AD147">
        <v>0.99999414600000003</v>
      </c>
      <c r="AE147">
        <v>160460</v>
      </c>
    </row>
    <row r="148" spans="1:31" x14ac:dyDescent="0.2">
      <c r="A148" s="3">
        <v>2018</v>
      </c>
      <c r="B148">
        <f>[1]Sheet1!L136</f>
        <v>0</v>
      </c>
      <c r="C148">
        <f>[1]Sheet1!M136</f>
        <v>0</v>
      </c>
      <c r="D148">
        <f>[1]Sheet1!N136</f>
        <v>0</v>
      </c>
      <c r="E148">
        <f>[1]Sheet1!O136</f>
        <v>0</v>
      </c>
      <c r="F148">
        <f>[1]Sheet1!P136</f>
        <v>6.9400000000000006E-5</v>
      </c>
      <c r="G148">
        <f>[1]Sheet1!Q136</f>
        <v>0</v>
      </c>
      <c r="H148">
        <f>[1]Sheet1!R136</f>
        <v>0</v>
      </c>
      <c r="I148">
        <f>[1]Sheet1!S136</f>
        <v>3.4836900000000001E-4</v>
      </c>
      <c r="J148">
        <f>[1]Sheet1!T136</f>
        <v>5.0314299999999995E-4</v>
      </c>
      <c r="K148">
        <f>[1]Sheet1!U136</f>
        <v>3.5998669999999997E-3</v>
      </c>
      <c r="L148">
        <f>[1]Sheet1!V136</f>
        <v>1.2363269999999999E-2</v>
      </c>
      <c r="M148">
        <f>[1]Sheet1!W136</f>
        <v>1.197116E-2</v>
      </c>
      <c r="N148">
        <f>[1]Sheet1!X136</f>
        <v>3.2905669999999998E-2</v>
      </c>
      <c r="O148">
        <f>[1]Sheet1!Y136</f>
        <v>6.9410609999999998E-2</v>
      </c>
      <c r="P148">
        <f>[1]Sheet1!Z136</f>
        <v>0.14248759999999999</v>
      </c>
      <c r="Q148">
        <f>[1]Sheet1!AA136</f>
        <v>0.22803020000000002</v>
      </c>
      <c r="R148">
        <f>[1]Sheet1!AB136</f>
        <v>0.21848019999999996</v>
      </c>
      <c r="S148">
        <f>[1]Sheet1!AC136</f>
        <v>0.13943179999999999</v>
      </c>
      <c r="T148">
        <f>[1]Sheet1!AD136</f>
        <v>7.8368399999999991E-2</v>
      </c>
      <c r="U148">
        <f>[1]Sheet1!AE136</f>
        <v>3.7710099999999996E-2</v>
      </c>
      <c r="V148">
        <f>[1]Sheet1!AF136</f>
        <v>1.5542239999999999E-2</v>
      </c>
      <c r="W148">
        <f>[1]Sheet1!AG136</f>
        <v>5.2784989999999999E-3</v>
      </c>
      <c r="X148">
        <f>[1]Sheet1!AH136</f>
        <v>2.7412090000000001E-3</v>
      </c>
      <c r="Y148">
        <f>[1]Sheet1!AI136</f>
        <v>6.6011399999999995E-4</v>
      </c>
      <c r="Z148">
        <f>[1]Sheet1!AJ136</f>
        <v>9.8099999999999999E-5</v>
      </c>
      <c r="AA148" t="s">
        <v>99</v>
      </c>
      <c r="AB148">
        <v>2018</v>
      </c>
      <c r="AC148">
        <v>40</v>
      </c>
      <c r="AD148">
        <v>1.0000001949999999</v>
      </c>
      <c r="AE148">
        <v>87622</v>
      </c>
    </row>
    <row r="149" spans="1:31" x14ac:dyDescent="0.2">
      <c r="A149" s="3">
        <v>2019</v>
      </c>
      <c r="B149">
        <f>[1]Sheet1!L137</f>
        <v>1.1538999999999999E-5</v>
      </c>
      <c r="C149">
        <f>[1]Sheet1!M137</f>
        <v>0</v>
      </c>
      <c r="D149">
        <f>[1]Sheet1!N137</f>
        <v>3.3899999999999997E-5</v>
      </c>
      <c r="E149">
        <f>[1]Sheet1!O137</f>
        <v>0</v>
      </c>
      <c r="F149">
        <f>[1]Sheet1!P137</f>
        <v>1.836E-5</v>
      </c>
      <c r="G149">
        <f>[1]Sheet1!Q137</f>
        <v>6.0599999999999996E-6</v>
      </c>
      <c r="H149">
        <f>[1]Sheet1!R137</f>
        <v>5.5090000000000003E-5</v>
      </c>
      <c r="I149">
        <f>[1]Sheet1!S137</f>
        <v>3.5391609999999999E-3</v>
      </c>
      <c r="J149">
        <f>[1]Sheet1!T137</f>
        <v>4.503076E-3</v>
      </c>
      <c r="K149">
        <f>[1]Sheet1!U137</f>
        <v>5.4447469999999998E-3</v>
      </c>
      <c r="L149">
        <f>[1]Sheet1!V137</f>
        <v>2.8136330000000003E-3</v>
      </c>
      <c r="M149">
        <f>[1]Sheet1!W137</f>
        <v>1.185721E-2</v>
      </c>
      <c r="N149">
        <f>[1]Sheet1!X137</f>
        <v>2.867517E-2</v>
      </c>
      <c r="O149">
        <f>[1]Sheet1!Y137</f>
        <v>7.2787400000000002E-2</v>
      </c>
      <c r="P149">
        <f>[1]Sheet1!Z137</f>
        <v>0.11029249999999999</v>
      </c>
      <c r="Q149">
        <f>[1]Sheet1!AA137</f>
        <v>0.16747089999999998</v>
      </c>
      <c r="R149">
        <f>[1]Sheet1!AB137</f>
        <v>0.21063470000000001</v>
      </c>
      <c r="S149">
        <f>[1]Sheet1!AC137</f>
        <v>0.18912019999999999</v>
      </c>
      <c r="T149">
        <f>[1]Sheet1!AD137</f>
        <v>0.1085593</v>
      </c>
      <c r="U149">
        <f>[1]Sheet1!AE137</f>
        <v>4.7838660000000005E-2</v>
      </c>
      <c r="V149">
        <f>[1]Sheet1!AF137</f>
        <v>2.2079599999999998E-2</v>
      </c>
      <c r="W149">
        <f>[1]Sheet1!AG137</f>
        <v>8.7449769999999993E-3</v>
      </c>
      <c r="X149">
        <f>[1]Sheet1!AH137</f>
        <v>4.092784999999999E-3</v>
      </c>
      <c r="Y149">
        <f>[1]Sheet1!AI137</f>
        <v>1.041955E-3</v>
      </c>
      <c r="Z149">
        <f>[1]Sheet1!AJ137</f>
        <v>3.78938E-4</v>
      </c>
      <c r="AA149" t="s">
        <v>99</v>
      </c>
      <c r="AB149">
        <v>2019</v>
      </c>
      <c r="AC149">
        <v>41</v>
      </c>
      <c r="AD149">
        <v>0.99998775699999998</v>
      </c>
      <c r="AE149">
        <v>87822</v>
      </c>
    </row>
    <row r="150" spans="1:31" x14ac:dyDescent="0.2">
      <c r="A150" s="3">
        <v>2020</v>
      </c>
      <c r="B150">
        <f>[1]Sheet1!L138</f>
        <v>0</v>
      </c>
      <c r="C150">
        <f>[1]Sheet1!M138</f>
        <v>0</v>
      </c>
      <c r="D150">
        <f>[1]Sheet1!N138</f>
        <v>6.02E-6</v>
      </c>
      <c r="E150">
        <f>[1]Sheet1!O138</f>
        <v>2.60393E-3</v>
      </c>
      <c r="F150">
        <f>[1]Sheet1!P138</f>
        <v>2.5976849999999998E-3</v>
      </c>
      <c r="G150">
        <f>[1]Sheet1!Q138</f>
        <v>1.0278290000000001E-3</v>
      </c>
      <c r="H150">
        <f>[1]Sheet1!R138</f>
        <v>2.9179469999999999E-2</v>
      </c>
      <c r="I150">
        <f>[1]Sheet1!S138</f>
        <v>7.3343499999999999E-3</v>
      </c>
      <c r="J150">
        <f>[1]Sheet1!T138</f>
        <v>1.846484E-2</v>
      </c>
      <c r="K150">
        <f>[1]Sheet1!U138</f>
        <v>2.4702059999999998E-2</v>
      </c>
      <c r="L150">
        <f>[1]Sheet1!V138</f>
        <v>2.1813540000000003E-2</v>
      </c>
      <c r="M150">
        <f>[1]Sheet1!W138</f>
        <v>1.1931290000000001E-2</v>
      </c>
      <c r="N150">
        <f>[1]Sheet1!X138</f>
        <v>3.1161539999999998E-2</v>
      </c>
      <c r="O150">
        <f>[1]Sheet1!Y138</f>
        <v>4.9901099999999997E-2</v>
      </c>
      <c r="P150">
        <f>[1]Sheet1!Z138</f>
        <v>0.103562</v>
      </c>
      <c r="Q150">
        <f>[1]Sheet1!AA138</f>
        <v>0.14982809999999999</v>
      </c>
      <c r="R150">
        <f>[1]Sheet1!AB138</f>
        <v>0.15044540000000001</v>
      </c>
      <c r="S150">
        <f>[1]Sheet1!AC138</f>
        <v>0.1371762</v>
      </c>
      <c r="T150">
        <f>[1]Sheet1!AD138</f>
        <v>0.1177906</v>
      </c>
      <c r="U150">
        <f>[1]Sheet1!AE138</f>
        <v>7.4305299999999991E-2</v>
      </c>
      <c r="V150">
        <f>[1]Sheet1!AF138</f>
        <v>3.9981819999999994E-2</v>
      </c>
      <c r="W150">
        <f>[1]Sheet1!AG138</f>
        <v>1.54723E-2</v>
      </c>
      <c r="X150">
        <f>[1]Sheet1!AH138</f>
        <v>7.2639299999999992E-3</v>
      </c>
      <c r="Y150">
        <f>[1]Sheet1!AI138</f>
        <v>2.8063649999999999E-3</v>
      </c>
      <c r="Z150">
        <f>[1]Sheet1!AJ138</f>
        <v>6.4415999999999996E-4</v>
      </c>
      <c r="AA150" t="s">
        <v>99</v>
      </c>
      <c r="AB150">
        <v>2020</v>
      </c>
      <c r="AC150">
        <v>42</v>
      </c>
      <c r="AD150">
        <v>0.99999995100000005</v>
      </c>
      <c r="AE150">
        <v>65760</v>
      </c>
    </row>
    <row r="151" spans="1:31" x14ac:dyDescent="0.2">
      <c r="A151" s="3">
        <v>2021</v>
      </c>
      <c r="B151">
        <f>[1]Sheet1!L139</f>
        <v>0</v>
      </c>
      <c r="C151">
        <f>[1]Sheet1!M139</f>
        <v>0</v>
      </c>
      <c r="D151">
        <f>[1]Sheet1!N139</f>
        <v>0</v>
      </c>
      <c r="E151">
        <f>[1]Sheet1!O139</f>
        <v>1.0900000000000001E-5</v>
      </c>
      <c r="F151">
        <f>[1]Sheet1!P139</f>
        <v>8.8700000000000001E-5</v>
      </c>
      <c r="G151">
        <f>[1]Sheet1!Q139</f>
        <v>0</v>
      </c>
      <c r="H151">
        <f>[1]Sheet1!R139</f>
        <v>2.8236500000000002E-4</v>
      </c>
      <c r="I151">
        <f>[1]Sheet1!S139</f>
        <v>9.9223200000000001E-4</v>
      </c>
      <c r="J151">
        <f>[1]Sheet1!T139</f>
        <v>1.9807219999999999E-3</v>
      </c>
      <c r="K151">
        <f>[1]Sheet1!U139</f>
        <v>5.424E-3</v>
      </c>
      <c r="L151">
        <f>[1]Sheet1!V139</f>
        <v>1.0705599999999999E-2</v>
      </c>
      <c r="M151">
        <f>[1]Sheet1!W139</f>
        <v>2.3515729999999999E-2</v>
      </c>
      <c r="N151">
        <f>[1]Sheet1!X139</f>
        <v>6.5384899999999996E-2</v>
      </c>
      <c r="O151">
        <f>[1]Sheet1!Y139</f>
        <v>7.7441999999999997E-2</v>
      </c>
      <c r="P151">
        <f>[1]Sheet1!Z139</f>
        <v>9.6504300000000001E-2</v>
      </c>
      <c r="Q151">
        <f>[1]Sheet1!AA139</f>
        <v>0.12459690000000001</v>
      </c>
      <c r="R151">
        <f>[1]Sheet1!AB139</f>
        <v>0.15088089999999998</v>
      </c>
      <c r="S151">
        <f>[1]Sheet1!AC139</f>
        <v>0.1442311</v>
      </c>
      <c r="T151">
        <f>[1]Sheet1!AD139</f>
        <v>0.1195263</v>
      </c>
      <c r="U151">
        <f>[1]Sheet1!AE139</f>
        <v>8.6970699999999998E-2</v>
      </c>
      <c r="V151">
        <f>[1]Sheet1!AF139</f>
        <v>5.0271700000000002E-2</v>
      </c>
      <c r="W151">
        <f>[1]Sheet1!AG139</f>
        <v>2.3666590000000001E-2</v>
      </c>
      <c r="X151">
        <f>[1]Sheet1!AH139</f>
        <v>1.1211830000000001E-2</v>
      </c>
      <c r="Y151">
        <f>[1]Sheet1!AI139</f>
        <v>4.113691E-3</v>
      </c>
      <c r="Z151">
        <f>[1]Sheet1!AJ139</f>
        <v>2.1984829999999998E-3</v>
      </c>
      <c r="AA151" t="s">
        <v>99</v>
      </c>
      <c r="AB151">
        <v>2021</v>
      </c>
      <c r="AC151">
        <v>43</v>
      </c>
      <c r="AD151">
        <v>0.99998916100000002</v>
      </c>
      <c r="AE151">
        <v>36893</v>
      </c>
    </row>
    <row r="152" spans="1:31" x14ac:dyDescent="0.2">
      <c r="A152" s="3">
        <v>2022</v>
      </c>
      <c r="B152">
        <f>[1]Sheet1!L140</f>
        <v>1.4180799999999999E-4</v>
      </c>
      <c r="C152">
        <f>[1]Sheet1!M140</f>
        <v>3.1822999999999997E-4</v>
      </c>
      <c r="D152">
        <f>[1]Sheet1!N140</f>
        <v>1.04864E-4</v>
      </c>
      <c r="E152">
        <f>[1]Sheet1!O140</f>
        <v>4.9839999999999997E-5</v>
      </c>
      <c r="F152">
        <f>[1]Sheet1!P140</f>
        <v>6.0869999999999998E-5</v>
      </c>
      <c r="G152">
        <f>[1]Sheet1!Q140</f>
        <v>1.407E-4</v>
      </c>
      <c r="H152">
        <f>[1]Sheet1!R140</f>
        <v>2.6966799999999998E-4</v>
      </c>
      <c r="I152">
        <f>[1]Sheet1!S140</f>
        <v>1.2993729999999999E-3</v>
      </c>
      <c r="J152">
        <f>[1]Sheet1!T140</f>
        <v>3.230251E-3</v>
      </c>
      <c r="K152">
        <f>[1]Sheet1!U140</f>
        <v>3.0450879999999996E-3</v>
      </c>
      <c r="L152">
        <f>[1]Sheet1!V140</f>
        <v>6.6990399999999999E-3</v>
      </c>
      <c r="M152">
        <f>[1]Sheet1!W140</f>
        <v>1.3681490000000001E-2</v>
      </c>
      <c r="N152">
        <f>[1]Sheet1!X140</f>
        <v>6.6558900000000004E-2</v>
      </c>
      <c r="O152">
        <f>[1]Sheet1!Y140</f>
        <v>0.1331146</v>
      </c>
      <c r="P152">
        <f>[1]Sheet1!Z140</f>
        <v>0.16163370000000002</v>
      </c>
      <c r="Q152">
        <f>[1]Sheet1!AA140</f>
        <v>0.15029239999999999</v>
      </c>
      <c r="R152">
        <f>[1]Sheet1!AB140</f>
        <v>0.1163949</v>
      </c>
      <c r="S152">
        <f>[1]Sheet1!AC140</f>
        <v>9.5326399999999992E-2</v>
      </c>
      <c r="T152">
        <f>[1]Sheet1!AD140</f>
        <v>8.0975599999999995E-2</v>
      </c>
      <c r="U152">
        <f>[1]Sheet1!AE140</f>
        <v>6.6814499999999999E-2</v>
      </c>
      <c r="V152">
        <f>[1]Sheet1!AF140</f>
        <v>4.8283839999999995E-2</v>
      </c>
      <c r="W152">
        <f>[1]Sheet1!AG140</f>
        <v>2.8695470000000001E-2</v>
      </c>
      <c r="X152">
        <f>[1]Sheet1!AH140</f>
        <v>1.6872390000000001E-2</v>
      </c>
      <c r="Y152">
        <f>[1]Sheet1!AI140</f>
        <v>4.8210660000000006E-3</v>
      </c>
      <c r="Z152">
        <f>[1]Sheet1!AJ140</f>
        <v>1.1752920000000001E-3</v>
      </c>
      <c r="AA152" t="s">
        <v>99</v>
      </c>
      <c r="AB152">
        <v>2022</v>
      </c>
      <c r="AC152">
        <v>44</v>
      </c>
      <c r="AD152">
        <v>0.99999982899999995</v>
      </c>
    </row>
    <row r="153" spans="1:31" ht="17" customHeight="1" x14ac:dyDescent="0.2">
      <c r="A153" s="3">
        <v>2023</v>
      </c>
      <c r="B153">
        <f>[1]Sheet1!L141</f>
        <v>0</v>
      </c>
      <c r="C153">
        <f>[1]Sheet1!M141</f>
        <v>0</v>
      </c>
      <c r="D153">
        <f>[1]Sheet1!N141</f>
        <v>0</v>
      </c>
      <c r="E153">
        <f>[1]Sheet1!O141</f>
        <v>1.2770000000000001E-4</v>
      </c>
      <c r="F153">
        <f>[1]Sheet1!P141</f>
        <v>3.9707299999999996E-4</v>
      </c>
      <c r="G153">
        <f>[1]Sheet1!Q141</f>
        <v>0</v>
      </c>
      <c r="H153">
        <f>[1]Sheet1!R141</f>
        <v>8.2100800000000002E-4</v>
      </c>
      <c r="I153">
        <f>[1]Sheet1!S141</f>
        <v>3.9527090000000004E-3</v>
      </c>
      <c r="J153">
        <f>[1]Sheet1!T141</f>
        <v>1.1467719999999999E-2</v>
      </c>
      <c r="K153">
        <f>[1]Sheet1!U141</f>
        <v>1.2101129999999998E-2</v>
      </c>
      <c r="L153">
        <f>[1]Sheet1!V141</f>
        <v>8.3411100000000005E-3</v>
      </c>
      <c r="M153">
        <f>[1]Sheet1!W141</f>
        <v>1.402491E-2</v>
      </c>
      <c r="N153">
        <f>[1]Sheet1!X141</f>
        <v>5.9559130000000002E-2</v>
      </c>
      <c r="O153">
        <f>[1]Sheet1!Y141</f>
        <v>0.10720730000000002</v>
      </c>
      <c r="P153">
        <f>[1]Sheet1!Z141</f>
        <v>0.1533969</v>
      </c>
      <c r="Q153">
        <f>[1]Sheet1!AA141</f>
        <v>0.18247370000000002</v>
      </c>
      <c r="R153">
        <f>[1]Sheet1!AB141</f>
        <v>0.15575710000000001</v>
      </c>
      <c r="S153">
        <f>[1]Sheet1!AC141</f>
        <v>9.6238500000000005E-2</v>
      </c>
      <c r="T153">
        <f>[1]Sheet1!AD141</f>
        <v>6.1388200000000004E-2</v>
      </c>
      <c r="U153">
        <f>[1]Sheet1!AE141</f>
        <v>4.5680189999999996E-2</v>
      </c>
      <c r="V153">
        <f>[1]Sheet1!AF141</f>
        <v>3.6333999999999998E-2</v>
      </c>
      <c r="W153">
        <f>[1]Sheet1!AG141</f>
        <v>2.9381310000000001E-2</v>
      </c>
      <c r="X153">
        <f>[1]Sheet1!AH141</f>
        <v>1.5230930000000002E-2</v>
      </c>
      <c r="Y153">
        <f>[1]Sheet1!AI141</f>
        <v>4.7475130000000001E-3</v>
      </c>
      <c r="Z153">
        <f>[1]Sheet1!AJ141</f>
        <v>1.3719799999999999E-3</v>
      </c>
      <c r="AA153" t="s">
        <v>99</v>
      </c>
      <c r="AB153">
        <v>2023</v>
      </c>
      <c r="AC153">
        <v>45</v>
      </c>
      <c r="AD153">
        <v>0.99999964299999999</v>
      </c>
    </row>
    <row r="154" spans="1:31" s="2" customFormat="1" x14ac:dyDescent="0.2">
      <c r="A154" s="17">
        <v>2024</v>
      </c>
      <c r="B154" s="2">
        <f>[1]Sheet1!L142</f>
        <v>1.9700000000000001E-5</v>
      </c>
      <c r="C154" s="2">
        <f>[1]Sheet1!M142</f>
        <v>6.8600000000000004E-6</v>
      </c>
      <c r="D154" s="2">
        <f>[1]Sheet1!N142</f>
        <v>6.0800000000000001E-5</v>
      </c>
      <c r="E154" s="2">
        <f>[1]Sheet1!O142</f>
        <v>6.6979999999999999E-5</v>
      </c>
      <c r="F154" s="2">
        <f>[1]Sheet1!P142</f>
        <v>1.1349399999999999E-4</v>
      </c>
      <c r="G154" s="2">
        <f>[1]Sheet1!Q142</f>
        <v>2.4854599999999999E-4</v>
      </c>
      <c r="H154" s="2">
        <f>[1]Sheet1!R142</f>
        <v>5.1018199999999997E-4</v>
      </c>
      <c r="I154" s="2">
        <f>[1]Sheet1!S142</f>
        <v>1.829462E-3</v>
      </c>
      <c r="J154" s="2">
        <f>[1]Sheet1!T142</f>
        <v>1.8303490000000002E-3</v>
      </c>
      <c r="K154" s="2">
        <f>[1]Sheet1!U142</f>
        <v>3.477806E-3</v>
      </c>
      <c r="L154" s="2">
        <f>[1]Sheet1!V142</f>
        <v>6.0065299999999995E-3</v>
      </c>
      <c r="M154" s="2">
        <f>[1]Sheet1!W142</f>
        <v>1.634534E-2</v>
      </c>
      <c r="N154" s="2">
        <f>[1]Sheet1!X142</f>
        <v>7.1416310000000011E-2</v>
      </c>
      <c r="O154" s="2">
        <f>[1]Sheet1!Y142</f>
        <v>0.1038129</v>
      </c>
      <c r="P154" s="2">
        <f>[1]Sheet1!Z142</f>
        <v>0.1487156</v>
      </c>
      <c r="Q154" s="2">
        <f>[1]Sheet1!AA142</f>
        <v>0.17920539999999999</v>
      </c>
      <c r="R154" s="2">
        <f>[1]Sheet1!AB142</f>
        <v>0.1650469</v>
      </c>
      <c r="S154" s="2">
        <f>[1]Sheet1!AC142</f>
        <v>0.12086609999999999</v>
      </c>
      <c r="T154" s="2">
        <f>[1]Sheet1!AD142</f>
        <v>7.6089400000000001E-2</v>
      </c>
      <c r="U154" s="2">
        <f>[1]Sheet1!AE142</f>
        <v>4.0563129999999996E-2</v>
      </c>
      <c r="V154" s="2">
        <f>[1]Sheet1!AF142</f>
        <v>2.569656E-2</v>
      </c>
      <c r="W154" s="2">
        <f>[1]Sheet1!AG142</f>
        <v>1.9939190000000002E-2</v>
      </c>
      <c r="X154" s="2">
        <f>[1]Sheet1!AH142</f>
        <v>1.2743350000000001E-2</v>
      </c>
      <c r="Y154" s="2">
        <f>[1]Sheet1!AI142</f>
        <v>4.2578759999999998E-3</v>
      </c>
      <c r="Z154" s="2">
        <f>[1]Sheet1!AJ142</f>
        <v>1.1316660000000001E-3</v>
      </c>
      <c r="AA154" t="s">
        <v>99</v>
      </c>
      <c r="AB154">
        <f>AB153+1</f>
        <v>2024</v>
      </c>
      <c r="AC154">
        <f>AC153+1</f>
        <v>46</v>
      </c>
    </row>
    <row r="155" spans="1:31" x14ac:dyDescent="0.2">
      <c r="B155" t="s">
        <v>99</v>
      </c>
    </row>
    <row r="156" spans="1:31" x14ac:dyDescent="0.2">
      <c r="B156" t="s">
        <v>180</v>
      </c>
      <c r="C156" t="s">
        <v>181</v>
      </c>
      <c r="D156" t="s">
        <v>182</v>
      </c>
      <c r="E156" t="s">
        <v>99</v>
      </c>
      <c r="F156" t="s">
        <v>183</v>
      </c>
      <c r="G156" t="s">
        <v>184</v>
      </c>
      <c r="H156" t="s">
        <v>145</v>
      </c>
      <c r="I156">
        <v>2018</v>
      </c>
      <c r="J156" t="s">
        <v>185</v>
      </c>
      <c r="K156" t="s">
        <v>186</v>
      </c>
      <c r="L156" t="s">
        <v>187</v>
      </c>
      <c r="M156" t="s">
        <v>66</v>
      </c>
      <c r="N156" t="s">
        <v>186</v>
      </c>
      <c r="O156">
        <v>2017</v>
      </c>
      <c r="P156" t="s">
        <v>188</v>
      </c>
      <c r="Q156" t="s">
        <v>189</v>
      </c>
      <c r="R156" t="s">
        <v>104</v>
      </c>
      <c r="S156" t="s">
        <v>190</v>
      </c>
      <c r="T156" t="s">
        <v>191</v>
      </c>
      <c r="U156" t="s">
        <v>192</v>
      </c>
      <c r="V156" t="s">
        <v>193</v>
      </c>
    </row>
    <row r="157" spans="1:31" x14ac:dyDescent="0.2">
      <c r="A157" s="3">
        <v>1979</v>
      </c>
      <c r="B157">
        <v>0</v>
      </c>
      <c r="C157">
        <v>1</v>
      </c>
      <c r="D157">
        <v>0</v>
      </c>
      <c r="E157">
        <v>0</v>
      </c>
      <c r="F157">
        <v>0</v>
      </c>
      <c r="G157">
        <v>1</v>
      </c>
      <c r="H157">
        <v>1</v>
      </c>
      <c r="I157">
        <v>7</v>
      </c>
      <c r="J157">
        <v>58</v>
      </c>
      <c r="K157">
        <v>100</v>
      </c>
      <c r="L157">
        <v>296</v>
      </c>
      <c r="M157">
        <v>404</v>
      </c>
      <c r="N157">
        <v>332</v>
      </c>
      <c r="O157">
        <v>333</v>
      </c>
      <c r="P157">
        <v>656</v>
      </c>
      <c r="Q157">
        <v>1130</v>
      </c>
      <c r="R157">
        <v>937</v>
      </c>
      <c r="S157">
        <v>650</v>
      </c>
      <c r="T157">
        <v>576</v>
      </c>
      <c r="U157">
        <v>301</v>
      </c>
      <c r="V157">
        <v>180</v>
      </c>
      <c r="W157">
        <v>172</v>
      </c>
      <c r="X157">
        <v>124</v>
      </c>
      <c r="Y157">
        <v>179</v>
      </c>
      <c r="Z157">
        <v>127</v>
      </c>
      <c r="AA157" t="s">
        <v>99</v>
      </c>
      <c r="AB157">
        <v>1979</v>
      </c>
      <c r="AC157">
        <v>1</v>
      </c>
    </row>
    <row r="158" spans="1:31" x14ac:dyDescent="0.2">
      <c r="A158" s="3">
        <v>1980</v>
      </c>
      <c r="B158">
        <v>4</v>
      </c>
      <c r="C158">
        <v>1</v>
      </c>
      <c r="D158">
        <v>1</v>
      </c>
      <c r="E158">
        <v>6</v>
      </c>
      <c r="F158">
        <v>8</v>
      </c>
      <c r="G158">
        <v>39</v>
      </c>
      <c r="H158">
        <v>137</v>
      </c>
      <c r="I158">
        <v>363</v>
      </c>
      <c r="J158">
        <v>568</v>
      </c>
      <c r="K158">
        <v>495</v>
      </c>
      <c r="L158">
        <v>430</v>
      </c>
      <c r="M158">
        <v>573</v>
      </c>
      <c r="N158">
        <v>730</v>
      </c>
      <c r="O158">
        <v>1444</v>
      </c>
      <c r="P158">
        <v>1237</v>
      </c>
      <c r="Q158">
        <v>991</v>
      </c>
      <c r="R158">
        <v>883</v>
      </c>
      <c r="S158">
        <v>773</v>
      </c>
      <c r="T158">
        <v>598</v>
      </c>
      <c r="U158">
        <v>343</v>
      </c>
      <c r="V158">
        <v>139</v>
      </c>
      <c r="W158">
        <v>63</v>
      </c>
      <c r="X158">
        <v>36</v>
      </c>
      <c r="Y158">
        <v>42</v>
      </c>
      <c r="Z158">
        <v>41</v>
      </c>
      <c r="AA158" t="s">
        <v>99</v>
      </c>
      <c r="AB158">
        <v>1980</v>
      </c>
      <c r="AC158">
        <v>2</v>
      </c>
    </row>
    <row r="159" spans="1:31" x14ac:dyDescent="0.2">
      <c r="A159" s="3">
        <v>1981</v>
      </c>
      <c r="B159">
        <v>0</v>
      </c>
      <c r="C159">
        <v>0</v>
      </c>
      <c r="D159">
        <v>0</v>
      </c>
      <c r="E159">
        <v>4</v>
      </c>
      <c r="F159">
        <v>0</v>
      </c>
      <c r="G159">
        <v>1</v>
      </c>
      <c r="H159">
        <v>4</v>
      </c>
      <c r="I159">
        <v>21</v>
      </c>
      <c r="J159">
        <v>46</v>
      </c>
      <c r="K159">
        <v>104</v>
      </c>
      <c r="L159">
        <v>156</v>
      </c>
      <c r="M159">
        <v>281</v>
      </c>
      <c r="N159">
        <v>356</v>
      </c>
      <c r="O159">
        <v>705</v>
      </c>
      <c r="P159">
        <v>945</v>
      </c>
      <c r="Q159">
        <v>1199</v>
      </c>
      <c r="R159">
        <v>1137</v>
      </c>
      <c r="S159">
        <v>713</v>
      </c>
      <c r="T159">
        <v>702</v>
      </c>
      <c r="U159">
        <v>617</v>
      </c>
      <c r="V159">
        <v>330</v>
      </c>
      <c r="W159">
        <v>139</v>
      </c>
      <c r="X159">
        <v>80</v>
      </c>
      <c r="Y159">
        <v>147</v>
      </c>
      <c r="Z159">
        <v>103</v>
      </c>
      <c r="AA159" t="s">
        <v>99</v>
      </c>
      <c r="AB159">
        <v>1981</v>
      </c>
      <c r="AC159">
        <v>3</v>
      </c>
    </row>
    <row r="160" spans="1:31" x14ac:dyDescent="0.2">
      <c r="A160" s="3">
        <v>1982</v>
      </c>
      <c r="B160">
        <v>0</v>
      </c>
      <c r="C160">
        <v>0</v>
      </c>
      <c r="D160">
        <v>0</v>
      </c>
      <c r="E160">
        <v>0</v>
      </c>
      <c r="F160">
        <v>1</v>
      </c>
      <c r="G160">
        <v>2</v>
      </c>
      <c r="H160">
        <v>12</v>
      </c>
      <c r="I160">
        <v>10</v>
      </c>
      <c r="J160">
        <v>26</v>
      </c>
      <c r="K160">
        <v>74</v>
      </c>
      <c r="L160">
        <v>278</v>
      </c>
      <c r="M160">
        <v>967</v>
      </c>
      <c r="N160">
        <v>2023</v>
      </c>
      <c r="O160">
        <v>4313</v>
      </c>
      <c r="P160">
        <v>3903</v>
      </c>
      <c r="Q160">
        <v>3509</v>
      </c>
      <c r="R160">
        <v>3165</v>
      </c>
      <c r="S160">
        <v>2952</v>
      </c>
      <c r="T160">
        <v>4446</v>
      </c>
      <c r="U160">
        <v>4001</v>
      </c>
      <c r="V160">
        <v>2030</v>
      </c>
      <c r="W160">
        <v>1648</v>
      </c>
      <c r="X160">
        <v>1089</v>
      </c>
      <c r="Y160">
        <v>1620</v>
      </c>
      <c r="Z160">
        <v>715</v>
      </c>
      <c r="AA160" t="s">
        <v>99</v>
      </c>
      <c r="AB160">
        <v>1982</v>
      </c>
      <c r="AC160">
        <v>4</v>
      </c>
    </row>
    <row r="161" spans="1:29" x14ac:dyDescent="0.2">
      <c r="A161" s="3">
        <v>1983</v>
      </c>
      <c r="B161">
        <v>0</v>
      </c>
      <c r="C161">
        <v>0</v>
      </c>
      <c r="D161">
        <v>1</v>
      </c>
      <c r="E161">
        <v>3</v>
      </c>
      <c r="F161">
        <v>7</v>
      </c>
      <c r="G161">
        <v>17</v>
      </c>
      <c r="H161">
        <v>11</v>
      </c>
      <c r="I161">
        <v>36</v>
      </c>
      <c r="J161">
        <v>28</v>
      </c>
      <c r="K161">
        <v>61</v>
      </c>
      <c r="L161">
        <v>139</v>
      </c>
      <c r="M161">
        <v>257</v>
      </c>
      <c r="N161">
        <v>686</v>
      </c>
      <c r="O161">
        <v>3369</v>
      </c>
      <c r="P161">
        <v>6914</v>
      </c>
      <c r="Q161">
        <v>6804</v>
      </c>
      <c r="R161">
        <v>4309</v>
      </c>
      <c r="S161">
        <v>2754</v>
      </c>
      <c r="T161">
        <v>2769</v>
      </c>
      <c r="U161">
        <v>1854</v>
      </c>
      <c r="V161">
        <v>705</v>
      </c>
      <c r="W161">
        <v>407</v>
      </c>
      <c r="X161">
        <v>285</v>
      </c>
      <c r="Y161">
        <v>309</v>
      </c>
      <c r="Z161">
        <v>230</v>
      </c>
      <c r="AA161" t="s">
        <v>99</v>
      </c>
      <c r="AB161">
        <v>1983</v>
      </c>
      <c r="AC161">
        <v>5</v>
      </c>
    </row>
    <row r="162" spans="1:29" x14ac:dyDescent="0.2">
      <c r="A162" s="3">
        <v>1984</v>
      </c>
      <c r="B162">
        <v>9</v>
      </c>
      <c r="C162">
        <v>9</v>
      </c>
      <c r="D162">
        <v>21</v>
      </c>
      <c r="E162">
        <v>14</v>
      </c>
      <c r="F162">
        <v>32</v>
      </c>
      <c r="G162">
        <v>89</v>
      </c>
      <c r="H162">
        <v>130</v>
      </c>
      <c r="I162">
        <v>133</v>
      </c>
      <c r="J162">
        <v>103</v>
      </c>
      <c r="K162">
        <v>144</v>
      </c>
      <c r="L162">
        <v>293</v>
      </c>
      <c r="M162">
        <v>485</v>
      </c>
      <c r="N162">
        <v>839</v>
      </c>
      <c r="O162">
        <v>2726</v>
      </c>
      <c r="P162">
        <v>4687</v>
      </c>
      <c r="Q162">
        <v>4934</v>
      </c>
      <c r="R162">
        <v>3670</v>
      </c>
      <c r="S162">
        <v>2104</v>
      </c>
      <c r="T162">
        <v>1215</v>
      </c>
      <c r="U162">
        <v>829</v>
      </c>
      <c r="V162">
        <v>406</v>
      </c>
      <c r="W162">
        <v>133</v>
      </c>
      <c r="X162">
        <v>72</v>
      </c>
      <c r="Y162">
        <v>67</v>
      </c>
      <c r="Z162">
        <v>45</v>
      </c>
      <c r="AA162" t="s">
        <v>99</v>
      </c>
      <c r="AB162">
        <v>1984</v>
      </c>
      <c r="AC162">
        <v>6</v>
      </c>
    </row>
    <row r="163" spans="1:29" x14ac:dyDescent="0.2">
      <c r="A163" s="3">
        <v>1985</v>
      </c>
      <c r="B163">
        <v>0</v>
      </c>
      <c r="C163">
        <v>1</v>
      </c>
      <c r="D163">
        <v>2</v>
      </c>
      <c r="E163">
        <v>5</v>
      </c>
      <c r="F163">
        <v>21</v>
      </c>
      <c r="G163">
        <v>65</v>
      </c>
      <c r="H163">
        <v>133</v>
      </c>
      <c r="I163">
        <v>242</v>
      </c>
      <c r="J163">
        <v>193</v>
      </c>
      <c r="K163">
        <v>238</v>
      </c>
      <c r="L163">
        <v>498</v>
      </c>
      <c r="M163">
        <v>917</v>
      </c>
      <c r="N163">
        <v>1252</v>
      </c>
      <c r="O163">
        <v>2456</v>
      </c>
      <c r="P163">
        <v>3318</v>
      </c>
      <c r="Q163">
        <v>4540</v>
      </c>
      <c r="R163">
        <v>5335</v>
      </c>
      <c r="S163">
        <v>3258</v>
      </c>
      <c r="T163">
        <v>1655</v>
      </c>
      <c r="U163">
        <v>919</v>
      </c>
      <c r="V163">
        <v>444</v>
      </c>
      <c r="W163">
        <v>235</v>
      </c>
      <c r="X163">
        <v>62</v>
      </c>
      <c r="Y163">
        <v>20</v>
      </c>
      <c r="Z163">
        <v>8</v>
      </c>
      <c r="AA163" t="s">
        <v>99</v>
      </c>
      <c r="AB163">
        <v>1985</v>
      </c>
      <c r="AC163">
        <v>7</v>
      </c>
    </row>
    <row r="164" spans="1:29" x14ac:dyDescent="0.2">
      <c r="A164" s="3">
        <v>1986</v>
      </c>
      <c r="B164">
        <v>0</v>
      </c>
      <c r="C164">
        <v>0</v>
      </c>
      <c r="D164">
        <v>4</v>
      </c>
      <c r="E164">
        <v>28</v>
      </c>
      <c r="F164">
        <v>64</v>
      </c>
      <c r="G164">
        <v>75</v>
      </c>
      <c r="H164">
        <v>100</v>
      </c>
      <c r="I164">
        <v>144</v>
      </c>
      <c r="J164">
        <v>356</v>
      </c>
      <c r="K164">
        <v>529</v>
      </c>
      <c r="L164">
        <v>443</v>
      </c>
      <c r="M164">
        <v>460</v>
      </c>
      <c r="N164">
        <v>731</v>
      </c>
      <c r="O164">
        <v>1632</v>
      </c>
      <c r="P164">
        <v>1893</v>
      </c>
      <c r="Q164">
        <v>1912</v>
      </c>
      <c r="R164">
        <v>1945</v>
      </c>
      <c r="S164">
        <v>1665</v>
      </c>
      <c r="T164">
        <v>1297</v>
      </c>
      <c r="U164">
        <v>633</v>
      </c>
      <c r="V164">
        <v>304</v>
      </c>
      <c r="W164">
        <v>124</v>
      </c>
      <c r="X164">
        <v>44</v>
      </c>
      <c r="Y164">
        <v>14</v>
      </c>
      <c r="Z164">
        <v>2</v>
      </c>
      <c r="AA164" t="s">
        <v>99</v>
      </c>
      <c r="AB164">
        <v>1986</v>
      </c>
      <c r="AC164">
        <v>8</v>
      </c>
    </row>
    <row r="165" spans="1:29" x14ac:dyDescent="0.2">
      <c r="A165" s="3">
        <v>1987</v>
      </c>
      <c r="B165">
        <v>0</v>
      </c>
      <c r="C165">
        <v>0</v>
      </c>
      <c r="D165">
        <v>0</v>
      </c>
      <c r="E165">
        <v>0</v>
      </c>
      <c r="F165">
        <v>2</v>
      </c>
      <c r="G165">
        <v>3</v>
      </c>
      <c r="H165">
        <v>22</v>
      </c>
      <c r="I165">
        <v>64</v>
      </c>
      <c r="J165">
        <v>43</v>
      </c>
      <c r="K165">
        <v>61</v>
      </c>
      <c r="L165">
        <v>146</v>
      </c>
      <c r="M165">
        <v>250</v>
      </c>
      <c r="N165">
        <v>412</v>
      </c>
      <c r="O165">
        <v>1253</v>
      </c>
      <c r="P165">
        <v>2340</v>
      </c>
      <c r="Q165">
        <v>4148</v>
      </c>
      <c r="R165">
        <v>4402</v>
      </c>
      <c r="S165">
        <v>2754</v>
      </c>
      <c r="T165">
        <v>2555</v>
      </c>
      <c r="U165">
        <v>2749</v>
      </c>
      <c r="V165">
        <v>1942</v>
      </c>
      <c r="W165">
        <v>664</v>
      </c>
      <c r="X165">
        <v>200</v>
      </c>
      <c r="Y165">
        <v>52</v>
      </c>
      <c r="Z165">
        <v>4</v>
      </c>
      <c r="AA165" t="s">
        <v>99</v>
      </c>
      <c r="AB165">
        <v>1987</v>
      </c>
      <c r="AC165">
        <v>9</v>
      </c>
    </row>
    <row r="166" spans="1:29" x14ac:dyDescent="0.2">
      <c r="A166" s="3">
        <v>1988</v>
      </c>
      <c r="B166">
        <v>0</v>
      </c>
      <c r="C166">
        <v>0</v>
      </c>
      <c r="D166">
        <v>24</v>
      </c>
      <c r="E166">
        <v>54</v>
      </c>
      <c r="F166">
        <v>99</v>
      </c>
      <c r="G166">
        <v>83</v>
      </c>
      <c r="H166">
        <v>109</v>
      </c>
      <c r="I166">
        <v>108</v>
      </c>
      <c r="J166">
        <v>156</v>
      </c>
      <c r="K166">
        <v>115</v>
      </c>
      <c r="L166">
        <v>52</v>
      </c>
      <c r="M166">
        <v>21</v>
      </c>
      <c r="N166">
        <v>6</v>
      </c>
      <c r="O166">
        <v>3</v>
      </c>
      <c r="P166">
        <v>2</v>
      </c>
      <c r="Q166">
        <v>0</v>
      </c>
      <c r="R166">
        <v>0</v>
      </c>
      <c r="S166">
        <v>0</v>
      </c>
      <c r="T166">
        <v>1</v>
      </c>
      <c r="U166">
        <v>0</v>
      </c>
      <c r="V166">
        <v>0</v>
      </c>
      <c r="W166">
        <v>0</v>
      </c>
      <c r="X166">
        <v>0</v>
      </c>
      <c r="Y166">
        <v>0</v>
      </c>
      <c r="Z166">
        <v>0</v>
      </c>
      <c r="AA166" t="s">
        <v>99</v>
      </c>
      <c r="AB166">
        <v>1988</v>
      </c>
      <c r="AC166">
        <v>10</v>
      </c>
    </row>
    <row r="167" spans="1:29" x14ac:dyDescent="0.2">
      <c r="A167" s="3">
        <v>1989</v>
      </c>
      <c r="B167">
        <v>0</v>
      </c>
      <c r="C167">
        <v>0</v>
      </c>
      <c r="D167">
        <v>0</v>
      </c>
      <c r="E167">
        <v>0</v>
      </c>
      <c r="F167">
        <v>0</v>
      </c>
      <c r="G167">
        <v>0</v>
      </c>
      <c r="H167">
        <v>0</v>
      </c>
      <c r="I167">
        <v>2</v>
      </c>
      <c r="J167">
        <v>0</v>
      </c>
      <c r="K167">
        <v>0</v>
      </c>
      <c r="L167">
        <v>4</v>
      </c>
      <c r="M167">
        <v>4</v>
      </c>
      <c r="N167">
        <v>9</v>
      </c>
      <c r="O167">
        <v>40</v>
      </c>
      <c r="P167">
        <v>141</v>
      </c>
      <c r="Q167">
        <v>265</v>
      </c>
      <c r="R167">
        <v>392</v>
      </c>
      <c r="S167">
        <v>252</v>
      </c>
      <c r="T167">
        <v>212</v>
      </c>
      <c r="U167">
        <v>233</v>
      </c>
      <c r="V167">
        <v>187</v>
      </c>
      <c r="W167">
        <v>113</v>
      </c>
      <c r="X167">
        <v>59</v>
      </c>
      <c r="Y167">
        <v>29</v>
      </c>
      <c r="Z167">
        <v>24</v>
      </c>
      <c r="AA167" t="s">
        <v>99</v>
      </c>
      <c r="AB167">
        <v>1990</v>
      </c>
      <c r="AC167">
        <v>11</v>
      </c>
    </row>
    <row r="168" spans="1:29" x14ac:dyDescent="0.2">
      <c r="A168" s="3">
        <v>1990</v>
      </c>
      <c r="B168">
        <v>0</v>
      </c>
      <c r="C168">
        <v>0</v>
      </c>
      <c r="D168">
        <v>0</v>
      </c>
      <c r="E168">
        <v>0</v>
      </c>
      <c r="F168">
        <v>0</v>
      </c>
      <c r="G168">
        <v>0</v>
      </c>
      <c r="H168">
        <v>1</v>
      </c>
      <c r="I168">
        <v>2</v>
      </c>
      <c r="J168">
        <v>7</v>
      </c>
      <c r="K168">
        <v>13</v>
      </c>
      <c r="L168">
        <v>36</v>
      </c>
      <c r="M168">
        <v>74</v>
      </c>
      <c r="N168">
        <v>85</v>
      </c>
      <c r="O168">
        <v>154</v>
      </c>
      <c r="P168">
        <v>312</v>
      </c>
      <c r="Q168">
        <v>375</v>
      </c>
      <c r="R168">
        <v>617</v>
      </c>
      <c r="S168">
        <v>583</v>
      </c>
      <c r="T168">
        <v>374</v>
      </c>
      <c r="U168">
        <v>210</v>
      </c>
      <c r="V168">
        <v>116</v>
      </c>
      <c r="W168">
        <v>127</v>
      </c>
      <c r="X168">
        <v>41</v>
      </c>
      <c r="Y168">
        <v>31</v>
      </c>
      <c r="Z168">
        <v>7</v>
      </c>
      <c r="AA168" t="s">
        <v>99</v>
      </c>
      <c r="AB168">
        <v>1991</v>
      </c>
      <c r="AC168">
        <v>12</v>
      </c>
    </row>
    <row r="169" spans="1:29" x14ac:dyDescent="0.2">
      <c r="A169" s="3">
        <v>1991</v>
      </c>
      <c r="B169">
        <v>0</v>
      </c>
      <c r="C169">
        <v>0</v>
      </c>
      <c r="D169">
        <v>0</v>
      </c>
      <c r="E169">
        <v>6</v>
      </c>
      <c r="F169">
        <v>10</v>
      </c>
      <c r="G169">
        <v>21</v>
      </c>
      <c r="H169">
        <v>35</v>
      </c>
      <c r="I169">
        <v>42</v>
      </c>
      <c r="J169">
        <v>28</v>
      </c>
      <c r="K169">
        <v>14</v>
      </c>
      <c r="L169">
        <v>7</v>
      </c>
      <c r="M169">
        <v>0</v>
      </c>
      <c r="N169">
        <v>0</v>
      </c>
      <c r="O169">
        <v>0</v>
      </c>
      <c r="P169">
        <v>0</v>
      </c>
      <c r="Q169">
        <v>0</v>
      </c>
      <c r="R169">
        <v>0</v>
      </c>
      <c r="S169">
        <v>0</v>
      </c>
      <c r="T169">
        <v>0</v>
      </c>
      <c r="U169">
        <v>0</v>
      </c>
      <c r="V169">
        <v>0</v>
      </c>
      <c r="W169">
        <v>0</v>
      </c>
      <c r="X169">
        <v>0</v>
      </c>
      <c r="Y169">
        <v>0</v>
      </c>
      <c r="Z169">
        <v>0</v>
      </c>
      <c r="AA169" t="s">
        <v>99</v>
      </c>
      <c r="AB169">
        <v>1992</v>
      </c>
      <c r="AC169">
        <v>13</v>
      </c>
    </row>
    <row r="170" spans="1:29" x14ac:dyDescent="0.2">
      <c r="A170" s="3">
        <v>1992</v>
      </c>
      <c r="B170">
        <v>0</v>
      </c>
      <c r="C170">
        <v>0</v>
      </c>
      <c r="D170">
        <v>0</v>
      </c>
      <c r="E170">
        <v>0</v>
      </c>
      <c r="F170">
        <v>0</v>
      </c>
      <c r="G170">
        <v>0</v>
      </c>
      <c r="H170">
        <v>1</v>
      </c>
      <c r="I170">
        <v>10</v>
      </c>
      <c r="J170">
        <v>15</v>
      </c>
      <c r="K170">
        <v>19</v>
      </c>
      <c r="L170">
        <v>16</v>
      </c>
      <c r="M170">
        <v>1</v>
      </c>
      <c r="N170">
        <v>1</v>
      </c>
      <c r="O170">
        <v>0</v>
      </c>
      <c r="P170">
        <v>0</v>
      </c>
      <c r="Q170">
        <v>0</v>
      </c>
      <c r="R170">
        <v>0</v>
      </c>
      <c r="S170">
        <v>0</v>
      </c>
      <c r="T170">
        <v>0</v>
      </c>
      <c r="U170">
        <v>1</v>
      </c>
      <c r="V170">
        <v>2</v>
      </c>
      <c r="W170">
        <v>10</v>
      </c>
      <c r="X170">
        <v>19</v>
      </c>
      <c r="Y170">
        <v>30</v>
      </c>
      <c r="Z170">
        <v>6</v>
      </c>
      <c r="AA170" t="s">
        <v>99</v>
      </c>
      <c r="AB170">
        <v>1993</v>
      </c>
      <c r="AC170">
        <v>14</v>
      </c>
    </row>
    <row r="171" spans="1:29" x14ac:dyDescent="0.2">
      <c r="A171" s="3">
        <v>1993</v>
      </c>
      <c r="B171">
        <v>0</v>
      </c>
      <c r="C171">
        <v>0</v>
      </c>
      <c r="D171">
        <v>0</v>
      </c>
      <c r="E171">
        <v>1</v>
      </c>
      <c r="F171">
        <v>4</v>
      </c>
      <c r="G171">
        <v>17</v>
      </c>
      <c r="H171">
        <v>45</v>
      </c>
      <c r="I171">
        <v>82</v>
      </c>
      <c r="J171">
        <v>68</v>
      </c>
      <c r="K171">
        <v>41</v>
      </c>
      <c r="L171">
        <v>21</v>
      </c>
      <c r="M171">
        <v>2</v>
      </c>
      <c r="N171">
        <v>1</v>
      </c>
      <c r="O171">
        <v>0</v>
      </c>
      <c r="P171">
        <v>0</v>
      </c>
      <c r="Q171">
        <v>0</v>
      </c>
      <c r="R171">
        <v>0</v>
      </c>
      <c r="S171">
        <v>0</v>
      </c>
      <c r="T171">
        <v>0</v>
      </c>
      <c r="U171">
        <v>0</v>
      </c>
      <c r="V171">
        <v>0</v>
      </c>
      <c r="W171">
        <v>0</v>
      </c>
      <c r="X171">
        <v>0</v>
      </c>
      <c r="Y171">
        <v>0</v>
      </c>
      <c r="Z171">
        <v>0</v>
      </c>
      <c r="AA171" t="s">
        <v>99</v>
      </c>
      <c r="AB171">
        <v>1994</v>
      </c>
      <c r="AC171">
        <v>15</v>
      </c>
    </row>
    <row r="172" spans="1:29" x14ac:dyDescent="0.2">
      <c r="A172" s="3">
        <v>1994</v>
      </c>
      <c r="B172">
        <v>33</v>
      </c>
      <c r="C172">
        <v>31</v>
      </c>
      <c r="D172">
        <v>42</v>
      </c>
      <c r="E172">
        <v>75</v>
      </c>
      <c r="F172">
        <v>62</v>
      </c>
      <c r="G172">
        <v>94</v>
      </c>
      <c r="H172">
        <v>120</v>
      </c>
      <c r="I172">
        <v>118</v>
      </c>
      <c r="J172">
        <v>124</v>
      </c>
      <c r="K172">
        <v>117</v>
      </c>
      <c r="L172">
        <v>128</v>
      </c>
      <c r="M172">
        <v>170</v>
      </c>
      <c r="N172">
        <v>170</v>
      </c>
      <c r="O172">
        <v>315</v>
      </c>
      <c r="P172">
        <v>292</v>
      </c>
      <c r="Q172">
        <v>218</v>
      </c>
      <c r="R172">
        <v>150</v>
      </c>
      <c r="S172">
        <v>89</v>
      </c>
      <c r="T172">
        <v>72</v>
      </c>
      <c r="U172">
        <v>73</v>
      </c>
      <c r="V172">
        <v>49</v>
      </c>
      <c r="W172">
        <v>46</v>
      </c>
      <c r="X172">
        <v>17</v>
      </c>
      <c r="Y172">
        <v>18</v>
      </c>
      <c r="Z172">
        <v>3</v>
      </c>
      <c r="AA172" t="s">
        <v>99</v>
      </c>
      <c r="AB172">
        <v>1995</v>
      </c>
      <c r="AC172">
        <v>16</v>
      </c>
    </row>
    <row r="173" spans="1:29" x14ac:dyDescent="0.2">
      <c r="A173" s="3">
        <v>1995</v>
      </c>
      <c r="B173">
        <v>15</v>
      </c>
      <c r="C173">
        <v>7</v>
      </c>
      <c r="D173">
        <v>11</v>
      </c>
      <c r="E173">
        <v>16</v>
      </c>
      <c r="F173">
        <v>29</v>
      </c>
      <c r="G173">
        <v>41</v>
      </c>
      <c r="H173">
        <v>45</v>
      </c>
      <c r="I173">
        <v>61</v>
      </c>
      <c r="J173">
        <v>76</v>
      </c>
      <c r="K173">
        <v>79</v>
      </c>
      <c r="L173">
        <v>70</v>
      </c>
      <c r="M173">
        <v>59</v>
      </c>
      <c r="N173">
        <v>51</v>
      </c>
      <c r="O173">
        <v>84</v>
      </c>
      <c r="P173">
        <v>60</v>
      </c>
      <c r="Q173">
        <v>54</v>
      </c>
      <c r="R173">
        <v>25</v>
      </c>
      <c r="S173">
        <v>24</v>
      </c>
      <c r="T173">
        <v>23</v>
      </c>
      <c r="U173">
        <v>29</v>
      </c>
      <c r="V173">
        <v>11</v>
      </c>
      <c r="W173">
        <v>14</v>
      </c>
      <c r="X173">
        <v>3</v>
      </c>
      <c r="Y173">
        <v>2</v>
      </c>
      <c r="Z173">
        <v>0</v>
      </c>
      <c r="AA173" t="s">
        <v>99</v>
      </c>
      <c r="AB173">
        <v>1996</v>
      </c>
      <c r="AC173">
        <v>17</v>
      </c>
    </row>
    <row r="174" spans="1:29" x14ac:dyDescent="0.2">
      <c r="A174" s="3">
        <v>1996</v>
      </c>
      <c r="B174">
        <v>8</v>
      </c>
      <c r="C174">
        <v>9</v>
      </c>
      <c r="D174">
        <v>16</v>
      </c>
      <c r="E174">
        <v>33</v>
      </c>
      <c r="F174">
        <v>54</v>
      </c>
      <c r="G174">
        <v>54</v>
      </c>
      <c r="H174">
        <v>59</v>
      </c>
      <c r="I174">
        <v>61</v>
      </c>
      <c r="J174">
        <v>70</v>
      </c>
      <c r="K174">
        <v>92</v>
      </c>
      <c r="L174">
        <v>103</v>
      </c>
      <c r="M174">
        <v>185</v>
      </c>
      <c r="N174">
        <v>232</v>
      </c>
      <c r="O174">
        <v>401</v>
      </c>
      <c r="P174">
        <v>539</v>
      </c>
      <c r="Q174">
        <v>506</v>
      </c>
      <c r="R174">
        <v>257</v>
      </c>
      <c r="S174">
        <v>132</v>
      </c>
      <c r="T174">
        <v>95</v>
      </c>
      <c r="U174">
        <v>42</v>
      </c>
      <c r="V174">
        <v>11</v>
      </c>
      <c r="W174">
        <v>11</v>
      </c>
      <c r="X174">
        <v>8</v>
      </c>
      <c r="Y174">
        <v>15</v>
      </c>
      <c r="Z174">
        <v>6</v>
      </c>
      <c r="AA174" t="s">
        <v>99</v>
      </c>
      <c r="AB174">
        <v>1997</v>
      </c>
      <c r="AC174">
        <v>18</v>
      </c>
    </row>
    <row r="175" spans="1:29" x14ac:dyDescent="0.2">
      <c r="A175" s="3">
        <v>1997</v>
      </c>
      <c r="B175">
        <v>0</v>
      </c>
      <c r="C175">
        <v>0</v>
      </c>
      <c r="D175">
        <v>0</v>
      </c>
      <c r="E175">
        <v>0</v>
      </c>
      <c r="F175">
        <v>2</v>
      </c>
      <c r="G175">
        <v>2</v>
      </c>
      <c r="H175">
        <v>8</v>
      </c>
      <c r="I175">
        <v>4</v>
      </c>
      <c r="J175">
        <v>6</v>
      </c>
      <c r="K175">
        <v>10</v>
      </c>
      <c r="L175">
        <v>9</v>
      </c>
      <c r="M175">
        <v>6</v>
      </c>
      <c r="N175">
        <v>2</v>
      </c>
      <c r="O175">
        <v>17</v>
      </c>
      <c r="P175">
        <v>38</v>
      </c>
      <c r="Q175">
        <v>86</v>
      </c>
      <c r="R175">
        <v>111</v>
      </c>
      <c r="S175">
        <v>145</v>
      </c>
      <c r="T175">
        <v>126</v>
      </c>
      <c r="U175">
        <v>77</v>
      </c>
      <c r="V175">
        <v>63</v>
      </c>
      <c r="W175">
        <v>44</v>
      </c>
      <c r="X175">
        <v>28</v>
      </c>
      <c r="Y175">
        <v>42</v>
      </c>
      <c r="Z175">
        <v>5</v>
      </c>
      <c r="AA175" t="s">
        <v>99</v>
      </c>
      <c r="AB175">
        <v>1998</v>
      </c>
      <c r="AC175">
        <v>19</v>
      </c>
    </row>
    <row r="176" spans="1:29" x14ac:dyDescent="0.2">
      <c r="A176" s="3">
        <v>1998</v>
      </c>
      <c r="B176">
        <v>0</v>
      </c>
      <c r="C176">
        <v>0</v>
      </c>
      <c r="D176">
        <v>0</v>
      </c>
      <c r="E176">
        <v>0</v>
      </c>
      <c r="F176">
        <v>0</v>
      </c>
      <c r="G176">
        <v>0</v>
      </c>
      <c r="H176">
        <v>2</v>
      </c>
      <c r="I176">
        <v>4</v>
      </c>
      <c r="J176">
        <v>7</v>
      </c>
      <c r="K176">
        <v>13</v>
      </c>
      <c r="L176">
        <v>29</v>
      </c>
      <c r="M176">
        <v>50</v>
      </c>
      <c r="N176">
        <v>57</v>
      </c>
      <c r="O176">
        <v>82</v>
      </c>
      <c r="P176">
        <v>133</v>
      </c>
      <c r="Q176">
        <v>138</v>
      </c>
      <c r="R176">
        <v>160</v>
      </c>
      <c r="S176">
        <v>150</v>
      </c>
      <c r="T176">
        <v>114</v>
      </c>
      <c r="U176">
        <v>78</v>
      </c>
      <c r="V176">
        <v>69</v>
      </c>
      <c r="W176">
        <v>46</v>
      </c>
      <c r="X176">
        <v>30</v>
      </c>
      <c r="Y176">
        <v>19</v>
      </c>
      <c r="Z176">
        <v>5</v>
      </c>
      <c r="AA176" t="s">
        <v>99</v>
      </c>
      <c r="AB176">
        <v>1999</v>
      </c>
      <c r="AC176">
        <v>20</v>
      </c>
    </row>
    <row r="177" spans="1:29" x14ac:dyDescent="0.2">
      <c r="A177" s="3">
        <v>1999</v>
      </c>
      <c r="B177">
        <v>0</v>
      </c>
      <c r="C177">
        <v>0</v>
      </c>
      <c r="D177">
        <v>0</v>
      </c>
      <c r="E177">
        <v>0</v>
      </c>
      <c r="F177">
        <v>3</v>
      </c>
      <c r="G177">
        <v>0</v>
      </c>
      <c r="H177">
        <v>9</v>
      </c>
      <c r="I177">
        <v>17</v>
      </c>
      <c r="J177">
        <v>19</v>
      </c>
      <c r="K177">
        <v>36</v>
      </c>
      <c r="L177">
        <v>28</v>
      </c>
      <c r="M177">
        <v>43</v>
      </c>
      <c r="N177">
        <v>68</v>
      </c>
      <c r="O177">
        <v>120</v>
      </c>
      <c r="P177">
        <v>145</v>
      </c>
      <c r="Q177">
        <v>151</v>
      </c>
      <c r="R177">
        <v>177</v>
      </c>
      <c r="S177">
        <v>197</v>
      </c>
      <c r="T177">
        <v>152</v>
      </c>
      <c r="U177">
        <v>80</v>
      </c>
      <c r="V177">
        <v>54</v>
      </c>
      <c r="W177">
        <v>40</v>
      </c>
      <c r="X177">
        <v>23</v>
      </c>
      <c r="Y177">
        <v>28</v>
      </c>
      <c r="Z177">
        <v>12</v>
      </c>
      <c r="AA177" t="s">
        <v>99</v>
      </c>
      <c r="AB177">
        <v>2000</v>
      </c>
      <c r="AC177">
        <v>21</v>
      </c>
    </row>
    <row r="178" spans="1:29" x14ac:dyDescent="0.2">
      <c r="A178" s="3">
        <v>2000</v>
      </c>
      <c r="B178">
        <v>1</v>
      </c>
      <c r="C178">
        <v>1</v>
      </c>
      <c r="D178">
        <v>2</v>
      </c>
      <c r="E178">
        <v>2</v>
      </c>
      <c r="F178">
        <v>6</v>
      </c>
      <c r="G178">
        <v>12</v>
      </c>
      <c r="H178">
        <v>17</v>
      </c>
      <c r="I178">
        <v>11</v>
      </c>
      <c r="J178">
        <v>25</v>
      </c>
      <c r="K178">
        <v>35</v>
      </c>
      <c r="L178">
        <v>79</v>
      </c>
      <c r="M178">
        <v>106</v>
      </c>
      <c r="N178">
        <v>124</v>
      </c>
      <c r="O178">
        <v>301</v>
      </c>
      <c r="P178">
        <v>409</v>
      </c>
      <c r="Q178">
        <v>379</v>
      </c>
      <c r="R178">
        <v>312</v>
      </c>
      <c r="S178">
        <v>305</v>
      </c>
      <c r="T178">
        <v>283</v>
      </c>
      <c r="U178">
        <v>194</v>
      </c>
      <c r="V178">
        <v>142</v>
      </c>
      <c r="W178">
        <v>75</v>
      </c>
      <c r="X178">
        <v>60</v>
      </c>
      <c r="Y178">
        <v>63</v>
      </c>
      <c r="Z178">
        <v>16</v>
      </c>
      <c r="AA178" t="s">
        <v>99</v>
      </c>
      <c r="AB178">
        <v>2001</v>
      </c>
      <c r="AC178">
        <v>22</v>
      </c>
    </row>
    <row r="179" spans="1:29" x14ac:dyDescent="0.2">
      <c r="A179" s="3">
        <v>2001</v>
      </c>
      <c r="B179">
        <v>1</v>
      </c>
      <c r="C179">
        <v>1</v>
      </c>
      <c r="D179">
        <v>2</v>
      </c>
      <c r="E179">
        <v>0</v>
      </c>
      <c r="F179">
        <v>3</v>
      </c>
      <c r="G179">
        <v>4</v>
      </c>
      <c r="H179">
        <v>13</v>
      </c>
      <c r="I179">
        <v>20</v>
      </c>
      <c r="J179">
        <v>38</v>
      </c>
      <c r="K179">
        <v>42</v>
      </c>
      <c r="L179">
        <v>51</v>
      </c>
      <c r="M179">
        <v>88</v>
      </c>
      <c r="N179">
        <v>124</v>
      </c>
      <c r="O179">
        <v>215</v>
      </c>
      <c r="P179">
        <v>287</v>
      </c>
      <c r="Q179">
        <v>314</v>
      </c>
      <c r="R179">
        <v>349</v>
      </c>
      <c r="S179">
        <v>256</v>
      </c>
      <c r="T179">
        <v>196</v>
      </c>
      <c r="U179">
        <v>118</v>
      </c>
      <c r="V179">
        <v>92</v>
      </c>
      <c r="W179">
        <v>60</v>
      </c>
      <c r="X179">
        <v>48</v>
      </c>
      <c r="Y179">
        <v>38</v>
      </c>
      <c r="Z179">
        <v>21</v>
      </c>
      <c r="AA179" t="s">
        <v>99</v>
      </c>
      <c r="AB179">
        <v>2002</v>
      </c>
      <c r="AC179">
        <v>23</v>
      </c>
    </row>
    <row r="180" spans="1:29" x14ac:dyDescent="0.2">
      <c r="A180" s="3">
        <v>2002</v>
      </c>
      <c r="B180">
        <v>1</v>
      </c>
      <c r="C180">
        <v>2</v>
      </c>
      <c r="D180">
        <v>1</v>
      </c>
      <c r="E180">
        <v>9</v>
      </c>
      <c r="F180">
        <v>6</v>
      </c>
      <c r="G180">
        <v>11</v>
      </c>
      <c r="H180">
        <v>33</v>
      </c>
      <c r="I180">
        <v>35</v>
      </c>
      <c r="J180">
        <v>105</v>
      </c>
      <c r="K180">
        <v>143</v>
      </c>
      <c r="L180">
        <v>176</v>
      </c>
      <c r="M180">
        <v>200</v>
      </c>
      <c r="N180">
        <v>239</v>
      </c>
      <c r="O180">
        <v>390</v>
      </c>
      <c r="P180">
        <v>374</v>
      </c>
      <c r="Q180">
        <v>351</v>
      </c>
      <c r="R180">
        <v>328</v>
      </c>
      <c r="S180">
        <v>296</v>
      </c>
      <c r="T180">
        <v>234</v>
      </c>
      <c r="U180">
        <v>153</v>
      </c>
      <c r="V180">
        <v>131</v>
      </c>
      <c r="W180">
        <v>108</v>
      </c>
      <c r="X180">
        <v>60</v>
      </c>
      <c r="Y180">
        <v>61</v>
      </c>
      <c r="Z180">
        <v>16</v>
      </c>
      <c r="AA180" t="s">
        <v>99</v>
      </c>
      <c r="AB180">
        <v>2003</v>
      </c>
      <c r="AC180">
        <v>24</v>
      </c>
    </row>
    <row r="181" spans="1:29" x14ac:dyDescent="0.2">
      <c r="A181" s="3">
        <v>2003</v>
      </c>
      <c r="B181">
        <v>3</v>
      </c>
      <c r="C181">
        <v>0</v>
      </c>
      <c r="D181">
        <v>2</v>
      </c>
      <c r="E181">
        <v>6</v>
      </c>
      <c r="F181">
        <v>14</v>
      </c>
      <c r="G181">
        <v>30</v>
      </c>
      <c r="H181">
        <v>59</v>
      </c>
      <c r="I181">
        <v>111</v>
      </c>
      <c r="J181">
        <v>112</v>
      </c>
      <c r="K181">
        <v>125</v>
      </c>
      <c r="L181">
        <v>180</v>
      </c>
      <c r="M181">
        <v>261</v>
      </c>
      <c r="N181">
        <v>304</v>
      </c>
      <c r="O181">
        <v>557</v>
      </c>
      <c r="P181">
        <v>560</v>
      </c>
      <c r="Q181">
        <v>401</v>
      </c>
      <c r="R181">
        <v>343</v>
      </c>
      <c r="S181">
        <v>322</v>
      </c>
      <c r="T181">
        <v>299</v>
      </c>
      <c r="U181">
        <v>223</v>
      </c>
      <c r="V181">
        <v>153</v>
      </c>
      <c r="W181">
        <v>98</v>
      </c>
      <c r="X181">
        <v>50</v>
      </c>
      <c r="Y181">
        <v>65</v>
      </c>
      <c r="Z181">
        <v>28</v>
      </c>
      <c r="AA181" t="s">
        <v>99</v>
      </c>
      <c r="AB181">
        <v>2004</v>
      </c>
      <c r="AC181">
        <v>25</v>
      </c>
    </row>
    <row r="182" spans="1:29" x14ac:dyDescent="0.2">
      <c r="A182" s="3">
        <v>2004</v>
      </c>
      <c r="B182">
        <v>0</v>
      </c>
      <c r="C182">
        <v>0</v>
      </c>
      <c r="D182">
        <v>4</v>
      </c>
      <c r="E182">
        <v>3</v>
      </c>
      <c r="F182">
        <v>4</v>
      </c>
      <c r="G182">
        <v>10</v>
      </c>
      <c r="H182">
        <v>25</v>
      </c>
      <c r="I182">
        <v>52</v>
      </c>
      <c r="J182">
        <v>82</v>
      </c>
      <c r="K182">
        <v>141</v>
      </c>
      <c r="L182">
        <v>147</v>
      </c>
      <c r="M182">
        <v>140</v>
      </c>
      <c r="N182">
        <v>180</v>
      </c>
      <c r="O182">
        <v>335</v>
      </c>
      <c r="P182">
        <v>348</v>
      </c>
      <c r="Q182">
        <v>290</v>
      </c>
      <c r="R182">
        <v>210</v>
      </c>
      <c r="S182">
        <v>155</v>
      </c>
      <c r="T182">
        <v>101</v>
      </c>
      <c r="U182">
        <v>92</v>
      </c>
      <c r="V182">
        <v>56</v>
      </c>
      <c r="W182">
        <v>40</v>
      </c>
      <c r="X182">
        <v>23</v>
      </c>
      <c r="Y182">
        <v>19</v>
      </c>
      <c r="Z182">
        <v>6</v>
      </c>
      <c r="AA182" t="s">
        <v>99</v>
      </c>
      <c r="AB182">
        <v>2005</v>
      </c>
      <c r="AC182">
        <v>26</v>
      </c>
    </row>
    <row r="183" spans="1:29" x14ac:dyDescent="0.2">
      <c r="A183" s="3">
        <v>2005</v>
      </c>
      <c r="B183">
        <v>0</v>
      </c>
      <c r="C183">
        <v>0</v>
      </c>
      <c r="D183">
        <v>0</v>
      </c>
      <c r="E183">
        <v>3</v>
      </c>
      <c r="F183">
        <v>7</v>
      </c>
      <c r="G183">
        <v>12</v>
      </c>
      <c r="H183">
        <v>33</v>
      </c>
      <c r="I183">
        <v>50</v>
      </c>
      <c r="J183">
        <v>101</v>
      </c>
      <c r="K183">
        <v>81</v>
      </c>
      <c r="L183">
        <v>102</v>
      </c>
      <c r="M183">
        <v>141</v>
      </c>
      <c r="N183">
        <v>180</v>
      </c>
      <c r="O183">
        <v>309</v>
      </c>
      <c r="P183">
        <v>233</v>
      </c>
      <c r="Q183">
        <v>193</v>
      </c>
      <c r="R183">
        <v>173</v>
      </c>
      <c r="S183">
        <v>109</v>
      </c>
      <c r="T183">
        <v>76</v>
      </c>
      <c r="U183">
        <v>56</v>
      </c>
      <c r="V183">
        <v>49</v>
      </c>
      <c r="W183">
        <v>51</v>
      </c>
      <c r="X183">
        <v>32</v>
      </c>
      <c r="Y183">
        <v>23</v>
      </c>
      <c r="Z183">
        <v>2</v>
      </c>
      <c r="AA183" t="s">
        <v>99</v>
      </c>
      <c r="AB183">
        <v>2006</v>
      </c>
      <c r="AC183">
        <v>27</v>
      </c>
    </row>
    <row r="184" spans="1:29" x14ac:dyDescent="0.2">
      <c r="A184" s="3">
        <v>2006</v>
      </c>
      <c r="B184">
        <v>0</v>
      </c>
      <c r="C184">
        <v>1</v>
      </c>
      <c r="D184">
        <v>1</v>
      </c>
      <c r="E184">
        <v>0</v>
      </c>
      <c r="F184">
        <v>2</v>
      </c>
      <c r="G184">
        <v>2</v>
      </c>
      <c r="H184">
        <v>7</v>
      </c>
      <c r="I184">
        <v>6</v>
      </c>
      <c r="J184">
        <v>21</v>
      </c>
      <c r="K184">
        <v>21</v>
      </c>
      <c r="L184">
        <v>33</v>
      </c>
      <c r="M184">
        <v>43</v>
      </c>
      <c r="N184">
        <v>43</v>
      </c>
      <c r="O184">
        <v>66</v>
      </c>
      <c r="P184">
        <v>79</v>
      </c>
      <c r="Q184">
        <v>62</v>
      </c>
      <c r="R184">
        <v>46</v>
      </c>
      <c r="S184">
        <v>14</v>
      </c>
      <c r="T184">
        <v>11</v>
      </c>
      <c r="U184">
        <v>14</v>
      </c>
      <c r="V184">
        <v>21</v>
      </c>
      <c r="W184">
        <v>11</v>
      </c>
      <c r="X184">
        <v>6</v>
      </c>
      <c r="Y184">
        <v>3</v>
      </c>
      <c r="Z184">
        <v>3</v>
      </c>
      <c r="AA184" t="s">
        <v>99</v>
      </c>
      <c r="AB184">
        <v>2007</v>
      </c>
      <c r="AC184">
        <v>28</v>
      </c>
    </row>
    <row r="185" spans="1:29" x14ac:dyDescent="0.2">
      <c r="A185" s="3">
        <v>2007</v>
      </c>
      <c r="B185">
        <v>0</v>
      </c>
      <c r="C185">
        <v>0</v>
      </c>
      <c r="D185">
        <v>0</v>
      </c>
      <c r="E185">
        <v>4</v>
      </c>
      <c r="F185">
        <v>3</v>
      </c>
      <c r="G185">
        <v>12</v>
      </c>
      <c r="H185">
        <v>28</v>
      </c>
      <c r="I185">
        <v>30</v>
      </c>
      <c r="J185">
        <v>26</v>
      </c>
      <c r="K185">
        <v>40</v>
      </c>
      <c r="L185">
        <v>42</v>
      </c>
      <c r="M185">
        <v>63</v>
      </c>
      <c r="N185">
        <v>107</v>
      </c>
      <c r="O185">
        <v>210</v>
      </c>
      <c r="P185">
        <v>183</v>
      </c>
      <c r="Q185">
        <v>175</v>
      </c>
      <c r="R185">
        <v>153</v>
      </c>
      <c r="S185">
        <v>85</v>
      </c>
      <c r="T185">
        <v>57</v>
      </c>
      <c r="U185">
        <v>37</v>
      </c>
      <c r="V185">
        <v>33</v>
      </c>
      <c r="W185">
        <v>22</v>
      </c>
      <c r="X185">
        <v>18</v>
      </c>
      <c r="Y185">
        <v>15</v>
      </c>
      <c r="Z185">
        <v>8</v>
      </c>
      <c r="AA185" t="s">
        <v>99</v>
      </c>
      <c r="AB185">
        <v>2008</v>
      </c>
      <c r="AC185">
        <v>29</v>
      </c>
    </row>
    <row r="186" spans="1:29" x14ac:dyDescent="0.2">
      <c r="A186" s="3">
        <v>2008</v>
      </c>
      <c r="B186">
        <v>0</v>
      </c>
      <c r="C186">
        <v>0</v>
      </c>
      <c r="D186">
        <v>0</v>
      </c>
      <c r="E186">
        <v>1</v>
      </c>
      <c r="F186">
        <v>0</v>
      </c>
      <c r="G186">
        <v>2</v>
      </c>
      <c r="H186">
        <v>2</v>
      </c>
      <c r="I186">
        <v>5</v>
      </c>
      <c r="J186">
        <v>2</v>
      </c>
      <c r="K186">
        <v>5</v>
      </c>
      <c r="L186">
        <v>11</v>
      </c>
      <c r="M186">
        <v>12</v>
      </c>
      <c r="N186">
        <v>32</v>
      </c>
      <c r="O186">
        <v>63</v>
      </c>
      <c r="P186">
        <v>63</v>
      </c>
      <c r="Q186">
        <v>61</v>
      </c>
      <c r="R186">
        <v>50</v>
      </c>
      <c r="S186">
        <v>58</v>
      </c>
      <c r="T186">
        <v>36</v>
      </c>
      <c r="U186">
        <v>21</v>
      </c>
      <c r="V186">
        <v>17</v>
      </c>
      <c r="W186">
        <v>13</v>
      </c>
      <c r="X186">
        <v>8</v>
      </c>
      <c r="Y186">
        <v>1</v>
      </c>
      <c r="Z186">
        <v>2</v>
      </c>
      <c r="AA186" t="s">
        <v>99</v>
      </c>
      <c r="AB186">
        <v>2009</v>
      </c>
      <c r="AC186">
        <v>30</v>
      </c>
    </row>
    <row r="187" spans="1:29" x14ac:dyDescent="0.2">
      <c r="A187" s="3">
        <v>2009</v>
      </c>
      <c r="B187">
        <v>0</v>
      </c>
      <c r="C187">
        <v>0</v>
      </c>
      <c r="D187">
        <v>0</v>
      </c>
      <c r="E187">
        <v>0</v>
      </c>
      <c r="F187">
        <v>2</v>
      </c>
      <c r="G187">
        <v>1</v>
      </c>
      <c r="H187">
        <v>1</v>
      </c>
      <c r="I187">
        <v>4</v>
      </c>
      <c r="J187">
        <v>4</v>
      </c>
      <c r="K187">
        <v>14</v>
      </c>
      <c r="L187">
        <v>13</v>
      </c>
      <c r="M187">
        <v>12</v>
      </c>
      <c r="N187">
        <v>13</v>
      </c>
      <c r="O187">
        <v>63</v>
      </c>
      <c r="P187">
        <v>114</v>
      </c>
      <c r="Q187">
        <v>115</v>
      </c>
      <c r="R187">
        <v>114</v>
      </c>
      <c r="S187">
        <v>132</v>
      </c>
      <c r="T187">
        <v>93</v>
      </c>
      <c r="U187">
        <v>51</v>
      </c>
      <c r="V187">
        <v>42</v>
      </c>
      <c r="W187">
        <v>25</v>
      </c>
      <c r="X187">
        <v>14</v>
      </c>
      <c r="Y187">
        <v>6</v>
      </c>
      <c r="Z187">
        <v>3</v>
      </c>
      <c r="AA187" t="s">
        <v>99</v>
      </c>
      <c r="AB187">
        <v>2010</v>
      </c>
      <c r="AC187">
        <v>31</v>
      </c>
    </row>
    <row r="188" spans="1:29" x14ac:dyDescent="0.2">
      <c r="A188" s="3">
        <v>2010</v>
      </c>
      <c r="B188">
        <v>0</v>
      </c>
      <c r="C188">
        <v>0</v>
      </c>
      <c r="D188">
        <v>1</v>
      </c>
      <c r="E188">
        <v>2</v>
      </c>
      <c r="F188">
        <v>2</v>
      </c>
      <c r="G188">
        <v>4</v>
      </c>
      <c r="H188">
        <v>8</v>
      </c>
      <c r="I188">
        <v>13</v>
      </c>
      <c r="J188">
        <v>11</v>
      </c>
      <c r="K188">
        <v>10</v>
      </c>
      <c r="L188">
        <v>13</v>
      </c>
      <c r="M188">
        <v>12</v>
      </c>
      <c r="N188">
        <v>22</v>
      </c>
      <c r="O188">
        <v>71</v>
      </c>
      <c r="P188">
        <v>80</v>
      </c>
      <c r="Q188">
        <v>100</v>
      </c>
      <c r="R188">
        <v>67</v>
      </c>
      <c r="S188">
        <v>58</v>
      </c>
      <c r="T188">
        <v>42</v>
      </c>
      <c r="U188">
        <v>20</v>
      </c>
      <c r="V188">
        <v>9</v>
      </c>
      <c r="W188">
        <v>5</v>
      </c>
      <c r="X188">
        <v>1</v>
      </c>
      <c r="Y188">
        <v>2</v>
      </c>
      <c r="Z188">
        <v>3</v>
      </c>
      <c r="AA188" t="s">
        <v>99</v>
      </c>
      <c r="AB188">
        <v>2011</v>
      </c>
      <c r="AC188">
        <v>32</v>
      </c>
    </row>
    <row r="189" spans="1:29" x14ac:dyDescent="0.2">
      <c r="A189" s="3">
        <v>2011</v>
      </c>
      <c r="B189">
        <v>0</v>
      </c>
      <c r="C189">
        <v>0</v>
      </c>
      <c r="D189">
        <v>0</v>
      </c>
      <c r="E189">
        <v>3</v>
      </c>
      <c r="F189">
        <v>7</v>
      </c>
      <c r="G189">
        <v>9</v>
      </c>
      <c r="H189">
        <v>7</v>
      </c>
      <c r="I189">
        <v>14</v>
      </c>
      <c r="J189">
        <v>11</v>
      </c>
      <c r="K189">
        <v>7</v>
      </c>
      <c r="L189">
        <v>5</v>
      </c>
      <c r="M189">
        <v>12</v>
      </c>
      <c r="N189">
        <v>16</v>
      </c>
      <c r="O189">
        <v>32</v>
      </c>
      <c r="P189">
        <v>44</v>
      </c>
      <c r="Q189">
        <v>43</v>
      </c>
      <c r="R189">
        <v>46</v>
      </c>
      <c r="S189">
        <v>59</v>
      </c>
      <c r="T189">
        <v>30</v>
      </c>
      <c r="U189">
        <v>7</v>
      </c>
      <c r="V189">
        <v>6</v>
      </c>
      <c r="W189">
        <v>2</v>
      </c>
      <c r="X189">
        <v>1</v>
      </c>
      <c r="Y189">
        <v>8</v>
      </c>
      <c r="Z189">
        <v>5</v>
      </c>
      <c r="AA189" t="s">
        <v>99</v>
      </c>
      <c r="AB189">
        <v>2012</v>
      </c>
      <c r="AC189">
        <v>33</v>
      </c>
    </row>
    <row r="190" spans="1:29" x14ac:dyDescent="0.2">
      <c r="A190" s="3">
        <v>2012</v>
      </c>
      <c r="B190">
        <v>1</v>
      </c>
      <c r="C190">
        <v>1</v>
      </c>
      <c r="D190">
        <v>1</v>
      </c>
      <c r="E190">
        <v>1</v>
      </c>
      <c r="F190">
        <v>3</v>
      </c>
      <c r="G190">
        <v>2</v>
      </c>
      <c r="H190">
        <v>6</v>
      </c>
      <c r="I190">
        <v>10</v>
      </c>
      <c r="J190">
        <v>15</v>
      </c>
      <c r="K190">
        <v>12</v>
      </c>
      <c r="L190">
        <v>7</v>
      </c>
      <c r="M190">
        <v>9</v>
      </c>
      <c r="N190">
        <v>13</v>
      </c>
      <c r="O190">
        <v>35</v>
      </c>
      <c r="P190">
        <v>52</v>
      </c>
      <c r="Q190">
        <v>73</v>
      </c>
      <c r="R190">
        <v>59</v>
      </c>
      <c r="S190">
        <v>60</v>
      </c>
      <c r="T190">
        <v>50</v>
      </c>
      <c r="U190">
        <v>35</v>
      </c>
      <c r="V190">
        <v>10</v>
      </c>
      <c r="W190">
        <v>6</v>
      </c>
      <c r="X190">
        <v>2</v>
      </c>
      <c r="Y190">
        <v>0</v>
      </c>
      <c r="Z190">
        <v>1</v>
      </c>
      <c r="AA190" t="s">
        <v>99</v>
      </c>
      <c r="AB190">
        <v>2013</v>
      </c>
      <c r="AC190">
        <v>34</v>
      </c>
    </row>
    <row r="191" spans="1:29" x14ac:dyDescent="0.2">
      <c r="A191" s="3">
        <v>2013</v>
      </c>
      <c r="B191">
        <v>0</v>
      </c>
      <c r="C191">
        <v>0</v>
      </c>
      <c r="D191">
        <v>1</v>
      </c>
      <c r="E191">
        <v>1</v>
      </c>
      <c r="F191">
        <v>4</v>
      </c>
      <c r="G191">
        <v>2</v>
      </c>
      <c r="H191">
        <v>2</v>
      </c>
      <c r="I191">
        <v>4</v>
      </c>
      <c r="J191">
        <v>1</v>
      </c>
      <c r="K191">
        <v>7</v>
      </c>
      <c r="L191">
        <v>4</v>
      </c>
      <c r="M191">
        <v>7</v>
      </c>
      <c r="N191">
        <v>16</v>
      </c>
      <c r="O191">
        <v>30</v>
      </c>
      <c r="P191">
        <v>24</v>
      </c>
      <c r="Q191">
        <v>26</v>
      </c>
      <c r="R191">
        <v>19</v>
      </c>
      <c r="S191">
        <v>28</v>
      </c>
      <c r="T191">
        <v>25</v>
      </c>
      <c r="U191">
        <v>22</v>
      </c>
      <c r="V191">
        <v>3</v>
      </c>
      <c r="W191">
        <v>4</v>
      </c>
      <c r="X191">
        <v>1</v>
      </c>
      <c r="Y191">
        <v>2</v>
      </c>
      <c r="Z191">
        <v>1</v>
      </c>
      <c r="AA191" t="s">
        <v>99</v>
      </c>
      <c r="AB191">
        <v>2014</v>
      </c>
      <c r="AC191">
        <v>35</v>
      </c>
    </row>
    <row r="192" spans="1:29" x14ac:dyDescent="0.2">
      <c r="A192" s="3">
        <v>2014</v>
      </c>
      <c r="B192">
        <v>0</v>
      </c>
      <c r="C192">
        <v>0</v>
      </c>
      <c r="D192">
        <v>0</v>
      </c>
      <c r="E192">
        <v>0</v>
      </c>
      <c r="F192">
        <v>0</v>
      </c>
      <c r="G192">
        <v>0</v>
      </c>
      <c r="H192">
        <v>1</v>
      </c>
      <c r="I192">
        <v>0</v>
      </c>
      <c r="J192">
        <v>1</v>
      </c>
      <c r="K192">
        <v>0</v>
      </c>
      <c r="L192">
        <v>5</v>
      </c>
      <c r="M192">
        <v>5</v>
      </c>
      <c r="N192">
        <v>6</v>
      </c>
      <c r="O192">
        <v>5</v>
      </c>
      <c r="P192">
        <v>20</v>
      </c>
      <c r="Q192">
        <v>16</v>
      </c>
      <c r="R192">
        <v>15</v>
      </c>
      <c r="S192">
        <v>14</v>
      </c>
      <c r="T192">
        <v>10</v>
      </c>
      <c r="U192">
        <v>4</v>
      </c>
      <c r="V192">
        <v>1</v>
      </c>
      <c r="W192">
        <v>1</v>
      </c>
      <c r="X192">
        <v>0</v>
      </c>
      <c r="Y192">
        <v>0</v>
      </c>
      <c r="Z192">
        <v>0</v>
      </c>
      <c r="AA192" t="s">
        <v>99</v>
      </c>
      <c r="AB192">
        <v>2016</v>
      </c>
      <c r="AC192">
        <v>36</v>
      </c>
    </row>
    <row r="193" spans="1:29" x14ac:dyDescent="0.2">
      <c r="A193" s="3">
        <v>2015</v>
      </c>
      <c r="B193">
        <v>1</v>
      </c>
      <c r="C193">
        <v>2</v>
      </c>
      <c r="D193">
        <v>5</v>
      </c>
      <c r="E193">
        <v>17</v>
      </c>
      <c r="F193">
        <v>31</v>
      </c>
      <c r="G193">
        <v>46</v>
      </c>
      <c r="H193">
        <v>44</v>
      </c>
      <c r="I193">
        <v>62</v>
      </c>
      <c r="J193">
        <v>104</v>
      </c>
      <c r="K193">
        <v>129</v>
      </c>
      <c r="L193">
        <v>198</v>
      </c>
      <c r="M193">
        <v>329</v>
      </c>
      <c r="N193">
        <v>465</v>
      </c>
      <c r="O193">
        <v>1024</v>
      </c>
      <c r="P193">
        <v>1138</v>
      </c>
      <c r="Q193">
        <v>870</v>
      </c>
      <c r="R193">
        <v>647</v>
      </c>
      <c r="S193">
        <v>517</v>
      </c>
      <c r="T193">
        <v>653</v>
      </c>
      <c r="U193">
        <v>497</v>
      </c>
      <c r="V193">
        <v>331</v>
      </c>
      <c r="W193">
        <v>131</v>
      </c>
      <c r="X193">
        <v>41</v>
      </c>
      <c r="Y193">
        <v>15</v>
      </c>
      <c r="Z193">
        <v>3</v>
      </c>
      <c r="AA193" t="s">
        <v>99</v>
      </c>
      <c r="AB193">
        <v>2018</v>
      </c>
      <c r="AC193">
        <v>37</v>
      </c>
    </row>
    <row r="194" spans="1:29" x14ac:dyDescent="0.2">
      <c r="A194" s="3">
        <v>2016</v>
      </c>
      <c r="B194">
        <v>5</v>
      </c>
      <c r="C194">
        <v>3</v>
      </c>
      <c r="D194">
        <v>2</v>
      </c>
      <c r="E194">
        <v>13</v>
      </c>
      <c r="F194">
        <v>13</v>
      </c>
      <c r="G194">
        <v>28</v>
      </c>
      <c r="H194">
        <v>91</v>
      </c>
      <c r="I194">
        <v>226</v>
      </c>
      <c r="J194">
        <v>358</v>
      </c>
      <c r="K194">
        <v>390</v>
      </c>
      <c r="L194">
        <v>370</v>
      </c>
      <c r="M194">
        <v>391</v>
      </c>
      <c r="N194">
        <v>488</v>
      </c>
      <c r="O194">
        <v>1035</v>
      </c>
      <c r="P194">
        <v>1487</v>
      </c>
      <c r="Q194">
        <v>1551</v>
      </c>
      <c r="R194">
        <v>1299</v>
      </c>
      <c r="S194">
        <v>797</v>
      </c>
      <c r="T194">
        <v>546</v>
      </c>
      <c r="U194">
        <v>478</v>
      </c>
      <c r="V194">
        <v>424</v>
      </c>
      <c r="W194">
        <v>234</v>
      </c>
      <c r="X194">
        <v>97</v>
      </c>
      <c r="Y194">
        <v>34</v>
      </c>
      <c r="Z194">
        <v>19</v>
      </c>
      <c r="AA194" t="s">
        <v>99</v>
      </c>
      <c r="AB194">
        <v>2019</v>
      </c>
      <c r="AC194">
        <v>38</v>
      </c>
    </row>
    <row r="195" spans="1:29" x14ac:dyDescent="0.2">
      <c r="A195" s="3">
        <v>2017</v>
      </c>
      <c r="B195">
        <v>2</v>
      </c>
      <c r="C195">
        <v>0</v>
      </c>
      <c r="D195">
        <v>2</v>
      </c>
      <c r="E195">
        <v>11</v>
      </c>
      <c r="F195">
        <v>13</v>
      </c>
      <c r="G195">
        <v>29</v>
      </c>
      <c r="H195">
        <v>50</v>
      </c>
      <c r="I195">
        <v>84</v>
      </c>
      <c r="J195">
        <v>147</v>
      </c>
      <c r="K195">
        <v>223</v>
      </c>
      <c r="L195">
        <v>420</v>
      </c>
      <c r="M195">
        <v>677</v>
      </c>
      <c r="N195">
        <v>913</v>
      </c>
      <c r="O195">
        <v>1685</v>
      </c>
      <c r="P195">
        <v>2177</v>
      </c>
      <c r="Q195">
        <v>1929</v>
      </c>
      <c r="R195">
        <v>1839</v>
      </c>
      <c r="S195">
        <v>1356</v>
      </c>
      <c r="T195">
        <v>823</v>
      </c>
      <c r="U195">
        <v>573</v>
      </c>
      <c r="V195">
        <v>375</v>
      </c>
      <c r="W195">
        <v>265</v>
      </c>
      <c r="X195">
        <v>121</v>
      </c>
      <c r="Y195">
        <v>45</v>
      </c>
      <c r="Z195">
        <v>21</v>
      </c>
      <c r="AA195" t="s">
        <v>99</v>
      </c>
      <c r="AB195">
        <v>2020</v>
      </c>
      <c r="AC195">
        <v>39</v>
      </c>
    </row>
    <row r="196" spans="1:29" x14ac:dyDescent="0.2">
      <c r="A196" s="3">
        <v>2018</v>
      </c>
      <c r="B196" s="2">
        <f>bsaiatf_data_2024!B256+bsaiatf_data_2024!B223</f>
        <v>1</v>
      </c>
      <c r="C196" s="2">
        <f>bsaiatf_data_2024!C256+bsaiatf_data_2024!C223</f>
        <v>2</v>
      </c>
      <c r="D196" s="2">
        <f>bsaiatf_data_2024!D256+bsaiatf_data_2024!D223</f>
        <v>3</v>
      </c>
      <c r="E196" s="2">
        <f>bsaiatf_data_2024!E256+bsaiatf_data_2024!E223</f>
        <v>15</v>
      </c>
      <c r="F196" s="2">
        <f>bsaiatf_data_2024!F256+bsaiatf_data_2024!F223</f>
        <v>28</v>
      </c>
      <c r="G196" s="2">
        <f>bsaiatf_data_2024!G256+bsaiatf_data_2024!G223</f>
        <v>45</v>
      </c>
      <c r="H196" s="2">
        <f>bsaiatf_data_2024!H256+bsaiatf_data_2024!H223</f>
        <v>44</v>
      </c>
      <c r="I196" s="2">
        <f>bsaiatf_data_2024!I256+bsaiatf_data_2024!I223</f>
        <v>61</v>
      </c>
      <c r="J196" s="2">
        <f>bsaiatf_data_2024!J256+bsaiatf_data_2024!J223</f>
        <v>104</v>
      </c>
      <c r="K196" s="2">
        <f>bsaiatf_data_2024!K256+bsaiatf_data_2024!K223</f>
        <v>129</v>
      </c>
      <c r="L196" s="2">
        <f>bsaiatf_data_2024!L256+bsaiatf_data_2024!L223</f>
        <v>198</v>
      </c>
      <c r="M196" s="2">
        <f>bsaiatf_data_2024!M256+bsaiatf_data_2024!M223</f>
        <v>329</v>
      </c>
      <c r="N196" s="2">
        <f>bsaiatf_data_2024!N256+bsaiatf_data_2024!N223</f>
        <v>465</v>
      </c>
      <c r="O196" s="2">
        <f>bsaiatf_data_2024!O256+bsaiatf_data_2024!O223</f>
        <v>1024</v>
      </c>
      <c r="P196" s="2">
        <f>bsaiatf_data_2024!P256+bsaiatf_data_2024!P223</f>
        <v>1138</v>
      </c>
      <c r="Q196" s="2">
        <f>bsaiatf_data_2024!Q256+bsaiatf_data_2024!Q223</f>
        <v>870</v>
      </c>
      <c r="R196" s="2">
        <f>bsaiatf_data_2024!R256+bsaiatf_data_2024!R223</f>
        <v>646</v>
      </c>
      <c r="S196" s="2">
        <f>bsaiatf_data_2024!S256+bsaiatf_data_2024!S223</f>
        <v>517</v>
      </c>
      <c r="T196" s="2">
        <f>bsaiatf_data_2024!T256+bsaiatf_data_2024!T223</f>
        <v>653</v>
      </c>
      <c r="U196" s="2">
        <f>bsaiatf_data_2024!U256+bsaiatf_data_2024!U223</f>
        <v>497</v>
      </c>
      <c r="V196" s="2">
        <f>bsaiatf_data_2024!V256+bsaiatf_data_2024!V223</f>
        <v>331</v>
      </c>
      <c r="W196" s="2">
        <f>bsaiatf_data_2024!W256+bsaiatf_data_2024!W223</f>
        <v>131</v>
      </c>
      <c r="X196" s="2">
        <f>bsaiatf_data_2024!X256+bsaiatf_data_2024!X223</f>
        <v>41</v>
      </c>
      <c r="Y196" s="2">
        <f>bsaiatf_data_2024!Y256+bsaiatf_data_2024!Y223</f>
        <v>15</v>
      </c>
      <c r="Z196" s="2">
        <f>bsaiatf_data_2024!Z256+bsaiatf_data_2024!Z223</f>
        <v>3</v>
      </c>
      <c r="AA196" t="s">
        <v>99</v>
      </c>
      <c r="AB196">
        <v>2021</v>
      </c>
      <c r="AC196">
        <v>40</v>
      </c>
    </row>
    <row r="197" spans="1:29" x14ac:dyDescent="0.2">
      <c r="A197" s="3">
        <v>2019</v>
      </c>
      <c r="B197" s="2">
        <f>bsaiatf_data_2024!B257+bsaiatf_data_2024!B224</f>
        <v>1</v>
      </c>
      <c r="C197" s="2">
        <f>bsaiatf_data_2024!C257+bsaiatf_data_2024!C224</f>
        <v>1</v>
      </c>
      <c r="D197" s="2">
        <f>bsaiatf_data_2024!D257+bsaiatf_data_2024!D224</f>
        <v>1</v>
      </c>
      <c r="E197" s="2">
        <f>bsaiatf_data_2024!E257+bsaiatf_data_2024!E224</f>
        <v>12</v>
      </c>
      <c r="F197" s="2">
        <f>bsaiatf_data_2024!F257+bsaiatf_data_2024!F224</f>
        <v>12</v>
      </c>
      <c r="G197" s="2">
        <f>bsaiatf_data_2024!G257+bsaiatf_data_2024!G224</f>
        <v>27</v>
      </c>
      <c r="H197" s="2">
        <f>bsaiatf_data_2024!H257+bsaiatf_data_2024!H224</f>
        <v>91</v>
      </c>
      <c r="I197" s="2">
        <f>bsaiatf_data_2024!I257+bsaiatf_data_2024!I224</f>
        <v>222</v>
      </c>
      <c r="J197" s="2">
        <f>bsaiatf_data_2024!J257+bsaiatf_data_2024!J224</f>
        <v>351</v>
      </c>
      <c r="K197" s="2">
        <f>bsaiatf_data_2024!K257+bsaiatf_data_2024!K224</f>
        <v>387</v>
      </c>
      <c r="L197" s="2">
        <f>bsaiatf_data_2024!L257+bsaiatf_data_2024!L224</f>
        <v>367</v>
      </c>
      <c r="M197" s="2">
        <f>bsaiatf_data_2024!M257+bsaiatf_data_2024!M224</f>
        <v>388</v>
      </c>
      <c r="N197" s="2">
        <f>bsaiatf_data_2024!N257+bsaiatf_data_2024!N224</f>
        <v>487</v>
      </c>
      <c r="O197" s="2">
        <f>bsaiatf_data_2024!O257+bsaiatf_data_2024!O224</f>
        <v>1033</v>
      </c>
      <c r="P197" s="2">
        <f>bsaiatf_data_2024!P257+bsaiatf_data_2024!P224</f>
        <v>1487</v>
      </c>
      <c r="Q197" s="2">
        <f>bsaiatf_data_2024!Q257+bsaiatf_data_2024!Q224</f>
        <v>1551</v>
      </c>
      <c r="R197" s="2">
        <f>bsaiatf_data_2024!R257+bsaiatf_data_2024!R224</f>
        <v>1298</v>
      </c>
      <c r="S197" s="2">
        <f>bsaiatf_data_2024!S257+bsaiatf_data_2024!S224</f>
        <v>797</v>
      </c>
      <c r="T197" s="2">
        <f>bsaiatf_data_2024!T257+bsaiatf_data_2024!T224</f>
        <v>546</v>
      </c>
      <c r="U197" s="2">
        <f>bsaiatf_data_2024!U257+bsaiatf_data_2024!U224</f>
        <v>478</v>
      </c>
      <c r="V197" s="2">
        <f>bsaiatf_data_2024!V257+bsaiatf_data_2024!V224</f>
        <v>424</v>
      </c>
      <c r="W197" s="2">
        <f>bsaiatf_data_2024!W257+bsaiatf_data_2024!W224</f>
        <v>234</v>
      </c>
      <c r="X197" s="2">
        <f>bsaiatf_data_2024!X257+bsaiatf_data_2024!X224</f>
        <v>97</v>
      </c>
      <c r="Y197" s="2">
        <f>bsaiatf_data_2024!Y257+bsaiatf_data_2024!Y224</f>
        <v>34</v>
      </c>
      <c r="Z197" s="2">
        <f>bsaiatf_data_2024!Z257+bsaiatf_data_2024!Z224</f>
        <v>19</v>
      </c>
      <c r="AA197" t="s">
        <v>99</v>
      </c>
      <c r="AB197">
        <v>2022</v>
      </c>
      <c r="AC197">
        <v>41</v>
      </c>
    </row>
    <row r="198" spans="1:29" s="2" customFormat="1" x14ac:dyDescent="0.2">
      <c r="A198" s="3">
        <v>2020</v>
      </c>
      <c r="B198" s="2">
        <f>bsaiatf_data_2024!B258+bsaiatf_data_2024!B225</f>
        <v>1</v>
      </c>
      <c r="C198" s="2">
        <f>bsaiatf_data_2024!C258+bsaiatf_data_2024!C225</f>
        <v>0</v>
      </c>
      <c r="D198" s="2">
        <f>bsaiatf_data_2024!D258+bsaiatf_data_2024!D225</f>
        <v>2</v>
      </c>
      <c r="E198" s="2">
        <f>bsaiatf_data_2024!E258+bsaiatf_data_2024!E225</f>
        <v>8</v>
      </c>
      <c r="F198" s="2">
        <f>bsaiatf_data_2024!F258+bsaiatf_data_2024!F225</f>
        <v>12</v>
      </c>
      <c r="G198" s="2">
        <f>bsaiatf_data_2024!G258+bsaiatf_data_2024!G225</f>
        <v>29</v>
      </c>
      <c r="H198" s="2">
        <f>bsaiatf_data_2024!H258+bsaiatf_data_2024!H225</f>
        <v>50</v>
      </c>
      <c r="I198" s="2">
        <f>bsaiatf_data_2024!I258+bsaiatf_data_2024!I225</f>
        <v>82</v>
      </c>
      <c r="J198" s="2">
        <f>bsaiatf_data_2024!J258+bsaiatf_data_2024!J225</f>
        <v>146</v>
      </c>
      <c r="K198" s="2">
        <f>bsaiatf_data_2024!K258+bsaiatf_data_2024!K225</f>
        <v>223</v>
      </c>
      <c r="L198" s="2">
        <f>bsaiatf_data_2024!L258+bsaiatf_data_2024!L225</f>
        <v>420</v>
      </c>
      <c r="M198" s="2">
        <f>bsaiatf_data_2024!M258+bsaiatf_data_2024!M225</f>
        <v>677</v>
      </c>
      <c r="N198" s="2">
        <f>bsaiatf_data_2024!N258+bsaiatf_data_2024!N225</f>
        <v>913</v>
      </c>
      <c r="O198" s="2">
        <f>bsaiatf_data_2024!O258+bsaiatf_data_2024!O225</f>
        <v>1685</v>
      </c>
      <c r="P198" s="2">
        <f>bsaiatf_data_2024!P258+bsaiatf_data_2024!P225</f>
        <v>2177</v>
      </c>
      <c r="Q198" s="2">
        <f>bsaiatf_data_2024!Q258+bsaiatf_data_2024!Q225</f>
        <v>1929</v>
      </c>
      <c r="R198" s="2">
        <f>bsaiatf_data_2024!R258+bsaiatf_data_2024!R225</f>
        <v>1839</v>
      </c>
      <c r="S198" s="2">
        <f>bsaiatf_data_2024!S258+bsaiatf_data_2024!S225</f>
        <v>1356</v>
      </c>
      <c r="T198" s="2">
        <f>bsaiatf_data_2024!T258+bsaiatf_data_2024!T225</f>
        <v>823</v>
      </c>
      <c r="U198" s="2">
        <f>bsaiatf_data_2024!U258+bsaiatf_data_2024!U225</f>
        <v>573</v>
      </c>
      <c r="V198" s="2">
        <f>bsaiatf_data_2024!V258+bsaiatf_data_2024!V225</f>
        <v>375</v>
      </c>
      <c r="W198" s="2">
        <f>bsaiatf_data_2024!W258+bsaiatf_data_2024!W225</f>
        <v>265</v>
      </c>
      <c r="X198" s="2">
        <f>bsaiatf_data_2024!X258+bsaiatf_data_2024!X225</f>
        <v>121</v>
      </c>
      <c r="Y198" s="2">
        <f>bsaiatf_data_2024!Y258+bsaiatf_data_2024!Y225</f>
        <v>45</v>
      </c>
      <c r="Z198" s="2">
        <f>bsaiatf_data_2024!Z258+bsaiatf_data_2024!Z225</f>
        <v>21</v>
      </c>
      <c r="AA198" t="s">
        <v>99</v>
      </c>
      <c r="AB198">
        <f>AB197+1</f>
        <v>2023</v>
      </c>
      <c r="AC198">
        <f>AC197+1</f>
        <v>42</v>
      </c>
    </row>
    <row r="199" spans="1:29" s="2" customFormat="1" x14ac:dyDescent="0.2">
      <c r="A199" s="3">
        <v>2021</v>
      </c>
      <c r="B199" s="2">
        <f>bsaiatf_data_2024!B259+bsaiatf_data_2024!B226</f>
        <v>1</v>
      </c>
      <c r="C199" s="2">
        <f>bsaiatf_data_2024!C259+bsaiatf_data_2024!C226</f>
        <v>0</v>
      </c>
      <c r="D199" s="2">
        <f>bsaiatf_data_2024!D259+bsaiatf_data_2024!D226</f>
        <v>2</v>
      </c>
      <c r="E199" s="2">
        <f>bsaiatf_data_2024!E259+bsaiatf_data_2024!E226</f>
        <v>8</v>
      </c>
      <c r="F199" s="2">
        <f>bsaiatf_data_2024!F259+bsaiatf_data_2024!F226</f>
        <v>28</v>
      </c>
      <c r="G199" s="2">
        <f>bsaiatf_data_2024!G259+bsaiatf_data_2024!G226</f>
        <v>60</v>
      </c>
      <c r="H199" s="2">
        <f>bsaiatf_data_2024!H259+bsaiatf_data_2024!H226</f>
        <v>81</v>
      </c>
      <c r="I199" s="2">
        <f>bsaiatf_data_2024!I259+bsaiatf_data_2024!I226</f>
        <v>117</v>
      </c>
      <c r="J199" s="2">
        <f>bsaiatf_data_2024!J259+bsaiatf_data_2024!J226</f>
        <v>154</v>
      </c>
      <c r="K199" s="2">
        <f>bsaiatf_data_2024!K259+bsaiatf_data_2024!K226</f>
        <v>194</v>
      </c>
      <c r="L199" s="2">
        <f>bsaiatf_data_2024!L259+bsaiatf_data_2024!L226</f>
        <v>301</v>
      </c>
      <c r="M199" s="2">
        <f>bsaiatf_data_2024!M259+bsaiatf_data_2024!M226</f>
        <v>573</v>
      </c>
      <c r="N199" s="2">
        <f>bsaiatf_data_2024!N259+bsaiatf_data_2024!N226</f>
        <v>982</v>
      </c>
      <c r="O199" s="2">
        <f>bsaiatf_data_2024!O259+bsaiatf_data_2024!O226</f>
        <v>2109</v>
      </c>
      <c r="P199" s="2">
        <f>bsaiatf_data_2024!P259+bsaiatf_data_2024!P226</f>
        <v>2002</v>
      </c>
      <c r="Q199" s="2">
        <f>bsaiatf_data_2024!Q259+bsaiatf_data_2024!Q226</f>
        <v>1697</v>
      </c>
      <c r="R199" s="2">
        <f>bsaiatf_data_2024!R259+bsaiatf_data_2024!R226</f>
        <v>1331</v>
      </c>
      <c r="S199" s="2">
        <f>bsaiatf_data_2024!S259+bsaiatf_data_2024!S226</f>
        <v>1118</v>
      </c>
      <c r="T199" s="2">
        <f>bsaiatf_data_2024!T259+bsaiatf_data_2024!T226</f>
        <v>733</v>
      </c>
      <c r="U199" s="2">
        <f>bsaiatf_data_2024!U259+bsaiatf_data_2024!U226</f>
        <v>428</v>
      </c>
      <c r="V199" s="2">
        <f>bsaiatf_data_2024!V259+bsaiatf_data_2024!V226</f>
        <v>258</v>
      </c>
      <c r="W199" s="2">
        <f>bsaiatf_data_2024!W259+bsaiatf_data_2024!W226</f>
        <v>171</v>
      </c>
      <c r="X199" s="2">
        <f>bsaiatf_data_2024!X259+bsaiatf_data_2024!X226</f>
        <v>99</v>
      </c>
      <c r="Y199" s="2">
        <f>bsaiatf_data_2024!Y259+bsaiatf_data_2024!Y226</f>
        <v>44</v>
      </c>
      <c r="Z199" s="2">
        <f>bsaiatf_data_2024!Z259+bsaiatf_data_2024!Z226</f>
        <v>18</v>
      </c>
      <c r="AA199" t="s">
        <v>99</v>
      </c>
      <c r="AB199">
        <f>AB198+1</f>
        <v>2024</v>
      </c>
      <c r="AC199">
        <f>AC198+1</f>
        <v>43</v>
      </c>
    </row>
    <row r="200" spans="1:29" s="2" customFormat="1" x14ac:dyDescent="0.2">
      <c r="A200" s="3">
        <v>2022</v>
      </c>
      <c r="B200" s="2">
        <f>bsaiatf_data_2024!B260+bsaiatf_data_2024!B227</f>
        <v>0</v>
      </c>
      <c r="C200" s="2">
        <f>bsaiatf_data_2024!C260+bsaiatf_data_2024!C227</f>
        <v>0</v>
      </c>
      <c r="D200" s="2">
        <f>bsaiatf_data_2024!D260+bsaiatf_data_2024!D227</f>
        <v>2</v>
      </c>
      <c r="E200" s="2">
        <f>bsaiatf_data_2024!E260+bsaiatf_data_2024!E227</f>
        <v>1</v>
      </c>
      <c r="F200" s="2">
        <f>bsaiatf_data_2024!F260+bsaiatf_data_2024!F227</f>
        <v>3</v>
      </c>
      <c r="G200" s="2">
        <f>bsaiatf_data_2024!G260+bsaiatf_data_2024!G227</f>
        <v>3</v>
      </c>
      <c r="H200" s="2">
        <f>bsaiatf_data_2024!H260+bsaiatf_data_2024!H227</f>
        <v>19</v>
      </c>
      <c r="I200" s="2">
        <f>bsaiatf_data_2024!I260+bsaiatf_data_2024!I227</f>
        <v>40</v>
      </c>
      <c r="J200" s="2">
        <f>bsaiatf_data_2024!J260+bsaiatf_data_2024!J227</f>
        <v>62</v>
      </c>
      <c r="K200" s="2">
        <f>bsaiatf_data_2024!K260+bsaiatf_data_2024!K227</f>
        <v>133</v>
      </c>
      <c r="L200" s="2">
        <f>bsaiatf_data_2024!L260+bsaiatf_data_2024!L227</f>
        <v>180</v>
      </c>
      <c r="M200" s="2">
        <f>bsaiatf_data_2024!M260+bsaiatf_data_2024!M227</f>
        <v>303</v>
      </c>
      <c r="N200" s="2">
        <f>bsaiatf_data_2024!N260+bsaiatf_data_2024!N227</f>
        <v>565</v>
      </c>
      <c r="O200" s="2">
        <f>bsaiatf_data_2024!O260+bsaiatf_data_2024!O227</f>
        <v>1685</v>
      </c>
      <c r="P200" s="2">
        <f>bsaiatf_data_2024!P260+bsaiatf_data_2024!P227</f>
        <v>1568</v>
      </c>
      <c r="Q200" s="2">
        <f>bsaiatf_data_2024!Q260+bsaiatf_data_2024!Q227</f>
        <v>1380</v>
      </c>
      <c r="R200" s="2">
        <f>bsaiatf_data_2024!R260+bsaiatf_data_2024!R227</f>
        <v>937</v>
      </c>
      <c r="S200" s="2">
        <f>bsaiatf_data_2024!S260+bsaiatf_data_2024!S227</f>
        <v>719</v>
      </c>
      <c r="T200" s="2">
        <f>bsaiatf_data_2024!T260+bsaiatf_data_2024!T227</f>
        <v>571</v>
      </c>
      <c r="U200" s="2">
        <f>bsaiatf_data_2024!U260+bsaiatf_data_2024!U227</f>
        <v>323</v>
      </c>
      <c r="V200" s="2">
        <f>bsaiatf_data_2024!V260+bsaiatf_data_2024!V227</f>
        <v>184</v>
      </c>
      <c r="W200" s="2">
        <f>bsaiatf_data_2024!W260+bsaiatf_data_2024!W227</f>
        <v>93</v>
      </c>
      <c r="X200" s="2">
        <f>bsaiatf_data_2024!X260+bsaiatf_data_2024!X227</f>
        <v>54</v>
      </c>
      <c r="Y200" s="2">
        <f>bsaiatf_data_2024!Y260+bsaiatf_data_2024!Y227</f>
        <v>40</v>
      </c>
      <c r="Z200" s="2">
        <f>bsaiatf_data_2024!Z260+bsaiatf_data_2024!Z227</f>
        <v>12</v>
      </c>
    </row>
    <row r="201" spans="1:29" s="2" customFormat="1" x14ac:dyDescent="0.2">
      <c r="A201" s="3">
        <v>2023</v>
      </c>
      <c r="B201" s="2">
        <f>bsaiatf_data_2024!B261+bsaiatf_data_2024!B228</f>
        <v>0</v>
      </c>
      <c r="C201" s="2">
        <f>bsaiatf_data_2024!C261+bsaiatf_data_2024!C228</f>
        <v>0</v>
      </c>
      <c r="D201" s="2">
        <f>bsaiatf_data_2024!D261+bsaiatf_data_2024!D228</f>
        <v>2</v>
      </c>
      <c r="E201" s="2">
        <f>bsaiatf_data_2024!E261+bsaiatf_data_2024!E228</f>
        <v>2</v>
      </c>
      <c r="F201" s="2">
        <f>bsaiatf_data_2024!F261+bsaiatf_data_2024!F228</f>
        <v>6</v>
      </c>
      <c r="G201" s="2">
        <f>bsaiatf_data_2024!G261+bsaiatf_data_2024!G228</f>
        <v>6</v>
      </c>
      <c r="H201" s="2">
        <f>bsaiatf_data_2024!H261+bsaiatf_data_2024!H228</f>
        <v>5</v>
      </c>
      <c r="I201" s="2">
        <f>bsaiatf_data_2024!I261+bsaiatf_data_2024!I228</f>
        <v>19</v>
      </c>
      <c r="J201" s="2">
        <f>bsaiatf_data_2024!J261+bsaiatf_data_2024!J228</f>
        <v>17</v>
      </c>
      <c r="K201" s="2">
        <f>bsaiatf_data_2024!K261+bsaiatf_data_2024!K228</f>
        <v>62</v>
      </c>
      <c r="L201" s="2">
        <f>bsaiatf_data_2024!L261+bsaiatf_data_2024!L228</f>
        <v>164</v>
      </c>
      <c r="M201" s="2">
        <f>bsaiatf_data_2024!M261+bsaiatf_data_2024!M228</f>
        <v>319</v>
      </c>
      <c r="N201" s="2">
        <f>bsaiatf_data_2024!N261+bsaiatf_data_2024!N228</f>
        <v>616</v>
      </c>
      <c r="O201" s="2">
        <f>bsaiatf_data_2024!O261+bsaiatf_data_2024!O228</f>
        <v>2179</v>
      </c>
      <c r="P201" s="2">
        <f>bsaiatf_data_2024!P261+bsaiatf_data_2024!P228</f>
        <v>2176</v>
      </c>
      <c r="Q201" s="2">
        <f>bsaiatf_data_2024!Q261+bsaiatf_data_2024!Q228</f>
        <v>1231</v>
      </c>
      <c r="R201" s="2">
        <f>bsaiatf_data_2024!R261+bsaiatf_data_2024!R228</f>
        <v>979</v>
      </c>
      <c r="S201" s="2">
        <f>bsaiatf_data_2024!S261+bsaiatf_data_2024!S228</f>
        <v>746</v>
      </c>
      <c r="T201" s="2">
        <f>bsaiatf_data_2024!T261+bsaiatf_data_2024!T228</f>
        <v>564</v>
      </c>
      <c r="U201" s="2">
        <f>bsaiatf_data_2024!U261+bsaiatf_data_2024!U228</f>
        <v>314</v>
      </c>
      <c r="V201" s="2">
        <f>bsaiatf_data_2024!V261+bsaiatf_data_2024!V228</f>
        <v>173</v>
      </c>
      <c r="W201" s="2">
        <f>bsaiatf_data_2024!W261+bsaiatf_data_2024!W228</f>
        <v>89</v>
      </c>
      <c r="X201" s="2">
        <f>bsaiatf_data_2024!X261+bsaiatf_data_2024!X228</f>
        <v>41</v>
      </c>
      <c r="Y201" s="2">
        <f>bsaiatf_data_2024!Y261+bsaiatf_data_2024!Y228</f>
        <v>31</v>
      </c>
      <c r="Z201" s="2">
        <f>bsaiatf_data_2024!Z261+bsaiatf_data_2024!Z228</f>
        <v>11</v>
      </c>
    </row>
    <row r="202" spans="1:29" x14ac:dyDescent="0.2">
      <c r="B202" t="s">
        <v>99</v>
      </c>
    </row>
    <row r="203" spans="1:29" x14ac:dyDescent="0.2">
      <c r="B203" t="s">
        <v>101</v>
      </c>
    </row>
    <row r="204" spans="1:29" x14ac:dyDescent="0.2">
      <c r="B204" t="s">
        <v>101</v>
      </c>
    </row>
    <row r="205" spans="1:29" x14ac:dyDescent="0.2">
      <c r="B205" t="s">
        <v>112</v>
      </c>
      <c r="C205" t="s">
        <v>194</v>
      </c>
      <c r="D205" t="s">
        <v>195</v>
      </c>
      <c r="E205" t="s">
        <v>196</v>
      </c>
      <c r="F205" t="s">
        <v>102</v>
      </c>
      <c r="G205" t="s">
        <v>114</v>
      </c>
    </row>
    <row r="206" spans="1:29" x14ac:dyDescent="0.2">
      <c r="B206" t="s">
        <v>101</v>
      </c>
    </row>
    <row r="207" spans="1:29" x14ac:dyDescent="0.2">
      <c r="B207" t="s">
        <v>101</v>
      </c>
    </row>
    <row r="208" spans="1:29" x14ac:dyDescent="0.2">
      <c r="B208" t="s">
        <v>99</v>
      </c>
    </row>
    <row r="209" spans="1:46" x14ac:dyDescent="0.2">
      <c r="B209" t="s">
        <v>99</v>
      </c>
      <c r="C209" t="s">
        <v>100</v>
      </c>
    </row>
    <row r="210" spans="1:46" x14ac:dyDescent="0.2">
      <c r="B210" t="s">
        <v>197</v>
      </c>
      <c r="C210" t="s">
        <v>106</v>
      </c>
      <c r="D210" t="s">
        <v>107</v>
      </c>
      <c r="E210" t="s">
        <v>108</v>
      </c>
      <c r="F210" t="s">
        <v>119</v>
      </c>
      <c r="G210" t="s">
        <v>108</v>
      </c>
      <c r="H210" t="s">
        <v>198</v>
      </c>
      <c r="I210" t="s">
        <v>199</v>
      </c>
      <c r="J210" t="s">
        <v>109</v>
      </c>
      <c r="K210" t="s">
        <v>66</v>
      </c>
    </row>
    <row r="211" spans="1:46" x14ac:dyDescent="0.2">
      <c r="B211" t="s">
        <v>100</v>
      </c>
    </row>
    <row r="212" spans="1:46" x14ac:dyDescent="0.2">
      <c r="B212">
        <v>45</v>
      </c>
      <c r="C212">
        <v>45</v>
      </c>
      <c r="D212">
        <v>45</v>
      </c>
    </row>
    <row r="213" spans="1:46" x14ac:dyDescent="0.2">
      <c r="B213" t="s">
        <v>100</v>
      </c>
    </row>
    <row r="214" spans="1:46" x14ac:dyDescent="0.2">
      <c r="B214" t="s">
        <v>200</v>
      </c>
      <c r="C214" t="s">
        <v>106</v>
      </c>
      <c r="D214" t="s">
        <v>198</v>
      </c>
      <c r="E214" t="s">
        <v>199</v>
      </c>
      <c r="F214" t="s">
        <v>109</v>
      </c>
      <c r="G214" t="s">
        <v>66</v>
      </c>
      <c r="H214" t="s">
        <v>119</v>
      </c>
    </row>
    <row r="215" spans="1:46" x14ac:dyDescent="0.2">
      <c r="B215" t="s">
        <v>100</v>
      </c>
    </row>
    <row r="216" spans="1:46" x14ac:dyDescent="0.2">
      <c r="B216">
        <v>1979</v>
      </c>
      <c r="C216">
        <v>1980</v>
      </c>
      <c r="D216">
        <v>1981</v>
      </c>
      <c r="E216">
        <v>1982</v>
      </c>
      <c r="F216">
        <v>1983</v>
      </c>
      <c r="G216">
        <v>1984</v>
      </c>
      <c r="H216">
        <v>1985</v>
      </c>
      <c r="I216">
        <v>1986</v>
      </c>
      <c r="J216">
        <v>1987</v>
      </c>
      <c r="K216">
        <v>1988</v>
      </c>
      <c r="L216">
        <v>1989</v>
      </c>
      <c r="M216">
        <v>1990</v>
      </c>
      <c r="N216">
        <v>1991</v>
      </c>
      <c r="O216">
        <v>1992</v>
      </c>
      <c r="P216">
        <v>1993</v>
      </c>
      <c r="Q216">
        <v>1994</v>
      </c>
      <c r="R216">
        <v>1995</v>
      </c>
      <c r="S216">
        <v>1996</v>
      </c>
      <c r="T216">
        <v>1997</v>
      </c>
      <c r="U216">
        <v>1998</v>
      </c>
      <c r="V216">
        <v>1999</v>
      </c>
      <c r="W216">
        <v>2000</v>
      </c>
      <c r="X216">
        <v>2001</v>
      </c>
      <c r="Y216">
        <v>2002</v>
      </c>
      <c r="Z216">
        <v>2003</v>
      </c>
      <c r="AA216">
        <v>2004</v>
      </c>
      <c r="AB216">
        <v>2005</v>
      </c>
      <c r="AC216">
        <v>2006</v>
      </c>
      <c r="AD216">
        <v>2007</v>
      </c>
      <c r="AE216">
        <v>2008</v>
      </c>
      <c r="AF216">
        <v>2009</v>
      </c>
      <c r="AG216">
        <v>2010</v>
      </c>
      <c r="AH216">
        <v>2011</v>
      </c>
      <c r="AI216">
        <v>2012</v>
      </c>
      <c r="AJ216">
        <v>2013</v>
      </c>
      <c r="AK216">
        <v>2014</v>
      </c>
      <c r="AL216">
        <v>2015</v>
      </c>
      <c r="AM216">
        <v>2016</v>
      </c>
      <c r="AN216">
        <v>2017</v>
      </c>
      <c r="AO216">
        <v>2018</v>
      </c>
      <c r="AP216">
        <v>2019</v>
      </c>
      <c r="AQ216">
        <v>2020</v>
      </c>
      <c r="AR216">
        <v>2021</v>
      </c>
      <c r="AS216">
        <v>2022</v>
      </c>
      <c r="AT216">
        <v>2023</v>
      </c>
    </row>
    <row r="217" spans="1:46" x14ac:dyDescent="0.2">
      <c r="B217">
        <v>1979</v>
      </c>
      <c r="C217">
        <v>1980</v>
      </c>
      <c r="D217">
        <v>1981</v>
      </c>
      <c r="E217">
        <v>1982</v>
      </c>
      <c r="F217">
        <v>1983</v>
      </c>
      <c r="G217">
        <v>1984</v>
      </c>
      <c r="H217">
        <v>1985</v>
      </c>
      <c r="I217">
        <v>1986</v>
      </c>
      <c r="J217">
        <v>1987</v>
      </c>
      <c r="K217">
        <v>1988</v>
      </c>
      <c r="L217">
        <v>1989</v>
      </c>
      <c r="M217">
        <v>1990</v>
      </c>
      <c r="N217">
        <v>1991</v>
      </c>
      <c r="O217">
        <v>1992</v>
      </c>
      <c r="P217">
        <v>1993</v>
      </c>
      <c r="Q217">
        <v>1994</v>
      </c>
      <c r="R217">
        <v>1995</v>
      </c>
      <c r="S217">
        <v>1996</v>
      </c>
      <c r="T217">
        <v>1997</v>
      </c>
      <c r="U217">
        <v>1998</v>
      </c>
      <c r="V217">
        <v>1999</v>
      </c>
      <c r="W217">
        <v>2000</v>
      </c>
      <c r="X217">
        <v>2001</v>
      </c>
      <c r="Y217">
        <v>2002</v>
      </c>
      <c r="Z217">
        <v>2003</v>
      </c>
      <c r="AA217">
        <v>2004</v>
      </c>
      <c r="AB217">
        <v>2005</v>
      </c>
      <c r="AC217">
        <v>2006</v>
      </c>
      <c r="AD217">
        <v>2007</v>
      </c>
      <c r="AE217">
        <v>2008</v>
      </c>
      <c r="AF217">
        <v>2009</v>
      </c>
      <c r="AG217">
        <v>2010</v>
      </c>
      <c r="AH217">
        <v>2011</v>
      </c>
      <c r="AI217">
        <v>2012</v>
      </c>
      <c r="AJ217">
        <v>2013</v>
      </c>
      <c r="AK217">
        <v>2014</v>
      </c>
      <c r="AL217">
        <v>2015</v>
      </c>
      <c r="AM217">
        <v>2016</v>
      </c>
      <c r="AN217">
        <v>2017</v>
      </c>
      <c r="AO217">
        <v>2018</v>
      </c>
      <c r="AP217">
        <v>2019</v>
      </c>
      <c r="AQ217">
        <v>2020</v>
      </c>
      <c r="AR217">
        <v>2021</v>
      </c>
      <c r="AS217">
        <v>2022</v>
      </c>
      <c r="AT217">
        <v>2023</v>
      </c>
    </row>
    <row r="218" spans="1:46" x14ac:dyDescent="0.2">
      <c r="B218">
        <v>1979</v>
      </c>
      <c r="C218">
        <v>1980</v>
      </c>
      <c r="D218">
        <v>1981</v>
      </c>
      <c r="E218">
        <v>1982</v>
      </c>
      <c r="F218">
        <v>1983</v>
      </c>
      <c r="G218">
        <v>1984</v>
      </c>
      <c r="H218">
        <v>1985</v>
      </c>
      <c r="I218">
        <v>1986</v>
      </c>
      <c r="J218">
        <v>1987</v>
      </c>
      <c r="K218">
        <v>1988</v>
      </c>
      <c r="L218">
        <v>1989</v>
      </c>
      <c r="M218">
        <v>1990</v>
      </c>
      <c r="N218">
        <v>1991</v>
      </c>
      <c r="O218">
        <v>1992</v>
      </c>
      <c r="P218">
        <v>1993</v>
      </c>
      <c r="Q218">
        <v>1994</v>
      </c>
      <c r="R218">
        <v>1995</v>
      </c>
      <c r="S218">
        <v>1996</v>
      </c>
      <c r="T218">
        <v>1997</v>
      </c>
      <c r="U218">
        <v>1998</v>
      </c>
      <c r="V218">
        <v>1999</v>
      </c>
      <c r="W218">
        <v>2000</v>
      </c>
      <c r="X218">
        <v>2001</v>
      </c>
      <c r="Y218">
        <v>2002</v>
      </c>
      <c r="Z218">
        <v>2003</v>
      </c>
      <c r="AA218">
        <v>2004</v>
      </c>
      <c r="AB218">
        <v>2005</v>
      </c>
      <c r="AC218">
        <v>2006</v>
      </c>
      <c r="AD218">
        <v>2007</v>
      </c>
      <c r="AE218">
        <v>2008</v>
      </c>
      <c r="AF218">
        <v>2009</v>
      </c>
      <c r="AG218">
        <v>2010</v>
      </c>
      <c r="AH218">
        <v>2011</v>
      </c>
      <c r="AI218">
        <v>2012</v>
      </c>
      <c r="AJ218">
        <v>2013</v>
      </c>
      <c r="AK218">
        <v>2014</v>
      </c>
      <c r="AL218">
        <v>2015</v>
      </c>
      <c r="AM218">
        <v>2016</v>
      </c>
      <c r="AN218">
        <v>2017</v>
      </c>
      <c r="AO218">
        <v>2018</v>
      </c>
      <c r="AP218">
        <v>2019</v>
      </c>
      <c r="AQ218">
        <v>2020</v>
      </c>
      <c r="AR218">
        <v>2021</v>
      </c>
      <c r="AS218">
        <v>2022</v>
      </c>
      <c r="AT218">
        <v>2023</v>
      </c>
    </row>
    <row r="219" spans="1:46" x14ac:dyDescent="0.2">
      <c r="B219" t="s">
        <v>100</v>
      </c>
    </row>
    <row r="220" spans="1:46" x14ac:dyDescent="0.2">
      <c r="B220" t="s">
        <v>201</v>
      </c>
      <c r="C220" t="s">
        <v>106</v>
      </c>
      <c r="D220" t="s">
        <v>202</v>
      </c>
      <c r="E220" t="s">
        <v>203</v>
      </c>
      <c r="F220" t="s">
        <v>199</v>
      </c>
      <c r="G220" t="s">
        <v>109</v>
      </c>
      <c r="H220" t="s">
        <v>137</v>
      </c>
      <c r="I220" t="s">
        <v>104</v>
      </c>
      <c r="J220" t="s">
        <v>204</v>
      </c>
      <c r="K220" t="s">
        <v>186</v>
      </c>
      <c r="L220" t="s">
        <v>205</v>
      </c>
      <c r="M220" t="s">
        <v>206</v>
      </c>
      <c r="N220" t="s">
        <v>207</v>
      </c>
    </row>
    <row r="221" spans="1:46" x14ac:dyDescent="0.2">
      <c r="B221" t="s">
        <v>99</v>
      </c>
      <c r="C221" t="s">
        <v>208</v>
      </c>
      <c r="D221" t="s">
        <v>209</v>
      </c>
    </row>
    <row r="222" spans="1:46" x14ac:dyDescent="0.2">
      <c r="B222" t="s">
        <v>100</v>
      </c>
    </row>
    <row r="223" spans="1:46" x14ac:dyDescent="0.2">
      <c r="A223" s="3">
        <v>1979</v>
      </c>
      <c r="B223">
        <v>2.7368410999999999E-2</v>
      </c>
      <c r="C223">
        <v>0.19623911899999999</v>
      </c>
      <c r="D223">
        <v>0.37042519699999998</v>
      </c>
      <c r="E223">
        <v>0.50913963500000003</v>
      </c>
      <c r="F223">
        <v>0.63448636000000003</v>
      </c>
      <c r="G223">
        <v>0.75488986300000005</v>
      </c>
      <c r="H223">
        <v>0.87258091500000001</v>
      </c>
      <c r="I223">
        <v>0.99577468400000002</v>
      </c>
      <c r="J223">
        <v>1.1190059830000001</v>
      </c>
      <c r="K223">
        <v>1.2152437140000001</v>
      </c>
      <c r="L223">
        <v>1.31301187</v>
      </c>
      <c r="M223">
        <v>1.3691365019999999</v>
      </c>
      <c r="N223" t="s">
        <v>99</v>
      </c>
      <c r="O223">
        <v>1979</v>
      </c>
      <c r="P223">
        <v>1</v>
      </c>
    </row>
    <row r="224" spans="1:46" x14ac:dyDescent="0.2">
      <c r="A224" s="3">
        <v>1980</v>
      </c>
      <c r="B224">
        <v>2.7368410999999999E-2</v>
      </c>
      <c r="C224">
        <v>0.19623911899999999</v>
      </c>
      <c r="D224">
        <v>0.37042519699999998</v>
      </c>
      <c r="E224">
        <v>0.50913963500000003</v>
      </c>
      <c r="F224">
        <v>0.63448636000000003</v>
      </c>
      <c r="G224">
        <v>0.75488986300000005</v>
      </c>
      <c r="H224">
        <v>0.87258091500000001</v>
      </c>
      <c r="I224">
        <v>0.99577468400000002</v>
      </c>
      <c r="J224">
        <v>1.1190059830000001</v>
      </c>
      <c r="K224">
        <v>1.2152437140000001</v>
      </c>
      <c r="L224">
        <v>1.31301187</v>
      </c>
      <c r="M224">
        <v>1.3691365019999999</v>
      </c>
      <c r="N224" t="s">
        <v>99</v>
      </c>
      <c r="O224">
        <v>1980</v>
      </c>
      <c r="P224">
        <v>2</v>
      </c>
    </row>
    <row r="225" spans="1:16" x14ac:dyDescent="0.2">
      <c r="A225" s="3">
        <v>1981</v>
      </c>
      <c r="B225">
        <v>2.7368410999999999E-2</v>
      </c>
      <c r="C225">
        <v>0.19623911899999999</v>
      </c>
      <c r="D225">
        <v>0.37042519699999998</v>
      </c>
      <c r="E225">
        <v>0.50913963500000003</v>
      </c>
      <c r="F225">
        <v>0.63448636000000003</v>
      </c>
      <c r="G225">
        <v>0.75488986300000005</v>
      </c>
      <c r="H225">
        <v>0.87258091500000001</v>
      </c>
      <c r="I225">
        <v>0.99577468400000002</v>
      </c>
      <c r="J225">
        <v>1.1190059830000001</v>
      </c>
      <c r="K225">
        <v>1.2152437140000001</v>
      </c>
      <c r="L225">
        <v>1.31301187</v>
      </c>
      <c r="M225">
        <v>1.3691365019999999</v>
      </c>
      <c r="N225" t="s">
        <v>99</v>
      </c>
      <c r="O225">
        <v>1981</v>
      </c>
      <c r="P225">
        <v>3</v>
      </c>
    </row>
    <row r="226" spans="1:16" x14ac:dyDescent="0.2">
      <c r="A226" s="3">
        <v>1982</v>
      </c>
      <c r="B226">
        <v>2.7368410999999999E-2</v>
      </c>
      <c r="C226">
        <v>0.19623911899999999</v>
      </c>
      <c r="D226">
        <v>0.37042519699999998</v>
      </c>
      <c r="E226">
        <v>0.50913963500000003</v>
      </c>
      <c r="F226">
        <v>0.63448636000000003</v>
      </c>
      <c r="G226">
        <v>0.75488986300000005</v>
      </c>
      <c r="H226">
        <v>0.87258091500000001</v>
      </c>
      <c r="I226">
        <v>0.99577468400000002</v>
      </c>
      <c r="J226">
        <v>1.1190059830000001</v>
      </c>
      <c r="K226">
        <v>1.2152437140000001</v>
      </c>
      <c r="L226">
        <v>1.31301187</v>
      </c>
      <c r="M226">
        <v>1.3691365019999999</v>
      </c>
      <c r="N226" t="s">
        <v>99</v>
      </c>
      <c r="O226">
        <v>1982</v>
      </c>
      <c r="P226">
        <v>4</v>
      </c>
    </row>
    <row r="227" spans="1:16" x14ac:dyDescent="0.2">
      <c r="A227" s="3">
        <v>1983</v>
      </c>
      <c r="B227">
        <v>2.7368410999999999E-2</v>
      </c>
      <c r="C227">
        <v>0.19623911899999999</v>
      </c>
      <c r="D227">
        <v>0.37042519699999998</v>
      </c>
      <c r="E227">
        <v>0.50913963500000003</v>
      </c>
      <c r="F227">
        <v>0.63448636000000003</v>
      </c>
      <c r="G227">
        <v>0.75488986300000005</v>
      </c>
      <c r="H227">
        <v>0.87258091500000001</v>
      </c>
      <c r="I227">
        <v>0.99577468400000002</v>
      </c>
      <c r="J227">
        <v>1.1190059830000001</v>
      </c>
      <c r="K227">
        <v>1.2152437140000001</v>
      </c>
      <c r="L227">
        <v>1.31301187</v>
      </c>
      <c r="M227">
        <v>1.3691365019999999</v>
      </c>
      <c r="N227" t="s">
        <v>99</v>
      </c>
      <c r="O227">
        <v>1983</v>
      </c>
      <c r="P227">
        <v>5</v>
      </c>
    </row>
    <row r="228" spans="1:16" x14ac:dyDescent="0.2">
      <c r="A228" s="3">
        <v>1984</v>
      </c>
      <c r="B228">
        <v>2.7368410999999999E-2</v>
      </c>
      <c r="C228">
        <v>0.19623911899999999</v>
      </c>
      <c r="D228">
        <v>0.37042519699999998</v>
      </c>
      <c r="E228">
        <v>0.50913963500000003</v>
      </c>
      <c r="F228">
        <v>0.63448636000000003</v>
      </c>
      <c r="G228">
        <v>0.75488986300000005</v>
      </c>
      <c r="H228">
        <v>0.87258091500000001</v>
      </c>
      <c r="I228">
        <v>0.99577468400000002</v>
      </c>
      <c r="J228">
        <v>1.1190059830000001</v>
      </c>
      <c r="K228">
        <v>1.2152437140000001</v>
      </c>
      <c r="L228">
        <v>1.31301187</v>
      </c>
      <c r="M228">
        <v>1.3691365019999999</v>
      </c>
      <c r="N228" t="s">
        <v>99</v>
      </c>
      <c r="O228">
        <v>1984</v>
      </c>
      <c r="P228">
        <v>6</v>
      </c>
    </row>
    <row r="229" spans="1:16" x14ac:dyDescent="0.2">
      <c r="A229" s="3">
        <v>1985</v>
      </c>
      <c r="B229">
        <v>2.7368410999999999E-2</v>
      </c>
      <c r="C229">
        <v>0.19623911899999999</v>
      </c>
      <c r="D229">
        <v>0.37042519699999998</v>
      </c>
      <c r="E229">
        <v>0.50913963500000003</v>
      </c>
      <c r="F229">
        <v>0.63448636000000003</v>
      </c>
      <c r="G229">
        <v>0.75488986300000005</v>
      </c>
      <c r="H229">
        <v>0.87258091500000001</v>
      </c>
      <c r="I229">
        <v>0.99577468400000002</v>
      </c>
      <c r="J229">
        <v>1.1190059830000001</v>
      </c>
      <c r="K229">
        <v>1.2152437140000001</v>
      </c>
      <c r="L229">
        <v>1.31301187</v>
      </c>
      <c r="M229">
        <v>1.3691365019999999</v>
      </c>
      <c r="N229" t="s">
        <v>99</v>
      </c>
      <c r="O229">
        <v>1985</v>
      </c>
      <c r="P229">
        <v>7</v>
      </c>
    </row>
    <row r="230" spans="1:16" x14ac:dyDescent="0.2">
      <c r="A230" s="3">
        <v>1986</v>
      </c>
      <c r="B230">
        <v>2.7368410999999999E-2</v>
      </c>
      <c r="C230">
        <v>0.19623911899999999</v>
      </c>
      <c r="D230">
        <v>0.37042519699999998</v>
      </c>
      <c r="E230">
        <v>0.50913963500000003</v>
      </c>
      <c r="F230">
        <v>0.63448636000000003</v>
      </c>
      <c r="G230">
        <v>0.75488986300000005</v>
      </c>
      <c r="H230">
        <v>0.87258091500000001</v>
      </c>
      <c r="I230">
        <v>0.99577468400000002</v>
      </c>
      <c r="J230">
        <v>1.1190059830000001</v>
      </c>
      <c r="K230">
        <v>1.2152437140000001</v>
      </c>
      <c r="L230">
        <v>1.31301187</v>
      </c>
      <c r="M230">
        <v>1.3691365019999999</v>
      </c>
      <c r="N230" t="s">
        <v>99</v>
      </c>
      <c r="O230">
        <v>1986</v>
      </c>
      <c r="P230">
        <v>8</v>
      </c>
    </row>
    <row r="231" spans="1:16" x14ac:dyDescent="0.2">
      <c r="A231" s="3">
        <v>1987</v>
      </c>
      <c r="B231">
        <v>2.7368410999999999E-2</v>
      </c>
      <c r="C231">
        <v>0.19623911899999999</v>
      </c>
      <c r="D231">
        <v>0.37042519699999998</v>
      </c>
      <c r="E231">
        <v>0.50913963500000003</v>
      </c>
      <c r="F231">
        <v>0.63448636000000003</v>
      </c>
      <c r="G231">
        <v>0.75488986300000005</v>
      </c>
      <c r="H231">
        <v>0.87258091500000001</v>
      </c>
      <c r="I231">
        <v>0.99577468400000002</v>
      </c>
      <c r="J231">
        <v>1.1190059830000001</v>
      </c>
      <c r="K231">
        <v>1.2152437140000001</v>
      </c>
      <c r="L231">
        <v>1.31301187</v>
      </c>
      <c r="M231">
        <v>1.3691365019999999</v>
      </c>
      <c r="N231" t="s">
        <v>99</v>
      </c>
      <c r="O231">
        <v>1987</v>
      </c>
      <c r="P231">
        <v>9</v>
      </c>
    </row>
    <row r="232" spans="1:16" x14ac:dyDescent="0.2">
      <c r="A232" s="3">
        <v>1988</v>
      </c>
      <c r="B232">
        <v>2.7368410999999999E-2</v>
      </c>
      <c r="C232">
        <v>0.19623911899999999</v>
      </c>
      <c r="D232">
        <v>0.37042519699999998</v>
      </c>
      <c r="E232">
        <v>0.50913963500000003</v>
      </c>
      <c r="F232">
        <v>0.63448636000000003</v>
      </c>
      <c r="G232">
        <v>0.75488986300000005</v>
      </c>
      <c r="H232">
        <v>0.87258091500000001</v>
      </c>
      <c r="I232">
        <v>0.99577468400000002</v>
      </c>
      <c r="J232">
        <v>1.1190059830000001</v>
      </c>
      <c r="K232">
        <v>1.2152437140000001</v>
      </c>
      <c r="L232">
        <v>1.31301187</v>
      </c>
      <c r="M232">
        <v>1.3691365019999999</v>
      </c>
      <c r="N232" t="s">
        <v>99</v>
      </c>
      <c r="O232">
        <v>1988</v>
      </c>
      <c r="P232">
        <v>10</v>
      </c>
    </row>
    <row r="233" spans="1:16" x14ac:dyDescent="0.2">
      <c r="A233" s="3">
        <v>1989</v>
      </c>
      <c r="B233">
        <v>2.7368410999999999E-2</v>
      </c>
      <c r="C233">
        <v>0.19623911899999999</v>
      </c>
      <c r="D233">
        <v>0.37042519699999998</v>
      </c>
      <c r="E233">
        <v>0.50913963500000003</v>
      </c>
      <c r="F233">
        <v>0.63448636000000003</v>
      </c>
      <c r="G233">
        <v>0.75488986300000005</v>
      </c>
      <c r="H233">
        <v>0.87258091500000001</v>
      </c>
      <c r="I233">
        <v>0.99577468400000002</v>
      </c>
      <c r="J233">
        <v>1.1190059830000001</v>
      </c>
      <c r="K233">
        <v>1.2152437140000001</v>
      </c>
      <c r="L233">
        <v>1.31301187</v>
      </c>
      <c r="M233">
        <v>1.3691365019999999</v>
      </c>
      <c r="N233" t="s">
        <v>99</v>
      </c>
      <c r="O233">
        <v>1989</v>
      </c>
      <c r="P233">
        <v>11</v>
      </c>
    </row>
    <row r="234" spans="1:16" x14ac:dyDescent="0.2">
      <c r="A234" s="3">
        <v>1990</v>
      </c>
      <c r="B234">
        <v>2.7368410999999999E-2</v>
      </c>
      <c r="C234">
        <v>0.19623911899999999</v>
      </c>
      <c r="D234">
        <v>0.37042519699999998</v>
      </c>
      <c r="E234">
        <v>0.50913963500000003</v>
      </c>
      <c r="F234">
        <v>0.63448636000000003</v>
      </c>
      <c r="G234">
        <v>0.75488986300000005</v>
      </c>
      <c r="H234">
        <v>0.87258091500000001</v>
      </c>
      <c r="I234">
        <v>0.99577468400000002</v>
      </c>
      <c r="J234">
        <v>1.1190059830000001</v>
      </c>
      <c r="K234">
        <v>1.2152437140000001</v>
      </c>
      <c r="L234">
        <v>1.31301187</v>
      </c>
      <c r="M234">
        <v>1.3691365019999999</v>
      </c>
      <c r="N234" t="s">
        <v>99</v>
      </c>
      <c r="O234">
        <v>1990</v>
      </c>
      <c r="P234">
        <v>12</v>
      </c>
    </row>
    <row r="235" spans="1:16" x14ac:dyDescent="0.2">
      <c r="A235" s="3">
        <v>1991</v>
      </c>
      <c r="B235">
        <v>2.7368410999999999E-2</v>
      </c>
      <c r="C235">
        <v>0.149613</v>
      </c>
      <c r="D235">
        <v>0.28829315</v>
      </c>
      <c r="E235">
        <v>0.48516767500000002</v>
      </c>
      <c r="F235">
        <v>0.60584149600000003</v>
      </c>
      <c r="G235">
        <v>0.729371624</v>
      </c>
      <c r="H235">
        <v>0.84409696499999998</v>
      </c>
      <c r="I235">
        <v>0.88269347099999995</v>
      </c>
      <c r="J235">
        <v>1.0163191540000001</v>
      </c>
      <c r="K235">
        <v>1.1243584170000001</v>
      </c>
      <c r="L235">
        <v>1.1410804450000001</v>
      </c>
      <c r="M235">
        <v>1.2315332560000001</v>
      </c>
      <c r="N235" t="s">
        <v>99</v>
      </c>
      <c r="O235">
        <v>1991</v>
      </c>
      <c r="P235">
        <v>13</v>
      </c>
    </row>
    <row r="236" spans="1:16" x14ac:dyDescent="0.2">
      <c r="A236" s="3">
        <v>1992</v>
      </c>
      <c r="B236">
        <v>2.7368410999999999E-2</v>
      </c>
      <c r="C236">
        <v>0.179094</v>
      </c>
      <c r="D236">
        <v>0.39680313</v>
      </c>
      <c r="E236">
        <v>0.46469743200000002</v>
      </c>
      <c r="F236">
        <v>0.65119010099999997</v>
      </c>
      <c r="G236">
        <v>0.71367562500000004</v>
      </c>
      <c r="H236">
        <v>0.81854259799999995</v>
      </c>
      <c r="I236">
        <v>0.98578653500000002</v>
      </c>
      <c r="J236">
        <v>1.0304195469999999</v>
      </c>
      <c r="K236">
        <v>1.199785801</v>
      </c>
      <c r="L236">
        <v>1.236505467</v>
      </c>
      <c r="M236">
        <v>1.2692402199999999</v>
      </c>
      <c r="N236" t="s">
        <v>99</v>
      </c>
      <c r="O236">
        <v>1992</v>
      </c>
      <c r="P236">
        <v>14</v>
      </c>
    </row>
    <row r="237" spans="1:16" x14ac:dyDescent="0.2">
      <c r="A237" s="3">
        <v>1993</v>
      </c>
      <c r="B237">
        <v>2.7368410999999999E-2</v>
      </c>
      <c r="C237">
        <v>0.33130999999999999</v>
      </c>
      <c r="D237">
        <v>0.49472775000000002</v>
      </c>
      <c r="E237">
        <v>0.61207145399999996</v>
      </c>
      <c r="F237">
        <v>0.65181736899999998</v>
      </c>
      <c r="G237">
        <v>0.77485801799999998</v>
      </c>
      <c r="H237">
        <v>0.93447572700000003</v>
      </c>
      <c r="I237">
        <v>1.062411234</v>
      </c>
      <c r="J237">
        <v>1.19773405</v>
      </c>
      <c r="K237">
        <v>1.24041873</v>
      </c>
      <c r="L237">
        <v>1.4233353900000001</v>
      </c>
      <c r="M237">
        <v>1.53983216</v>
      </c>
      <c r="N237" t="s">
        <v>99</v>
      </c>
      <c r="O237">
        <v>1993</v>
      </c>
      <c r="P237">
        <v>15</v>
      </c>
    </row>
    <row r="238" spans="1:16" x14ac:dyDescent="0.2">
      <c r="A238" s="3">
        <v>1994</v>
      </c>
      <c r="B238">
        <v>2.7368410999999999E-2</v>
      </c>
      <c r="C238">
        <v>0.23309099999999999</v>
      </c>
      <c r="D238">
        <v>0.400050503</v>
      </c>
      <c r="E238">
        <v>0.65162642199999998</v>
      </c>
      <c r="F238">
        <v>0.73239009600000005</v>
      </c>
      <c r="G238">
        <v>0.74580283599999997</v>
      </c>
      <c r="H238">
        <v>0.72697250000000002</v>
      </c>
      <c r="I238">
        <v>1.07004583</v>
      </c>
      <c r="J238">
        <v>1.3798941499999999</v>
      </c>
      <c r="K238">
        <v>1.3248626699999999</v>
      </c>
      <c r="L238">
        <v>1.3350201159999999</v>
      </c>
      <c r="M238">
        <v>1.4090071500000001</v>
      </c>
      <c r="N238" t="s">
        <v>99</v>
      </c>
      <c r="O238">
        <v>1994</v>
      </c>
      <c r="P238">
        <v>16</v>
      </c>
    </row>
    <row r="239" spans="1:16" x14ac:dyDescent="0.2">
      <c r="A239" s="3">
        <v>1995</v>
      </c>
      <c r="B239">
        <v>2.7368410999999999E-2</v>
      </c>
      <c r="C239">
        <v>0.15348000000000001</v>
      </c>
      <c r="D239">
        <v>0.38561153399999998</v>
      </c>
      <c r="E239">
        <v>0.50526448899999998</v>
      </c>
      <c r="F239">
        <v>0.72852211200000005</v>
      </c>
      <c r="G239">
        <v>0.84324485699999996</v>
      </c>
      <c r="H239">
        <v>0.84729560900000001</v>
      </c>
      <c r="I239">
        <v>0.96959189300000004</v>
      </c>
      <c r="J239">
        <v>1.231843043</v>
      </c>
      <c r="K239">
        <v>1.2963015950000001</v>
      </c>
      <c r="L239">
        <v>1.4006776999999999</v>
      </c>
      <c r="M239">
        <v>1.4019511099999999</v>
      </c>
      <c r="N239" t="s">
        <v>99</v>
      </c>
      <c r="O239">
        <v>1995</v>
      </c>
      <c r="P239">
        <v>17</v>
      </c>
    </row>
    <row r="240" spans="1:16" x14ac:dyDescent="0.2">
      <c r="A240" s="3">
        <v>1996</v>
      </c>
      <c r="B240">
        <v>2.7368410999999999E-2</v>
      </c>
      <c r="C240">
        <v>0.29288900000000001</v>
      </c>
      <c r="D240">
        <v>0.335606389</v>
      </c>
      <c r="E240">
        <v>0.44507442699999999</v>
      </c>
      <c r="F240">
        <v>0.684364427</v>
      </c>
      <c r="G240">
        <v>0.79676502800000004</v>
      </c>
      <c r="H240">
        <v>0.94837943999999996</v>
      </c>
      <c r="I240">
        <v>0.95551914199999999</v>
      </c>
      <c r="J240">
        <v>1.02546574</v>
      </c>
      <c r="K240">
        <v>1.0996979069999999</v>
      </c>
      <c r="L240">
        <v>1.418002059</v>
      </c>
      <c r="M240">
        <v>1.48923278</v>
      </c>
      <c r="N240" t="s">
        <v>99</v>
      </c>
      <c r="O240">
        <v>1996</v>
      </c>
      <c r="P240">
        <v>18</v>
      </c>
    </row>
    <row r="241" spans="1:16" x14ac:dyDescent="0.2">
      <c r="A241" s="3">
        <v>1997</v>
      </c>
      <c r="B241">
        <v>2.7368410999999999E-2</v>
      </c>
      <c r="C241">
        <v>0.18718399999999999</v>
      </c>
      <c r="D241">
        <v>0.32671750999999999</v>
      </c>
      <c r="E241">
        <v>0.47686995100000001</v>
      </c>
      <c r="F241">
        <v>0.55904552100000005</v>
      </c>
      <c r="G241">
        <v>0.74756441299999998</v>
      </c>
      <c r="H241">
        <v>0.88880778500000002</v>
      </c>
      <c r="I241">
        <v>1.074088782</v>
      </c>
      <c r="J241">
        <v>1.09517763</v>
      </c>
      <c r="K241">
        <v>1.2356582039999999</v>
      </c>
      <c r="L241">
        <v>1.286725055</v>
      </c>
      <c r="M241">
        <v>1.3997346399999999</v>
      </c>
      <c r="N241" t="s">
        <v>99</v>
      </c>
      <c r="O241">
        <v>1997</v>
      </c>
      <c r="P241">
        <v>19</v>
      </c>
    </row>
    <row r="242" spans="1:16" x14ac:dyDescent="0.2">
      <c r="A242" s="3">
        <v>1998</v>
      </c>
      <c r="B242">
        <v>2.7368410999999999E-2</v>
      </c>
      <c r="C242">
        <v>0.19053600000000001</v>
      </c>
      <c r="D242">
        <v>0.369383672</v>
      </c>
      <c r="E242">
        <v>0.58930249599999995</v>
      </c>
      <c r="F242">
        <v>0.61837613899999999</v>
      </c>
      <c r="G242">
        <v>0.62162803099999997</v>
      </c>
      <c r="H242">
        <v>0.77956834100000005</v>
      </c>
      <c r="I242">
        <v>1.040015819</v>
      </c>
      <c r="J242">
        <v>1.1692864000000001</v>
      </c>
      <c r="K242">
        <v>1.27585814</v>
      </c>
      <c r="L242">
        <v>1.3161312439999999</v>
      </c>
      <c r="M242">
        <v>1.4277181000000001</v>
      </c>
      <c r="N242" t="s">
        <v>99</v>
      </c>
      <c r="O242">
        <v>1998</v>
      </c>
      <c r="P242">
        <v>20</v>
      </c>
    </row>
    <row r="243" spans="1:16" x14ac:dyDescent="0.2">
      <c r="A243" s="3">
        <v>1999</v>
      </c>
      <c r="B243">
        <v>2.7368410999999999E-2</v>
      </c>
      <c r="C243">
        <v>0.187805</v>
      </c>
      <c r="D243">
        <v>0.40445582000000002</v>
      </c>
      <c r="E243">
        <v>0.50701592600000001</v>
      </c>
      <c r="F243">
        <v>0.64339166299999995</v>
      </c>
      <c r="G243">
        <v>0.70229428299999996</v>
      </c>
      <c r="H243">
        <v>0.72863191599999999</v>
      </c>
      <c r="I243">
        <v>0.89366223199999995</v>
      </c>
      <c r="J243">
        <v>1.0377291630000001</v>
      </c>
      <c r="K243">
        <v>1.2527238300000001</v>
      </c>
      <c r="L243">
        <v>1.223967714</v>
      </c>
      <c r="M243">
        <v>1.42241993</v>
      </c>
      <c r="N243" t="s">
        <v>99</v>
      </c>
      <c r="O243">
        <v>1999</v>
      </c>
      <c r="P243">
        <v>21</v>
      </c>
    </row>
    <row r="244" spans="1:16" x14ac:dyDescent="0.2">
      <c r="A244" s="3">
        <v>2000</v>
      </c>
      <c r="B244">
        <v>2.7368410999999999E-2</v>
      </c>
      <c r="C244">
        <v>0.21770800000000001</v>
      </c>
      <c r="D244">
        <v>0.35296691499999999</v>
      </c>
      <c r="E244">
        <v>0.52565662700000004</v>
      </c>
      <c r="F244">
        <v>0.62991624999999996</v>
      </c>
      <c r="G244">
        <v>0.73173843199999999</v>
      </c>
      <c r="H244">
        <v>0.77970764199999998</v>
      </c>
      <c r="I244">
        <v>0.80663755599999998</v>
      </c>
      <c r="J244">
        <v>0.96790506899999995</v>
      </c>
      <c r="K244">
        <v>1.0148428819999999</v>
      </c>
      <c r="L244">
        <v>1.25287595</v>
      </c>
      <c r="M244">
        <v>1.286417827</v>
      </c>
      <c r="N244" t="s">
        <v>99</v>
      </c>
      <c r="O244">
        <v>2000</v>
      </c>
      <c r="P244">
        <v>22</v>
      </c>
    </row>
    <row r="245" spans="1:16" x14ac:dyDescent="0.2">
      <c r="A245" s="3">
        <v>2001</v>
      </c>
      <c r="B245">
        <v>2.7368410999999999E-2</v>
      </c>
      <c r="C245">
        <v>0.22672500000000001</v>
      </c>
      <c r="D245">
        <v>0.32898713000000002</v>
      </c>
      <c r="E245">
        <v>0.50477653899999997</v>
      </c>
      <c r="F245">
        <v>0.66791167900000004</v>
      </c>
      <c r="G245">
        <v>0.78550354499999997</v>
      </c>
      <c r="H245">
        <v>0.96381427799999997</v>
      </c>
      <c r="I245">
        <v>0.98564040900000005</v>
      </c>
      <c r="J245">
        <v>1.061105349</v>
      </c>
      <c r="K245">
        <v>1.1328634900000001</v>
      </c>
      <c r="L245">
        <v>1.31951532</v>
      </c>
      <c r="M245">
        <v>1.4111078699999999</v>
      </c>
      <c r="N245" t="s">
        <v>99</v>
      </c>
      <c r="O245">
        <v>2001</v>
      </c>
      <c r="P245">
        <v>23</v>
      </c>
    </row>
    <row r="246" spans="1:16" x14ac:dyDescent="0.2">
      <c r="A246" s="3">
        <v>2002</v>
      </c>
      <c r="B246">
        <v>2.7368410999999999E-2</v>
      </c>
      <c r="C246">
        <v>0.231265</v>
      </c>
      <c r="D246">
        <v>0.38494263299999998</v>
      </c>
      <c r="E246">
        <v>0.50982239100000004</v>
      </c>
      <c r="F246">
        <v>0.66734292299999998</v>
      </c>
      <c r="G246">
        <v>0.79884399800000006</v>
      </c>
      <c r="H246">
        <v>0.91085177500000003</v>
      </c>
      <c r="I246">
        <v>1.0257405319999999</v>
      </c>
      <c r="J246">
        <v>1.11296386</v>
      </c>
      <c r="K246">
        <v>1.10152103</v>
      </c>
      <c r="L246">
        <v>1.2835165900000001</v>
      </c>
      <c r="M246">
        <v>1.44217266</v>
      </c>
      <c r="N246" t="s">
        <v>99</v>
      </c>
      <c r="O246">
        <v>2002</v>
      </c>
      <c r="P246">
        <v>24</v>
      </c>
    </row>
    <row r="247" spans="1:16" x14ac:dyDescent="0.2">
      <c r="A247" s="3">
        <v>2003</v>
      </c>
      <c r="B247">
        <v>2.7368410999999999E-2</v>
      </c>
      <c r="C247">
        <v>0.27606999999999998</v>
      </c>
      <c r="D247">
        <v>0.48924121300000001</v>
      </c>
      <c r="E247">
        <v>0.548784202</v>
      </c>
      <c r="F247">
        <v>0.65156124400000004</v>
      </c>
      <c r="G247">
        <v>0.76883900900000002</v>
      </c>
      <c r="H247">
        <v>0.86300357699999997</v>
      </c>
      <c r="I247">
        <v>0.95278432000000002</v>
      </c>
      <c r="J247">
        <v>1.0856497089999999</v>
      </c>
      <c r="K247">
        <v>1.20152919</v>
      </c>
      <c r="L247">
        <v>1.2115767</v>
      </c>
      <c r="M247">
        <v>1.1944533100000001</v>
      </c>
      <c r="N247" t="s">
        <v>99</v>
      </c>
      <c r="O247">
        <v>2003</v>
      </c>
      <c r="P247">
        <v>25</v>
      </c>
    </row>
    <row r="248" spans="1:16" x14ac:dyDescent="0.2">
      <c r="A248" s="3">
        <v>2004</v>
      </c>
      <c r="B248">
        <v>2.7368410999999999E-2</v>
      </c>
      <c r="C248">
        <v>0.13478499999999999</v>
      </c>
      <c r="D248">
        <v>0.408485451</v>
      </c>
      <c r="E248">
        <v>0.58389089800000005</v>
      </c>
      <c r="F248">
        <v>0.64124721299999998</v>
      </c>
      <c r="G248">
        <v>0.759872306</v>
      </c>
      <c r="H248">
        <v>0.88763152499999998</v>
      </c>
      <c r="I248">
        <v>0.92437661100000001</v>
      </c>
      <c r="J248">
        <v>1.035504964</v>
      </c>
      <c r="K248">
        <v>1.176251988</v>
      </c>
      <c r="L248">
        <v>1.126812073</v>
      </c>
      <c r="M248">
        <v>1.1667789529999999</v>
      </c>
      <c r="N248" t="s">
        <v>99</v>
      </c>
      <c r="O248">
        <v>2004</v>
      </c>
      <c r="P248">
        <v>26</v>
      </c>
    </row>
    <row r="249" spans="1:16" x14ac:dyDescent="0.2">
      <c r="A249" s="3">
        <v>2005</v>
      </c>
      <c r="B249">
        <v>2.7368410999999999E-2</v>
      </c>
      <c r="C249">
        <v>0.28263899999999997</v>
      </c>
      <c r="D249">
        <v>0.35106987299999998</v>
      </c>
      <c r="E249">
        <v>0.50822721199999998</v>
      </c>
      <c r="F249">
        <v>0.64109120500000005</v>
      </c>
      <c r="G249">
        <v>0.74170981300000005</v>
      </c>
      <c r="H249">
        <v>0.88013402100000004</v>
      </c>
      <c r="I249">
        <v>0.95995541600000001</v>
      </c>
      <c r="J249">
        <v>1.0616913210000001</v>
      </c>
      <c r="K249">
        <v>1.074204224</v>
      </c>
      <c r="L249">
        <v>1.2162803040000001</v>
      </c>
      <c r="M249">
        <v>1.2679849000000001</v>
      </c>
      <c r="N249" t="s">
        <v>99</v>
      </c>
      <c r="O249">
        <v>2005</v>
      </c>
      <c r="P249">
        <v>27</v>
      </c>
    </row>
    <row r="250" spans="1:16" x14ac:dyDescent="0.2">
      <c r="A250" s="3">
        <v>2006</v>
      </c>
      <c r="B250">
        <v>2.7368410999999999E-2</v>
      </c>
      <c r="C250">
        <v>0.174065</v>
      </c>
      <c r="D250">
        <v>0.30552192</v>
      </c>
      <c r="E250">
        <v>0.44837701400000002</v>
      </c>
      <c r="F250">
        <v>0.60639937499999996</v>
      </c>
      <c r="G250">
        <v>0.755330685</v>
      </c>
      <c r="H250">
        <v>0.85766536500000001</v>
      </c>
      <c r="I250">
        <v>0.95863133499999997</v>
      </c>
      <c r="J250">
        <v>1.060309814</v>
      </c>
      <c r="K250">
        <v>1.1166167199999999</v>
      </c>
      <c r="L250">
        <v>1.1901030269999999</v>
      </c>
      <c r="M250">
        <v>1.2182009540000001</v>
      </c>
      <c r="N250" t="s">
        <v>99</v>
      </c>
      <c r="O250">
        <v>2006</v>
      </c>
      <c r="P250">
        <v>28</v>
      </c>
    </row>
    <row r="251" spans="1:16" x14ac:dyDescent="0.2">
      <c r="A251" s="3">
        <v>2007</v>
      </c>
      <c r="B251">
        <v>6.6333329999999999E-3</v>
      </c>
      <c r="C251">
        <v>0.154728</v>
      </c>
      <c r="D251">
        <v>0.34900604699999999</v>
      </c>
      <c r="E251">
        <v>0.50743312200000001</v>
      </c>
      <c r="F251">
        <v>0.64234526400000003</v>
      </c>
      <c r="G251">
        <v>0.78293435600000005</v>
      </c>
      <c r="H251">
        <v>0.96053357299999997</v>
      </c>
      <c r="I251">
        <v>1.100323808</v>
      </c>
      <c r="J251">
        <v>1.1921782999999999</v>
      </c>
      <c r="K251">
        <v>1.26649122</v>
      </c>
      <c r="L251">
        <v>1.32689268</v>
      </c>
      <c r="M251">
        <v>1.4877258090000001</v>
      </c>
      <c r="N251" t="s">
        <v>99</v>
      </c>
      <c r="O251">
        <v>2007</v>
      </c>
      <c r="P251">
        <v>29</v>
      </c>
    </row>
    <row r="252" spans="1:16" x14ac:dyDescent="0.2">
      <c r="A252" s="3">
        <v>2008</v>
      </c>
      <c r="B252">
        <v>6.6111110000000002E-3</v>
      </c>
      <c r="C252">
        <v>0.2076326</v>
      </c>
      <c r="D252">
        <v>0.32822214500000002</v>
      </c>
      <c r="E252">
        <v>0.51871347000000001</v>
      </c>
      <c r="F252">
        <v>0.65268943199999996</v>
      </c>
      <c r="G252">
        <v>0.77393674899999998</v>
      </c>
      <c r="H252">
        <v>0.89990537800000003</v>
      </c>
      <c r="I252">
        <v>1.0542269799999999</v>
      </c>
      <c r="J252">
        <v>1.1165658999999999</v>
      </c>
      <c r="K252">
        <v>1.2888614</v>
      </c>
      <c r="L252">
        <v>1.4524206200000001</v>
      </c>
      <c r="M252">
        <v>1.5277045600000001</v>
      </c>
      <c r="N252" t="s">
        <v>99</v>
      </c>
      <c r="O252">
        <v>2008</v>
      </c>
      <c r="P252">
        <v>30</v>
      </c>
    </row>
    <row r="253" spans="1:16" x14ac:dyDescent="0.2">
      <c r="A253" s="3">
        <v>2009</v>
      </c>
      <c r="B253">
        <v>6.6044440000000001E-3</v>
      </c>
      <c r="C253">
        <v>0.135797</v>
      </c>
      <c r="D253">
        <v>0.33960644099999998</v>
      </c>
      <c r="E253">
        <v>0.52513007599999995</v>
      </c>
      <c r="F253">
        <v>0.70476810999999995</v>
      </c>
      <c r="G253">
        <v>0.87862653999999996</v>
      </c>
      <c r="H253">
        <v>0.99941708900000004</v>
      </c>
      <c r="I253">
        <v>1.1304915200000001</v>
      </c>
      <c r="J253">
        <v>1.39828687</v>
      </c>
      <c r="K253">
        <v>1.4792251999999999</v>
      </c>
      <c r="L253">
        <v>1.5578807400000001</v>
      </c>
      <c r="M253">
        <v>1.5761519799999999</v>
      </c>
      <c r="N253" t="s">
        <v>99</v>
      </c>
      <c r="O253">
        <v>2009</v>
      </c>
      <c r="P253">
        <v>31</v>
      </c>
    </row>
    <row r="254" spans="1:16" x14ac:dyDescent="0.2">
      <c r="A254" s="3">
        <v>2010</v>
      </c>
      <c r="B254">
        <v>4.9767699999999998E-2</v>
      </c>
      <c r="C254">
        <v>0.17485600000000001</v>
      </c>
      <c r="D254">
        <v>0.38077297100000002</v>
      </c>
      <c r="E254">
        <v>0.48998927599999997</v>
      </c>
      <c r="F254">
        <v>0.66753034899999997</v>
      </c>
      <c r="G254">
        <v>0.909046943</v>
      </c>
      <c r="H254">
        <v>1.114264972</v>
      </c>
      <c r="I254">
        <v>1.2768558800000001</v>
      </c>
      <c r="J254">
        <v>1.37360813</v>
      </c>
      <c r="K254">
        <v>1.5857564900000001</v>
      </c>
      <c r="L254">
        <v>1.6790191999999999</v>
      </c>
      <c r="M254">
        <v>1.92345261</v>
      </c>
      <c r="N254" t="s">
        <v>99</v>
      </c>
      <c r="O254">
        <v>2010</v>
      </c>
      <c r="P254">
        <v>32</v>
      </c>
    </row>
    <row r="255" spans="1:16" x14ac:dyDescent="0.2">
      <c r="A255" s="3">
        <v>2011</v>
      </c>
      <c r="B255">
        <v>3.0688206999999999E-2</v>
      </c>
      <c r="C255">
        <v>0.204737208</v>
      </c>
      <c r="D255">
        <v>0.290306334</v>
      </c>
      <c r="E255">
        <v>0.50827671799999996</v>
      </c>
      <c r="F255">
        <v>0.66555235000000001</v>
      </c>
      <c r="G255">
        <v>0.80944137599999999</v>
      </c>
      <c r="H255">
        <v>0.97145934199999995</v>
      </c>
      <c r="I255">
        <v>1.2237681199999999</v>
      </c>
      <c r="J255">
        <v>1.3421732</v>
      </c>
      <c r="K255">
        <v>1.51301507</v>
      </c>
      <c r="L255">
        <v>1.58174035</v>
      </c>
      <c r="M255">
        <v>1.6233379100000001</v>
      </c>
      <c r="N255" t="s">
        <v>99</v>
      </c>
      <c r="O255">
        <v>2011</v>
      </c>
      <c r="P255">
        <v>33</v>
      </c>
    </row>
    <row r="256" spans="1:16" x14ac:dyDescent="0.2">
      <c r="A256" s="3">
        <v>2012</v>
      </c>
      <c r="B256">
        <v>2.9020117000000002E-2</v>
      </c>
      <c r="C256">
        <v>0.14197272499999999</v>
      </c>
      <c r="D256">
        <v>0.27060829199999997</v>
      </c>
      <c r="E256">
        <v>0.4094757</v>
      </c>
      <c r="F256">
        <v>0.64321348700000003</v>
      </c>
      <c r="G256">
        <v>0.82413792299999999</v>
      </c>
      <c r="H256">
        <v>0.97391986900000005</v>
      </c>
      <c r="I256">
        <v>1.1697351229999999</v>
      </c>
      <c r="J256">
        <v>1.3028178500000001</v>
      </c>
      <c r="K256">
        <v>1.50945146</v>
      </c>
      <c r="L256">
        <v>1.5988688200000001</v>
      </c>
      <c r="M256">
        <v>1.63667487</v>
      </c>
      <c r="N256" t="s">
        <v>99</v>
      </c>
      <c r="O256">
        <v>2012</v>
      </c>
      <c r="P256">
        <v>34</v>
      </c>
    </row>
    <row r="257" spans="1:16" x14ac:dyDescent="0.2">
      <c r="A257" s="3">
        <v>2013</v>
      </c>
      <c r="B257">
        <v>9.4955100000000001E-2</v>
      </c>
      <c r="C257">
        <v>0.1439405</v>
      </c>
      <c r="D257">
        <v>0.28956505500000002</v>
      </c>
      <c r="E257">
        <v>0.442138315</v>
      </c>
      <c r="F257">
        <v>0.56446202099999998</v>
      </c>
      <c r="G257">
        <v>0.78057166099999997</v>
      </c>
      <c r="H257">
        <v>1.1301076400000001</v>
      </c>
      <c r="I257">
        <v>1.2814719800000001</v>
      </c>
      <c r="J257">
        <v>1.43958081</v>
      </c>
      <c r="K257">
        <v>1.68472541</v>
      </c>
      <c r="L257">
        <v>1.8273518799999999</v>
      </c>
      <c r="M257">
        <v>1.7857340799999999</v>
      </c>
      <c r="N257" t="s">
        <v>99</v>
      </c>
      <c r="O257">
        <v>2013</v>
      </c>
      <c r="P257">
        <v>35</v>
      </c>
    </row>
    <row r="258" spans="1:16" x14ac:dyDescent="0.2">
      <c r="A258" s="3">
        <v>2014</v>
      </c>
      <c r="B258">
        <v>1.4342608999999999E-2</v>
      </c>
      <c r="C258">
        <v>0.19287000000000001</v>
      </c>
      <c r="D258">
        <v>0.31882131699999999</v>
      </c>
      <c r="E258">
        <v>0.45413167599999998</v>
      </c>
      <c r="F258">
        <v>0.616878649</v>
      </c>
      <c r="G258">
        <v>0.75125587400000005</v>
      </c>
      <c r="H258">
        <v>0.89385630599999999</v>
      </c>
      <c r="I258">
        <v>1.1563452000000001</v>
      </c>
      <c r="J258">
        <v>1.30671643</v>
      </c>
      <c r="K258">
        <v>1.386354753</v>
      </c>
      <c r="L258">
        <v>1.6691979400000001</v>
      </c>
      <c r="M258">
        <v>1.77334777</v>
      </c>
      <c r="N258" t="s">
        <v>99</v>
      </c>
      <c r="O258">
        <v>2014</v>
      </c>
      <c r="P258">
        <v>36</v>
      </c>
    </row>
    <row r="259" spans="1:16" x14ac:dyDescent="0.2">
      <c r="A259" s="3">
        <v>2015</v>
      </c>
      <c r="B259">
        <v>2.5182262E-2</v>
      </c>
      <c r="C259">
        <v>0.18132380300000001</v>
      </c>
      <c r="D259">
        <v>0.40399529099999998</v>
      </c>
      <c r="E259">
        <v>0.46221148099999998</v>
      </c>
      <c r="F259">
        <v>0.57057961999999995</v>
      </c>
      <c r="G259">
        <v>0.690256019</v>
      </c>
      <c r="H259">
        <v>0.78607375499999999</v>
      </c>
      <c r="I259">
        <v>0.88670813100000001</v>
      </c>
      <c r="J259">
        <v>1.1407205549999999</v>
      </c>
      <c r="K259">
        <v>1.1952961479999999</v>
      </c>
      <c r="L259">
        <v>1.3154064700000001</v>
      </c>
      <c r="M259">
        <v>1.67091711</v>
      </c>
      <c r="N259" t="s">
        <v>99</v>
      </c>
      <c r="O259">
        <v>2015</v>
      </c>
      <c r="P259">
        <v>37</v>
      </c>
    </row>
    <row r="260" spans="1:16" x14ac:dyDescent="0.2">
      <c r="A260" s="3">
        <v>2016</v>
      </c>
      <c r="B260">
        <v>2.5182262E-2</v>
      </c>
      <c r="C260">
        <v>0.18132380300000001</v>
      </c>
      <c r="D260">
        <v>0.40855888600000001</v>
      </c>
      <c r="E260">
        <v>0.531116861</v>
      </c>
      <c r="F260">
        <v>0.55702500899999996</v>
      </c>
      <c r="G260">
        <v>0.64597199100000002</v>
      </c>
      <c r="H260">
        <v>0.73182072899999995</v>
      </c>
      <c r="I260">
        <v>0.79973596300000005</v>
      </c>
      <c r="J260">
        <v>0.94050463900000003</v>
      </c>
      <c r="K260">
        <v>1.0434106350000001</v>
      </c>
      <c r="L260">
        <v>1.1779871079999999</v>
      </c>
      <c r="M260">
        <v>0.78776003999999999</v>
      </c>
      <c r="N260" t="s">
        <v>99</v>
      </c>
      <c r="O260">
        <v>2016</v>
      </c>
      <c r="P260">
        <v>38</v>
      </c>
    </row>
    <row r="261" spans="1:16" x14ac:dyDescent="0.2">
      <c r="A261" s="3">
        <v>2017</v>
      </c>
      <c r="B261">
        <v>2.5182262E-2</v>
      </c>
      <c r="C261">
        <v>0.19111972099999999</v>
      </c>
      <c r="D261">
        <v>0.40830735899999998</v>
      </c>
      <c r="E261">
        <v>0.49851599499999999</v>
      </c>
      <c r="F261">
        <v>0.65028662000000004</v>
      </c>
      <c r="G261">
        <v>0.69372113400000002</v>
      </c>
      <c r="H261">
        <v>0.751851661</v>
      </c>
      <c r="I261">
        <v>0.82740700899999997</v>
      </c>
      <c r="J261">
        <v>0.89392201699999996</v>
      </c>
      <c r="K261">
        <v>0.91115468600000005</v>
      </c>
      <c r="L261">
        <v>1.0275039130000001</v>
      </c>
      <c r="M261">
        <v>0.96131835099999996</v>
      </c>
      <c r="N261" t="s">
        <v>99</v>
      </c>
      <c r="O261">
        <v>2017</v>
      </c>
      <c r="P261">
        <v>39</v>
      </c>
    </row>
    <row r="262" spans="1:16" x14ac:dyDescent="0.2">
      <c r="A262" s="3">
        <v>2018</v>
      </c>
      <c r="B262">
        <v>2.5182262E-2</v>
      </c>
      <c r="C262">
        <v>0.18622176200000001</v>
      </c>
      <c r="D262">
        <v>0.37724519299999998</v>
      </c>
      <c r="E262">
        <v>0.46675246799999998</v>
      </c>
      <c r="F262">
        <v>0.57318186599999998</v>
      </c>
      <c r="G262">
        <v>0.73369985000000004</v>
      </c>
      <c r="H262">
        <v>0.80881347100000001</v>
      </c>
      <c r="I262">
        <v>0.85316995100000004</v>
      </c>
      <c r="J262">
        <v>0.90635076800000003</v>
      </c>
      <c r="K262">
        <v>1.0388272270000001</v>
      </c>
      <c r="L262">
        <v>0.93559379600000003</v>
      </c>
      <c r="M262">
        <v>1.1100717659999999</v>
      </c>
      <c r="N262" t="s">
        <v>99</v>
      </c>
      <c r="O262">
        <v>2018</v>
      </c>
      <c r="P262">
        <v>40</v>
      </c>
    </row>
    <row r="263" spans="1:16" x14ac:dyDescent="0.2">
      <c r="A263" s="3">
        <v>2019</v>
      </c>
      <c r="B263">
        <v>2.5182262E-2</v>
      </c>
      <c r="C263">
        <v>0.18622176200000001</v>
      </c>
      <c r="D263">
        <v>0.42191158099999998</v>
      </c>
      <c r="E263">
        <v>0.56524664599999996</v>
      </c>
      <c r="F263">
        <v>0.64322527600000001</v>
      </c>
      <c r="G263">
        <v>0.75939756199999997</v>
      </c>
      <c r="H263">
        <v>0.87848334299999997</v>
      </c>
      <c r="I263">
        <v>0.96227578499999999</v>
      </c>
      <c r="J263">
        <v>1.0067980059999999</v>
      </c>
      <c r="K263">
        <v>1.0646750519999999</v>
      </c>
      <c r="L263">
        <v>1.0349850410000001</v>
      </c>
      <c r="M263">
        <v>1.181891891</v>
      </c>
      <c r="N263" t="s">
        <v>99</v>
      </c>
      <c r="O263">
        <v>2019</v>
      </c>
      <c r="P263">
        <v>41</v>
      </c>
    </row>
    <row r="264" spans="1:16" x14ac:dyDescent="0.2">
      <c r="A264" s="3">
        <v>2020</v>
      </c>
      <c r="B264">
        <v>2.5182262E-2</v>
      </c>
      <c r="C264">
        <v>0.18622176200000001</v>
      </c>
      <c r="D264">
        <v>0.38727899999999998</v>
      </c>
      <c r="E264">
        <v>0.52157900000000001</v>
      </c>
      <c r="F264">
        <v>0.63198299999999996</v>
      </c>
      <c r="G264">
        <v>0.71557199999999999</v>
      </c>
      <c r="H264">
        <v>0.799211</v>
      </c>
      <c r="I264">
        <v>0.95508099999999996</v>
      </c>
      <c r="J264">
        <v>1.005954</v>
      </c>
      <c r="K264">
        <v>1.0402579999999999</v>
      </c>
      <c r="L264">
        <v>1.189235</v>
      </c>
      <c r="M264">
        <v>1.072451</v>
      </c>
      <c r="N264" t="s">
        <v>99</v>
      </c>
      <c r="O264">
        <v>2020</v>
      </c>
      <c r="P264">
        <v>42</v>
      </c>
    </row>
    <row r="265" spans="1:16" x14ac:dyDescent="0.2">
      <c r="A265" s="3">
        <v>2021</v>
      </c>
      <c r="B265">
        <v>2.5182262E-2</v>
      </c>
      <c r="C265">
        <v>0.18622176200000001</v>
      </c>
      <c r="D265">
        <v>0.393063</v>
      </c>
      <c r="E265">
        <v>0.479856</v>
      </c>
      <c r="F265">
        <v>0.57371499999999997</v>
      </c>
      <c r="G265">
        <v>0.68978200000000001</v>
      </c>
      <c r="H265">
        <v>0.75687300000000002</v>
      </c>
      <c r="I265">
        <v>0.84131599999999995</v>
      </c>
      <c r="J265">
        <v>1.0106580000000001</v>
      </c>
      <c r="K265">
        <v>1.1298109999999999</v>
      </c>
      <c r="L265">
        <v>1.1597489999999999</v>
      </c>
      <c r="M265">
        <v>1.2693300000000001</v>
      </c>
      <c r="N265" t="s">
        <v>99</v>
      </c>
      <c r="O265">
        <v>2021</v>
      </c>
      <c r="P265">
        <v>43</v>
      </c>
    </row>
    <row r="266" spans="1:16" x14ac:dyDescent="0.2">
      <c r="A266" s="3">
        <v>2022</v>
      </c>
      <c r="B266">
        <v>2.5182262E-2</v>
      </c>
      <c r="C266">
        <v>0.18622176200000001</v>
      </c>
      <c r="D266">
        <v>0.440141</v>
      </c>
      <c r="E266">
        <v>0.50607000000000002</v>
      </c>
      <c r="F266">
        <v>0.57391300000000001</v>
      </c>
      <c r="G266">
        <v>0.72403399999999996</v>
      </c>
      <c r="H266">
        <v>0.83748400000000001</v>
      </c>
      <c r="I266">
        <v>0.88325900000000002</v>
      </c>
      <c r="J266">
        <v>0.98369700000000004</v>
      </c>
      <c r="K266">
        <v>0.97232600000000002</v>
      </c>
      <c r="L266">
        <v>1.271469</v>
      </c>
      <c r="M266">
        <v>1.0442340000000001</v>
      </c>
      <c r="N266" t="s">
        <v>99</v>
      </c>
      <c r="O266">
        <v>2022</v>
      </c>
      <c r="P266">
        <v>44</v>
      </c>
    </row>
    <row r="267" spans="1:16" x14ac:dyDescent="0.2">
      <c r="A267" s="3">
        <v>2023</v>
      </c>
      <c r="B267">
        <v>2.5182262E-2</v>
      </c>
      <c r="C267">
        <v>0.18622176200000001</v>
      </c>
      <c r="D267">
        <v>0.39375700000000002</v>
      </c>
      <c r="E267">
        <v>0.548346</v>
      </c>
      <c r="F267">
        <v>0.62629199999999996</v>
      </c>
      <c r="G267">
        <v>0.73193699999999995</v>
      </c>
      <c r="H267">
        <v>0.84151600000000004</v>
      </c>
      <c r="I267">
        <v>0.91081199999999995</v>
      </c>
      <c r="J267">
        <v>0.99766600000000005</v>
      </c>
      <c r="K267">
        <v>1.1259079999999999</v>
      </c>
      <c r="L267">
        <v>1.1419649999999999</v>
      </c>
      <c r="M267">
        <v>1.1716150000000001</v>
      </c>
      <c r="N267" t="s">
        <v>99</v>
      </c>
      <c r="O267">
        <v>2023</v>
      </c>
      <c r="P267">
        <v>45</v>
      </c>
    </row>
    <row r="268" spans="1:16" s="2" customFormat="1" x14ac:dyDescent="0.2">
      <c r="A268" s="17"/>
      <c r="B268">
        <v>2.5182262E-2</v>
      </c>
      <c r="C268">
        <v>0.18622176200000001</v>
      </c>
      <c r="D268">
        <v>0.39375700000000002</v>
      </c>
      <c r="E268">
        <v>0.548346</v>
      </c>
      <c r="F268">
        <v>0.62629199999999996</v>
      </c>
      <c r="G268">
        <v>0.73193699999999995</v>
      </c>
      <c r="H268">
        <v>0.84151600000000004</v>
      </c>
      <c r="I268">
        <v>0.91081199999999995</v>
      </c>
      <c r="J268">
        <v>0.99766600000000005</v>
      </c>
      <c r="K268">
        <v>1.1259079999999999</v>
      </c>
      <c r="L268">
        <v>1.1419649999999999</v>
      </c>
      <c r="M268">
        <v>1.1716150000000001</v>
      </c>
      <c r="N268" t="s">
        <v>99</v>
      </c>
      <c r="O268">
        <f>O267+1</f>
        <v>2024</v>
      </c>
      <c r="P268">
        <f>P267+1</f>
        <v>46</v>
      </c>
    </row>
    <row r="269" spans="1:16" x14ac:dyDescent="0.2">
      <c r="B269" t="s">
        <v>99</v>
      </c>
      <c r="C269" t="s">
        <v>210</v>
      </c>
      <c r="D269" t="s">
        <v>211</v>
      </c>
    </row>
    <row r="270" spans="1:16" x14ac:dyDescent="0.2">
      <c r="B270" t="s">
        <v>100</v>
      </c>
    </row>
    <row r="271" spans="1:16" x14ac:dyDescent="0.2">
      <c r="B271">
        <v>3.8075930000000001E-2</v>
      </c>
      <c r="C271">
        <v>0.2370012</v>
      </c>
      <c r="D271">
        <v>0.66977679999999995</v>
      </c>
      <c r="E271">
        <v>1.344427</v>
      </c>
      <c r="F271">
        <v>2.230181</v>
      </c>
      <c r="G271">
        <v>3.2784909999999998</v>
      </c>
      <c r="H271">
        <v>4.4365949999999996</v>
      </c>
      <c r="I271">
        <v>5.6552160000000002</v>
      </c>
      <c r="J271">
        <v>6.8922800000000004</v>
      </c>
      <c r="K271">
        <v>8.1141699999999997</v>
      </c>
      <c r="L271">
        <v>9.2955679999999994</v>
      </c>
      <c r="M271">
        <v>11.02774</v>
      </c>
      <c r="N271" t="s">
        <v>99</v>
      </c>
      <c r="O271">
        <v>1979</v>
      </c>
      <c r="P271">
        <v>1</v>
      </c>
    </row>
    <row r="272" spans="1:16" x14ac:dyDescent="0.2">
      <c r="B272">
        <v>3.8075930000000001E-2</v>
      </c>
      <c r="C272">
        <v>0.2370012</v>
      </c>
      <c r="D272">
        <v>0.66977679999999995</v>
      </c>
      <c r="E272">
        <v>1.344427</v>
      </c>
      <c r="F272">
        <v>2.230181</v>
      </c>
      <c r="G272">
        <v>3.2784909999999998</v>
      </c>
      <c r="H272">
        <v>4.4365949999999996</v>
      </c>
      <c r="I272">
        <v>5.6552160000000002</v>
      </c>
      <c r="J272">
        <v>6.8922800000000004</v>
      </c>
      <c r="K272">
        <v>8.1141699999999997</v>
      </c>
      <c r="L272">
        <v>9.2955679999999994</v>
      </c>
      <c r="M272">
        <v>11.02774</v>
      </c>
      <c r="N272" t="s">
        <v>99</v>
      </c>
      <c r="O272">
        <v>1980</v>
      </c>
      <c r="P272">
        <v>2</v>
      </c>
    </row>
    <row r="273" spans="2:16" x14ac:dyDescent="0.2">
      <c r="B273">
        <v>3.8357919999999997E-2</v>
      </c>
      <c r="C273">
        <v>0.24491840000000001</v>
      </c>
      <c r="D273">
        <v>0.70294670000000004</v>
      </c>
      <c r="E273">
        <v>1.426717</v>
      </c>
      <c r="F273">
        <v>2.3870369999999999</v>
      </c>
      <c r="G273">
        <v>3.533477</v>
      </c>
      <c r="H273">
        <v>4.8093409999999999</v>
      </c>
      <c r="I273">
        <v>6.1605109999999996</v>
      </c>
      <c r="J273">
        <v>7.5399609999999999</v>
      </c>
      <c r="K273">
        <v>8.9094960000000007</v>
      </c>
      <c r="L273">
        <v>10.239850000000001</v>
      </c>
      <c r="M273">
        <v>12.20219</v>
      </c>
      <c r="N273" t="s">
        <v>99</v>
      </c>
      <c r="O273">
        <v>1981</v>
      </c>
      <c r="P273">
        <v>3</v>
      </c>
    </row>
    <row r="274" spans="2:16" x14ac:dyDescent="0.2">
      <c r="B274">
        <v>3.8864040000000002E-2</v>
      </c>
      <c r="C274">
        <v>0.26097779999999998</v>
      </c>
      <c r="D274">
        <v>0.77233039999999997</v>
      </c>
      <c r="E274">
        <v>1.602268</v>
      </c>
      <c r="F274">
        <v>2.7265899999999998</v>
      </c>
      <c r="G274">
        <v>4.0918970000000003</v>
      </c>
      <c r="H274">
        <v>5.6335100000000002</v>
      </c>
      <c r="I274">
        <v>7.2868500000000003</v>
      </c>
      <c r="J274">
        <v>8.9938059999999993</v>
      </c>
      <c r="K274">
        <v>10.70566</v>
      </c>
      <c r="L274">
        <v>12.38387</v>
      </c>
      <c r="M274">
        <v>14.888809999999999</v>
      </c>
      <c r="N274" t="s">
        <v>99</v>
      </c>
      <c r="O274">
        <v>1982</v>
      </c>
      <c r="P274">
        <v>4</v>
      </c>
    </row>
    <row r="275" spans="2:16" x14ac:dyDescent="0.2">
      <c r="B275">
        <v>3.8075930000000001E-2</v>
      </c>
      <c r="C275">
        <v>0.2370012</v>
      </c>
      <c r="D275">
        <v>0.66977679999999995</v>
      </c>
      <c r="E275">
        <v>1.344427</v>
      </c>
      <c r="F275">
        <v>2.230181</v>
      </c>
      <c r="G275">
        <v>3.2784909999999998</v>
      </c>
      <c r="H275">
        <v>4.4365949999999996</v>
      </c>
      <c r="I275">
        <v>5.6552160000000002</v>
      </c>
      <c r="J275">
        <v>6.8922800000000004</v>
      </c>
      <c r="K275">
        <v>8.1141699999999997</v>
      </c>
      <c r="L275">
        <v>9.2955679999999994</v>
      </c>
      <c r="M275">
        <v>11.02774</v>
      </c>
      <c r="N275" t="s">
        <v>99</v>
      </c>
      <c r="O275">
        <v>1983</v>
      </c>
      <c r="P275">
        <v>5</v>
      </c>
    </row>
    <row r="276" spans="2:16" x14ac:dyDescent="0.2">
      <c r="B276">
        <v>3.8191509999999998E-2</v>
      </c>
      <c r="C276">
        <v>0.240171</v>
      </c>
      <c r="D276">
        <v>0.68297540000000001</v>
      </c>
      <c r="E276">
        <v>1.3770420000000001</v>
      </c>
      <c r="F276">
        <v>2.2921659999999999</v>
      </c>
      <c r="G276">
        <v>3.3790200000000001</v>
      </c>
      <c r="H276">
        <v>4.5832680000000003</v>
      </c>
      <c r="I276">
        <v>5.8537210000000002</v>
      </c>
      <c r="J276">
        <v>7.146363</v>
      </c>
      <c r="K276">
        <v>8.4257910000000003</v>
      </c>
      <c r="L276">
        <v>9.6651509999999998</v>
      </c>
      <c r="M276">
        <v>11.48672</v>
      </c>
      <c r="N276" t="s">
        <v>99</v>
      </c>
      <c r="O276">
        <v>1984</v>
      </c>
      <c r="P276">
        <v>6</v>
      </c>
    </row>
    <row r="277" spans="2:16" x14ac:dyDescent="0.2">
      <c r="B277">
        <v>3.8008599999999997E-2</v>
      </c>
      <c r="C277">
        <v>0.2351993</v>
      </c>
      <c r="D277">
        <v>0.66232250000000004</v>
      </c>
      <c r="E277">
        <v>1.3260829999999999</v>
      </c>
      <c r="F277">
        <v>2.195424</v>
      </c>
      <c r="G277">
        <v>3.2222599999999999</v>
      </c>
      <c r="H277">
        <v>4.3547190000000002</v>
      </c>
      <c r="I277">
        <v>5.5445950000000002</v>
      </c>
      <c r="J277">
        <v>6.7508929999999996</v>
      </c>
      <c r="K277">
        <v>7.9409859999999997</v>
      </c>
      <c r="L277">
        <v>9.0904019999999992</v>
      </c>
      <c r="M277">
        <v>10.773339999999999</v>
      </c>
      <c r="N277" t="s">
        <v>99</v>
      </c>
      <c r="O277">
        <v>1985</v>
      </c>
      <c r="P277">
        <v>7</v>
      </c>
    </row>
    <row r="278" spans="2:16" x14ac:dyDescent="0.2">
      <c r="B278">
        <v>3.7843000000000002E-2</v>
      </c>
      <c r="C278">
        <v>0.23089789999999999</v>
      </c>
      <c r="D278">
        <v>0.64466900000000005</v>
      </c>
      <c r="E278">
        <v>1.2828619999999999</v>
      </c>
      <c r="F278">
        <v>2.1138439999999998</v>
      </c>
      <c r="G278">
        <v>3.0906709999999999</v>
      </c>
      <c r="H278">
        <v>4.1635900000000001</v>
      </c>
      <c r="I278">
        <v>5.2869010000000003</v>
      </c>
      <c r="J278">
        <v>6.422123</v>
      </c>
      <c r="K278">
        <v>7.5389090000000003</v>
      </c>
      <c r="L278">
        <v>8.6147270000000002</v>
      </c>
      <c r="M278">
        <v>10.18465</v>
      </c>
      <c r="N278" t="s">
        <v>99</v>
      </c>
      <c r="O278">
        <v>1986</v>
      </c>
      <c r="P278">
        <v>8</v>
      </c>
    </row>
    <row r="279" spans="2:16" x14ac:dyDescent="0.2">
      <c r="B279">
        <v>3.824615E-2</v>
      </c>
      <c r="C279">
        <v>0.2417048</v>
      </c>
      <c r="D279">
        <v>0.68940109999999999</v>
      </c>
      <c r="E279">
        <v>1.3929819999999999</v>
      </c>
      <c r="F279">
        <v>2.322549</v>
      </c>
      <c r="G279">
        <v>3.4284080000000001</v>
      </c>
      <c r="H279">
        <v>4.655462</v>
      </c>
      <c r="I279">
        <v>5.9515840000000004</v>
      </c>
      <c r="J279">
        <v>7.2717980000000004</v>
      </c>
      <c r="K279">
        <v>8.5798159999999992</v>
      </c>
      <c r="L279">
        <v>9.8480170000000005</v>
      </c>
      <c r="M279">
        <v>11.71415</v>
      </c>
      <c r="N279" t="s">
        <v>99</v>
      </c>
      <c r="O279">
        <v>1987</v>
      </c>
      <c r="P279">
        <v>9</v>
      </c>
    </row>
    <row r="280" spans="2:16" x14ac:dyDescent="0.2">
      <c r="B280">
        <v>3.7953170000000001E-2</v>
      </c>
      <c r="C280">
        <v>0.23373940000000001</v>
      </c>
      <c r="D280">
        <v>0.65630840000000001</v>
      </c>
      <c r="E280">
        <v>1.3113239999999999</v>
      </c>
      <c r="F280">
        <v>2.167516</v>
      </c>
      <c r="G280">
        <v>3.1771820000000002</v>
      </c>
      <c r="H280">
        <v>4.2891690000000002</v>
      </c>
      <c r="I280">
        <v>5.4561289999999998</v>
      </c>
      <c r="J280">
        <v>6.6379330000000003</v>
      </c>
      <c r="K280">
        <v>7.8027389999999999</v>
      </c>
      <c r="L280">
        <v>8.9267439999999993</v>
      </c>
      <c r="M280">
        <v>10.57062</v>
      </c>
      <c r="N280" t="s">
        <v>99</v>
      </c>
      <c r="O280">
        <v>1988</v>
      </c>
      <c r="P280">
        <v>10</v>
      </c>
    </row>
    <row r="281" spans="2:16" x14ac:dyDescent="0.2">
      <c r="B281">
        <v>3.8222560000000003E-2</v>
      </c>
      <c r="C281">
        <v>0.2410397</v>
      </c>
      <c r="D281">
        <v>0.68661139999999998</v>
      </c>
      <c r="E281">
        <v>1.386056</v>
      </c>
      <c r="F281">
        <v>2.309342</v>
      </c>
      <c r="G281">
        <v>3.40693</v>
      </c>
      <c r="H281">
        <v>4.6240550000000002</v>
      </c>
      <c r="I281">
        <v>5.9089980000000004</v>
      </c>
      <c r="J281">
        <v>7.2172010000000002</v>
      </c>
      <c r="K281">
        <v>8.5127590000000009</v>
      </c>
      <c r="L281">
        <v>9.7683890000000009</v>
      </c>
      <c r="M281">
        <v>11.61509</v>
      </c>
      <c r="N281" t="s">
        <v>99</v>
      </c>
      <c r="O281">
        <v>1989</v>
      </c>
      <c r="P281">
        <v>11</v>
      </c>
    </row>
    <row r="282" spans="2:16" x14ac:dyDescent="0.2">
      <c r="B282">
        <v>3.8084489999999999E-2</v>
      </c>
      <c r="C282">
        <v>0.23723269999999999</v>
      </c>
      <c r="D282">
        <v>0.67073689999999997</v>
      </c>
      <c r="E282">
        <v>1.3467929999999999</v>
      </c>
      <c r="F282">
        <v>2.2346699999999999</v>
      </c>
      <c r="G282">
        <v>3.2857620000000001</v>
      </c>
      <c r="H282">
        <v>4.4471910000000001</v>
      </c>
      <c r="I282">
        <v>5.6695419999999999</v>
      </c>
      <c r="J282">
        <v>6.9106009999999998</v>
      </c>
      <c r="K282">
        <v>8.1366230000000002</v>
      </c>
      <c r="L282">
        <v>9.3221790000000002</v>
      </c>
      <c r="M282">
        <v>11.06076</v>
      </c>
      <c r="N282" t="s">
        <v>99</v>
      </c>
      <c r="O282">
        <v>1990</v>
      </c>
      <c r="P282">
        <v>12</v>
      </c>
    </row>
    <row r="283" spans="2:16" x14ac:dyDescent="0.2">
      <c r="B283">
        <v>3.8078920000000002E-2</v>
      </c>
      <c r="C283">
        <v>0.23708190000000001</v>
      </c>
      <c r="D283">
        <v>0.67011140000000002</v>
      </c>
      <c r="E283">
        <v>1.345251</v>
      </c>
      <c r="F283">
        <v>2.2317450000000001</v>
      </c>
      <c r="G283">
        <v>3.2810239999999999</v>
      </c>
      <c r="H283">
        <v>4.4402860000000004</v>
      </c>
      <c r="I283">
        <v>5.6602059999999996</v>
      </c>
      <c r="J283">
        <v>6.8986609999999997</v>
      </c>
      <c r="K283">
        <v>8.1219900000000003</v>
      </c>
      <c r="L283">
        <v>9.3048359999999999</v>
      </c>
      <c r="M283">
        <v>11.039239999999999</v>
      </c>
      <c r="N283" t="s">
        <v>99</v>
      </c>
      <c r="O283">
        <v>1991</v>
      </c>
      <c r="P283">
        <v>13</v>
      </c>
    </row>
    <row r="284" spans="2:16" x14ac:dyDescent="0.2">
      <c r="B284">
        <v>3.7887299999999999E-2</v>
      </c>
      <c r="C284">
        <v>0.23203109999999999</v>
      </c>
      <c r="D284">
        <v>0.64930049999999995</v>
      </c>
      <c r="E284">
        <v>1.294171</v>
      </c>
      <c r="F284">
        <v>2.1351469999999999</v>
      </c>
      <c r="G284">
        <v>3.1249790000000002</v>
      </c>
      <c r="H284">
        <v>4.2133560000000001</v>
      </c>
      <c r="I284">
        <v>5.3539260000000004</v>
      </c>
      <c r="J284">
        <v>6.5075529999999997</v>
      </c>
      <c r="K284">
        <v>7.6433020000000003</v>
      </c>
      <c r="L284">
        <v>8.7381390000000003</v>
      </c>
      <c r="M284">
        <v>10.33723</v>
      </c>
      <c r="N284" t="s">
        <v>99</v>
      </c>
      <c r="O284">
        <v>1992</v>
      </c>
      <c r="P284">
        <v>14</v>
      </c>
    </row>
    <row r="285" spans="2:16" x14ac:dyDescent="0.2">
      <c r="B285">
        <v>3.684569E-2</v>
      </c>
      <c r="C285">
        <v>0.20814299999999999</v>
      </c>
      <c r="D285">
        <v>0.55458209999999997</v>
      </c>
      <c r="E285">
        <v>1.067304</v>
      </c>
      <c r="F285">
        <v>1.713808</v>
      </c>
      <c r="G285">
        <v>2.4539949999999999</v>
      </c>
      <c r="H285">
        <v>3.2489499999999998</v>
      </c>
      <c r="I285">
        <v>4.0650979999999999</v>
      </c>
      <c r="J285">
        <v>4.8756640000000004</v>
      </c>
      <c r="K285">
        <v>5.6606430000000003</v>
      </c>
      <c r="L285">
        <v>6.4060750000000004</v>
      </c>
      <c r="M285">
        <v>7.4740060000000001</v>
      </c>
      <c r="N285" t="s">
        <v>99</v>
      </c>
      <c r="O285">
        <v>1993</v>
      </c>
      <c r="P285">
        <v>15</v>
      </c>
    </row>
    <row r="286" spans="2:16" x14ac:dyDescent="0.2">
      <c r="B286">
        <v>3.7885830000000002E-2</v>
      </c>
      <c r="C286">
        <v>0.23199339999999999</v>
      </c>
      <c r="D286">
        <v>0.649146</v>
      </c>
      <c r="E286">
        <v>1.293793</v>
      </c>
      <c r="F286">
        <v>2.1344349999999999</v>
      </c>
      <c r="G286">
        <v>3.1238320000000002</v>
      </c>
      <c r="H286">
        <v>4.2116920000000002</v>
      </c>
      <c r="I286">
        <v>5.3516839999999997</v>
      </c>
      <c r="J286">
        <v>6.5046949999999999</v>
      </c>
      <c r="K286">
        <v>7.6398080000000004</v>
      </c>
      <c r="L286">
        <v>8.7340079999999993</v>
      </c>
      <c r="M286">
        <v>10.33212</v>
      </c>
      <c r="N286" t="s">
        <v>99</v>
      </c>
      <c r="O286">
        <v>1994</v>
      </c>
      <c r="P286">
        <v>16</v>
      </c>
    </row>
    <row r="287" spans="2:16" x14ac:dyDescent="0.2">
      <c r="B287">
        <v>3.7889260000000001E-2</v>
      </c>
      <c r="C287">
        <v>0.2320815</v>
      </c>
      <c r="D287">
        <v>0.64950699999999995</v>
      </c>
      <c r="E287">
        <v>1.2946759999999999</v>
      </c>
      <c r="F287">
        <v>2.1360980000000001</v>
      </c>
      <c r="G287">
        <v>3.126512</v>
      </c>
      <c r="H287">
        <v>4.2155810000000002</v>
      </c>
      <c r="I287">
        <v>5.3569240000000002</v>
      </c>
      <c r="J287">
        <v>6.5113760000000003</v>
      </c>
      <c r="K287">
        <v>7.6479749999999997</v>
      </c>
      <c r="L287">
        <v>8.7436640000000008</v>
      </c>
      <c r="M287">
        <v>10.34407</v>
      </c>
      <c r="N287" t="s">
        <v>99</v>
      </c>
      <c r="O287">
        <v>1995</v>
      </c>
      <c r="P287">
        <v>17</v>
      </c>
    </row>
    <row r="288" spans="2:16" x14ac:dyDescent="0.2">
      <c r="B288">
        <v>3.8267870000000002E-2</v>
      </c>
      <c r="C288">
        <v>0.24232129999999999</v>
      </c>
      <c r="D288">
        <v>0.69199080000000002</v>
      </c>
      <c r="E288">
        <v>1.3994169999999999</v>
      </c>
      <c r="F288">
        <v>2.334832</v>
      </c>
      <c r="G288">
        <v>3.4483950000000001</v>
      </c>
      <c r="H288">
        <v>4.6847029999999998</v>
      </c>
      <c r="I288">
        <v>5.9912510000000001</v>
      </c>
      <c r="J288">
        <v>7.322673</v>
      </c>
      <c r="K288">
        <v>8.6423199999999998</v>
      </c>
      <c r="L288">
        <v>9.9222610000000007</v>
      </c>
      <c r="M288">
        <v>11.80655</v>
      </c>
      <c r="N288" t="s">
        <v>99</v>
      </c>
      <c r="O288">
        <v>1996</v>
      </c>
      <c r="P288">
        <v>18</v>
      </c>
    </row>
    <row r="289" spans="2:16" x14ac:dyDescent="0.2">
      <c r="B289">
        <v>3.8149089999999997E-2</v>
      </c>
      <c r="C289">
        <v>0.23899590000000001</v>
      </c>
      <c r="D289">
        <v>0.67806979999999994</v>
      </c>
      <c r="E289">
        <v>1.3648990000000001</v>
      </c>
      <c r="F289">
        <v>2.2690610000000002</v>
      </c>
      <c r="G289">
        <v>3.3415110000000001</v>
      </c>
      <c r="H289">
        <v>4.5284979999999999</v>
      </c>
      <c r="I289">
        <v>5.7795459999999999</v>
      </c>
      <c r="J289">
        <v>7.0513649999999997</v>
      </c>
      <c r="K289">
        <v>8.3092220000000001</v>
      </c>
      <c r="L289">
        <v>9.5268379999999997</v>
      </c>
      <c r="M289">
        <v>11.31485</v>
      </c>
      <c r="N289" t="s">
        <v>99</v>
      </c>
      <c r="O289">
        <v>1997</v>
      </c>
      <c r="P289">
        <v>19</v>
      </c>
    </row>
    <row r="290" spans="2:16" x14ac:dyDescent="0.2">
      <c r="B290">
        <v>3.8836969999999998E-2</v>
      </c>
      <c r="C290">
        <v>0.2600459</v>
      </c>
      <c r="D290">
        <v>0.76822670000000004</v>
      </c>
      <c r="E290">
        <v>1.5917589999999999</v>
      </c>
      <c r="F290">
        <v>2.7060810000000002</v>
      </c>
      <c r="G290">
        <v>4.057931</v>
      </c>
      <c r="H290">
        <v>5.5830890000000002</v>
      </c>
      <c r="I290">
        <v>7.2176039999999997</v>
      </c>
      <c r="J290">
        <v>8.9040490000000005</v>
      </c>
      <c r="K290">
        <v>10.59437</v>
      </c>
      <c r="L290">
        <v>12.2506</v>
      </c>
      <c r="M290">
        <v>14.72105</v>
      </c>
      <c r="N290" t="s">
        <v>99</v>
      </c>
      <c r="O290">
        <v>1998</v>
      </c>
      <c r="P290">
        <v>20</v>
      </c>
    </row>
    <row r="291" spans="2:16" x14ac:dyDescent="0.2">
      <c r="B291">
        <v>3.7374169999999998E-2</v>
      </c>
      <c r="C291">
        <v>0.2195993</v>
      </c>
      <c r="D291">
        <v>0.59924630000000001</v>
      </c>
      <c r="E291">
        <v>1.1731130000000001</v>
      </c>
      <c r="F291">
        <v>1.908704</v>
      </c>
      <c r="G291">
        <v>2.7623340000000001</v>
      </c>
      <c r="H291">
        <v>3.6897199999999999</v>
      </c>
      <c r="I291">
        <v>4.6514280000000001</v>
      </c>
      <c r="J291">
        <v>5.615113</v>
      </c>
      <c r="K291">
        <v>6.5559180000000001</v>
      </c>
      <c r="L291">
        <v>7.4559059999999997</v>
      </c>
      <c r="M291">
        <v>8.7574970000000008</v>
      </c>
      <c r="N291" t="s">
        <v>99</v>
      </c>
      <c r="O291">
        <v>1999</v>
      </c>
      <c r="P291">
        <v>21</v>
      </c>
    </row>
    <row r="292" spans="2:16" x14ac:dyDescent="0.2">
      <c r="B292">
        <v>3.7574400000000001E-2</v>
      </c>
      <c r="C292">
        <v>0.22427800000000001</v>
      </c>
      <c r="D292">
        <v>0.61788949999999998</v>
      </c>
      <c r="E292">
        <v>1.2179009999999999</v>
      </c>
      <c r="F292">
        <v>1.9920640000000001</v>
      </c>
      <c r="G292">
        <v>2.8953039999999999</v>
      </c>
      <c r="H292">
        <v>3.8810910000000001</v>
      </c>
      <c r="I292">
        <v>4.9074549999999997</v>
      </c>
      <c r="J292">
        <v>5.9395879999999996</v>
      </c>
      <c r="K292">
        <v>6.9504469999999996</v>
      </c>
      <c r="L292">
        <v>7.9202779999999997</v>
      </c>
      <c r="M292">
        <v>9.3281589999999994</v>
      </c>
      <c r="N292" t="s">
        <v>99</v>
      </c>
      <c r="O292">
        <v>2000</v>
      </c>
      <c r="P292">
        <v>22</v>
      </c>
    </row>
    <row r="293" spans="2:16" x14ac:dyDescent="0.2">
      <c r="B293">
        <v>3.7493079999999998E-2</v>
      </c>
      <c r="C293">
        <v>0.2223532</v>
      </c>
      <c r="D293">
        <v>0.6101915</v>
      </c>
      <c r="E293">
        <v>1.199363</v>
      </c>
      <c r="F293">
        <v>1.9575009999999999</v>
      </c>
      <c r="G293">
        <v>2.840096</v>
      </c>
      <c r="H293">
        <v>3.801545</v>
      </c>
      <c r="I293">
        <v>4.8009300000000001</v>
      </c>
      <c r="J293">
        <v>5.8044719999999996</v>
      </c>
      <c r="K293">
        <v>6.7860420000000001</v>
      </c>
      <c r="L293">
        <v>7.7266459999999997</v>
      </c>
      <c r="M293">
        <v>9.0899990000000006</v>
      </c>
      <c r="N293" t="s">
        <v>99</v>
      </c>
      <c r="O293">
        <v>2001</v>
      </c>
      <c r="P293">
        <v>23</v>
      </c>
    </row>
    <row r="294" spans="2:16" x14ac:dyDescent="0.2">
      <c r="B294">
        <v>3.7232620000000001E-2</v>
      </c>
      <c r="C294">
        <v>0.21641070000000001</v>
      </c>
      <c r="D294">
        <v>0.58667469999999999</v>
      </c>
      <c r="E294">
        <v>1.143116</v>
      </c>
      <c r="F294">
        <v>1.853156</v>
      </c>
      <c r="G294">
        <v>2.674083</v>
      </c>
      <c r="H294">
        <v>3.563129</v>
      </c>
      <c r="I294">
        <v>4.4825410000000003</v>
      </c>
      <c r="J294">
        <v>5.4015880000000003</v>
      </c>
      <c r="K294">
        <v>6.2968359999999999</v>
      </c>
      <c r="L294">
        <v>7.1515190000000004</v>
      </c>
      <c r="M294">
        <v>8.3843859999999992</v>
      </c>
      <c r="N294" t="s">
        <v>99</v>
      </c>
      <c r="O294">
        <v>2002</v>
      </c>
      <c r="P294">
        <v>24</v>
      </c>
    </row>
    <row r="295" spans="2:16" x14ac:dyDescent="0.2">
      <c r="B295">
        <v>3.8130730000000002E-2</v>
      </c>
      <c r="C295">
        <v>0.2384918</v>
      </c>
      <c r="D295">
        <v>0.67596970000000001</v>
      </c>
      <c r="E295">
        <v>1.3597079999999999</v>
      </c>
      <c r="F295">
        <v>2.2591939999999999</v>
      </c>
      <c r="G295">
        <v>3.3255059999999999</v>
      </c>
      <c r="H295">
        <v>4.5051430000000003</v>
      </c>
      <c r="I295">
        <v>5.747935</v>
      </c>
      <c r="J295">
        <v>7.0109000000000004</v>
      </c>
      <c r="K295">
        <v>8.2595890000000001</v>
      </c>
      <c r="L295">
        <v>9.4679699999999993</v>
      </c>
      <c r="M295">
        <v>11.24173</v>
      </c>
      <c r="N295" t="s">
        <v>99</v>
      </c>
      <c r="O295">
        <v>2003</v>
      </c>
      <c r="P295">
        <v>25</v>
      </c>
    </row>
    <row r="296" spans="2:16" x14ac:dyDescent="0.2">
      <c r="B296">
        <v>3.768883E-2</v>
      </c>
      <c r="C296">
        <v>0.22704740000000001</v>
      </c>
      <c r="D296">
        <v>0.62903560000000003</v>
      </c>
      <c r="E296">
        <v>1.24485</v>
      </c>
      <c r="F296">
        <v>2.0424600000000002</v>
      </c>
      <c r="G296">
        <v>2.9759950000000002</v>
      </c>
      <c r="H296">
        <v>3.997582</v>
      </c>
      <c r="I296">
        <v>5.0637100000000004</v>
      </c>
      <c r="J296">
        <v>6.1380619999999997</v>
      </c>
      <c r="K296">
        <v>7.1922449999999998</v>
      </c>
      <c r="L296">
        <v>8.2053700000000003</v>
      </c>
      <c r="M296">
        <v>9.6793379999999996</v>
      </c>
      <c r="N296" t="s">
        <v>99</v>
      </c>
      <c r="O296">
        <v>2004</v>
      </c>
      <c r="P296">
        <v>26</v>
      </c>
    </row>
    <row r="297" spans="2:16" x14ac:dyDescent="0.2">
      <c r="B297">
        <v>3.8307220000000003E-2</v>
      </c>
      <c r="C297">
        <v>0.24344779999999999</v>
      </c>
      <c r="D297">
        <v>0.69673410000000002</v>
      </c>
      <c r="E297">
        <v>1.411222</v>
      </c>
      <c r="F297">
        <v>2.3573870000000001</v>
      </c>
      <c r="G297">
        <v>3.4851269999999999</v>
      </c>
      <c r="H297">
        <v>4.73848</v>
      </c>
      <c r="I297">
        <v>6.0642449999999997</v>
      </c>
      <c r="J297">
        <v>7.4163389999999998</v>
      </c>
      <c r="K297">
        <v>8.7574480000000001</v>
      </c>
      <c r="L297">
        <v>10.05907</v>
      </c>
      <c r="M297">
        <v>11.976900000000001</v>
      </c>
      <c r="N297" t="s">
        <v>99</v>
      </c>
      <c r="O297">
        <v>2005</v>
      </c>
      <c r="P297">
        <v>27</v>
      </c>
    </row>
    <row r="298" spans="2:16" x14ac:dyDescent="0.2">
      <c r="B298">
        <v>3.7817179999999999E-2</v>
      </c>
      <c r="C298">
        <v>0.230243</v>
      </c>
      <c r="D298">
        <v>0.64199870000000003</v>
      </c>
      <c r="E298">
        <v>1.2763519999999999</v>
      </c>
      <c r="F298">
        <v>2.1015929999999998</v>
      </c>
      <c r="G298">
        <v>3.0709599999999999</v>
      </c>
      <c r="H298">
        <v>4.1350179999999996</v>
      </c>
      <c r="I298">
        <v>5.2484450000000002</v>
      </c>
      <c r="J298">
        <v>6.3731330000000002</v>
      </c>
      <c r="K298">
        <v>7.4790729999999996</v>
      </c>
      <c r="L298">
        <v>8.5440179999999994</v>
      </c>
      <c r="M298">
        <v>10.09728</v>
      </c>
      <c r="N298" t="s">
        <v>99</v>
      </c>
      <c r="O298">
        <v>2006</v>
      </c>
      <c r="P298">
        <v>28</v>
      </c>
    </row>
    <row r="299" spans="2:16" x14ac:dyDescent="0.2">
      <c r="B299">
        <v>3.8608749999999997E-2</v>
      </c>
      <c r="C299">
        <v>0.2525386</v>
      </c>
      <c r="D299">
        <v>0.73551690000000003</v>
      </c>
      <c r="E299">
        <v>1.508556</v>
      </c>
      <c r="F299">
        <v>2.5445190000000002</v>
      </c>
      <c r="G299">
        <v>3.791407</v>
      </c>
      <c r="H299">
        <v>5.1887270000000001</v>
      </c>
      <c r="I299">
        <v>6.6775029999999997</v>
      </c>
      <c r="J299">
        <v>8.2056229999999992</v>
      </c>
      <c r="K299">
        <v>9.7301120000000001</v>
      </c>
      <c r="L299">
        <v>11.21752</v>
      </c>
      <c r="M299">
        <v>13.424010000000001</v>
      </c>
      <c r="N299" t="s">
        <v>99</v>
      </c>
      <c r="O299">
        <v>2007</v>
      </c>
      <c r="P299">
        <v>29</v>
      </c>
    </row>
    <row r="300" spans="2:16" x14ac:dyDescent="0.2">
      <c r="B300">
        <v>3.8642839999999998E-2</v>
      </c>
      <c r="C300">
        <v>0.25362259999999998</v>
      </c>
      <c r="D300">
        <v>0.74020160000000002</v>
      </c>
      <c r="E300">
        <v>1.520411</v>
      </c>
      <c r="F300">
        <v>2.5674489999999999</v>
      </c>
      <c r="G300">
        <v>3.8291179999999998</v>
      </c>
      <c r="H300">
        <v>5.2443860000000004</v>
      </c>
      <c r="I300">
        <v>6.7535679999999996</v>
      </c>
      <c r="J300">
        <v>8.3038039999999995</v>
      </c>
      <c r="K300">
        <v>9.8514090000000003</v>
      </c>
      <c r="L300">
        <v>11.362299999999999</v>
      </c>
      <c r="M300">
        <v>13.60543</v>
      </c>
      <c r="N300" t="s">
        <v>99</v>
      </c>
      <c r="O300">
        <v>2008</v>
      </c>
      <c r="P300">
        <v>30</v>
      </c>
    </row>
    <row r="301" spans="2:16" x14ac:dyDescent="0.2">
      <c r="B301">
        <v>3.8909109999999997E-2</v>
      </c>
      <c r="C301">
        <v>0.2625516</v>
      </c>
      <c r="D301">
        <v>0.77928249999999999</v>
      </c>
      <c r="E301">
        <v>1.620107</v>
      </c>
      <c r="F301">
        <v>2.7614540000000001</v>
      </c>
      <c r="G301">
        <v>4.1497070000000003</v>
      </c>
      <c r="H301">
        <v>5.7194089999999997</v>
      </c>
      <c r="I301">
        <v>7.4049139999999998</v>
      </c>
      <c r="J301">
        <v>9.1469489999999993</v>
      </c>
      <c r="K301">
        <v>10.89568</v>
      </c>
      <c r="L301">
        <v>12.61154</v>
      </c>
      <c r="M301">
        <v>15.17558</v>
      </c>
      <c r="N301" t="s">
        <v>99</v>
      </c>
      <c r="O301">
        <v>2009</v>
      </c>
      <c r="P301">
        <v>31</v>
      </c>
    </row>
    <row r="302" spans="2:16" x14ac:dyDescent="0.2">
      <c r="B302">
        <v>3.9265010000000003E-2</v>
      </c>
      <c r="C302">
        <v>0.27607150000000003</v>
      </c>
      <c r="D302">
        <v>0.84013899999999997</v>
      </c>
      <c r="E302">
        <v>1.7781450000000001</v>
      </c>
      <c r="F302">
        <v>3.0730849999999998</v>
      </c>
      <c r="G302">
        <v>4.6701030000000001</v>
      </c>
      <c r="H302">
        <v>6.4971990000000002</v>
      </c>
      <c r="I302">
        <v>8.4792590000000008</v>
      </c>
      <c r="J302">
        <v>10.54646</v>
      </c>
      <c r="K302">
        <v>12.63861</v>
      </c>
      <c r="L302">
        <v>14.70674</v>
      </c>
      <c r="M302">
        <v>17.826920000000001</v>
      </c>
      <c r="N302" t="s">
        <v>99</v>
      </c>
      <c r="O302">
        <v>2010</v>
      </c>
      <c r="P302">
        <v>32</v>
      </c>
    </row>
    <row r="303" spans="2:16" x14ac:dyDescent="0.2">
      <c r="B303">
        <v>3.8557830000000001E-2</v>
      </c>
      <c r="C303">
        <v>0.2509421</v>
      </c>
      <c r="D303">
        <v>0.72864070000000003</v>
      </c>
      <c r="E303">
        <v>1.4911939999999999</v>
      </c>
      <c r="F303">
        <v>2.5109880000000002</v>
      </c>
      <c r="G303">
        <v>3.736332</v>
      </c>
      <c r="H303">
        <v>5.1075270000000002</v>
      </c>
      <c r="I303">
        <v>6.5666310000000001</v>
      </c>
      <c r="J303">
        <v>8.0626239999999996</v>
      </c>
      <c r="K303">
        <v>9.5535630000000005</v>
      </c>
      <c r="L303">
        <v>11.0069</v>
      </c>
      <c r="M303">
        <v>13.16032</v>
      </c>
      <c r="N303" t="s">
        <v>99</v>
      </c>
      <c r="O303">
        <v>2011</v>
      </c>
      <c r="P303">
        <v>33</v>
      </c>
    </row>
    <row r="304" spans="2:16" x14ac:dyDescent="0.2">
      <c r="B304">
        <v>3.8075930000000001E-2</v>
      </c>
      <c r="C304">
        <v>0.2370012</v>
      </c>
      <c r="D304">
        <v>0.66977679999999995</v>
      </c>
      <c r="E304">
        <v>1.344427</v>
      </c>
      <c r="F304">
        <v>2.230181</v>
      </c>
      <c r="G304">
        <v>3.2784909999999998</v>
      </c>
      <c r="H304">
        <v>4.4365949999999996</v>
      </c>
      <c r="I304">
        <v>5.6552160000000002</v>
      </c>
      <c r="J304">
        <v>6.8922800000000004</v>
      </c>
      <c r="K304">
        <v>8.1141699999999997</v>
      </c>
      <c r="L304">
        <v>9.2955679999999994</v>
      </c>
      <c r="M304">
        <v>11.02774</v>
      </c>
      <c r="N304" t="s">
        <v>99</v>
      </c>
      <c r="O304">
        <v>2012</v>
      </c>
      <c r="P304">
        <v>34</v>
      </c>
    </row>
    <row r="305" spans="1:25" x14ac:dyDescent="0.2">
      <c r="B305">
        <v>3.8075930000000001E-2</v>
      </c>
      <c r="C305">
        <v>0.2370012</v>
      </c>
      <c r="D305">
        <v>0.66977679999999995</v>
      </c>
      <c r="E305">
        <v>1.344427</v>
      </c>
      <c r="F305">
        <v>2.230181</v>
      </c>
      <c r="G305">
        <v>3.2784909999999998</v>
      </c>
      <c r="H305">
        <v>4.4365949999999996</v>
      </c>
      <c r="I305">
        <v>5.6552160000000002</v>
      </c>
      <c r="J305">
        <v>6.8922800000000004</v>
      </c>
      <c r="K305">
        <v>8.1141699999999997</v>
      </c>
      <c r="L305">
        <v>9.2955679999999994</v>
      </c>
      <c r="M305">
        <v>11.02774</v>
      </c>
      <c r="N305" t="s">
        <v>99</v>
      </c>
      <c r="O305">
        <v>2013</v>
      </c>
      <c r="P305">
        <v>35</v>
      </c>
    </row>
    <row r="306" spans="1:25" x14ac:dyDescent="0.2">
      <c r="B306">
        <v>3.8075930000000001E-2</v>
      </c>
      <c r="C306">
        <v>0.2370012</v>
      </c>
      <c r="D306">
        <v>0.66977679999999995</v>
      </c>
      <c r="E306">
        <v>1.344427</v>
      </c>
      <c r="F306">
        <v>2.230181</v>
      </c>
      <c r="G306">
        <v>3.2784909999999998</v>
      </c>
      <c r="H306">
        <v>4.4365949999999996</v>
      </c>
      <c r="I306">
        <v>5.6552160000000002</v>
      </c>
      <c r="J306">
        <v>6.8922800000000004</v>
      </c>
      <c r="K306">
        <v>8.1141699999999997</v>
      </c>
      <c r="L306">
        <v>9.2955679999999994</v>
      </c>
      <c r="M306">
        <v>11.02774</v>
      </c>
      <c r="N306" t="s">
        <v>99</v>
      </c>
      <c r="O306">
        <v>2014</v>
      </c>
      <c r="P306">
        <v>36</v>
      </c>
    </row>
    <row r="307" spans="1:25" x14ac:dyDescent="0.2">
      <c r="B307">
        <v>3.8075930000000001E-2</v>
      </c>
      <c r="C307">
        <v>0.2370012</v>
      </c>
      <c r="D307">
        <v>0.66977679999999995</v>
      </c>
      <c r="E307">
        <v>1.344427</v>
      </c>
      <c r="F307">
        <v>2.230181</v>
      </c>
      <c r="G307">
        <v>3.2784909999999998</v>
      </c>
      <c r="H307">
        <v>4.4365949999999996</v>
      </c>
      <c r="I307">
        <v>5.6552160000000002</v>
      </c>
      <c r="J307">
        <v>6.8922800000000004</v>
      </c>
      <c r="K307">
        <v>8.1141699999999997</v>
      </c>
      <c r="L307">
        <v>9.2955679999999994</v>
      </c>
      <c r="M307">
        <v>11.02774</v>
      </c>
      <c r="N307" t="s">
        <v>99</v>
      </c>
      <c r="O307">
        <v>2015</v>
      </c>
      <c r="P307">
        <v>37</v>
      </c>
    </row>
    <row r="308" spans="1:25" x14ac:dyDescent="0.2">
      <c r="B308">
        <v>3.8075930000000001E-2</v>
      </c>
      <c r="C308">
        <v>0.2370012</v>
      </c>
      <c r="D308">
        <v>0.66977679999999995</v>
      </c>
      <c r="E308">
        <v>1.344427</v>
      </c>
      <c r="F308">
        <v>2.230181</v>
      </c>
      <c r="G308">
        <v>3.2784909999999998</v>
      </c>
      <c r="H308">
        <v>4.4365949999999996</v>
      </c>
      <c r="I308">
        <v>5.6552160000000002</v>
      </c>
      <c r="J308">
        <v>6.8922800000000004</v>
      </c>
      <c r="K308">
        <v>8.1141699999999997</v>
      </c>
      <c r="L308">
        <v>9.2955679999999994</v>
      </c>
      <c r="M308">
        <v>11.02774</v>
      </c>
      <c r="N308" t="s">
        <v>99</v>
      </c>
      <c r="O308">
        <v>2016</v>
      </c>
      <c r="P308">
        <v>38</v>
      </c>
    </row>
    <row r="309" spans="1:25" x14ac:dyDescent="0.2">
      <c r="B309">
        <v>3.8075930000000001E-2</v>
      </c>
      <c r="C309">
        <v>0.2370012</v>
      </c>
      <c r="D309">
        <v>0.66977679999999995</v>
      </c>
      <c r="E309">
        <v>1.344427</v>
      </c>
      <c r="F309">
        <v>2.230181</v>
      </c>
      <c r="G309">
        <v>3.2784909999999998</v>
      </c>
      <c r="H309">
        <v>4.4365949999999996</v>
      </c>
      <c r="I309">
        <v>5.6552160000000002</v>
      </c>
      <c r="J309">
        <v>6.8922800000000004</v>
      </c>
      <c r="K309">
        <v>8.1141699999999997</v>
      </c>
      <c r="L309">
        <v>9.2955679999999994</v>
      </c>
      <c r="M309">
        <v>11.02774</v>
      </c>
      <c r="N309" t="s">
        <v>99</v>
      </c>
      <c r="O309">
        <v>2017</v>
      </c>
      <c r="P309">
        <v>39</v>
      </c>
    </row>
    <row r="310" spans="1:25" x14ac:dyDescent="0.2">
      <c r="B310">
        <v>3.8075930000000001E-2</v>
      </c>
      <c r="C310">
        <v>0.2370012</v>
      </c>
      <c r="D310">
        <v>0.66977679999999995</v>
      </c>
      <c r="E310">
        <v>1.344427</v>
      </c>
      <c r="F310">
        <v>2.230181</v>
      </c>
      <c r="G310">
        <v>3.2784909999999998</v>
      </c>
      <c r="H310">
        <v>4.4365949999999996</v>
      </c>
      <c r="I310">
        <v>5.6552160000000002</v>
      </c>
      <c r="J310">
        <v>6.8922800000000004</v>
      </c>
      <c r="K310">
        <v>8.1141699999999997</v>
      </c>
      <c r="L310">
        <v>9.2955679999999994</v>
      </c>
      <c r="M310">
        <v>11.02774</v>
      </c>
      <c r="N310" t="s">
        <v>99</v>
      </c>
      <c r="O310">
        <v>2018</v>
      </c>
      <c r="P310">
        <v>40</v>
      </c>
    </row>
    <row r="311" spans="1:25" x14ac:dyDescent="0.2">
      <c r="B311">
        <v>3.8075930000000001E-2</v>
      </c>
      <c r="C311">
        <v>0.2370012</v>
      </c>
      <c r="D311">
        <v>0.66977679999999995</v>
      </c>
      <c r="E311">
        <v>1.344427</v>
      </c>
      <c r="F311">
        <v>2.230181</v>
      </c>
      <c r="G311">
        <v>3.2784909999999998</v>
      </c>
      <c r="H311">
        <v>4.4365949999999996</v>
      </c>
      <c r="I311">
        <v>5.6552160000000002</v>
      </c>
      <c r="J311">
        <v>6.8922800000000004</v>
      </c>
      <c r="K311">
        <v>8.1141699999999997</v>
      </c>
      <c r="L311">
        <v>9.2955679999999994</v>
      </c>
      <c r="M311">
        <v>11.02774</v>
      </c>
      <c r="N311" t="s">
        <v>99</v>
      </c>
      <c r="O311">
        <v>2019</v>
      </c>
      <c r="P311">
        <v>41</v>
      </c>
    </row>
    <row r="312" spans="1:25" x14ac:dyDescent="0.2">
      <c r="B312">
        <v>3.8075930000000001E-2</v>
      </c>
      <c r="C312">
        <v>0.2370012</v>
      </c>
      <c r="D312">
        <v>0.66977679999999995</v>
      </c>
      <c r="E312">
        <v>1.344427</v>
      </c>
      <c r="F312">
        <v>2.230181</v>
      </c>
      <c r="G312">
        <v>3.2784909999999998</v>
      </c>
      <c r="H312">
        <v>4.4365949999999996</v>
      </c>
      <c r="I312">
        <v>5.6552160000000002</v>
      </c>
      <c r="J312">
        <v>6.8922800000000004</v>
      </c>
      <c r="K312">
        <v>8.1141699999999997</v>
      </c>
      <c r="L312">
        <v>9.2955679999999994</v>
      </c>
      <c r="M312">
        <v>11.02774</v>
      </c>
      <c r="N312" t="s">
        <v>99</v>
      </c>
      <c r="O312">
        <v>2020</v>
      </c>
      <c r="P312">
        <v>42</v>
      </c>
    </row>
    <row r="313" spans="1:25" x14ac:dyDescent="0.2">
      <c r="B313">
        <v>3.8075930000000001E-2</v>
      </c>
      <c r="C313">
        <v>0.2370012</v>
      </c>
      <c r="D313">
        <v>0.66977679999999995</v>
      </c>
      <c r="E313">
        <v>1.344427</v>
      </c>
      <c r="F313">
        <v>2.230181</v>
      </c>
      <c r="G313">
        <v>3.2784909999999998</v>
      </c>
      <c r="H313">
        <v>4.4365949999999996</v>
      </c>
      <c r="I313">
        <v>5.6552160000000002</v>
      </c>
      <c r="J313">
        <v>6.8922800000000004</v>
      </c>
      <c r="K313">
        <v>8.1141699999999997</v>
      </c>
      <c r="L313">
        <v>9.2955679999999994</v>
      </c>
      <c r="M313">
        <v>11.02774</v>
      </c>
      <c r="N313" t="s">
        <v>99</v>
      </c>
      <c r="O313">
        <v>2021</v>
      </c>
      <c r="P313">
        <v>43</v>
      </c>
    </row>
    <row r="314" spans="1:25" x14ac:dyDescent="0.2">
      <c r="B314">
        <v>3.8075930000000001E-2</v>
      </c>
      <c r="C314">
        <v>0.2370012</v>
      </c>
      <c r="D314">
        <v>0.66977679999999995</v>
      </c>
      <c r="E314">
        <v>1.344427</v>
      </c>
      <c r="F314">
        <v>2.230181</v>
      </c>
      <c r="G314">
        <v>3.2784909999999998</v>
      </c>
      <c r="H314">
        <v>4.4365949999999996</v>
      </c>
      <c r="I314">
        <v>5.6552160000000002</v>
      </c>
      <c r="J314">
        <v>6.8922800000000004</v>
      </c>
      <c r="K314">
        <v>8.1141699999999997</v>
      </c>
      <c r="L314">
        <v>9.2955679999999994</v>
      </c>
      <c r="M314">
        <v>11.02774</v>
      </c>
      <c r="N314" t="s">
        <v>99</v>
      </c>
      <c r="O314">
        <v>2022</v>
      </c>
      <c r="P314">
        <v>44</v>
      </c>
    </row>
    <row r="315" spans="1:25" x14ac:dyDescent="0.2">
      <c r="B315">
        <v>3.8075930000000001E-2</v>
      </c>
      <c r="C315">
        <v>0.2370012</v>
      </c>
      <c r="D315">
        <v>0.66977679999999995</v>
      </c>
      <c r="E315">
        <v>1.344427</v>
      </c>
      <c r="F315">
        <v>2.230181</v>
      </c>
      <c r="G315">
        <v>3.2784909999999998</v>
      </c>
      <c r="H315">
        <v>4.4365949999999996</v>
      </c>
      <c r="I315">
        <v>5.6552160000000002</v>
      </c>
      <c r="J315">
        <v>6.8922800000000004</v>
      </c>
      <c r="K315">
        <v>8.1141699999999997</v>
      </c>
      <c r="L315">
        <v>9.2955679999999994</v>
      </c>
      <c r="M315">
        <v>11.02774</v>
      </c>
      <c r="N315" t="s">
        <v>99</v>
      </c>
      <c r="O315">
        <v>2023</v>
      </c>
      <c r="P315">
        <v>45</v>
      </c>
    </row>
    <row r="316" spans="1:25" s="2" customFormat="1" x14ac:dyDescent="0.2">
      <c r="A316" s="17"/>
      <c r="B316">
        <v>3.8075930000000001E-2</v>
      </c>
      <c r="C316">
        <v>0.2370012</v>
      </c>
      <c r="D316">
        <v>0.66977679999999995</v>
      </c>
      <c r="E316">
        <v>1.344427</v>
      </c>
      <c r="F316">
        <v>2.230181</v>
      </c>
      <c r="G316">
        <v>3.2784909999999998</v>
      </c>
      <c r="H316">
        <v>4.4365949999999996</v>
      </c>
      <c r="I316">
        <v>5.6552160000000002</v>
      </c>
      <c r="J316">
        <v>6.8922800000000004</v>
      </c>
      <c r="K316">
        <v>8.1141699999999997</v>
      </c>
      <c r="L316">
        <v>9.2955679999999994</v>
      </c>
      <c r="M316">
        <v>11.02774</v>
      </c>
      <c r="N316" t="s">
        <v>99</v>
      </c>
      <c r="O316">
        <f>O315+1</f>
        <v>2024</v>
      </c>
      <c r="P316">
        <f>P315+1</f>
        <v>46</v>
      </c>
    </row>
    <row r="317" spans="1:25" x14ac:dyDescent="0.2">
      <c r="B317" t="s">
        <v>99</v>
      </c>
      <c r="C317" t="s">
        <v>212</v>
      </c>
      <c r="D317" t="s">
        <v>213</v>
      </c>
    </row>
    <row r="318" spans="1:25" x14ac:dyDescent="0.2">
      <c r="B318" t="s">
        <v>100</v>
      </c>
    </row>
    <row r="319" spans="1:25" x14ac:dyDescent="0.2">
      <c r="B319">
        <v>1.32186E-2</v>
      </c>
      <c r="C319">
        <v>6.4169530000000002E-2</v>
      </c>
      <c r="D319">
        <v>0.16843620000000001</v>
      </c>
      <c r="E319">
        <v>0.3277679</v>
      </c>
      <c r="F319">
        <v>0.53609019999999996</v>
      </c>
      <c r="G319">
        <v>0.78435359999999998</v>
      </c>
      <c r="H319">
        <v>1.0631900000000001</v>
      </c>
      <c r="I319">
        <v>1.3639619999999999</v>
      </c>
      <c r="J319">
        <v>1.679017</v>
      </c>
      <c r="K319">
        <v>2.0016539999999998</v>
      </c>
      <c r="L319">
        <v>2.3260559999999999</v>
      </c>
      <c r="M319">
        <v>2.647243</v>
      </c>
      <c r="N319">
        <v>2.9610470000000002</v>
      </c>
      <c r="O319">
        <v>3.2640920000000002</v>
      </c>
      <c r="P319">
        <v>3.5537610000000002</v>
      </c>
      <c r="Q319">
        <v>3.8281459999999998</v>
      </c>
      <c r="R319">
        <v>4.0859769999999997</v>
      </c>
      <c r="S319">
        <v>4.3265390000000004</v>
      </c>
      <c r="T319">
        <v>4.5495890000000001</v>
      </c>
      <c r="U319">
        <v>4.755261</v>
      </c>
      <c r="V319">
        <v>4.9445220000000001</v>
      </c>
      <c r="W319" t="s">
        <v>99</v>
      </c>
      <c r="X319">
        <v>1979</v>
      </c>
      <c r="Y319">
        <v>1</v>
      </c>
    </row>
    <row r="320" spans="1:25" x14ac:dyDescent="0.2">
      <c r="B320">
        <v>1.32186E-2</v>
      </c>
      <c r="C320">
        <v>6.4169530000000002E-2</v>
      </c>
      <c r="D320">
        <v>0.16843620000000001</v>
      </c>
      <c r="E320">
        <v>0.3277679</v>
      </c>
      <c r="F320">
        <v>0.53609019999999996</v>
      </c>
      <c r="G320">
        <v>0.78435359999999998</v>
      </c>
      <c r="H320">
        <v>1.0631900000000001</v>
      </c>
      <c r="I320">
        <v>1.3639619999999999</v>
      </c>
      <c r="J320">
        <v>1.679017</v>
      </c>
      <c r="K320">
        <v>2.0016539999999998</v>
      </c>
      <c r="L320">
        <v>2.3260559999999999</v>
      </c>
      <c r="M320">
        <v>2.647243</v>
      </c>
      <c r="N320">
        <v>2.9610470000000002</v>
      </c>
      <c r="O320">
        <v>3.2640920000000002</v>
      </c>
      <c r="P320">
        <v>3.5537610000000002</v>
      </c>
      <c r="Q320">
        <v>3.8281459999999998</v>
      </c>
      <c r="R320">
        <v>4.0859769999999997</v>
      </c>
      <c r="S320">
        <v>4.3265390000000004</v>
      </c>
      <c r="T320">
        <v>4.5495890000000001</v>
      </c>
      <c r="U320">
        <v>4.755261</v>
      </c>
      <c r="V320">
        <v>4.9445220000000001</v>
      </c>
      <c r="W320" t="s">
        <v>99</v>
      </c>
      <c r="X320">
        <v>1980</v>
      </c>
      <c r="Y320">
        <v>2</v>
      </c>
    </row>
    <row r="321" spans="2:25" x14ac:dyDescent="0.2">
      <c r="B321">
        <v>1.32186E-2</v>
      </c>
      <c r="C321">
        <v>6.4169530000000002E-2</v>
      </c>
      <c r="D321">
        <v>0.16843620000000001</v>
      </c>
      <c r="E321">
        <v>0.3277679</v>
      </c>
      <c r="F321">
        <v>0.53609019999999996</v>
      </c>
      <c r="G321">
        <v>0.78435359999999998</v>
      </c>
      <c r="H321">
        <v>1.0631900000000001</v>
      </c>
      <c r="I321">
        <v>1.3639619999999999</v>
      </c>
      <c r="J321">
        <v>1.679017</v>
      </c>
      <c r="K321">
        <v>2.0016539999999998</v>
      </c>
      <c r="L321">
        <v>2.3260559999999999</v>
      </c>
      <c r="M321">
        <v>2.647243</v>
      </c>
      <c r="N321">
        <v>2.9610470000000002</v>
      </c>
      <c r="O321">
        <v>3.2640920000000002</v>
      </c>
      <c r="P321">
        <v>3.5537610000000002</v>
      </c>
      <c r="Q321">
        <v>3.8281459999999998</v>
      </c>
      <c r="R321">
        <v>4.0859769999999997</v>
      </c>
      <c r="S321">
        <v>4.3265390000000004</v>
      </c>
      <c r="T321">
        <v>4.5495890000000001</v>
      </c>
      <c r="U321">
        <v>4.755261</v>
      </c>
      <c r="V321">
        <v>4.9445220000000001</v>
      </c>
      <c r="W321" t="s">
        <v>99</v>
      </c>
      <c r="X321">
        <v>1981</v>
      </c>
      <c r="Y321">
        <v>3</v>
      </c>
    </row>
    <row r="322" spans="2:25" x14ac:dyDescent="0.2">
      <c r="B322">
        <v>1.32186E-2</v>
      </c>
      <c r="C322">
        <v>6.4169530000000002E-2</v>
      </c>
      <c r="D322">
        <v>0.16843620000000001</v>
      </c>
      <c r="E322">
        <v>0.3277679</v>
      </c>
      <c r="F322">
        <v>0.53609019999999996</v>
      </c>
      <c r="G322">
        <v>0.78435359999999998</v>
      </c>
      <c r="H322">
        <v>1.0631900000000001</v>
      </c>
      <c r="I322">
        <v>1.3639619999999999</v>
      </c>
      <c r="J322">
        <v>1.679017</v>
      </c>
      <c r="K322">
        <v>2.0016539999999998</v>
      </c>
      <c r="L322">
        <v>2.3260559999999999</v>
      </c>
      <c r="M322">
        <v>2.647243</v>
      </c>
      <c r="N322">
        <v>2.9610470000000002</v>
      </c>
      <c r="O322">
        <v>3.2640920000000002</v>
      </c>
      <c r="P322">
        <v>3.5537610000000002</v>
      </c>
      <c r="Q322">
        <v>3.8281459999999998</v>
      </c>
      <c r="R322">
        <v>4.0859769999999997</v>
      </c>
      <c r="S322">
        <v>4.3265390000000004</v>
      </c>
      <c r="T322">
        <v>4.5495890000000001</v>
      </c>
      <c r="U322">
        <v>4.755261</v>
      </c>
      <c r="V322">
        <v>4.9445220000000001</v>
      </c>
      <c r="W322" t="s">
        <v>99</v>
      </c>
      <c r="X322">
        <v>1982</v>
      </c>
      <c r="Y322">
        <v>4</v>
      </c>
    </row>
    <row r="323" spans="2:25" x14ac:dyDescent="0.2">
      <c r="B323">
        <v>1.32449E-2</v>
      </c>
      <c r="C323">
        <v>6.3979930000000004E-2</v>
      </c>
      <c r="D323">
        <v>0.1673963</v>
      </c>
      <c r="E323">
        <v>0.32496809999999998</v>
      </c>
      <c r="F323">
        <v>0.53051649999999995</v>
      </c>
      <c r="G323">
        <v>0.77501399999999998</v>
      </c>
      <c r="H323">
        <v>1.049188</v>
      </c>
      <c r="I323">
        <v>1.344533</v>
      </c>
      <c r="J323">
        <v>1.653538</v>
      </c>
      <c r="K323">
        <v>1.9696499999999999</v>
      </c>
      <c r="L323">
        <v>2.2871950000000001</v>
      </c>
      <c r="M323">
        <v>2.601324</v>
      </c>
      <c r="N323">
        <v>2.9079920000000001</v>
      </c>
      <c r="O323">
        <v>3.203929</v>
      </c>
      <c r="P323">
        <v>3.4866130000000002</v>
      </c>
      <c r="Q323">
        <v>3.7542089999999999</v>
      </c>
      <c r="R323">
        <v>4.0055079999999998</v>
      </c>
      <c r="S323">
        <v>4.2398420000000003</v>
      </c>
      <c r="T323">
        <v>4.4569970000000003</v>
      </c>
      <c r="U323">
        <v>4.6571280000000002</v>
      </c>
      <c r="V323">
        <v>4.8411960000000001</v>
      </c>
      <c r="W323" t="s">
        <v>99</v>
      </c>
      <c r="X323">
        <v>1983</v>
      </c>
      <c r="Y323">
        <v>5</v>
      </c>
    </row>
    <row r="324" spans="2:25" x14ac:dyDescent="0.2">
      <c r="B324">
        <v>1.329546E-2</v>
      </c>
      <c r="C324">
        <v>6.3607469999999999E-2</v>
      </c>
      <c r="D324">
        <v>0.16537550000000001</v>
      </c>
      <c r="E324">
        <v>0.31955529999999999</v>
      </c>
      <c r="F324">
        <v>0.51977899999999999</v>
      </c>
      <c r="G324">
        <v>0.75707159999999996</v>
      </c>
      <c r="H324">
        <v>1.0223500000000001</v>
      </c>
      <c r="I324">
        <v>1.307361</v>
      </c>
      <c r="J324">
        <v>1.6048709999999999</v>
      </c>
      <c r="K324">
        <v>1.908606</v>
      </c>
      <c r="L324">
        <v>2.2131599999999998</v>
      </c>
      <c r="M324">
        <v>2.513938</v>
      </c>
      <c r="N324">
        <v>2.8071229999999998</v>
      </c>
      <c r="O324">
        <v>3.0896479999999999</v>
      </c>
      <c r="P324">
        <v>3.359162</v>
      </c>
      <c r="Q324">
        <v>3.6139730000000001</v>
      </c>
      <c r="R324">
        <v>3.8529840000000002</v>
      </c>
      <c r="S324">
        <v>4.0756079999999999</v>
      </c>
      <c r="T324">
        <v>4.2816900000000002</v>
      </c>
      <c r="U324">
        <v>4.4714210000000003</v>
      </c>
      <c r="V324">
        <v>4.6457499999999996</v>
      </c>
      <c r="W324" t="s">
        <v>99</v>
      </c>
      <c r="X324">
        <v>1984</v>
      </c>
      <c r="Y324">
        <v>6</v>
      </c>
    </row>
    <row r="325" spans="2:25" x14ac:dyDescent="0.2">
      <c r="B325">
        <v>1.3218260000000001E-2</v>
      </c>
      <c r="C325">
        <v>6.4171969999999995E-2</v>
      </c>
      <c r="D325">
        <v>0.1684496</v>
      </c>
      <c r="E325">
        <v>0.32780419999999999</v>
      </c>
      <c r="F325">
        <v>0.53616260000000004</v>
      </c>
      <c r="G325">
        <v>0.78447489999999998</v>
      </c>
      <c r="H325">
        <v>1.063372</v>
      </c>
      <c r="I325">
        <v>1.364215</v>
      </c>
      <c r="J325">
        <v>1.679349</v>
      </c>
      <c r="K325">
        <v>2.0020709999999999</v>
      </c>
      <c r="L325">
        <v>2.326562</v>
      </c>
      <c r="M325">
        <v>2.6478419999999998</v>
      </c>
      <c r="N325">
        <v>2.9617390000000001</v>
      </c>
      <c r="O325">
        <v>3.2648769999999998</v>
      </c>
      <c r="P325">
        <v>3.554637</v>
      </c>
      <c r="Q325">
        <v>3.8291110000000002</v>
      </c>
      <c r="R325">
        <v>4.087027</v>
      </c>
      <c r="S325">
        <v>4.3276709999999996</v>
      </c>
      <c r="T325">
        <v>4.5507980000000003</v>
      </c>
      <c r="U325">
        <v>4.7565419999999996</v>
      </c>
      <c r="V325">
        <v>4.9458719999999996</v>
      </c>
      <c r="W325" t="s">
        <v>99</v>
      </c>
      <c r="X325">
        <v>1985</v>
      </c>
      <c r="Y325">
        <v>7</v>
      </c>
    </row>
    <row r="326" spans="2:25" x14ac:dyDescent="0.2">
      <c r="B326">
        <v>1.32227E-2</v>
      </c>
      <c r="C326">
        <v>6.4140160000000002E-2</v>
      </c>
      <c r="D326">
        <v>0.1682746</v>
      </c>
      <c r="E326">
        <v>0.32733230000000002</v>
      </c>
      <c r="F326">
        <v>0.53522219999999998</v>
      </c>
      <c r="G326">
        <v>0.78289790000000004</v>
      </c>
      <c r="H326">
        <v>1.0610059999999999</v>
      </c>
      <c r="I326">
        <v>1.36093</v>
      </c>
      <c r="J326">
        <v>1.6750389999999999</v>
      </c>
      <c r="K326">
        <v>1.9966550000000001</v>
      </c>
      <c r="L326">
        <v>2.319985</v>
      </c>
      <c r="M326">
        <v>2.6400670000000002</v>
      </c>
      <c r="N326">
        <v>2.952753</v>
      </c>
      <c r="O326">
        <v>3.2546849999999998</v>
      </c>
      <c r="P326">
        <v>3.5432589999999999</v>
      </c>
      <c r="Q326">
        <v>3.8165800000000001</v>
      </c>
      <c r="R326">
        <v>4.0733860000000002</v>
      </c>
      <c r="S326">
        <v>4.3129720000000002</v>
      </c>
      <c r="T326">
        <v>4.5350970000000004</v>
      </c>
      <c r="U326">
        <v>4.7398999999999996</v>
      </c>
      <c r="V326">
        <v>4.9283460000000003</v>
      </c>
      <c r="W326" t="s">
        <v>99</v>
      </c>
      <c r="X326">
        <v>1986</v>
      </c>
      <c r="Y326">
        <v>8</v>
      </c>
    </row>
    <row r="327" spans="2:25" x14ac:dyDescent="0.2">
      <c r="B327">
        <v>1.335883E-2</v>
      </c>
      <c r="C327">
        <v>6.3124830000000007E-2</v>
      </c>
      <c r="D327">
        <v>0.162799</v>
      </c>
      <c r="E327">
        <v>0.31270730000000002</v>
      </c>
      <c r="F327">
        <v>0.50626709999999997</v>
      </c>
      <c r="G327">
        <v>0.73458690000000004</v>
      </c>
      <c r="H327">
        <v>0.98883080000000001</v>
      </c>
      <c r="I327">
        <v>1.2610669999999999</v>
      </c>
      <c r="J327">
        <v>1.5444089999999999</v>
      </c>
      <c r="K327">
        <v>1.832927</v>
      </c>
      <c r="L327">
        <v>2.1215459999999999</v>
      </c>
      <c r="M327">
        <v>2.40598</v>
      </c>
      <c r="N327">
        <v>2.6826910000000002</v>
      </c>
      <c r="O327">
        <v>2.9488560000000001</v>
      </c>
      <c r="P327">
        <v>3.2023320000000002</v>
      </c>
      <c r="Q327">
        <v>3.4415960000000001</v>
      </c>
      <c r="R327">
        <v>3.665683</v>
      </c>
      <c r="S327">
        <v>3.8741059999999998</v>
      </c>
      <c r="T327">
        <v>4.0667770000000001</v>
      </c>
      <c r="U327">
        <v>4.2439260000000001</v>
      </c>
      <c r="V327">
        <v>4.4064860000000001</v>
      </c>
      <c r="W327" t="s">
        <v>99</v>
      </c>
      <c r="X327">
        <v>1987</v>
      </c>
      <c r="Y327">
        <v>9</v>
      </c>
    </row>
    <row r="328" spans="2:25" x14ac:dyDescent="0.2">
      <c r="B328">
        <v>1.3188139999999999E-2</v>
      </c>
      <c r="C328">
        <v>6.4385689999999995E-2</v>
      </c>
      <c r="D328">
        <v>0.16963120000000001</v>
      </c>
      <c r="E328">
        <v>0.33099729999999999</v>
      </c>
      <c r="F328">
        <v>0.54253620000000002</v>
      </c>
      <c r="G328">
        <v>0.79517629999999995</v>
      </c>
      <c r="H328">
        <v>1.079442</v>
      </c>
      <c r="I328">
        <v>1.3865449999999999</v>
      </c>
      <c r="J328">
        <v>1.708666</v>
      </c>
      <c r="K328">
        <v>2.0389330000000001</v>
      </c>
      <c r="L328">
        <v>2.3713649999999999</v>
      </c>
      <c r="M328">
        <v>2.7008239999999999</v>
      </c>
      <c r="N328">
        <v>3.022999</v>
      </c>
      <c r="O328">
        <v>3.334387</v>
      </c>
      <c r="P328">
        <v>3.6322640000000002</v>
      </c>
      <c r="Q328">
        <v>3.9146299999999998</v>
      </c>
      <c r="R328">
        <v>4.1801450000000004</v>
      </c>
      <c r="S328">
        <v>4.4280400000000002</v>
      </c>
      <c r="T328">
        <v>4.6580339999999998</v>
      </c>
      <c r="U328">
        <v>4.8702360000000002</v>
      </c>
      <c r="V328">
        <v>5.0656220000000003</v>
      </c>
      <c r="W328" t="s">
        <v>99</v>
      </c>
      <c r="X328">
        <v>1988</v>
      </c>
      <c r="Y328">
        <v>10</v>
      </c>
    </row>
    <row r="329" spans="2:25" x14ac:dyDescent="0.2">
      <c r="B329">
        <v>1.3260849999999999E-2</v>
      </c>
      <c r="C329">
        <v>6.3863580000000003E-2</v>
      </c>
      <c r="D329">
        <v>0.16676189999999999</v>
      </c>
      <c r="E329">
        <v>0.32326500000000002</v>
      </c>
      <c r="F329">
        <v>0.52713259999999995</v>
      </c>
      <c r="G329">
        <v>0.76935240000000005</v>
      </c>
      <c r="H329">
        <v>1.0407109999999999</v>
      </c>
      <c r="I329">
        <v>1.3327819999999999</v>
      </c>
      <c r="J329">
        <v>1.638142</v>
      </c>
      <c r="K329">
        <v>1.950326</v>
      </c>
      <c r="L329">
        <v>2.2637450000000001</v>
      </c>
      <c r="M329">
        <v>2.5736319999999999</v>
      </c>
      <c r="N329">
        <v>2.8760129999999999</v>
      </c>
      <c r="O329">
        <v>3.1676839999999999</v>
      </c>
      <c r="P329">
        <v>3.4461759999999999</v>
      </c>
      <c r="Q329">
        <v>3.7097020000000001</v>
      </c>
      <c r="R329">
        <v>3.957087</v>
      </c>
      <c r="S329">
        <v>4.1876889999999998</v>
      </c>
      <c r="T329">
        <v>4.4013140000000002</v>
      </c>
      <c r="U329">
        <v>4.5981290000000001</v>
      </c>
      <c r="V329">
        <v>4.7790910000000002</v>
      </c>
      <c r="W329" t="s">
        <v>99</v>
      </c>
      <c r="X329">
        <v>1989</v>
      </c>
      <c r="Y329">
        <v>11</v>
      </c>
    </row>
    <row r="330" spans="2:25" x14ac:dyDescent="0.2">
      <c r="B330">
        <v>1.327948E-2</v>
      </c>
      <c r="C330">
        <v>6.3726340000000006E-2</v>
      </c>
      <c r="D330">
        <v>0.16601730000000001</v>
      </c>
      <c r="E330">
        <v>0.32127040000000001</v>
      </c>
      <c r="F330">
        <v>0.52317579999999997</v>
      </c>
      <c r="G330">
        <v>0.76274059999999999</v>
      </c>
      <c r="H330">
        <v>1.030821</v>
      </c>
      <c r="I330">
        <v>1.3190839999999999</v>
      </c>
      <c r="J330">
        <v>1.6202080000000001</v>
      </c>
      <c r="K330">
        <v>1.9278310000000001</v>
      </c>
      <c r="L330">
        <v>2.2364630000000001</v>
      </c>
      <c r="M330">
        <v>2.5414300000000001</v>
      </c>
      <c r="N330">
        <v>2.8388420000000001</v>
      </c>
      <c r="O330">
        <v>3.1255709999999999</v>
      </c>
      <c r="P330">
        <v>3.3992100000000001</v>
      </c>
      <c r="Q330">
        <v>3.6580249999999999</v>
      </c>
      <c r="R330">
        <v>3.900881</v>
      </c>
      <c r="S330">
        <v>4.1271680000000002</v>
      </c>
      <c r="T330">
        <v>4.3367129999999996</v>
      </c>
      <c r="U330">
        <v>4.5296960000000004</v>
      </c>
      <c r="V330">
        <v>4.7070689999999997</v>
      </c>
      <c r="W330" t="s">
        <v>99</v>
      </c>
      <c r="X330">
        <v>1990</v>
      </c>
      <c r="Y330">
        <v>12</v>
      </c>
    </row>
    <row r="331" spans="2:25" x14ac:dyDescent="0.2">
      <c r="B331">
        <v>1.325468E-2</v>
      </c>
      <c r="C331">
        <v>6.3908709999999994E-2</v>
      </c>
      <c r="D331">
        <v>0.16700760000000001</v>
      </c>
      <c r="E331">
        <v>0.3239243</v>
      </c>
      <c r="F331">
        <v>0.52844190000000002</v>
      </c>
      <c r="G331">
        <v>0.77154219999999996</v>
      </c>
      <c r="H331">
        <v>1.0439890000000001</v>
      </c>
      <c r="I331">
        <v>1.337324</v>
      </c>
      <c r="J331">
        <v>1.6440920000000001</v>
      </c>
      <c r="K331">
        <v>1.9577929999999999</v>
      </c>
      <c r="L331">
        <v>2.272805</v>
      </c>
      <c r="M331">
        <v>2.58433</v>
      </c>
      <c r="N331">
        <v>2.8883649999999998</v>
      </c>
      <c r="O331">
        <v>3.181683</v>
      </c>
      <c r="P331">
        <v>3.461792</v>
      </c>
      <c r="Q331">
        <v>3.7268880000000002</v>
      </c>
      <c r="R331">
        <v>3.9757829999999998</v>
      </c>
      <c r="S331">
        <v>4.2078249999999997</v>
      </c>
      <c r="T331">
        <v>4.4228110000000003</v>
      </c>
      <c r="U331">
        <v>4.6209049999999996</v>
      </c>
      <c r="V331">
        <v>4.803064</v>
      </c>
      <c r="W331" t="s">
        <v>99</v>
      </c>
      <c r="X331">
        <v>1991</v>
      </c>
      <c r="Y331">
        <v>13</v>
      </c>
    </row>
    <row r="332" spans="2:25" x14ac:dyDescent="0.2">
      <c r="B332">
        <v>1.3183439999999999E-2</v>
      </c>
      <c r="C332">
        <v>6.4418729999999993E-2</v>
      </c>
      <c r="D332">
        <v>0.16981479999999999</v>
      </c>
      <c r="E332">
        <v>0.33149450000000003</v>
      </c>
      <c r="F332">
        <v>0.54353010000000002</v>
      </c>
      <c r="G332">
        <v>0.79684710000000003</v>
      </c>
      <c r="H332">
        <v>1.0819529999999999</v>
      </c>
      <c r="I332">
        <v>1.3900380000000001</v>
      </c>
      <c r="J332">
        <v>1.713255</v>
      </c>
      <c r="K332">
        <v>2.0447069999999998</v>
      </c>
      <c r="L332">
        <v>2.3783859999999999</v>
      </c>
      <c r="M332">
        <v>2.7091310000000002</v>
      </c>
      <c r="N332">
        <v>3.0326080000000002</v>
      </c>
      <c r="O332">
        <v>3.3452950000000001</v>
      </c>
      <c r="P332">
        <v>3.6444489999999998</v>
      </c>
      <c r="Q332">
        <v>3.9280590000000002</v>
      </c>
      <c r="R332">
        <v>4.1947710000000002</v>
      </c>
      <c r="S332">
        <v>4.4438089999999999</v>
      </c>
      <c r="T332">
        <v>4.6748849999999997</v>
      </c>
      <c r="U332">
        <v>4.8881069999999998</v>
      </c>
      <c r="V332">
        <v>5.0844480000000001</v>
      </c>
      <c r="W332" t="s">
        <v>99</v>
      </c>
      <c r="X332">
        <v>1992</v>
      </c>
      <c r="Y332">
        <v>14</v>
      </c>
    </row>
    <row r="333" spans="2:25" x14ac:dyDescent="0.2">
      <c r="B333">
        <v>1.3230230000000001E-2</v>
      </c>
      <c r="C333">
        <v>6.4085989999999995E-2</v>
      </c>
      <c r="D333">
        <v>0.16797709999999999</v>
      </c>
      <c r="E333">
        <v>0.3265306</v>
      </c>
      <c r="F333">
        <v>0.53362540000000003</v>
      </c>
      <c r="G333">
        <v>0.78022130000000001</v>
      </c>
      <c r="H333">
        <v>1.0569919999999999</v>
      </c>
      <c r="I333">
        <v>1.355359</v>
      </c>
      <c r="J333">
        <v>1.667732</v>
      </c>
      <c r="K333">
        <v>1.9874750000000001</v>
      </c>
      <c r="L333">
        <v>2.3088350000000002</v>
      </c>
      <c r="M333">
        <v>2.6268899999999999</v>
      </c>
      <c r="N333">
        <v>2.9375270000000002</v>
      </c>
      <c r="O333">
        <v>3.2374160000000001</v>
      </c>
      <c r="P333">
        <v>3.523984</v>
      </c>
      <c r="Q333">
        <v>3.7953540000000001</v>
      </c>
      <c r="R333">
        <v>4.0502830000000003</v>
      </c>
      <c r="S333">
        <v>4.2880779999999996</v>
      </c>
      <c r="T333">
        <v>4.5085090000000001</v>
      </c>
      <c r="U333">
        <v>4.7117180000000003</v>
      </c>
      <c r="V333">
        <v>4.8986720000000004</v>
      </c>
      <c r="W333" t="s">
        <v>99</v>
      </c>
      <c r="X333">
        <v>1993</v>
      </c>
      <c r="Y333">
        <v>15</v>
      </c>
    </row>
    <row r="334" spans="2:25" x14ac:dyDescent="0.2">
      <c r="B334">
        <v>1.313712E-2</v>
      </c>
      <c r="C334">
        <v>6.4739980000000003E-2</v>
      </c>
      <c r="D334">
        <v>0.17161209999999999</v>
      </c>
      <c r="E334">
        <v>0.33637899999999998</v>
      </c>
      <c r="F334">
        <v>0.55331739999999996</v>
      </c>
      <c r="G334">
        <v>0.81332970000000004</v>
      </c>
      <c r="H334">
        <v>1.106765</v>
      </c>
      <c r="I334">
        <v>1.4245859999999999</v>
      </c>
      <c r="J334">
        <v>1.7586930000000001</v>
      </c>
      <c r="K334">
        <v>2.101928</v>
      </c>
      <c r="L334">
        <v>2.4480249999999999</v>
      </c>
      <c r="M334">
        <v>2.791582</v>
      </c>
      <c r="N334">
        <v>3.1280420000000002</v>
      </c>
      <c r="O334">
        <v>3.4536859999999998</v>
      </c>
      <c r="P334">
        <v>3.7656000000000001</v>
      </c>
      <c r="Q334">
        <v>4.0616320000000004</v>
      </c>
      <c r="R334">
        <v>4.3403150000000004</v>
      </c>
      <c r="S334">
        <v>4.6007889999999998</v>
      </c>
      <c r="T334">
        <v>4.8427030000000002</v>
      </c>
      <c r="U334">
        <v>5.0661269999999998</v>
      </c>
      <c r="V334">
        <v>5.2720419999999999</v>
      </c>
      <c r="W334" t="s">
        <v>99</v>
      </c>
      <c r="X334">
        <v>1994</v>
      </c>
      <c r="Y334">
        <v>16</v>
      </c>
    </row>
    <row r="335" spans="2:25" x14ac:dyDescent="0.2">
      <c r="B335">
        <v>1.308907E-2</v>
      </c>
      <c r="C335">
        <v>6.5065150000000002E-2</v>
      </c>
      <c r="D335">
        <v>0.1734552</v>
      </c>
      <c r="E335">
        <v>0.34141820000000001</v>
      </c>
      <c r="F335">
        <v>0.56345749999999994</v>
      </c>
      <c r="G335">
        <v>0.83046200000000003</v>
      </c>
      <c r="H335">
        <v>1.1326229999999999</v>
      </c>
      <c r="I335">
        <v>1.460672</v>
      </c>
      <c r="J335">
        <v>1.8062450000000001</v>
      </c>
      <c r="K335">
        <v>2.1619079999999999</v>
      </c>
      <c r="L335">
        <v>2.5211290000000002</v>
      </c>
      <c r="M335">
        <v>2.878247</v>
      </c>
      <c r="N335">
        <v>3.2284700000000002</v>
      </c>
      <c r="O335">
        <v>3.5678670000000001</v>
      </c>
      <c r="P335">
        <v>3.8933420000000001</v>
      </c>
      <c r="Q335">
        <v>4.2025899999999998</v>
      </c>
      <c r="R335">
        <v>4.4940249999999997</v>
      </c>
      <c r="S335">
        <v>4.7666909999999998</v>
      </c>
      <c r="T335">
        <v>5.0201719999999996</v>
      </c>
      <c r="U335">
        <v>5.2544940000000002</v>
      </c>
      <c r="V335">
        <v>5.4706479999999997</v>
      </c>
      <c r="W335" t="s">
        <v>99</v>
      </c>
      <c r="X335">
        <v>1995</v>
      </c>
      <c r="Y335">
        <v>17</v>
      </c>
    </row>
    <row r="336" spans="2:25" x14ac:dyDescent="0.2">
      <c r="B336">
        <v>1.3350290000000001E-2</v>
      </c>
      <c r="C336">
        <v>6.269276E-2</v>
      </c>
      <c r="D336">
        <v>0.1607645</v>
      </c>
      <c r="E336">
        <v>0.30712119999999998</v>
      </c>
      <c r="F336">
        <v>0.49455389999999999</v>
      </c>
      <c r="G336">
        <v>0.71379559999999997</v>
      </c>
      <c r="H336">
        <v>0.95592189999999999</v>
      </c>
      <c r="I336">
        <v>1.213171</v>
      </c>
      <c r="J336">
        <v>1.4790179999999999</v>
      </c>
      <c r="K336">
        <v>1.748016</v>
      </c>
      <c r="L336">
        <v>2.0156239999999999</v>
      </c>
      <c r="M336">
        <v>2.2780879999999999</v>
      </c>
      <c r="N336">
        <v>2.5323660000000001</v>
      </c>
      <c r="O336">
        <v>2.776071</v>
      </c>
      <c r="P336">
        <v>3.0074230000000002</v>
      </c>
      <c r="Q336">
        <v>3.225196</v>
      </c>
      <c r="R336">
        <v>3.4286469999999998</v>
      </c>
      <c r="S336">
        <v>3.617451</v>
      </c>
      <c r="T336">
        <v>3.7916270000000001</v>
      </c>
      <c r="U336">
        <v>3.9514680000000002</v>
      </c>
      <c r="V336">
        <v>4.0979549999999998</v>
      </c>
      <c r="W336" t="s">
        <v>99</v>
      </c>
      <c r="X336">
        <v>1996</v>
      </c>
      <c r="Y336">
        <v>18</v>
      </c>
    </row>
    <row r="337" spans="2:25" x14ac:dyDescent="0.2">
      <c r="B337">
        <v>1.3338549999999999E-2</v>
      </c>
      <c r="C337">
        <v>6.3281279999999995E-2</v>
      </c>
      <c r="D337">
        <v>0.163629</v>
      </c>
      <c r="E337">
        <v>0.31490699999999999</v>
      </c>
      <c r="F337">
        <v>0.51059849999999996</v>
      </c>
      <c r="G337">
        <v>0.74178319999999998</v>
      </c>
      <c r="H337">
        <v>0.99954469999999995</v>
      </c>
      <c r="I337">
        <v>1.2758480000000001</v>
      </c>
      <c r="J337">
        <v>1.563696</v>
      </c>
      <c r="K337">
        <v>1.857048</v>
      </c>
      <c r="L337">
        <v>2.150725</v>
      </c>
      <c r="M337">
        <v>2.4403440000000001</v>
      </c>
      <c r="N337">
        <v>2.7222759999999999</v>
      </c>
      <c r="O337">
        <v>2.9936229999999999</v>
      </c>
      <c r="P337">
        <v>3.252176</v>
      </c>
      <c r="Q337">
        <v>3.4963579999999999</v>
      </c>
      <c r="R337">
        <v>3.7251639999999999</v>
      </c>
      <c r="S337">
        <v>3.938075</v>
      </c>
      <c r="T337">
        <v>4.1349819999999999</v>
      </c>
      <c r="U337">
        <v>4.3161050000000003</v>
      </c>
      <c r="V337">
        <v>4.4823789999999999</v>
      </c>
      <c r="W337" t="s">
        <v>99</v>
      </c>
      <c r="X337">
        <v>1997</v>
      </c>
      <c r="Y337">
        <v>19</v>
      </c>
    </row>
    <row r="338" spans="2:25" x14ac:dyDescent="0.2">
      <c r="B338">
        <v>1.3317600000000001E-2</v>
      </c>
      <c r="C338">
        <v>6.3440930000000006E-2</v>
      </c>
      <c r="D338">
        <v>0.16448109999999999</v>
      </c>
      <c r="E338">
        <v>0.3171715</v>
      </c>
      <c r="F338">
        <v>0.51506609999999997</v>
      </c>
      <c r="G338">
        <v>0.74921720000000003</v>
      </c>
      <c r="H338">
        <v>1.010626</v>
      </c>
      <c r="I338">
        <v>1.2911520000000001</v>
      </c>
      <c r="J338">
        <v>1.583683</v>
      </c>
      <c r="K338">
        <v>1.8820650000000001</v>
      </c>
      <c r="L338">
        <v>2.181009</v>
      </c>
      <c r="M338">
        <v>2.476029</v>
      </c>
      <c r="N338">
        <v>2.7634059999999998</v>
      </c>
      <c r="O338">
        <v>3.0401600000000002</v>
      </c>
      <c r="P338">
        <v>3.3040120000000002</v>
      </c>
      <c r="Q338">
        <v>3.5533329999999999</v>
      </c>
      <c r="R338">
        <v>3.7870699999999999</v>
      </c>
      <c r="S338">
        <v>4.0046730000000004</v>
      </c>
      <c r="T338">
        <v>4.2060120000000003</v>
      </c>
      <c r="U338">
        <v>4.391292</v>
      </c>
      <c r="V338">
        <v>4.5614549999999996</v>
      </c>
      <c r="W338" t="s">
        <v>99</v>
      </c>
      <c r="X338">
        <v>1998</v>
      </c>
      <c r="Y338">
        <v>20</v>
      </c>
    </row>
    <row r="339" spans="2:25" x14ac:dyDescent="0.2">
      <c r="B339">
        <v>1.3070709999999999E-2</v>
      </c>
      <c r="C339">
        <v>6.5187289999999995E-2</v>
      </c>
      <c r="D339">
        <v>0.1741539</v>
      </c>
      <c r="E339">
        <v>0.34333649999999999</v>
      </c>
      <c r="F339">
        <v>0.56732879999999997</v>
      </c>
      <c r="G339">
        <v>0.83701769999999998</v>
      </c>
      <c r="H339">
        <v>1.142536</v>
      </c>
      <c r="I339">
        <v>1.4745280000000001</v>
      </c>
      <c r="J339">
        <v>1.8245260000000001</v>
      </c>
      <c r="K339">
        <v>2.1849949999999998</v>
      </c>
      <c r="L339">
        <v>2.549296</v>
      </c>
      <c r="M339">
        <v>2.9116689999999998</v>
      </c>
      <c r="N339">
        <v>3.2672310000000002</v>
      </c>
      <c r="O339">
        <v>3.6119669999999999</v>
      </c>
      <c r="P339">
        <v>3.9427110000000001</v>
      </c>
      <c r="Q339">
        <v>4.2571000000000003</v>
      </c>
      <c r="R339">
        <v>4.5534970000000001</v>
      </c>
      <c r="S339">
        <v>4.8309110000000004</v>
      </c>
      <c r="T339">
        <v>5.0889009999999999</v>
      </c>
      <c r="U339">
        <v>5.3274730000000003</v>
      </c>
      <c r="V339">
        <v>5.5476219999999996</v>
      </c>
      <c r="W339" t="s">
        <v>99</v>
      </c>
      <c r="X339">
        <v>1999</v>
      </c>
      <c r="Y339">
        <v>21</v>
      </c>
    </row>
    <row r="340" spans="2:25" x14ac:dyDescent="0.2">
      <c r="B340">
        <v>1.319349E-2</v>
      </c>
      <c r="C340">
        <v>6.4347940000000006E-2</v>
      </c>
      <c r="D340">
        <v>0.16942180000000001</v>
      </c>
      <c r="E340">
        <v>0.33043040000000001</v>
      </c>
      <c r="F340">
        <v>0.54140339999999998</v>
      </c>
      <c r="G340">
        <v>0.79327259999999999</v>
      </c>
      <c r="H340">
        <v>1.076581</v>
      </c>
      <c r="I340">
        <v>1.382568</v>
      </c>
      <c r="J340">
        <v>1.703441</v>
      </c>
      <c r="K340">
        <v>2.0323609999999999</v>
      </c>
      <c r="L340">
        <v>2.3633739999999999</v>
      </c>
      <c r="M340">
        <v>2.6913710000000002</v>
      </c>
      <c r="N340">
        <v>3.0120650000000002</v>
      </c>
      <c r="O340">
        <v>3.3219780000000001</v>
      </c>
      <c r="P340">
        <v>3.6184020000000001</v>
      </c>
      <c r="Q340">
        <v>3.8993549999999999</v>
      </c>
      <c r="R340">
        <v>4.1635090000000003</v>
      </c>
      <c r="S340">
        <v>4.4101059999999999</v>
      </c>
      <c r="T340">
        <v>4.6388689999999997</v>
      </c>
      <c r="U340">
        <v>4.8499150000000002</v>
      </c>
      <c r="V340">
        <v>5.0442140000000002</v>
      </c>
      <c r="W340" t="s">
        <v>99</v>
      </c>
      <c r="X340">
        <v>2000</v>
      </c>
      <c r="Y340">
        <v>22</v>
      </c>
    </row>
    <row r="341" spans="2:25" x14ac:dyDescent="0.2">
      <c r="B341">
        <v>1.3275830000000001E-2</v>
      </c>
      <c r="C341">
        <v>6.3753359999999995E-2</v>
      </c>
      <c r="D341">
        <v>0.16616359999999999</v>
      </c>
      <c r="E341">
        <v>0.321662</v>
      </c>
      <c r="F341">
        <v>0.52395199999999997</v>
      </c>
      <c r="G341">
        <v>0.76403690000000002</v>
      </c>
      <c r="H341">
        <v>1.032759</v>
      </c>
      <c r="I341">
        <v>1.3217669999999999</v>
      </c>
      <c r="J341">
        <v>1.6237200000000001</v>
      </c>
      <c r="K341">
        <v>1.9322349999999999</v>
      </c>
      <c r="L341">
        <v>2.241803</v>
      </c>
      <c r="M341">
        <v>2.5477310000000002</v>
      </c>
      <c r="N341">
        <v>2.846114</v>
      </c>
      <c r="O341">
        <v>3.1338089999999998</v>
      </c>
      <c r="P341">
        <v>3.4083960000000002</v>
      </c>
      <c r="Q341">
        <v>3.6681300000000001</v>
      </c>
      <c r="R341">
        <v>3.9118710000000001</v>
      </c>
      <c r="S341">
        <v>4.1390010000000004</v>
      </c>
      <c r="T341">
        <v>4.349342</v>
      </c>
      <c r="U341">
        <v>4.5430729999999997</v>
      </c>
      <c r="V341">
        <v>4.7211460000000001</v>
      </c>
      <c r="W341" t="s">
        <v>99</v>
      </c>
      <c r="X341">
        <v>2001</v>
      </c>
      <c r="Y341">
        <v>23</v>
      </c>
    </row>
    <row r="342" spans="2:25" x14ac:dyDescent="0.2">
      <c r="B342">
        <v>1.3314919999999999E-2</v>
      </c>
      <c r="C342">
        <v>6.3461210000000004E-2</v>
      </c>
      <c r="D342">
        <v>0.16458970000000001</v>
      </c>
      <c r="E342">
        <v>0.31746059999999998</v>
      </c>
      <c r="F342">
        <v>0.51563720000000002</v>
      </c>
      <c r="G342">
        <v>0.75016819999999995</v>
      </c>
      <c r="H342">
        <v>1.0120450000000001</v>
      </c>
      <c r="I342">
        <v>1.293113</v>
      </c>
      <c r="J342">
        <v>1.5862449999999999</v>
      </c>
      <c r="K342">
        <v>1.885273</v>
      </c>
      <c r="L342">
        <v>2.1848930000000002</v>
      </c>
      <c r="M342">
        <v>2.4806080000000001</v>
      </c>
      <c r="N342">
        <v>2.7686850000000001</v>
      </c>
      <c r="O342">
        <v>3.0461339999999999</v>
      </c>
      <c r="P342">
        <v>3.3106689999999999</v>
      </c>
      <c r="Q342">
        <v>3.5606499999999999</v>
      </c>
      <c r="R342">
        <v>3.795023</v>
      </c>
      <c r="S342">
        <v>4.0132310000000002</v>
      </c>
      <c r="T342">
        <v>4.215141</v>
      </c>
      <c r="U342">
        <v>4.4009559999999999</v>
      </c>
      <c r="V342">
        <v>4.5716200000000002</v>
      </c>
      <c r="W342" t="s">
        <v>99</v>
      </c>
      <c r="X342">
        <v>2002</v>
      </c>
      <c r="Y342">
        <v>24</v>
      </c>
    </row>
    <row r="343" spans="2:25" x14ac:dyDescent="0.2">
      <c r="B343">
        <v>1.340422E-2</v>
      </c>
      <c r="C343">
        <v>6.276735E-2</v>
      </c>
      <c r="D343">
        <v>0.16092029999999999</v>
      </c>
      <c r="E343">
        <v>0.30775130000000001</v>
      </c>
      <c r="F343">
        <v>0.49653969999999997</v>
      </c>
      <c r="G343">
        <v>0.71846529999999997</v>
      </c>
      <c r="H343">
        <v>0.96487670000000003</v>
      </c>
      <c r="I343">
        <v>1.2280759999999999</v>
      </c>
      <c r="J343">
        <v>1.501422</v>
      </c>
      <c r="K343">
        <v>1.779231</v>
      </c>
      <c r="L343">
        <v>2.0566620000000002</v>
      </c>
      <c r="M343">
        <v>2.3296429999999999</v>
      </c>
      <c r="N343">
        <v>2.5948310000000001</v>
      </c>
      <c r="O343">
        <v>2.8495720000000002</v>
      </c>
      <c r="P343">
        <v>3.0918649999999999</v>
      </c>
      <c r="Q343">
        <v>3.3203049999999998</v>
      </c>
      <c r="R343">
        <v>3.5340159999999998</v>
      </c>
      <c r="S343">
        <v>3.7325780000000002</v>
      </c>
      <c r="T343">
        <v>3.9159480000000002</v>
      </c>
      <c r="U343">
        <v>4.0843819999999997</v>
      </c>
      <c r="V343">
        <v>4.2387990000000002</v>
      </c>
      <c r="W343" t="s">
        <v>99</v>
      </c>
      <c r="X343">
        <v>2003</v>
      </c>
      <c r="Y343">
        <v>25</v>
      </c>
    </row>
    <row r="344" spans="2:25" x14ac:dyDescent="0.2">
      <c r="B344">
        <v>1.3215660000000001E-2</v>
      </c>
      <c r="C344">
        <v>6.4671770000000003E-2</v>
      </c>
      <c r="D344">
        <v>0.17096890000000001</v>
      </c>
      <c r="E344">
        <v>0.334899</v>
      </c>
      <c r="F344">
        <v>0.55123370000000005</v>
      </c>
      <c r="G344">
        <v>0.81144039999999995</v>
      </c>
      <c r="H344">
        <v>1.1062989999999999</v>
      </c>
      <c r="I344">
        <v>1.4269890000000001</v>
      </c>
      <c r="J344">
        <v>1.765415</v>
      </c>
      <c r="K344">
        <v>2.1142750000000001</v>
      </c>
      <c r="L344">
        <v>2.467066</v>
      </c>
      <c r="M344">
        <v>2.8181129999999999</v>
      </c>
      <c r="N344">
        <v>3.1625860000000001</v>
      </c>
      <c r="O344">
        <v>3.496518</v>
      </c>
      <c r="P344">
        <v>3.8167849999999999</v>
      </c>
      <c r="Q344">
        <v>4.1210630000000004</v>
      </c>
      <c r="R344">
        <v>4.4077539999999997</v>
      </c>
      <c r="S344">
        <v>4.6759019999999998</v>
      </c>
      <c r="T344">
        <v>4.9250920000000002</v>
      </c>
      <c r="U344">
        <v>5.1553500000000003</v>
      </c>
      <c r="V344">
        <v>5.3675649999999999</v>
      </c>
      <c r="W344" t="s">
        <v>99</v>
      </c>
      <c r="X344">
        <v>2004</v>
      </c>
      <c r="Y344">
        <v>26</v>
      </c>
    </row>
    <row r="345" spans="2:25" x14ac:dyDescent="0.2">
      <c r="B345">
        <v>1.350931E-2</v>
      </c>
      <c r="C345">
        <v>6.1897819999999999E-2</v>
      </c>
      <c r="D345">
        <v>0.15645110000000001</v>
      </c>
      <c r="E345">
        <v>0.29608780000000001</v>
      </c>
      <c r="F345">
        <v>0.47381760000000001</v>
      </c>
      <c r="G345">
        <v>0.68102499999999999</v>
      </c>
      <c r="H345">
        <v>0.90950819999999999</v>
      </c>
      <c r="I345">
        <v>1.152118</v>
      </c>
      <c r="J345">
        <v>1.4027849999999999</v>
      </c>
      <c r="K345">
        <v>1.6563829999999999</v>
      </c>
      <c r="L345">
        <v>1.9085970000000001</v>
      </c>
      <c r="M345">
        <v>2.1558380000000001</v>
      </c>
      <c r="N345">
        <v>2.3951950000000002</v>
      </c>
      <c r="O345">
        <v>2.624387</v>
      </c>
      <c r="P345">
        <v>2.8417270000000001</v>
      </c>
      <c r="Q345">
        <v>3.0460630000000002</v>
      </c>
      <c r="R345">
        <v>3.2367149999999998</v>
      </c>
      <c r="S345">
        <v>3.4134009999999999</v>
      </c>
      <c r="T345">
        <v>3.5761729999999998</v>
      </c>
      <c r="U345">
        <v>3.725339</v>
      </c>
      <c r="V345">
        <v>3.86178</v>
      </c>
      <c r="W345" t="s">
        <v>99</v>
      </c>
      <c r="X345">
        <v>2005</v>
      </c>
      <c r="Y345">
        <v>27</v>
      </c>
    </row>
    <row r="346" spans="2:25" x14ac:dyDescent="0.2">
      <c r="B346">
        <v>1.3091179999999999E-2</v>
      </c>
      <c r="C346">
        <v>6.5051040000000004E-2</v>
      </c>
      <c r="D346">
        <v>0.17337469999999999</v>
      </c>
      <c r="E346">
        <v>0.34119749999999999</v>
      </c>
      <c r="F346">
        <v>0.56301250000000003</v>
      </c>
      <c r="G346">
        <v>0.82970900000000003</v>
      </c>
      <c r="H346">
        <v>1.1314850000000001</v>
      </c>
      <c r="I346">
        <v>1.4590829999999999</v>
      </c>
      <c r="J346">
        <v>1.8041480000000001</v>
      </c>
      <c r="K346">
        <v>2.159262</v>
      </c>
      <c r="L346">
        <v>2.5179010000000002</v>
      </c>
      <c r="M346">
        <v>2.8744179999999999</v>
      </c>
      <c r="N346">
        <v>3.22403</v>
      </c>
      <c r="O346">
        <v>3.5628160000000002</v>
      </c>
      <c r="P346">
        <v>3.887689</v>
      </c>
      <c r="Q346">
        <v>4.1963499999999998</v>
      </c>
      <c r="R346">
        <v>4.4872170000000002</v>
      </c>
      <c r="S346">
        <v>4.759341</v>
      </c>
      <c r="T346">
        <v>5.0123069999999998</v>
      </c>
      <c r="U346">
        <v>5.2461440000000001</v>
      </c>
      <c r="V346">
        <v>5.4618419999999999</v>
      </c>
      <c r="W346" t="s">
        <v>99</v>
      </c>
      <c r="X346">
        <v>2006</v>
      </c>
      <c r="Y346">
        <v>28</v>
      </c>
    </row>
    <row r="347" spans="2:25" x14ac:dyDescent="0.2">
      <c r="B347">
        <v>1.3090640000000001E-2</v>
      </c>
      <c r="C347">
        <v>6.5054669999999995E-2</v>
      </c>
      <c r="D347">
        <v>0.17339540000000001</v>
      </c>
      <c r="E347">
        <v>0.34125430000000001</v>
      </c>
      <c r="F347">
        <v>0.56312709999999999</v>
      </c>
      <c r="G347">
        <v>0.82990280000000005</v>
      </c>
      <c r="H347">
        <v>1.131778</v>
      </c>
      <c r="I347">
        <v>1.459492</v>
      </c>
      <c r="J347">
        <v>1.8046880000000001</v>
      </c>
      <c r="K347">
        <v>2.1599430000000002</v>
      </c>
      <c r="L347">
        <v>2.518732</v>
      </c>
      <c r="M347">
        <v>2.8754029999999999</v>
      </c>
      <c r="N347">
        <v>3.2251729999999998</v>
      </c>
      <c r="O347">
        <v>3.5641159999999998</v>
      </c>
      <c r="P347">
        <v>3.8891439999999999</v>
      </c>
      <c r="Q347">
        <v>4.1979559999999996</v>
      </c>
      <c r="R347">
        <v>4.488969</v>
      </c>
      <c r="S347">
        <v>4.7612319999999997</v>
      </c>
      <c r="T347">
        <v>5.0143310000000003</v>
      </c>
      <c r="U347">
        <v>5.2482930000000003</v>
      </c>
      <c r="V347">
        <v>5.4641080000000004</v>
      </c>
      <c r="W347" t="s">
        <v>99</v>
      </c>
      <c r="X347">
        <v>2007</v>
      </c>
      <c r="Y347">
        <v>29</v>
      </c>
    </row>
    <row r="348" spans="2:25" x14ac:dyDescent="0.2">
      <c r="B348">
        <v>1.309042E-2</v>
      </c>
      <c r="C348">
        <v>6.5056119999999995E-2</v>
      </c>
      <c r="D348">
        <v>0.17340369999999999</v>
      </c>
      <c r="E348">
        <v>0.34127689999999999</v>
      </c>
      <c r="F348">
        <v>0.56317269999999997</v>
      </c>
      <c r="G348">
        <v>0.82998000000000005</v>
      </c>
      <c r="H348">
        <v>1.131894</v>
      </c>
      <c r="I348">
        <v>1.4596549999999999</v>
      </c>
      <c r="J348">
        <v>1.804902</v>
      </c>
      <c r="K348">
        <v>2.1602139999999999</v>
      </c>
      <c r="L348">
        <v>2.5190630000000001</v>
      </c>
      <c r="M348">
        <v>2.8757959999999998</v>
      </c>
      <c r="N348">
        <v>3.2256279999999999</v>
      </c>
      <c r="O348">
        <v>3.5646330000000002</v>
      </c>
      <c r="P348">
        <v>3.889723</v>
      </c>
      <c r="Q348">
        <v>4.1985950000000001</v>
      </c>
      <c r="R348">
        <v>4.4896659999999997</v>
      </c>
      <c r="S348">
        <v>4.7619850000000001</v>
      </c>
      <c r="T348">
        <v>5.0151370000000002</v>
      </c>
      <c r="U348">
        <v>5.2491479999999999</v>
      </c>
      <c r="V348">
        <v>5.4650100000000004</v>
      </c>
      <c r="W348" t="s">
        <v>99</v>
      </c>
      <c r="X348">
        <v>2008</v>
      </c>
      <c r="Y348">
        <v>30</v>
      </c>
    </row>
    <row r="349" spans="2:25" x14ac:dyDescent="0.2">
      <c r="B349">
        <v>1.310355E-2</v>
      </c>
      <c r="C349">
        <v>6.4967990000000003E-2</v>
      </c>
      <c r="D349">
        <v>0.172902</v>
      </c>
      <c r="E349">
        <v>0.33990239999999999</v>
      </c>
      <c r="F349">
        <v>0.56040270000000003</v>
      </c>
      <c r="G349">
        <v>0.82529490000000005</v>
      </c>
      <c r="H349">
        <v>1.124817</v>
      </c>
      <c r="I349">
        <v>1.44977</v>
      </c>
      <c r="J349">
        <v>1.7918689999999999</v>
      </c>
      <c r="K349">
        <v>2.143764</v>
      </c>
      <c r="L349">
        <v>2.4990039999999998</v>
      </c>
      <c r="M349">
        <v>2.8520059999999998</v>
      </c>
      <c r="N349">
        <v>3.1980490000000001</v>
      </c>
      <c r="O349">
        <v>3.5332669999999999</v>
      </c>
      <c r="P349">
        <v>3.8546200000000002</v>
      </c>
      <c r="Q349">
        <v>4.1598499999999996</v>
      </c>
      <c r="R349">
        <v>4.4474049999999998</v>
      </c>
      <c r="S349">
        <v>4.716361</v>
      </c>
      <c r="T349">
        <v>4.9663209999999998</v>
      </c>
      <c r="U349">
        <v>5.1973240000000001</v>
      </c>
      <c r="V349">
        <v>5.4103589999999997</v>
      </c>
      <c r="W349" t="s">
        <v>99</v>
      </c>
      <c r="X349">
        <v>2009</v>
      </c>
      <c r="Y349">
        <v>31</v>
      </c>
    </row>
    <row r="350" spans="2:25" x14ac:dyDescent="0.2">
      <c r="B350">
        <v>1.3178280000000001E-2</v>
      </c>
      <c r="C350">
        <v>6.4454919999999999E-2</v>
      </c>
      <c r="D350">
        <v>0.1700161</v>
      </c>
      <c r="E350">
        <v>0.33204030000000001</v>
      </c>
      <c r="F350">
        <v>0.54462160000000004</v>
      </c>
      <c r="G350">
        <v>0.79868280000000003</v>
      </c>
      <c r="H350">
        <v>1.084713</v>
      </c>
      <c r="I350">
        <v>1.393877</v>
      </c>
      <c r="J350">
        <v>1.7182999999999999</v>
      </c>
      <c r="K350">
        <v>2.051056</v>
      </c>
      <c r="L350">
        <v>2.3861080000000001</v>
      </c>
      <c r="M350">
        <v>2.7182680000000001</v>
      </c>
      <c r="N350">
        <v>3.0431789999999999</v>
      </c>
      <c r="O350">
        <v>3.3572950000000001</v>
      </c>
      <c r="P350">
        <v>3.6578569999999999</v>
      </c>
      <c r="Q350">
        <v>3.9428350000000001</v>
      </c>
      <c r="R350">
        <v>4.2108660000000002</v>
      </c>
      <c r="S350">
        <v>4.4611640000000001</v>
      </c>
      <c r="T350">
        <v>4.6934329999999997</v>
      </c>
      <c r="U350">
        <v>4.9077770000000003</v>
      </c>
      <c r="V350">
        <v>5.1051710000000003</v>
      </c>
      <c r="W350" t="s">
        <v>99</v>
      </c>
      <c r="X350">
        <v>2010</v>
      </c>
      <c r="Y350">
        <v>32</v>
      </c>
    </row>
    <row r="351" spans="2:25" x14ac:dyDescent="0.2">
      <c r="B351">
        <v>1.3263459999999999E-2</v>
      </c>
      <c r="C351">
        <v>6.3844479999999995E-2</v>
      </c>
      <c r="D351">
        <v>0.166658</v>
      </c>
      <c r="E351">
        <v>0.32298650000000001</v>
      </c>
      <c r="F351">
        <v>0.52657960000000004</v>
      </c>
      <c r="G351">
        <v>0.76842790000000005</v>
      </c>
      <c r="H351">
        <v>1.0393269999999999</v>
      </c>
      <c r="I351">
        <v>1.330865</v>
      </c>
      <c r="J351">
        <v>1.6356310000000001</v>
      </c>
      <c r="K351">
        <v>1.947176</v>
      </c>
      <c r="L351">
        <v>2.2599230000000001</v>
      </c>
      <c r="M351">
        <v>2.5691199999999998</v>
      </c>
      <c r="N351">
        <v>2.8708040000000001</v>
      </c>
      <c r="O351">
        <v>3.161781</v>
      </c>
      <c r="P351">
        <v>3.4395920000000002</v>
      </c>
      <c r="Q351">
        <v>3.7024569999999999</v>
      </c>
      <c r="R351">
        <v>3.9492060000000002</v>
      </c>
      <c r="S351">
        <v>4.1792020000000001</v>
      </c>
      <c r="T351">
        <v>4.3922540000000003</v>
      </c>
      <c r="U351">
        <v>4.5885300000000004</v>
      </c>
      <c r="V351">
        <v>4.7689870000000001</v>
      </c>
      <c r="W351" t="s">
        <v>99</v>
      </c>
      <c r="X351">
        <v>2011</v>
      </c>
      <c r="Y351">
        <v>33</v>
      </c>
    </row>
    <row r="352" spans="2:25" x14ac:dyDescent="0.2">
      <c r="B352">
        <v>1.32186E-2</v>
      </c>
      <c r="C352">
        <v>6.4169530000000002E-2</v>
      </c>
      <c r="D352">
        <v>0.16843620000000001</v>
      </c>
      <c r="E352">
        <v>0.3277679</v>
      </c>
      <c r="F352">
        <v>0.53609019999999996</v>
      </c>
      <c r="G352">
        <v>0.78435359999999998</v>
      </c>
      <c r="H352">
        <v>1.0631900000000001</v>
      </c>
      <c r="I352">
        <v>1.3639619999999999</v>
      </c>
      <c r="J352">
        <v>1.679017</v>
      </c>
      <c r="K352">
        <v>2.0016539999999998</v>
      </c>
      <c r="L352">
        <v>2.3260559999999999</v>
      </c>
      <c r="M352">
        <v>2.647243</v>
      </c>
      <c r="N352">
        <v>2.9610470000000002</v>
      </c>
      <c r="O352">
        <v>3.2640920000000002</v>
      </c>
      <c r="P352">
        <v>3.5537610000000002</v>
      </c>
      <c r="Q352">
        <v>3.8281459999999998</v>
      </c>
      <c r="R352">
        <v>4.0859769999999997</v>
      </c>
      <c r="S352">
        <v>4.3265390000000004</v>
      </c>
      <c r="T352">
        <v>4.5495890000000001</v>
      </c>
      <c r="U352">
        <v>4.755261</v>
      </c>
      <c r="V352">
        <v>4.9445220000000001</v>
      </c>
      <c r="W352" t="s">
        <v>99</v>
      </c>
      <c r="X352">
        <v>2012</v>
      </c>
      <c r="Y352">
        <v>34</v>
      </c>
    </row>
    <row r="353" spans="1:25" x14ac:dyDescent="0.2">
      <c r="B353">
        <v>1.32186E-2</v>
      </c>
      <c r="C353">
        <v>6.4169530000000002E-2</v>
      </c>
      <c r="D353">
        <v>0.16843620000000001</v>
      </c>
      <c r="E353">
        <v>0.3277679</v>
      </c>
      <c r="F353">
        <v>0.53609019999999996</v>
      </c>
      <c r="G353">
        <v>0.78435359999999998</v>
      </c>
      <c r="H353">
        <v>1.0631900000000001</v>
      </c>
      <c r="I353">
        <v>1.3639619999999999</v>
      </c>
      <c r="J353">
        <v>1.679017</v>
      </c>
      <c r="K353">
        <v>2.0016539999999998</v>
      </c>
      <c r="L353">
        <v>2.3260559999999999</v>
      </c>
      <c r="M353">
        <v>2.647243</v>
      </c>
      <c r="N353">
        <v>2.9610470000000002</v>
      </c>
      <c r="O353">
        <v>3.2640920000000002</v>
      </c>
      <c r="P353">
        <v>3.5537610000000002</v>
      </c>
      <c r="Q353">
        <v>3.8281459999999998</v>
      </c>
      <c r="R353">
        <v>4.0859769999999997</v>
      </c>
      <c r="S353">
        <v>4.3265390000000004</v>
      </c>
      <c r="T353">
        <v>4.5495890000000001</v>
      </c>
      <c r="U353">
        <v>4.755261</v>
      </c>
      <c r="V353">
        <v>4.9445220000000001</v>
      </c>
      <c r="W353" t="s">
        <v>99</v>
      </c>
      <c r="X353">
        <v>2013</v>
      </c>
      <c r="Y353">
        <v>35</v>
      </c>
    </row>
    <row r="354" spans="1:25" x14ac:dyDescent="0.2">
      <c r="B354">
        <v>1.32186E-2</v>
      </c>
      <c r="C354">
        <v>6.4169530000000002E-2</v>
      </c>
      <c r="D354">
        <v>0.16843620000000001</v>
      </c>
      <c r="E354">
        <v>0.3277679</v>
      </c>
      <c r="F354">
        <v>0.53609019999999996</v>
      </c>
      <c r="G354">
        <v>0.78435359999999998</v>
      </c>
      <c r="H354">
        <v>1.0631900000000001</v>
      </c>
      <c r="I354">
        <v>1.3639619999999999</v>
      </c>
      <c r="J354">
        <v>1.679017</v>
      </c>
      <c r="K354">
        <v>2.0016539999999998</v>
      </c>
      <c r="L354">
        <v>2.3260559999999999</v>
      </c>
      <c r="M354">
        <v>2.647243</v>
      </c>
      <c r="N354">
        <v>2.9610470000000002</v>
      </c>
      <c r="O354">
        <v>3.2640920000000002</v>
      </c>
      <c r="P354">
        <v>3.5537610000000002</v>
      </c>
      <c r="Q354">
        <v>3.8281459999999998</v>
      </c>
      <c r="R354">
        <v>4.0859769999999997</v>
      </c>
      <c r="S354">
        <v>4.3265390000000004</v>
      </c>
      <c r="T354">
        <v>4.5495890000000001</v>
      </c>
      <c r="U354">
        <v>4.755261</v>
      </c>
      <c r="V354">
        <v>4.9445220000000001</v>
      </c>
      <c r="W354" t="s">
        <v>99</v>
      </c>
      <c r="X354">
        <v>2014</v>
      </c>
      <c r="Y354">
        <v>36</v>
      </c>
    </row>
    <row r="355" spans="1:25" x14ac:dyDescent="0.2">
      <c r="B355">
        <v>1.32186E-2</v>
      </c>
      <c r="C355">
        <v>6.4169530000000002E-2</v>
      </c>
      <c r="D355">
        <v>0.16843620000000001</v>
      </c>
      <c r="E355">
        <v>0.3277679</v>
      </c>
      <c r="F355">
        <v>0.53609019999999996</v>
      </c>
      <c r="G355">
        <v>0.78435359999999998</v>
      </c>
      <c r="H355">
        <v>1.0631900000000001</v>
      </c>
      <c r="I355">
        <v>1.3639619999999999</v>
      </c>
      <c r="J355">
        <v>1.679017</v>
      </c>
      <c r="K355">
        <v>2.0016539999999998</v>
      </c>
      <c r="L355">
        <v>2.3260559999999999</v>
      </c>
      <c r="M355">
        <v>2.647243</v>
      </c>
      <c r="N355">
        <v>2.9610470000000002</v>
      </c>
      <c r="O355">
        <v>3.2640920000000002</v>
      </c>
      <c r="P355">
        <v>3.5537610000000002</v>
      </c>
      <c r="Q355">
        <v>3.8281459999999998</v>
      </c>
      <c r="R355">
        <v>4.0859769999999997</v>
      </c>
      <c r="S355">
        <v>4.3265390000000004</v>
      </c>
      <c r="T355">
        <v>4.5495890000000001</v>
      </c>
      <c r="U355">
        <v>4.755261</v>
      </c>
      <c r="V355">
        <v>4.9445220000000001</v>
      </c>
      <c r="W355" t="s">
        <v>99</v>
      </c>
      <c r="X355">
        <v>2015</v>
      </c>
      <c r="Y355">
        <v>37</v>
      </c>
    </row>
    <row r="356" spans="1:25" x14ac:dyDescent="0.2">
      <c r="B356">
        <v>1.32186E-2</v>
      </c>
      <c r="C356">
        <v>6.4169530000000002E-2</v>
      </c>
      <c r="D356">
        <v>0.16843620000000001</v>
      </c>
      <c r="E356">
        <v>0.3277679</v>
      </c>
      <c r="F356">
        <v>0.53609019999999996</v>
      </c>
      <c r="G356">
        <v>0.78435359999999998</v>
      </c>
      <c r="H356">
        <v>1.0631900000000001</v>
      </c>
      <c r="I356">
        <v>1.3639619999999999</v>
      </c>
      <c r="J356">
        <v>1.679017</v>
      </c>
      <c r="K356">
        <v>2.0016539999999998</v>
      </c>
      <c r="L356">
        <v>2.3260559999999999</v>
      </c>
      <c r="M356">
        <v>2.647243</v>
      </c>
      <c r="N356">
        <v>2.9610470000000002</v>
      </c>
      <c r="O356">
        <v>3.2640920000000002</v>
      </c>
      <c r="P356">
        <v>3.5537610000000002</v>
      </c>
      <c r="Q356">
        <v>3.8281459999999998</v>
      </c>
      <c r="R356">
        <v>4.0859769999999997</v>
      </c>
      <c r="S356">
        <v>4.3265390000000004</v>
      </c>
      <c r="T356">
        <v>4.5495890000000001</v>
      </c>
      <c r="U356">
        <v>4.755261</v>
      </c>
      <c r="V356">
        <v>4.9445220000000001</v>
      </c>
      <c r="W356" t="s">
        <v>99</v>
      </c>
      <c r="X356">
        <v>2016</v>
      </c>
      <c r="Y356">
        <v>38</v>
      </c>
    </row>
    <row r="357" spans="1:25" x14ac:dyDescent="0.2">
      <c r="B357">
        <v>1.32186E-2</v>
      </c>
      <c r="C357">
        <v>6.4169530000000002E-2</v>
      </c>
      <c r="D357">
        <v>0.16843620000000001</v>
      </c>
      <c r="E357">
        <v>0.3277679</v>
      </c>
      <c r="F357">
        <v>0.53609019999999996</v>
      </c>
      <c r="G357">
        <v>0.78435359999999998</v>
      </c>
      <c r="H357">
        <v>1.0631900000000001</v>
      </c>
      <c r="I357">
        <v>1.3639619999999999</v>
      </c>
      <c r="J357">
        <v>1.679017</v>
      </c>
      <c r="K357">
        <v>2.0016539999999998</v>
      </c>
      <c r="L357">
        <v>2.3260559999999999</v>
      </c>
      <c r="M357">
        <v>2.647243</v>
      </c>
      <c r="N357">
        <v>2.9610470000000002</v>
      </c>
      <c r="O357">
        <v>3.2640920000000002</v>
      </c>
      <c r="P357">
        <v>3.5537610000000002</v>
      </c>
      <c r="Q357">
        <v>3.8281459999999998</v>
      </c>
      <c r="R357">
        <v>4.0859769999999997</v>
      </c>
      <c r="S357">
        <v>4.3265390000000004</v>
      </c>
      <c r="T357">
        <v>4.5495890000000001</v>
      </c>
      <c r="U357">
        <v>4.755261</v>
      </c>
      <c r="V357">
        <v>4.9445220000000001</v>
      </c>
      <c r="W357" t="s">
        <v>99</v>
      </c>
      <c r="X357">
        <v>2017</v>
      </c>
      <c r="Y357">
        <v>39</v>
      </c>
    </row>
    <row r="358" spans="1:25" x14ac:dyDescent="0.2">
      <c r="B358">
        <v>1.32186E-2</v>
      </c>
      <c r="C358">
        <v>6.4169530000000002E-2</v>
      </c>
      <c r="D358">
        <v>0.16843620000000001</v>
      </c>
      <c r="E358">
        <v>0.3277679</v>
      </c>
      <c r="F358">
        <v>0.53609019999999996</v>
      </c>
      <c r="G358">
        <v>0.78435359999999998</v>
      </c>
      <c r="H358">
        <v>1.0631900000000001</v>
      </c>
      <c r="I358">
        <v>1.3639619999999999</v>
      </c>
      <c r="J358">
        <v>1.679017</v>
      </c>
      <c r="K358">
        <v>2.0016539999999998</v>
      </c>
      <c r="L358">
        <v>2.3260559999999999</v>
      </c>
      <c r="M358">
        <v>2.647243</v>
      </c>
      <c r="N358">
        <v>2.9610470000000002</v>
      </c>
      <c r="O358">
        <v>3.2640920000000002</v>
      </c>
      <c r="P358">
        <v>3.5537610000000002</v>
      </c>
      <c r="Q358">
        <v>3.8281459999999998</v>
      </c>
      <c r="R358">
        <v>4.0859769999999997</v>
      </c>
      <c r="S358">
        <v>4.3265390000000004</v>
      </c>
      <c r="T358">
        <v>4.5495890000000001</v>
      </c>
      <c r="U358">
        <v>4.755261</v>
      </c>
      <c r="V358">
        <v>4.9445220000000001</v>
      </c>
      <c r="W358" t="s">
        <v>99</v>
      </c>
      <c r="X358">
        <v>2018</v>
      </c>
      <c r="Y358">
        <v>40</v>
      </c>
    </row>
    <row r="359" spans="1:25" x14ac:dyDescent="0.2">
      <c r="B359">
        <v>1.32186E-2</v>
      </c>
      <c r="C359">
        <v>6.4169530000000002E-2</v>
      </c>
      <c r="D359">
        <v>0.16843620000000001</v>
      </c>
      <c r="E359">
        <v>0.3277679</v>
      </c>
      <c r="F359">
        <v>0.53609019999999996</v>
      </c>
      <c r="G359">
        <v>0.78435359999999998</v>
      </c>
      <c r="H359">
        <v>1.0631900000000001</v>
      </c>
      <c r="I359">
        <v>1.3639619999999999</v>
      </c>
      <c r="J359">
        <v>1.679017</v>
      </c>
      <c r="K359">
        <v>2.0016539999999998</v>
      </c>
      <c r="L359">
        <v>2.3260559999999999</v>
      </c>
      <c r="M359">
        <v>2.647243</v>
      </c>
      <c r="N359">
        <v>2.9610470000000002</v>
      </c>
      <c r="O359">
        <v>3.2640920000000002</v>
      </c>
      <c r="P359">
        <v>3.5537610000000002</v>
      </c>
      <c r="Q359">
        <v>3.8281459999999998</v>
      </c>
      <c r="R359">
        <v>4.0859769999999997</v>
      </c>
      <c r="S359">
        <v>4.3265390000000004</v>
      </c>
      <c r="T359">
        <v>4.5495890000000001</v>
      </c>
      <c r="U359">
        <v>4.755261</v>
      </c>
      <c r="V359">
        <v>4.9445220000000001</v>
      </c>
      <c r="W359" t="s">
        <v>99</v>
      </c>
      <c r="X359">
        <v>2019</v>
      </c>
      <c r="Y359">
        <v>41</v>
      </c>
    </row>
    <row r="360" spans="1:25" x14ac:dyDescent="0.2">
      <c r="B360">
        <v>1.32186E-2</v>
      </c>
      <c r="C360">
        <v>6.4169530000000002E-2</v>
      </c>
      <c r="D360">
        <v>0.16843620000000001</v>
      </c>
      <c r="E360">
        <v>0.3277679</v>
      </c>
      <c r="F360">
        <v>0.53609019999999996</v>
      </c>
      <c r="G360">
        <v>0.78435359999999998</v>
      </c>
      <c r="H360">
        <v>1.0631900000000001</v>
      </c>
      <c r="I360">
        <v>1.3639619999999999</v>
      </c>
      <c r="J360">
        <v>1.679017</v>
      </c>
      <c r="K360">
        <v>2.0016539999999998</v>
      </c>
      <c r="L360">
        <v>2.3260559999999999</v>
      </c>
      <c r="M360">
        <v>2.647243</v>
      </c>
      <c r="N360">
        <v>2.9610470000000002</v>
      </c>
      <c r="O360">
        <v>3.2640920000000002</v>
      </c>
      <c r="P360">
        <v>3.5537610000000002</v>
      </c>
      <c r="Q360">
        <v>3.8281459999999998</v>
      </c>
      <c r="R360">
        <v>4.0859769999999997</v>
      </c>
      <c r="S360">
        <v>4.3265390000000004</v>
      </c>
      <c r="T360">
        <v>4.5495890000000001</v>
      </c>
      <c r="U360">
        <v>4.755261</v>
      </c>
      <c r="V360">
        <v>4.9445220000000001</v>
      </c>
      <c r="W360" t="s">
        <v>99</v>
      </c>
      <c r="X360">
        <v>2020</v>
      </c>
      <c r="Y360">
        <v>42</v>
      </c>
    </row>
    <row r="361" spans="1:25" x14ac:dyDescent="0.2">
      <c r="B361">
        <v>1.32186E-2</v>
      </c>
      <c r="C361">
        <v>6.4169530000000002E-2</v>
      </c>
      <c r="D361">
        <v>0.16843620000000001</v>
      </c>
      <c r="E361">
        <v>0.3277679</v>
      </c>
      <c r="F361">
        <v>0.53609019999999996</v>
      </c>
      <c r="G361">
        <v>0.78435359999999998</v>
      </c>
      <c r="H361">
        <v>1.0631900000000001</v>
      </c>
      <c r="I361">
        <v>1.3639619999999999</v>
      </c>
      <c r="J361">
        <v>1.679017</v>
      </c>
      <c r="K361">
        <v>2.0016539999999998</v>
      </c>
      <c r="L361">
        <v>2.3260559999999999</v>
      </c>
      <c r="M361">
        <v>2.647243</v>
      </c>
      <c r="N361">
        <v>2.9610470000000002</v>
      </c>
      <c r="O361">
        <v>3.2640920000000002</v>
      </c>
      <c r="P361">
        <v>3.5537610000000002</v>
      </c>
      <c r="Q361">
        <v>3.8281459999999998</v>
      </c>
      <c r="R361">
        <v>4.0859769999999997</v>
      </c>
      <c r="S361">
        <v>4.3265390000000004</v>
      </c>
      <c r="T361">
        <v>4.5495890000000001</v>
      </c>
      <c r="U361">
        <v>4.755261</v>
      </c>
      <c r="V361">
        <v>4.9445220000000001</v>
      </c>
      <c r="W361" t="s">
        <v>99</v>
      </c>
      <c r="X361">
        <v>2021</v>
      </c>
      <c r="Y361">
        <v>43</v>
      </c>
    </row>
    <row r="362" spans="1:25" x14ac:dyDescent="0.2">
      <c r="B362">
        <v>1.32186E-2</v>
      </c>
      <c r="C362">
        <v>6.4169530000000002E-2</v>
      </c>
      <c r="D362">
        <v>0.16843620000000001</v>
      </c>
      <c r="E362">
        <v>0.3277679</v>
      </c>
      <c r="F362">
        <v>0.53609019999999996</v>
      </c>
      <c r="G362">
        <v>0.78435359999999998</v>
      </c>
      <c r="H362">
        <v>1.0631900000000001</v>
      </c>
      <c r="I362">
        <v>1.3639619999999999</v>
      </c>
      <c r="J362">
        <v>1.679017</v>
      </c>
      <c r="K362">
        <v>2.0016539999999998</v>
      </c>
      <c r="L362">
        <v>2.3260559999999999</v>
      </c>
      <c r="M362">
        <v>2.647243</v>
      </c>
      <c r="N362">
        <v>2.9610470000000002</v>
      </c>
      <c r="O362">
        <v>3.2640920000000002</v>
      </c>
      <c r="P362">
        <v>3.5537610000000002</v>
      </c>
      <c r="Q362">
        <v>3.8281459999999998</v>
      </c>
      <c r="R362">
        <v>4.0859769999999997</v>
      </c>
      <c r="S362">
        <v>4.3265390000000004</v>
      </c>
      <c r="T362">
        <v>4.5495890000000001</v>
      </c>
      <c r="U362">
        <v>4.755261</v>
      </c>
      <c r="V362">
        <v>4.9445220000000001</v>
      </c>
      <c r="W362" t="s">
        <v>99</v>
      </c>
      <c r="X362">
        <v>2022</v>
      </c>
      <c r="Y362">
        <v>44</v>
      </c>
    </row>
    <row r="363" spans="1:25" x14ac:dyDescent="0.2">
      <c r="B363">
        <v>1.32186E-2</v>
      </c>
      <c r="C363">
        <v>6.4169530000000002E-2</v>
      </c>
      <c r="D363">
        <v>0.16843620000000001</v>
      </c>
      <c r="E363">
        <v>0.3277679</v>
      </c>
      <c r="F363">
        <v>0.53609019999999996</v>
      </c>
      <c r="G363">
        <v>0.78435359999999998</v>
      </c>
      <c r="H363">
        <v>1.0631900000000001</v>
      </c>
      <c r="I363">
        <v>1.3639619999999999</v>
      </c>
      <c r="J363">
        <v>1.679017</v>
      </c>
      <c r="K363">
        <v>2.0016539999999998</v>
      </c>
      <c r="L363">
        <v>2.3260559999999999</v>
      </c>
      <c r="M363">
        <v>2.647243</v>
      </c>
      <c r="N363">
        <v>2.9610470000000002</v>
      </c>
      <c r="O363">
        <v>3.2640920000000002</v>
      </c>
      <c r="P363">
        <v>3.5537610000000002</v>
      </c>
      <c r="Q363">
        <v>3.8281459999999998</v>
      </c>
      <c r="R363">
        <v>4.0859769999999997</v>
      </c>
      <c r="S363">
        <v>4.3265390000000004</v>
      </c>
      <c r="T363">
        <v>4.5495890000000001</v>
      </c>
      <c r="U363">
        <v>4.755261</v>
      </c>
      <c r="V363">
        <v>4.9445220000000001</v>
      </c>
      <c r="W363" t="s">
        <v>99</v>
      </c>
      <c r="X363">
        <v>2023</v>
      </c>
      <c r="Y363">
        <v>45</v>
      </c>
    </row>
    <row r="364" spans="1:25" s="2" customFormat="1" x14ac:dyDescent="0.2">
      <c r="A364" s="17"/>
      <c r="B364">
        <v>1.32186E-2</v>
      </c>
      <c r="C364">
        <v>6.4169530000000002E-2</v>
      </c>
      <c r="D364">
        <v>0.16843620000000001</v>
      </c>
      <c r="E364">
        <v>0.3277679</v>
      </c>
      <c r="F364">
        <v>0.53609019999999996</v>
      </c>
      <c r="G364">
        <v>0.78435359999999998</v>
      </c>
      <c r="H364">
        <v>1.0631900000000001</v>
      </c>
      <c r="I364">
        <v>1.3639619999999999</v>
      </c>
      <c r="J364">
        <v>1.679017</v>
      </c>
      <c r="K364">
        <v>2.0016539999999998</v>
      </c>
      <c r="L364">
        <v>2.3260559999999999</v>
      </c>
      <c r="M364">
        <v>2.647243</v>
      </c>
      <c r="N364">
        <v>2.9610470000000002</v>
      </c>
      <c r="O364">
        <v>3.2640920000000002</v>
      </c>
      <c r="P364">
        <v>3.5537610000000002</v>
      </c>
      <c r="Q364">
        <v>3.8281459999999998</v>
      </c>
      <c r="R364">
        <v>4.0859769999999997</v>
      </c>
      <c r="S364">
        <v>4.3265390000000004</v>
      </c>
      <c r="T364">
        <v>4.5495890000000001</v>
      </c>
      <c r="U364">
        <v>4.755261</v>
      </c>
      <c r="V364">
        <v>4.9445220000000001</v>
      </c>
      <c r="W364" t="s">
        <v>99</v>
      </c>
      <c r="X364">
        <v>2023</v>
      </c>
      <c r="Y364">
        <v>45</v>
      </c>
    </row>
    <row r="365" spans="1:25" x14ac:dyDescent="0.2">
      <c r="B365" t="s">
        <v>99</v>
      </c>
    </row>
    <row r="366" spans="1:25" x14ac:dyDescent="0.2">
      <c r="B366" t="s">
        <v>101</v>
      </c>
    </row>
    <row r="367" spans="1:25" x14ac:dyDescent="0.2">
      <c r="B367" t="s">
        <v>101</v>
      </c>
    </row>
    <row r="368" spans="1:25" x14ac:dyDescent="0.2">
      <c r="B368" t="s">
        <v>112</v>
      </c>
      <c r="C368" t="s">
        <v>214</v>
      </c>
      <c r="D368" t="s">
        <v>102</v>
      </c>
      <c r="E368" t="s">
        <v>114</v>
      </c>
    </row>
    <row r="369" spans="2:22" x14ac:dyDescent="0.2">
      <c r="B369" t="s">
        <v>101</v>
      </c>
    </row>
    <row r="370" spans="2:22" x14ac:dyDescent="0.2">
      <c r="B370" t="s">
        <v>101</v>
      </c>
    </row>
    <row r="371" spans="2:22" x14ac:dyDescent="0.2">
      <c r="B371" t="s">
        <v>99</v>
      </c>
    </row>
    <row r="372" spans="2:22" x14ac:dyDescent="0.2">
      <c r="B372" t="s">
        <v>99</v>
      </c>
    </row>
    <row r="373" spans="2:22" x14ac:dyDescent="0.2">
      <c r="B373" t="s">
        <v>100</v>
      </c>
    </row>
    <row r="374" spans="2:22" x14ac:dyDescent="0.2">
      <c r="B374" t="s">
        <v>215</v>
      </c>
      <c r="C374" t="s">
        <v>106</v>
      </c>
      <c r="D374" t="s">
        <v>216</v>
      </c>
      <c r="E374" t="s">
        <v>217</v>
      </c>
    </row>
    <row r="375" spans="2:22" x14ac:dyDescent="0.2">
      <c r="B375" t="s">
        <v>100</v>
      </c>
    </row>
    <row r="376" spans="2:22" x14ac:dyDescent="0.2">
      <c r="B376">
        <v>0</v>
      </c>
      <c r="C376">
        <v>8.0000000000000002E-3</v>
      </c>
      <c r="D376">
        <v>0.28899999999999998</v>
      </c>
      <c r="E376">
        <v>0.64100000000000001</v>
      </c>
      <c r="F376">
        <v>0.84199999999999997</v>
      </c>
      <c r="G376">
        <v>0.90100000000000002</v>
      </c>
      <c r="H376">
        <v>0.94699999999999995</v>
      </c>
      <c r="I376">
        <v>0.96299999999999997</v>
      </c>
      <c r="J376">
        <v>0.97</v>
      </c>
      <c r="K376">
        <v>1</v>
      </c>
      <c r="L376">
        <v>1</v>
      </c>
      <c r="M376">
        <v>1</v>
      </c>
    </row>
    <row r="377" spans="2:22" x14ac:dyDescent="0.2">
      <c r="B377">
        <v>0</v>
      </c>
      <c r="C377">
        <v>2.30034E-2</v>
      </c>
      <c r="D377">
        <v>5.8225600000000002E-2</v>
      </c>
      <c r="E377">
        <v>0.13966899999999999</v>
      </c>
      <c r="F377">
        <v>0.29887900000000001</v>
      </c>
      <c r="G377">
        <v>0.52815999999999996</v>
      </c>
      <c r="H377">
        <v>0.74614499999999995</v>
      </c>
      <c r="I377">
        <v>0.88529500000000005</v>
      </c>
      <c r="J377">
        <v>0.95297699999999996</v>
      </c>
      <c r="K377">
        <v>0.98155499999999996</v>
      </c>
      <c r="L377">
        <v>0.99289499999999997</v>
      </c>
      <c r="M377">
        <v>0.997282</v>
      </c>
    </row>
    <row r="378" spans="2:22" x14ac:dyDescent="0.2">
      <c r="B378">
        <v>0</v>
      </c>
      <c r="C378">
        <v>0</v>
      </c>
      <c r="D378">
        <v>0</v>
      </c>
      <c r="E378">
        <v>2.3364486E-2</v>
      </c>
      <c r="F378">
        <v>0.38888888900000002</v>
      </c>
      <c r="G378">
        <v>0.83793738500000003</v>
      </c>
      <c r="H378">
        <v>0.97347480099999995</v>
      </c>
      <c r="I378">
        <v>0.99596774200000004</v>
      </c>
      <c r="J378">
        <v>0.99919999999999998</v>
      </c>
      <c r="K378">
        <v>1</v>
      </c>
      <c r="L378">
        <v>1</v>
      </c>
      <c r="M378">
        <v>1</v>
      </c>
      <c r="N378">
        <v>1</v>
      </c>
      <c r="O378">
        <v>1</v>
      </c>
      <c r="P378">
        <v>1</v>
      </c>
      <c r="Q378">
        <v>1</v>
      </c>
      <c r="R378">
        <v>1</v>
      </c>
      <c r="S378">
        <v>1</v>
      </c>
      <c r="T378">
        <v>1</v>
      </c>
      <c r="U378">
        <v>1</v>
      </c>
      <c r="V378">
        <v>1</v>
      </c>
    </row>
    <row r="379" spans="2:22" x14ac:dyDescent="0.2">
      <c r="B379" t="s">
        <v>100</v>
      </c>
    </row>
    <row r="380" spans="2:22" x14ac:dyDescent="0.2">
      <c r="B380" t="s">
        <v>218</v>
      </c>
      <c r="C380" t="s">
        <v>106</v>
      </c>
      <c r="D380" t="s">
        <v>219</v>
      </c>
      <c r="E380" t="s">
        <v>220</v>
      </c>
      <c r="F380" t="s">
        <v>221</v>
      </c>
    </row>
    <row r="381" spans="2:22" x14ac:dyDescent="0.2">
      <c r="B381" t="s">
        <v>100</v>
      </c>
    </row>
    <row r="382" spans="2:22" x14ac:dyDescent="0.2">
      <c r="B382">
        <v>0.01</v>
      </c>
      <c r="C382">
        <v>0.3</v>
      </c>
      <c r="D382">
        <v>0.3</v>
      </c>
      <c r="E382">
        <v>0.3</v>
      </c>
      <c r="F382">
        <v>0.3</v>
      </c>
      <c r="G382">
        <v>0.3</v>
      </c>
      <c r="H382">
        <v>0.3</v>
      </c>
      <c r="I382">
        <v>0.3</v>
      </c>
      <c r="J382">
        <v>0.3</v>
      </c>
      <c r="K382">
        <v>0.3</v>
      </c>
      <c r="L382">
        <v>0.3</v>
      </c>
      <c r="M382">
        <v>0.3</v>
      </c>
    </row>
    <row r="383" spans="2:22" x14ac:dyDescent="0.2">
      <c r="B383">
        <v>0.38</v>
      </c>
      <c r="C383">
        <v>0.38</v>
      </c>
      <c r="D383">
        <v>0.38</v>
      </c>
      <c r="E383">
        <v>0.38</v>
      </c>
      <c r="F383">
        <v>0.38</v>
      </c>
      <c r="G383">
        <v>0.38</v>
      </c>
      <c r="H383">
        <v>0.38</v>
      </c>
      <c r="I383">
        <v>0.38</v>
      </c>
      <c r="J383">
        <v>0.38</v>
      </c>
      <c r="K383">
        <v>0.38</v>
      </c>
      <c r="L383">
        <v>0.38</v>
      </c>
      <c r="M383">
        <v>0.38</v>
      </c>
    </row>
    <row r="384" spans="2:22" x14ac:dyDescent="0.2">
      <c r="B384">
        <v>0.26939999999999997</v>
      </c>
      <c r="C384">
        <v>0.26379999999999998</v>
      </c>
      <c r="D384">
        <v>0.25840000000000002</v>
      </c>
      <c r="E384">
        <v>0.25319999999999998</v>
      </c>
      <c r="F384">
        <v>0.24809999999999999</v>
      </c>
      <c r="G384">
        <v>0.24340000000000001</v>
      </c>
      <c r="H384">
        <v>0.2389</v>
      </c>
      <c r="I384">
        <v>0.23469999999999999</v>
      </c>
      <c r="J384">
        <v>0.23089999999999999</v>
      </c>
      <c r="K384">
        <v>0.22739999999999999</v>
      </c>
      <c r="L384">
        <v>0.22420000000000001</v>
      </c>
      <c r="M384">
        <v>0.2213</v>
      </c>
      <c r="N384">
        <v>0.21870000000000001</v>
      </c>
      <c r="O384">
        <v>0.21640000000000001</v>
      </c>
      <c r="P384">
        <v>0.21429999999999999</v>
      </c>
      <c r="Q384">
        <v>0.21249999999999999</v>
      </c>
      <c r="R384">
        <v>0.2109</v>
      </c>
      <c r="S384">
        <v>0.2094</v>
      </c>
      <c r="T384">
        <v>0.2082</v>
      </c>
      <c r="U384">
        <v>0.20710000000000001</v>
      </c>
      <c r="V384">
        <v>0.20619999999999999</v>
      </c>
    </row>
    <row r="385" spans="1:43" x14ac:dyDescent="0.2">
      <c r="B385" t="s">
        <v>101</v>
      </c>
    </row>
    <row r="386" spans="1:43" x14ac:dyDescent="0.2">
      <c r="B386" t="s">
        <v>101</v>
      </c>
    </row>
    <row r="387" spans="1:43" x14ac:dyDescent="0.2">
      <c r="B387" t="s">
        <v>112</v>
      </c>
      <c r="C387" t="s">
        <v>222</v>
      </c>
      <c r="D387" t="s">
        <v>223</v>
      </c>
      <c r="E387" t="s">
        <v>102</v>
      </c>
      <c r="F387" t="s">
        <v>114</v>
      </c>
    </row>
    <row r="388" spans="1:43" x14ac:dyDescent="0.2">
      <c r="B388" t="s">
        <v>101</v>
      </c>
    </row>
    <row r="389" spans="1:43" x14ac:dyDescent="0.2">
      <c r="B389" t="s">
        <v>101</v>
      </c>
    </row>
    <row r="390" spans="1:43" x14ac:dyDescent="0.2">
      <c r="B390" t="s">
        <v>99</v>
      </c>
    </row>
    <row r="391" spans="1:43" x14ac:dyDescent="0.2">
      <c r="B391" t="s">
        <v>99</v>
      </c>
    </row>
    <row r="392" spans="1:43" x14ac:dyDescent="0.2">
      <c r="B392" t="s">
        <v>100</v>
      </c>
    </row>
    <row r="393" spans="1:43" x14ac:dyDescent="0.2">
      <c r="B393" t="s">
        <v>224</v>
      </c>
      <c r="C393" t="s">
        <v>106</v>
      </c>
      <c r="D393" t="s">
        <v>225</v>
      </c>
      <c r="E393" t="s">
        <v>108</v>
      </c>
      <c r="F393" t="s">
        <v>119</v>
      </c>
      <c r="G393" t="s">
        <v>108</v>
      </c>
      <c r="H393" t="s">
        <v>204</v>
      </c>
      <c r="I393" t="s">
        <v>117</v>
      </c>
      <c r="J393" t="s">
        <v>66</v>
      </c>
      <c r="K393" t="s">
        <v>226</v>
      </c>
      <c r="L393" t="s">
        <v>107</v>
      </c>
      <c r="M393" t="s">
        <v>108</v>
      </c>
      <c r="N393" t="s">
        <v>227</v>
      </c>
    </row>
    <row r="394" spans="1:43" x14ac:dyDescent="0.2">
      <c r="B394" t="s">
        <v>100</v>
      </c>
    </row>
    <row r="395" spans="1:43" x14ac:dyDescent="0.2">
      <c r="B395">
        <v>42</v>
      </c>
      <c r="C395">
        <v>42</v>
      </c>
      <c r="D395">
        <v>42</v>
      </c>
    </row>
    <row r="396" spans="1:43" x14ac:dyDescent="0.2">
      <c r="A396" s="3">
        <v>1</v>
      </c>
      <c r="B396" t="s">
        <v>100</v>
      </c>
    </row>
    <row r="397" spans="1:43" x14ac:dyDescent="0.2">
      <c r="B397" t="s">
        <v>228</v>
      </c>
      <c r="C397" t="s">
        <v>106</v>
      </c>
      <c r="D397" t="s">
        <v>229</v>
      </c>
      <c r="E397" t="s">
        <v>108</v>
      </c>
      <c r="F397" t="s">
        <v>204</v>
      </c>
      <c r="G397" t="s">
        <v>117</v>
      </c>
      <c r="H397" t="s">
        <v>66</v>
      </c>
      <c r="I397" t="s">
        <v>226</v>
      </c>
      <c r="J397" t="s">
        <v>230</v>
      </c>
    </row>
    <row r="398" spans="1:43" x14ac:dyDescent="0.2">
      <c r="B398" t="s">
        <v>100</v>
      </c>
    </row>
    <row r="399" spans="1:43" x14ac:dyDescent="0.2">
      <c r="A399" s="3">
        <f>COUNT(B399:BT399)</f>
        <v>42</v>
      </c>
      <c r="B399">
        <v>1982</v>
      </c>
      <c r="C399">
        <v>1983</v>
      </c>
      <c r="D399">
        <v>1984</v>
      </c>
      <c r="E399">
        <v>1985</v>
      </c>
      <c r="F399">
        <v>1986</v>
      </c>
      <c r="G399">
        <v>1987</v>
      </c>
      <c r="H399">
        <v>1988</v>
      </c>
      <c r="I399">
        <v>1989</v>
      </c>
      <c r="J399">
        <v>1990</v>
      </c>
      <c r="K399">
        <v>1991</v>
      </c>
      <c r="L399">
        <v>1992</v>
      </c>
      <c r="M399">
        <v>1993</v>
      </c>
      <c r="N399">
        <v>1994</v>
      </c>
      <c r="O399">
        <v>1995</v>
      </c>
      <c r="P399">
        <v>1996</v>
      </c>
      <c r="Q399">
        <v>1997</v>
      </c>
      <c r="R399">
        <v>1998</v>
      </c>
      <c r="S399">
        <v>1999</v>
      </c>
      <c r="T399">
        <v>2000</v>
      </c>
      <c r="U399">
        <v>2001</v>
      </c>
      <c r="V399">
        <v>2002</v>
      </c>
      <c r="W399">
        <v>2003</v>
      </c>
      <c r="X399">
        <v>2004</v>
      </c>
      <c r="Y399">
        <v>2005</v>
      </c>
      <c r="Z399">
        <v>2006</v>
      </c>
      <c r="AA399">
        <v>2007</v>
      </c>
      <c r="AB399">
        <v>2008</v>
      </c>
      <c r="AC399">
        <v>2009</v>
      </c>
      <c r="AD399">
        <v>2010</v>
      </c>
      <c r="AE399">
        <v>2011</v>
      </c>
      <c r="AF399">
        <v>2012</v>
      </c>
      <c r="AG399">
        <v>2013</v>
      </c>
      <c r="AH399">
        <v>2014</v>
      </c>
      <c r="AI399">
        <v>2015</v>
      </c>
      <c r="AJ399">
        <v>2016</v>
      </c>
      <c r="AK399">
        <v>2017</v>
      </c>
      <c r="AL399">
        <v>2018</v>
      </c>
      <c r="AM399">
        <v>2019</v>
      </c>
      <c r="AN399">
        <v>2021</v>
      </c>
      <c r="AO399">
        <v>2022</v>
      </c>
      <c r="AP399">
        <v>2023</v>
      </c>
      <c r="AQ399">
        <v>2024</v>
      </c>
    </row>
    <row r="400" spans="1:43" x14ac:dyDescent="0.2">
      <c r="A400" s="3">
        <f>COUNT(B400:BT400)</f>
        <v>42</v>
      </c>
      <c r="B400">
        <v>1982</v>
      </c>
      <c r="C400">
        <v>1983</v>
      </c>
      <c r="D400">
        <v>1984</v>
      </c>
      <c r="E400">
        <v>1985</v>
      </c>
      <c r="F400">
        <v>1986</v>
      </c>
      <c r="G400">
        <v>1987</v>
      </c>
      <c r="H400">
        <v>1988</v>
      </c>
      <c r="I400">
        <v>1989</v>
      </c>
      <c r="J400">
        <v>1990</v>
      </c>
      <c r="K400">
        <v>1991</v>
      </c>
      <c r="L400">
        <v>1992</v>
      </c>
      <c r="M400">
        <v>1993</v>
      </c>
      <c r="N400">
        <v>1994</v>
      </c>
      <c r="O400">
        <v>1995</v>
      </c>
      <c r="P400">
        <v>1996</v>
      </c>
      <c r="Q400">
        <v>1997</v>
      </c>
      <c r="R400">
        <v>1998</v>
      </c>
      <c r="S400">
        <v>1999</v>
      </c>
      <c r="T400">
        <v>2000</v>
      </c>
      <c r="U400">
        <v>2001</v>
      </c>
      <c r="V400">
        <v>2002</v>
      </c>
      <c r="W400">
        <v>2003</v>
      </c>
      <c r="X400">
        <v>2004</v>
      </c>
      <c r="Y400">
        <v>2005</v>
      </c>
      <c r="Z400">
        <v>2006</v>
      </c>
      <c r="AA400">
        <v>2007</v>
      </c>
      <c r="AB400">
        <v>2008</v>
      </c>
      <c r="AC400">
        <v>2009</v>
      </c>
      <c r="AD400">
        <v>2010</v>
      </c>
      <c r="AE400">
        <v>2011</v>
      </c>
      <c r="AF400">
        <v>2012</v>
      </c>
      <c r="AG400">
        <v>2013</v>
      </c>
      <c r="AH400">
        <v>2014</v>
      </c>
      <c r="AI400">
        <v>2015</v>
      </c>
      <c r="AJ400">
        <v>2016</v>
      </c>
      <c r="AK400">
        <v>2017</v>
      </c>
      <c r="AL400">
        <v>2018</v>
      </c>
      <c r="AM400">
        <v>2019</v>
      </c>
      <c r="AN400">
        <v>2021</v>
      </c>
      <c r="AO400">
        <v>2022</v>
      </c>
      <c r="AP400">
        <v>2023</v>
      </c>
      <c r="AQ400">
        <v>2024</v>
      </c>
    </row>
    <row r="401" spans="1:43" x14ac:dyDescent="0.2">
      <c r="A401" s="3">
        <f>COUNT(B401:BT401)</f>
        <v>42</v>
      </c>
      <c r="B401">
        <v>1982</v>
      </c>
      <c r="C401">
        <v>1983</v>
      </c>
      <c r="D401">
        <v>1984</v>
      </c>
      <c r="E401">
        <v>1985</v>
      </c>
      <c r="F401">
        <v>1986</v>
      </c>
      <c r="G401">
        <v>1987</v>
      </c>
      <c r="H401">
        <v>1988</v>
      </c>
      <c r="I401">
        <v>1989</v>
      </c>
      <c r="J401">
        <v>1990</v>
      </c>
      <c r="K401">
        <v>1991</v>
      </c>
      <c r="L401">
        <v>1992</v>
      </c>
      <c r="M401">
        <v>1993</v>
      </c>
      <c r="N401">
        <v>1994</v>
      </c>
      <c r="O401">
        <v>1995</v>
      </c>
      <c r="P401">
        <v>1996</v>
      </c>
      <c r="Q401">
        <v>1997</v>
      </c>
      <c r="R401">
        <v>1998</v>
      </c>
      <c r="S401">
        <v>1999</v>
      </c>
      <c r="T401">
        <v>2000</v>
      </c>
      <c r="U401">
        <v>2001</v>
      </c>
      <c r="V401">
        <v>2002</v>
      </c>
      <c r="W401">
        <v>2003</v>
      </c>
      <c r="X401">
        <v>2004</v>
      </c>
      <c r="Y401">
        <v>2005</v>
      </c>
      <c r="Z401">
        <v>2006</v>
      </c>
      <c r="AA401">
        <v>2007</v>
      </c>
      <c r="AB401">
        <v>2008</v>
      </c>
      <c r="AC401">
        <v>2009</v>
      </c>
      <c r="AD401">
        <v>2010</v>
      </c>
      <c r="AE401">
        <v>2011</v>
      </c>
      <c r="AF401">
        <v>2012</v>
      </c>
      <c r="AG401">
        <v>2013</v>
      </c>
      <c r="AH401">
        <v>2014</v>
      </c>
      <c r="AI401">
        <v>2015</v>
      </c>
      <c r="AJ401">
        <v>2016</v>
      </c>
      <c r="AK401">
        <v>2017</v>
      </c>
      <c r="AL401">
        <v>2018</v>
      </c>
      <c r="AM401">
        <v>2019</v>
      </c>
      <c r="AN401">
        <v>2021</v>
      </c>
      <c r="AO401">
        <v>2022</v>
      </c>
      <c r="AP401">
        <v>2023</v>
      </c>
      <c r="AQ401">
        <v>2024</v>
      </c>
    </row>
    <row r="402" spans="1:43" x14ac:dyDescent="0.2">
      <c r="B402" t="s">
        <v>100</v>
      </c>
    </row>
    <row r="403" spans="1:43" x14ac:dyDescent="0.2">
      <c r="B403" t="s">
        <v>231</v>
      </c>
      <c r="C403" t="s">
        <v>106</v>
      </c>
      <c r="D403" t="s">
        <v>232</v>
      </c>
      <c r="E403" t="s">
        <v>117</v>
      </c>
      <c r="F403" t="s">
        <v>66</v>
      </c>
      <c r="G403" t="s">
        <v>226</v>
      </c>
      <c r="H403" t="s">
        <v>230</v>
      </c>
      <c r="I403" t="s">
        <v>233</v>
      </c>
    </row>
    <row r="404" spans="1:43" x14ac:dyDescent="0.2">
      <c r="B404" t="s">
        <v>100</v>
      </c>
    </row>
    <row r="405" spans="1:43" x14ac:dyDescent="0.2">
      <c r="A405" s="3">
        <f>COUNT(B405:BT405)</f>
        <v>42</v>
      </c>
      <c r="B405">
        <f>('pm_24.dat '!B271)*1000</f>
        <v>3871045.9392155898</v>
      </c>
      <c r="C405">
        <f>('pm_24.dat '!C271)*1000</f>
        <v>8918551.1016250979</v>
      </c>
      <c r="D405">
        <f>('pm_24.dat '!D271)*1000</f>
        <v>6575015.1666915901</v>
      </c>
      <c r="E405">
        <f>('pm_24.dat '!E271)*1000</f>
        <v>7504611.6452711094</v>
      </c>
      <c r="F405">
        <f>('pm_24.dat '!F271)*1000</f>
        <v>7235877.522643989</v>
      </c>
      <c r="G405">
        <f>('pm_24.dat '!G271)*1000</f>
        <v>7576038.9707770096</v>
      </c>
      <c r="H405">
        <f>('pm_24.dat '!H271)*1000</f>
        <v>11799525.0392779</v>
      </c>
      <c r="I405">
        <f>('pm_24.dat '!I271)*1000</f>
        <v>9942601.9047586005</v>
      </c>
      <c r="J405">
        <f>('pm_24.dat '!J271)*1000</f>
        <v>11581253.5294593</v>
      </c>
      <c r="K405">
        <f>('pm_24.dat '!K271)*1000</f>
        <v>7129587.1820630897</v>
      </c>
      <c r="L405">
        <f>('pm_24.dat '!L271)*1000</f>
        <v>6643437.0959852692</v>
      </c>
      <c r="M405">
        <f>('pm_24.dat '!M271)*1000</f>
        <v>7849269.9268002901</v>
      </c>
      <c r="N405">
        <f>('pm_24.dat '!N271)*1000</f>
        <v>7094434.9017434996</v>
      </c>
      <c r="O405">
        <f>('pm_24.dat '!O271)*1000</f>
        <v>6597187.7520908304</v>
      </c>
      <c r="P405">
        <f>('pm_24.dat '!P271)*1000</f>
        <v>3954255.2796647302</v>
      </c>
      <c r="Q405">
        <f>('pm_24.dat '!Q271)*1000</f>
        <v>4371517.7824849095</v>
      </c>
      <c r="R405">
        <f>('pm_24.dat '!R271)*1000</f>
        <v>3417606.8092387998</v>
      </c>
      <c r="S405">
        <f>('pm_24.dat '!S271)*1000</f>
        <v>5613644.1930652596</v>
      </c>
      <c r="T405">
        <f>('pm_24.dat '!T271)*1000</f>
        <v>7246347.7449410893</v>
      </c>
      <c r="U405">
        <f>('pm_24.dat '!U271)*1000</f>
        <v>6066569.8200258706</v>
      </c>
      <c r="V405">
        <f>('pm_24.dat '!V271)*1000</f>
        <v>6740603.16314808</v>
      </c>
      <c r="W405">
        <f>('pm_24.dat '!W271)*1000</f>
        <v>11239162.930073999</v>
      </c>
      <c r="X405">
        <f>('pm_24.dat '!X271)*1000</f>
        <v>5499954.9994248096</v>
      </c>
      <c r="Y405">
        <f>('pm_24.dat '!Y271)*1000</f>
        <v>6972381.2313139196</v>
      </c>
      <c r="Z405">
        <f>('pm_24.dat '!Z271)*1000</f>
        <v>4190345.6273911195</v>
      </c>
      <c r="AA405">
        <f>('pm_24.dat '!AA271)*1000</f>
        <v>6777452.2699015308</v>
      </c>
      <c r="AB405">
        <f>('pm_24.dat '!AB271)*1000</f>
        <v>4293260.9898467595</v>
      </c>
      <c r="AC405">
        <f>('pm_24.dat '!AC271)*1000</f>
        <v>2820215.50327043</v>
      </c>
      <c r="AD405">
        <f>('pm_24.dat '!AD271)*1000</f>
        <v>5271619.7166273007</v>
      </c>
      <c r="AE405">
        <f>('pm_24.dat '!AE271)*1000</f>
        <v>4505989.34479977</v>
      </c>
      <c r="AF405">
        <f>('pm_24.dat '!AF271)*1000</f>
        <v>5144393.3056856692</v>
      </c>
      <c r="AG405">
        <f>('pm_24.dat '!AG271)*1000</f>
        <v>6712589.7659119098</v>
      </c>
      <c r="AH405">
        <f>('pm_24.dat '!AH271)*1000</f>
        <v>11616510.6006163</v>
      </c>
      <c r="AI405">
        <f>('pm_24.dat '!AI271)*1000</f>
        <v>11215706.8526644</v>
      </c>
      <c r="AJ405">
        <f>('pm_24.dat '!AJ271)*1000</f>
        <v>8274508.7004769901</v>
      </c>
      <c r="AK405">
        <f>('pm_24.dat '!AK271)*1000</f>
        <v>8855042.1583094988</v>
      </c>
      <c r="AL405">
        <f>('pm_24.dat '!AL271)*1000</f>
        <v>4266875.3658448607</v>
      </c>
      <c r="AM405">
        <f>('pm_24.dat '!AM271)*1000</f>
        <v>9257419.3524174597</v>
      </c>
      <c r="AN405">
        <f>('pm_24.dat '!AN271)*1000</f>
        <v>4889162.5473321304</v>
      </c>
      <c r="AO405">
        <f>('pm_24.dat '!AO271)*1000</f>
        <v>6531432.0886915298</v>
      </c>
      <c r="AP405">
        <f>('pm_24.dat '!AP271)*1000</f>
        <v>4945387.5310138799</v>
      </c>
      <c r="AQ405">
        <f>('pm_24.dat '!AQ271)*1000</f>
        <v>9407463.5708955992</v>
      </c>
    </row>
    <row r="406" spans="1:43" x14ac:dyDescent="0.2">
      <c r="A406" s="3">
        <f>COUNT(B406:BT406)</f>
        <v>42</v>
      </c>
      <c r="B406">
        <v>715517</v>
      </c>
      <c r="C406">
        <v>873613</v>
      </c>
      <c r="D406">
        <v>706334</v>
      </c>
      <c r="E406">
        <v>901208</v>
      </c>
      <c r="F406">
        <v>885008</v>
      </c>
      <c r="G406">
        <v>825641</v>
      </c>
      <c r="H406">
        <v>546101</v>
      </c>
      <c r="I406">
        <v>359173</v>
      </c>
      <c r="J406">
        <v>472141</v>
      </c>
      <c r="K406">
        <v>513627</v>
      </c>
      <c r="L406">
        <v>558056</v>
      </c>
      <c r="M406">
        <v>828772</v>
      </c>
      <c r="N406">
        <v>1174740</v>
      </c>
      <c r="O406">
        <v>722059</v>
      </c>
      <c r="P406">
        <v>613005</v>
      </c>
      <c r="Q406">
        <v>523443</v>
      </c>
      <c r="R406">
        <v>619557</v>
      </c>
      <c r="S406">
        <v>527894</v>
      </c>
      <c r="T406">
        <v>518417</v>
      </c>
      <c r="U406">
        <v>1009880</v>
      </c>
      <c r="V406">
        <v>631717</v>
      </c>
      <c r="W406">
        <v>625926</v>
      </c>
      <c r="X406">
        <v>492385</v>
      </c>
      <c r="Y406">
        <v>503965</v>
      </c>
      <c r="Z406">
        <v>440787</v>
      </c>
      <c r="AA406">
        <v>596073</v>
      </c>
      <c r="AB406">
        <v>483588</v>
      </c>
      <c r="AC406">
        <v>713923</v>
      </c>
      <c r="AD406">
        <v>752483</v>
      </c>
      <c r="AE406">
        <v>862077</v>
      </c>
      <c r="AF406">
        <v>1053710</v>
      </c>
      <c r="AG406">
        <v>768344</v>
      </c>
      <c r="AH406">
        <v>1230170</v>
      </c>
      <c r="AI406">
        <v>1081400</v>
      </c>
      <c r="AJ406">
        <v>941485</v>
      </c>
      <c r="AK406">
        <v>519065</v>
      </c>
      <c r="AL406">
        <v>527814</v>
      </c>
      <c r="AM406">
        <v>761370</v>
      </c>
      <c r="AN406">
        <v>607308</v>
      </c>
      <c r="AO406">
        <v>552637</v>
      </c>
      <c r="AP406">
        <v>620365</v>
      </c>
      <c r="AQ406">
        <f>Pcod!E143</f>
        <v>501466</v>
      </c>
    </row>
    <row r="407" spans="1:43" x14ac:dyDescent="0.2">
      <c r="A407" s="3">
        <f>COUNT(B407:BT407)</f>
        <v>42</v>
      </c>
      <c r="B407">
        <v>69990</v>
      </c>
      <c r="C407">
        <v>110643</v>
      </c>
      <c r="D407">
        <v>160396</v>
      </c>
      <c r="E407">
        <v>163637</v>
      </c>
      <c r="F407">
        <v>229865</v>
      </c>
      <c r="G407">
        <v>280116.93</v>
      </c>
      <c r="H407">
        <v>297331.21999999997</v>
      </c>
      <c r="I407">
        <v>339246.36</v>
      </c>
      <c r="J407">
        <v>402326.27</v>
      </c>
      <c r="K407">
        <v>298788.7</v>
      </c>
      <c r="L407">
        <f>bsaiatf_data_2024!B6</f>
        <v>342757.84840000002</v>
      </c>
      <c r="M407">
        <f>bsaiatf_data_2024!C6</f>
        <v>444329.79399999999</v>
      </c>
      <c r="N407">
        <f>bsaiatf_data_2024!D6</f>
        <v>473657.15179999999</v>
      </c>
      <c r="O407">
        <f>bsaiatf_data_2024!E6</f>
        <v>445070.799</v>
      </c>
      <c r="P407">
        <f>bsaiatf_data_2024!F6</f>
        <v>524048.47930000001</v>
      </c>
      <c r="Q407">
        <f>bsaiatf_data_2024!G6</f>
        <v>459633.06920000003</v>
      </c>
      <c r="R407">
        <f>bsaiatf_data_2024!H6</f>
        <v>343423.00380000001</v>
      </c>
      <c r="S407">
        <f>bsaiatf_data_2024!I6</f>
        <v>237387.88219999999</v>
      </c>
      <c r="T407">
        <f>bsaiatf_data_2024!J6</f>
        <v>312690.95520000003</v>
      </c>
      <c r="U407">
        <f>bsaiatf_data_2024!K6</f>
        <v>375950.07760000002</v>
      </c>
      <c r="V407">
        <f>bsaiatf_data_2024!L6</f>
        <v>311321.3714</v>
      </c>
      <c r="W407">
        <f>bsaiatf_data_2024!M6</f>
        <v>496522.9265</v>
      </c>
      <c r="X407">
        <f>bsaiatf_data_2024!N6</f>
        <v>516845.16039999999</v>
      </c>
      <c r="Y407">
        <f>bsaiatf_data_2024!O6</f>
        <v>660314.83530000004</v>
      </c>
      <c r="Z407">
        <f>bsaiatf_data_2024!P6</f>
        <v>604950.91850000003</v>
      </c>
      <c r="AA407">
        <f>bsaiatf_data_2024!Q6</f>
        <v>479427.95770000003</v>
      </c>
      <c r="AB407">
        <f>bsaiatf_data_2024!R6</f>
        <v>526836.33400000003</v>
      </c>
      <c r="AC407">
        <f>bsaiatf_data_2024!S6</f>
        <v>403584.94390000001</v>
      </c>
      <c r="AD407">
        <f>bsaiatf_data_2024!T6</f>
        <v>525731.52049999998</v>
      </c>
      <c r="AE407">
        <f>bsaiatf_data_2024!U6</f>
        <v>519361.12030000001</v>
      </c>
      <c r="AF407">
        <f>bsaiatf_data_2024!V6</f>
        <v>400282.24550000002</v>
      </c>
      <c r="AG407">
        <f>bsaiatf_data_2024!W6</f>
        <v>402452.90840000001</v>
      </c>
      <c r="AH407">
        <f>bsaiatf_data_2024!X6</f>
        <v>463304.54229999997</v>
      </c>
      <c r="AI407">
        <f>bsaiatf_data_2024!Y6</f>
        <v>407519.29060000001</v>
      </c>
      <c r="AJ407">
        <f>bsaiatf_data_2024!Z6</f>
        <v>473808.71470000001</v>
      </c>
      <c r="AK407">
        <f>bsaiatf_data_2024!AA6</f>
        <v>422367.6079</v>
      </c>
      <c r="AL407">
        <f>bsaiatf_data_2024!AB6</f>
        <v>509637.5514</v>
      </c>
      <c r="AM407">
        <f>bsaiatf_data_2024!AC6</f>
        <v>576230.04469999997</v>
      </c>
      <c r="AN407">
        <f>bsaiatf_data_2024!AD6</f>
        <v>457568.93699999998</v>
      </c>
      <c r="AO407">
        <f>bsaiatf_data_2024!AE6</f>
        <v>521614.67310000001</v>
      </c>
      <c r="AP407">
        <f>bsaiatf_data_2024!AF6</f>
        <v>462575.0528</v>
      </c>
      <c r="AQ407">
        <f>bsaiatf_data_2024!AG6</f>
        <v>582468.89</v>
      </c>
    </row>
    <row r="408" spans="1:43" x14ac:dyDescent="0.2">
      <c r="B408" t="s">
        <v>100</v>
      </c>
      <c r="C408" s="16">
        <v>0.14000000000000001</v>
      </c>
      <c r="D408" s="16">
        <v>0.14000000000000001</v>
      </c>
    </row>
    <row r="409" spans="1:43" x14ac:dyDescent="0.2">
      <c r="B409" t="s">
        <v>234</v>
      </c>
      <c r="C409" s="16">
        <v>0.08</v>
      </c>
      <c r="D409" s="16">
        <v>0.08</v>
      </c>
    </row>
    <row r="410" spans="1:43" x14ac:dyDescent="0.2">
      <c r="B410" t="s">
        <v>100</v>
      </c>
      <c r="C410" s="16">
        <v>0.09</v>
      </c>
      <c r="D410" s="16">
        <v>0.09</v>
      </c>
    </row>
    <row r="411" spans="1:43" x14ac:dyDescent="0.2">
      <c r="A411" s="3">
        <f>COUNT(B411:BT411)</f>
        <v>42</v>
      </c>
      <c r="B411">
        <v>656509.77020000003</v>
      </c>
      <c r="C411">
        <v>870965.53659999999</v>
      </c>
      <c r="D411">
        <v>810746.21530000004</v>
      </c>
      <c r="E411">
        <v>720564.8504</v>
      </c>
      <c r="F411">
        <v>835889.27469999995</v>
      </c>
      <c r="G411">
        <v>1195679.18</v>
      </c>
      <c r="H411">
        <v>1547018.253</v>
      </c>
      <c r="I411">
        <v>1118275.3330000001</v>
      </c>
      <c r="J411">
        <v>2044983.554</v>
      </c>
      <c r="K411">
        <v>1290940.4310000001</v>
      </c>
      <c r="L411">
        <v>1025637.265</v>
      </c>
      <c r="M411">
        <v>858715.30059999996</v>
      </c>
      <c r="N411">
        <v>988306.26300000004</v>
      </c>
      <c r="O411">
        <v>2233498.2119999998</v>
      </c>
      <c r="P411">
        <v>446904.77120000002</v>
      </c>
      <c r="Q411">
        <v>789319.73010000004</v>
      </c>
      <c r="R411">
        <v>517410.8137</v>
      </c>
      <c r="S411">
        <v>868791.79379999998</v>
      </c>
      <c r="T411">
        <v>1100241.514</v>
      </c>
      <c r="U411">
        <v>544170.73950000003</v>
      </c>
      <c r="V411">
        <v>777476.36120000004</v>
      </c>
      <c r="W411">
        <v>4536024.7609999999</v>
      </c>
      <c r="X411">
        <v>606699.97129999998</v>
      </c>
      <c r="Y411">
        <v>760342.12190000003</v>
      </c>
      <c r="Z411">
        <v>445991.01990000001</v>
      </c>
      <c r="AA411">
        <v>777433.50089999998</v>
      </c>
      <c r="AB411">
        <v>530823.89430000004</v>
      </c>
      <c r="AC411">
        <v>426841.32789999997</v>
      </c>
      <c r="AD411">
        <v>772443.51859999995</v>
      </c>
      <c r="AE411">
        <v>454260.26510000002</v>
      </c>
      <c r="AF411">
        <v>587748.66240000003</v>
      </c>
      <c r="AG411">
        <v>572581.3602</v>
      </c>
      <c r="AH411">
        <v>842744.85660000006</v>
      </c>
      <c r="AI411">
        <v>680895.25540000002</v>
      </c>
      <c r="AJ411">
        <v>843431.17310000001</v>
      </c>
      <c r="AK411">
        <v>613192.90960000001</v>
      </c>
      <c r="AL411">
        <v>754380.64040000003</v>
      </c>
      <c r="AM411">
        <v>1062830.6089999999</v>
      </c>
      <c r="AN411">
        <v>666682.59089999995</v>
      </c>
      <c r="AO411">
        <v>902514.28249999997</v>
      </c>
      <c r="AP411">
        <v>690796.17590000003</v>
      </c>
      <c r="AQ411">
        <f>('pm_24.dat '!AQ273)*1000</f>
        <v>723628.49980229407</v>
      </c>
    </row>
    <row r="412" spans="1:43" x14ac:dyDescent="0.2">
      <c r="A412" s="3">
        <f>COUNT(B412:BT412)</f>
        <v>42</v>
      </c>
      <c r="B412">
        <v>40902.8155118</v>
      </c>
      <c r="C412">
        <v>58978.487243000003</v>
      </c>
      <c r="D412">
        <v>36455.310407999998</v>
      </c>
      <c r="E412">
        <v>41623.643292000001</v>
      </c>
      <c r="F412">
        <v>42482.065515200004</v>
      </c>
      <c r="G412">
        <v>47335.9800684</v>
      </c>
      <c r="H412">
        <v>24118.878325599999</v>
      </c>
      <c r="I412">
        <v>20509.173390300002</v>
      </c>
      <c r="J412">
        <v>24225.1769972</v>
      </c>
      <c r="K412">
        <v>26567.921564699998</v>
      </c>
      <c r="L412">
        <v>31908.358551199999</v>
      </c>
      <c r="M412">
        <v>47455.48472</v>
      </c>
      <c r="N412">
        <v>58041.318972000001</v>
      </c>
      <c r="O412">
        <v>34956.175896199995</v>
      </c>
      <c r="P412">
        <v>36659.1089115</v>
      </c>
      <c r="Q412">
        <v>29148.028143599997</v>
      </c>
      <c r="R412">
        <v>43967.791840500002</v>
      </c>
      <c r="S412">
        <v>28834.573278600001</v>
      </c>
      <c r="T412">
        <v>29075.417445000003</v>
      </c>
      <c r="U412">
        <v>55535.320959999997</v>
      </c>
      <c r="V412">
        <v>44541.544437899996</v>
      </c>
      <c r="W412">
        <v>49521.5751198</v>
      </c>
      <c r="X412">
        <v>40037.1537895</v>
      </c>
      <c r="Y412">
        <v>35949.284948500004</v>
      </c>
      <c r="Z412">
        <v>20431.0504731</v>
      </c>
      <c r="AA412">
        <v>30593.8043688</v>
      </c>
      <c r="AB412">
        <v>24769.667512799999</v>
      </c>
      <c r="AC412">
        <v>32794.409966499996</v>
      </c>
      <c r="AD412">
        <v>36967.307589299999</v>
      </c>
      <c r="AE412">
        <v>41525.990466900003</v>
      </c>
      <c r="AF412">
        <v>62582.998030000002</v>
      </c>
      <c r="AG412">
        <v>43338.827491999997</v>
      </c>
      <c r="AH412">
        <v>83735.703628000003</v>
      </c>
      <c r="AI412">
        <v>71618.310360000003</v>
      </c>
      <c r="AJ412">
        <v>88304.326010999997</v>
      </c>
      <c r="AK412">
        <v>22636.736088999998</v>
      </c>
      <c r="AL412">
        <v>33311.872200600003</v>
      </c>
      <c r="AM412">
        <v>38656.886736</v>
      </c>
      <c r="AN412">
        <v>33765.474568799997</v>
      </c>
      <c r="AO412">
        <v>26419.696004199999</v>
      </c>
      <c r="AP412">
        <v>28559.619432000003</v>
      </c>
      <c r="AQ412">
        <v>27252.370356400002</v>
      </c>
    </row>
    <row r="413" spans="1:43" x14ac:dyDescent="0.2">
      <c r="A413" s="3">
        <f>COUNT(B413:BT413)</f>
        <v>42</v>
      </c>
      <c r="B413">
        <v>7621</v>
      </c>
      <c r="C413">
        <v>10233</v>
      </c>
      <c r="D413">
        <v>23051</v>
      </c>
      <c r="E413">
        <v>14728</v>
      </c>
      <c r="F413">
        <v>23459</v>
      </c>
      <c r="G413">
        <v>20996</v>
      </c>
      <c r="H413">
        <v>35058</v>
      </c>
      <c r="I413">
        <v>35580</v>
      </c>
      <c r="J413">
        <v>38181</v>
      </c>
      <c r="K413">
        <v>39325</v>
      </c>
      <c r="L413" s="20">
        <f>SQRT(bsaiatf_data_2024!B7)</f>
        <v>48309.700909858671</v>
      </c>
      <c r="M413" s="20">
        <f>SQRT(bsaiatf_data_2024!C7)</f>
        <v>42226.408786445478</v>
      </c>
      <c r="N413" s="20">
        <f>SQRT(bsaiatf_data_2024!D7)</f>
        <v>46481.596949760664</v>
      </c>
      <c r="O413" s="20">
        <f>SQRT(bsaiatf_data_2024!E7)</f>
        <v>65077.328410130664</v>
      </c>
      <c r="P413" s="20">
        <f>SQRT(bsaiatf_data_2024!F7)</f>
        <v>55454.203799171075</v>
      </c>
      <c r="Q413" s="20">
        <f>SQRT(bsaiatf_data_2024!G7)</f>
        <v>59398.086492748233</v>
      </c>
      <c r="R413" s="20">
        <f>SQRT(bsaiatf_data_2024!H7)</f>
        <v>39326.68835536499</v>
      </c>
      <c r="S413" s="20">
        <f>SQRT(bsaiatf_data_2024!I7)</f>
        <v>61419.899723135335</v>
      </c>
      <c r="T413" s="20">
        <f>SQRT(bsaiatf_data_2024!J7)</f>
        <v>53154.825510013667</v>
      </c>
      <c r="U413" s="20">
        <f>SQRT(bsaiatf_data_2024!K7)</f>
        <v>35209.84777019066</v>
      </c>
      <c r="V413" s="20">
        <f>SQRT(bsaiatf_data_2024!L7)</f>
        <v>29597.956775764098</v>
      </c>
      <c r="W413" s="20">
        <f>SQRT(bsaiatf_data_2024!M7)</f>
        <v>43054.999465799556</v>
      </c>
      <c r="X413" s="20">
        <f>SQRT(bsaiatf_data_2024!N7)</f>
        <v>38116.421946452421</v>
      </c>
      <c r="Y413" s="20">
        <f>SQRT(bsaiatf_data_2024!O7)</f>
        <v>47043.366620598063</v>
      </c>
      <c r="Z413" s="20">
        <f>SQRT(bsaiatf_data_2024!P7)</f>
        <v>46466.282775793457</v>
      </c>
      <c r="AA413" s="20">
        <f>SQRT(bsaiatf_data_2024!Q7)</f>
        <v>37568.63526933072</v>
      </c>
      <c r="AB413" s="20">
        <f>SQRT(bsaiatf_data_2024!R7)</f>
        <v>45838.846800503175</v>
      </c>
      <c r="AC413" s="20">
        <f>SQRT(bsaiatf_data_2024!S7)</f>
        <v>40235.416550596317</v>
      </c>
      <c r="AD413" s="20">
        <f>SQRT(bsaiatf_data_2024!T7)</f>
        <v>44053.333857949954</v>
      </c>
      <c r="AE413" s="20">
        <f>SQRT(bsaiatf_data_2024!U7)</f>
        <v>39995.989823981101</v>
      </c>
      <c r="AF413" s="20">
        <f>SQRT(bsaiatf_data_2024!V7)</f>
        <v>42927.684994651179</v>
      </c>
      <c r="AG413" s="20">
        <f>SQRT(bsaiatf_data_2024!W7)</f>
        <v>35842.474663449233</v>
      </c>
      <c r="AH413" s="20">
        <f>SQRT(bsaiatf_data_2024!X7)</f>
        <v>32118.693139665567</v>
      </c>
      <c r="AI413" s="20">
        <f>SQRT(bsaiatf_data_2024!Y7)</f>
        <v>25128.717032510835</v>
      </c>
      <c r="AJ413" s="20">
        <f>SQRT(bsaiatf_data_2024!Z7)</f>
        <v>22978.764361905975</v>
      </c>
      <c r="AK413" s="20">
        <f>SQRT(bsaiatf_data_2024!AA7)</f>
        <v>27669.524302018639</v>
      </c>
      <c r="AL413" s="20">
        <f>SQRT(bsaiatf_data_2024!AB7)</f>
        <v>35223.830825167213</v>
      </c>
      <c r="AM413" s="20">
        <f>SQRT(bsaiatf_data_2024!AC7)</f>
        <v>38231.059663577202</v>
      </c>
      <c r="AN413" s="20">
        <f>SQRT(bsaiatf_data_2024!AD7)</f>
        <v>38518.172036066302</v>
      </c>
      <c r="AO413" s="20">
        <f>SQRT(bsaiatf_data_2024!AE7)</f>
        <v>61119.740313584451</v>
      </c>
      <c r="AP413" s="20">
        <f>SQRT(bsaiatf_data_2024!AF7)</f>
        <v>38833.284537880645</v>
      </c>
      <c r="AQ413" s="20">
        <f>SQRT(bsaiatf_data_2024!AG7)</f>
        <v>55363.26986369212</v>
      </c>
    </row>
    <row r="414" spans="1:43" x14ac:dyDescent="0.2">
      <c r="B414" t="s">
        <v>100</v>
      </c>
    </row>
    <row r="415" spans="1:43" x14ac:dyDescent="0.2">
      <c r="B415" t="s">
        <v>235</v>
      </c>
      <c r="C415" t="s">
        <v>106</v>
      </c>
      <c r="D415" t="s">
        <v>225</v>
      </c>
      <c r="E415" t="s">
        <v>108</v>
      </c>
      <c r="F415" t="s">
        <v>119</v>
      </c>
      <c r="G415" t="s">
        <v>108</v>
      </c>
      <c r="H415" t="s">
        <v>204</v>
      </c>
      <c r="I415" t="s">
        <v>652</v>
      </c>
      <c r="J415" t="s">
        <v>66</v>
      </c>
      <c r="K415" t="s">
        <v>226</v>
      </c>
      <c r="L415" t="s">
        <v>107</v>
      </c>
      <c r="M415" t="s">
        <v>108</v>
      </c>
      <c r="N415" t="s">
        <v>227</v>
      </c>
    </row>
    <row r="416" spans="1:43" x14ac:dyDescent="0.2">
      <c r="B416" t="s">
        <v>100</v>
      </c>
    </row>
    <row r="417" spans="1:43" x14ac:dyDescent="0.2">
      <c r="B417">
        <v>42</v>
      </c>
      <c r="C417">
        <v>42</v>
      </c>
      <c r="D417">
        <v>42</v>
      </c>
    </row>
    <row r="418" spans="1:43" x14ac:dyDescent="0.2">
      <c r="B418" t="s">
        <v>100</v>
      </c>
    </row>
    <row r="419" spans="1:43" x14ac:dyDescent="0.2">
      <c r="B419" t="s">
        <v>236</v>
      </c>
      <c r="C419" t="s">
        <v>106</v>
      </c>
      <c r="D419" t="s">
        <v>167</v>
      </c>
      <c r="E419" t="s">
        <v>108</v>
      </c>
      <c r="F419" t="s">
        <v>237</v>
      </c>
      <c r="G419">
        <v>1</v>
      </c>
      <c r="H419" t="s">
        <v>238</v>
      </c>
      <c r="I419" t="s">
        <v>109</v>
      </c>
      <c r="J419" t="s">
        <v>173</v>
      </c>
      <c r="K419" t="s">
        <v>239</v>
      </c>
      <c r="L419" t="s">
        <v>240</v>
      </c>
      <c r="M419" t="s">
        <v>173</v>
      </c>
      <c r="N419" t="s">
        <v>66</v>
      </c>
    </row>
    <row r="420" spans="1:43" x14ac:dyDescent="0.2">
      <c r="B420" t="s">
        <v>100</v>
      </c>
    </row>
    <row r="421" spans="1:43" x14ac:dyDescent="0.2">
      <c r="B421">
        <v>1</v>
      </c>
    </row>
    <row r="422" spans="1:43" x14ac:dyDescent="0.2">
      <c r="B422">
        <v>2</v>
      </c>
    </row>
    <row r="423" spans="1:43" x14ac:dyDescent="0.2">
      <c r="B423">
        <v>2</v>
      </c>
    </row>
    <row r="424" spans="1:43" x14ac:dyDescent="0.2">
      <c r="B424" t="s">
        <v>100</v>
      </c>
    </row>
    <row r="425" spans="1:43" x14ac:dyDescent="0.2">
      <c r="B425" t="s">
        <v>241</v>
      </c>
      <c r="C425" t="s">
        <v>106</v>
      </c>
    </row>
    <row r="426" spans="1:43" x14ac:dyDescent="0.2">
      <c r="B426" t="s">
        <v>100</v>
      </c>
    </row>
    <row r="427" spans="1:43" x14ac:dyDescent="0.2">
      <c r="A427" s="3">
        <f>COUNT(B427:BT427)</f>
        <v>42</v>
      </c>
      <c r="B427">
        <v>1982</v>
      </c>
      <c r="C427">
        <v>1983</v>
      </c>
      <c r="D427">
        <v>1984</v>
      </c>
      <c r="E427">
        <v>1985</v>
      </c>
      <c r="F427">
        <v>1986</v>
      </c>
      <c r="G427">
        <v>1987</v>
      </c>
      <c r="H427">
        <v>1988</v>
      </c>
      <c r="I427">
        <v>1989</v>
      </c>
      <c r="J427">
        <v>1990</v>
      </c>
      <c r="K427">
        <v>1991</v>
      </c>
      <c r="L427">
        <v>1992</v>
      </c>
      <c r="M427">
        <v>1993</v>
      </c>
      <c r="N427">
        <v>1994</v>
      </c>
      <c r="O427">
        <v>1995</v>
      </c>
      <c r="P427">
        <v>1996</v>
      </c>
      <c r="Q427">
        <v>1997</v>
      </c>
      <c r="R427">
        <v>1998</v>
      </c>
      <c r="S427">
        <v>1999</v>
      </c>
      <c r="T427">
        <v>2000</v>
      </c>
      <c r="U427">
        <v>2001</v>
      </c>
      <c r="V427">
        <v>2002</v>
      </c>
      <c r="W427">
        <v>2003</v>
      </c>
      <c r="X427">
        <v>2004</v>
      </c>
      <c r="Y427">
        <v>2005</v>
      </c>
      <c r="Z427">
        <v>2006</v>
      </c>
      <c r="AA427">
        <v>2007</v>
      </c>
      <c r="AB427">
        <v>2008</v>
      </c>
      <c r="AC427">
        <v>2009</v>
      </c>
      <c r="AD427">
        <v>2010</v>
      </c>
      <c r="AE427">
        <v>2011</v>
      </c>
      <c r="AF427">
        <v>2012</v>
      </c>
      <c r="AG427">
        <v>2013</v>
      </c>
      <c r="AH427">
        <v>2014</v>
      </c>
      <c r="AI427">
        <v>2015</v>
      </c>
      <c r="AJ427">
        <v>2016</v>
      </c>
      <c r="AK427">
        <v>2017</v>
      </c>
      <c r="AL427">
        <v>2018</v>
      </c>
      <c r="AM427">
        <v>2019</v>
      </c>
      <c r="AN427">
        <v>2021</v>
      </c>
      <c r="AO427">
        <v>2022</v>
      </c>
      <c r="AP427">
        <v>2023</v>
      </c>
      <c r="AQ427">
        <v>2024</v>
      </c>
    </row>
    <row r="428" spans="1:43" x14ac:dyDescent="0.2">
      <c r="A428" s="3">
        <f>COUNT(B428:BT428)</f>
        <v>42</v>
      </c>
      <c r="B428">
        <v>1982</v>
      </c>
      <c r="C428">
        <v>1983</v>
      </c>
      <c r="D428">
        <v>1984</v>
      </c>
      <c r="E428">
        <v>1985</v>
      </c>
      <c r="F428">
        <v>1986</v>
      </c>
      <c r="G428">
        <v>1987</v>
      </c>
      <c r="H428">
        <v>1988</v>
      </c>
      <c r="I428">
        <v>1989</v>
      </c>
      <c r="J428">
        <v>1990</v>
      </c>
      <c r="K428">
        <v>1991</v>
      </c>
      <c r="L428">
        <v>1992</v>
      </c>
      <c r="M428">
        <v>1993</v>
      </c>
      <c r="N428">
        <v>1994</v>
      </c>
      <c r="O428">
        <v>1995</v>
      </c>
      <c r="P428">
        <v>1996</v>
      </c>
      <c r="Q428">
        <v>1997</v>
      </c>
      <c r="R428">
        <v>1998</v>
      </c>
      <c r="S428">
        <v>1999</v>
      </c>
      <c r="T428">
        <v>2000</v>
      </c>
      <c r="U428">
        <v>2001</v>
      </c>
      <c r="V428">
        <v>2002</v>
      </c>
      <c r="W428">
        <v>2003</v>
      </c>
      <c r="X428">
        <v>2004</v>
      </c>
      <c r="Y428">
        <v>2005</v>
      </c>
      <c r="Z428">
        <v>2006</v>
      </c>
      <c r="AA428">
        <v>2007</v>
      </c>
      <c r="AB428">
        <v>2008</v>
      </c>
      <c r="AC428">
        <v>2009</v>
      </c>
      <c r="AD428">
        <v>2010</v>
      </c>
      <c r="AE428">
        <v>2011</v>
      </c>
      <c r="AF428">
        <v>2012</v>
      </c>
      <c r="AG428">
        <v>2013</v>
      </c>
      <c r="AH428">
        <v>2014</v>
      </c>
      <c r="AI428">
        <v>2015</v>
      </c>
      <c r="AJ428">
        <v>2016</v>
      </c>
      <c r="AK428">
        <v>2017</v>
      </c>
      <c r="AL428">
        <v>2018</v>
      </c>
      <c r="AM428">
        <v>2019</v>
      </c>
      <c r="AN428">
        <v>2021</v>
      </c>
      <c r="AO428">
        <v>2022</v>
      </c>
      <c r="AP428">
        <v>2023</v>
      </c>
      <c r="AQ428">
        <v>2024</v>
      </c>
    </row>
    <row r="429" spans="1:43" x14ac:dyDescent="0.2">
      <c r="A429" s="3">
        <f>COUNT(B429:BT429)</f>
        <v>42</v>
      </c>
      <c r="B429">
        <v>1982</v>
      </c>
      <c r="C429">
        <v>1983</v>
      </c>
      <c r="D429">
        <v>1984</v>
      </c>
      <c r="E429">
        <v>1985</v>
      </c>
      <c r="F429">
        <v>1986</v>
      </c>
      <c r="G429">
        <v>1987</v>
      </c>
      <c r="H429">
        <v>1988</v>
      </c>
      <c r="I429">
        <v>1989</v>
      </c>
      <c r="J429">
        <v>1990</v>
      </c>
      <c r="K429">
        <v>1991</v>
      </c>
      <c r="L429">
        <v>1992</v>
      </c>
      <c r="M429">
        <v>1993</v>
      </c>
      <c r="N429">
        <v>1994</v>
      </c>
      <c r="O429">
        <v>1995</v>
      </c>
      <c r="P429">
        <v>1996</v>
      </c>
      <c r="Q429">
        <v>1997</v>
      </c>
      <c r="R429">
        <v>1998</v>
      </c>
      <c r="S429">
        <v>1999</v>
      </c>
      <c r="T429">
        <v>2000</v>
      </c>
      <c r="U429">
        <v>2001</v>
      </c>
      <c r="V429">
        <v>2002</v>
      </c>
      <c r="W429">
        <v>2003</v>
      </c>
      <c r="X429">
        <v>2004</v>
      </c>
      <c r="Y429">
        <v>2005</v>
      </c>
      <c r="Z429">
        <v>2006</v>
      </c>
      <c r="AA429">
        <v>2007</v>
      </c>
      <c r="AB429">
        <v>2008</v>
      </c>
      <c r="AC429">
        <v>2009</v>
      </c>
      <c r="AD429">
        <v>2010</v>
      </c>
      <c r="AE429">
        <v>2011</v>
      </c>
      <c r="AF429">
        <v>2012</v>
      </c>
      <c r="AG429">
        <v>2013</v>
      </c>
      <c r="AH429">
        <v>2014</v>
      </c>
      <c r="AI429">
        <v>2015</v>
      </c>
      <c r="AJ429">
        <v>2016</v>
      </c>
      <c r="AK429">
        <v>2017</v>
      </c>
      <c r="AL429">
        <v>2018</v>
      </c>
      <c r="AM429">
        <v>2019</v>
      </c>
      <c r="AN429">
        <v>2021</v>
      </c>
      <c r="AO429">
        <v>2022</v>
      </c>
      <c r="AP429">
        <v>2023</v>
      </c>
      <c r="AQ429">
        <v>2024</v>
      </c>
    </row>
    <row r="430" spans="1:43" x14ac:dyDescent="0.2">
      <c r="B430" t="s">
        <v>100</v>
      </c>
    </row>
    <row r="431" spans="1:43" x14ac:dyDescent="0.2">
      <c r="B431" t="s">
        <v>242</v>
      </c>
      <c r="C431" t="s">
        <v>106</v>
      </c>
      <c r="D431" t="s">
        <v>243</v>
      </c>
      <c r="E431" t="s">
        <v>244</v>
      </c>
      <c r="F431" t="s">
        <v>245</v>
      </c>
      <c r="G431" t="s">
        <v>186</v>
      </c>
      <c r="H431" t="s">
        <v>246</v>
      </c>
      <c r="I431" t="s">
        <v>247</v>
      </c>
    </row>
    <row r="432" spans="1:43" x14ac:dyDescent="0.2">
      <c r="B432" t="s">
        <v>100</v>
      </c>
    </row>
    <row r="433" spans="1:43" x14ac:dyDescent="0.2">
      <c r="B433">
        <v>12</v>
      </c>
      <c r="C433">
        <v>25</v>
      </c>
      <c r="D433">
        <v>25</v>
      </c>
    </row>
    <row r="434" spans="1:43" x14ac:dyDescent="0.2">
      <c r="B434" t="s">
        <v>100</v>
      </c>
    </row>
    <row r="435" spans="1:43" x14ac:dyDescent="0.2">
      <c r="B435" t="s">
        <v>248</v>
      </c>
      <c r="C435" t="s">
        <v>106</v>
      </c>
      <c r="D435" t="s">
        <v>249</v>
      </c>
      <c r="E435" t="s">
        <v>250</v>
      </c>
      <c r="F435" t="s">
        <v>245</v>
      </c>
      <c r="G435" t="s">
        <v>178</v>
      </c>
    </row>
    <row r="436" spans="1:43" x14ac:dyDescent="0.2">
      <c r="B436" t="s">
        <v>100</v>
      </c>
    </row>
    <row r="437" spans="1:43" x14ac:dyDescent="0.2">
      <c r="A437" s="3">
        <f>COUNT(B437:BT437)</f>
        <v>42</v>
      </c>
      <c r="B437">
        <v>100</v>
      </c>
      <c r="C437">
        <v>100</v>
      </c>
      <c r="D437">
        <v>100</v>
      </c>
      <c r="E437">
        <v>100</v>
      </c>
      <c r="F437">
        <v>100</v>
      </c>
      <c r="G437">
        <v>100</v>
      </c>
      <c r="H437">
        <v>100</v>
      </c>
      <c r="I437">
        <v>100</v>
      </c>
      <c r="J437">
        <v>100</v>
      </c>
      <c r="K437">
        <v>100</v>
      </c>
      <c r="L437">
        <v>100</v>
      </c>
      <c r="M437">
        <v>100</v>
      </c>
      <c r="N437">
        <v>100</v>
      </c>
      <c r="O437">
        <v>100</v>
      </c>
      <c r="P437">
        <v>100</v>
      </c>
      <c r="Q437">
        <v>100</v>
      </c>
      <c r="R437">
        <v>100</v>
      </c>
      <c r="S437">
        <v>100</v>
      </c>
      <c r="T437">
        <v>100</v>
      </c>
      <c r="U437">
        <v>100</v>
      </c>
      <c r="V437">
        <v>100</v>
      </c>
      <c r="W437">
        <v>100</v>
      </c>
      <c r="X437">
        <v>100</v>
      </c>
      <c r="Y437">
        <v>100</v>
      </c>
      <c r="Z437">
        <v>100</v>
      </c>
      <c r="AA437">
        <v>100</v>
      </c>
      <c r="AB437">
        <v>100</v>
      </c>
      <c r="AC437">
        <v>100</v>
      </c>
      <c r="AD437">
        <v>100</v>
      </c>
      <c r="AE437">
        <v>100</v>
      </c>
      <c r="AF437">
        <v>100</v>
      </c>
      <c r="AG437">
        <v>100</v>
      </c>
      <c r="AH437">
        <v>100</v>
      </c>
      <c r="AI437">
        <v>100</v>
      </c>
      <c r="AJ437">
        <v>100</v>
      </c>
      <c r="AK437">
        <v>100</v>
      </c>
      <c r="AL437">
        <v>100</v>
      </c>
      <c r="AM437">
        <v>100</v>
      </c>
      <c r="AN437">
        <v>100</v>
      </c>
      <c r="AO437">
        <v>100</v>
      </c>
      <c r="AP437">
        <v>100</v>
      </c>
      <c r="AQ437">
        <v>100</v>
      </c>
    </row>
    <row r="438" spans="1:43" x14ac:dyDescent="0.2">
      <c r="A438" s="3">
        <f>COUNT(B438:BT438)</f>
        <v>42</v>
      </c>
      <c r="B438">
        <v>100</v>
      </c>
      <c r="C438">
        <v>100</v>
      </c>
      <c r="D438">
        <v>100</v>
      </c>
      <c r="E438">
        <v>100</v>
      </c>
      <c r="F438">
        <v>100</v>
      </c>
      <c r="G438">
        <v>100</v>
      </c>
      <c r="H438">
        <v>100</v>
      </c>
      <c r="I438">
        <v>100</v>
      </c>
      <c r="J438">
        <v>100</v>
      </c>
      <c r="K438">
        <v>100</v>
      </c>
      <c r="L438">
        <v>100</v>
      </c>
      <c r="M438">
        <v>100</v>
      </c>
      <c r="N438">
        <v>100</v>
      </c>
      <c r="O438">
        <v>100</v>
      </c>
      <c r="P438">
        <v>100</v>
      </c>
      <c r="Q438">
        <v>100</v>
      </c>
      <c r="R438">
        <v>100</v>
      </c>
      <c r="S438">
        <v>100</v>
      </c>
      <c r="T438">
        <v>100</v>
      </c>
      <c r="U438">
        <v>100</v>
      </c>
      <c r="V438">
        <v>100</v>
      </c>
      <c r="W438">
        <v>100</v>
      </c>
      <c r="X438">
        <v>100</v>
      </c>
      <c r="Y438">
        <v>100</v>
      </c>
      <c r="Z438">
        <v>100</v>
      </c>
      <c r="AA438">
        <v>100</v>
      </c>
      <c r="AB438">
        <v>100</v>
      </c>
      <c r="AC438">
        <v>100</v>
      </c>
      <c r="AD438">
        <v>100</v>
      </c>
      <c r="AE438">
        <v>100</v>
      </c>
      <c r="AF438">
        <v>100</v>
      </c>
      <c r="AG438">
        <v>100</v>
      </c>
      <c r="AH438">
        <v>100</v>
      </c>
      <c r="AI438">
        <v>100</v>
      </c>
      <c r="AJ438">
        <v>100</v>
      </c>
      <c r="AK438">
        <v>100</v>
      </c>
      <c r="AL438">
        <v>100</v>
      </c>
      <c r="AM438">
        <v>100</v>
      </c>
      <c r="AN438">
        <v>100</v>
      </c>
      <c r="AO438">
        <v>100</v>
      </c>
      <c r="AP438">
        <v>100</v>
      </c>
      <c r="AQ438">
        <v>100</v>
      </c>
    </row>
    <row r="439" spans="1:43" x14ac:dyDescent="0.2">
      <c r="A439" s="3">
        <f>COUNT(B439:BT439)</f>
        <v>42</v>
      </c>
      <c r="B439">
        <v>100</v>
      </c>
      <c r="C439">
        <v>100</v>
      </c>
      <c r="D439">
        <v>100</v>
      </c>
      <c r="E439">
        <v>100</v>
      </c>
      <c r="F439">
        <v>100</v>
      </c>
      <c r="G439">
        <v>100</v>
      </c>
      <c r="H439">
        <v>100</v>
      </c>
      <c r="I439">
        <v>100</v>
      </c>
      <c r="J439">
        <v>100</v>
      </c>
      <c r="K439">
        <v>100</v>
      </c>
      <c r="L439">
        <v>100</v>
      </c>
      <c r="M439">
        <v>100</v>
      </c>
      <c r="N439">
        <v>100</v>
      </c>
      <c r="O439">
        <v>100</v>
      </c>
      <c r="P439">
        <v>100</v>
      </c>
      <c r="Q439">
        <v>100</v>
      </c>
      <c r="R439">
        <v>100</v>
      </c>
      <c r="S439">
        <v>100</v>
      </c>
      <c r="T439">
        <v>100</v>
      </c>
      <c r="U439">
        <v>100</v>
      </c>
      <c r="V439">
        <v>100</v>
      </c>
      <c r="W439">
        <v>100</v>
      </c>
      <c r="X439">
        <v>100</v>
      </c>
      <c r="Y439">
        <v>100</v>
      </c>
      <c r="Z439">
        <v>100</v>
      </c>
      <c r="AA439">
        <v>100</v>
      </c>
      <c r="AB439">
        <v>100</v>
      </c>
      <c r="AC439">
        <v>100</v>
      </c>
      <c r="AD439">
        <v>100</v>
      </c>
      <c r="AE439">
        <v>100</v>
      </c>
      <c r="AF439">
        <v>100</v>
      </c>
      <c r="AG439">
        <v>100</v>
      </c>
      <c r="AH439">
        <v>100</v>
      </c>
      <c r="AI439">
        <v>100</v>
      </c>
      <c r="AJ439">
        <v>100</v>
      </c>
      <c r="AK439">
        <v>100</v>
      </c>
      <c r="AL439">
        <v>100</v>
      </c>
      <c r="AM439">
        <v>100</v>
      </c>
      <c r="AN439">
        <v>100</v>
      </c>
      <c r="AO439">
        <v>100</v>
      </c>
      <c r="AP439">
        <v>100</v>
      </c>
      <c r="AQ439">
        <v>100</v>
      </c>
    </row>
    <row r="440" spans="1:43" x14ac:dyDescent="0.2">
      <c r="B440" t="s">
        <v>100</v>
      </c>
    </row>
    <row r="441" spans="1:43" x14ac:dyDescent="0.2">
      <c r="B441" t="s">
        <v>251</v>
      </c>
      <c r="C441" t="s">
        <v>106</v>
      </c>
      <c r="D441" t="s">
        <v>252</v>
      </c>
      <c r="E441" t="s">
        <v>253</v>
      </c>
      <c r="F441" t="s">
        <v>145</v>
      </c>
      <c r="G441" t="s">
        <v>254</v>
      </c>
      <c r="H441" t="s">
        <v>175</v>
      </c>
    </row>
    <row r="442" spans="1:43" x14ac:dyDescent="0.2">
      <c r="B442" t="s">
        <v>100</v>
      </c>
      <c r="C442">
        <v>2</v>
      </c>
      <c r="D442">
        <v>3</v>
      </c>
      <c r="E442">
        <v>4</v>
      </c>
      <c r="F442">
        <v>5</v>
      </c>
      <c r="G442">
        <v>6</v>
      </c>
      <c r="H442">
        <v>7</v>
      </c>
      <c r="I442">
        <v>8</v>
      </c>
      <c r="J442">
        <v>9</v>
      </c>
      <c r="K442">
        <v>10</v>
      </c>
      <c r="L442">
        <v>11</v>
      </c>
      <c r="M442">
        <v>12</v>
      </c>
      <c r="N442" t="s">
        <v>255</v>
      </c>
      <c r="O442" t="s">
        <v>256</v>
      </c>
      <c r="P442">
        <v>1000</v>
      </c>
      <c r="Q442">
        <v>1</v>
      </c>
      <c r="R442">
        <v>2</v>
      </c>
      <c r="S442">
        <v>3</v>
      </c>
      <c r="T442">
        <v>4</v>
      </c>
      <c r="U442">
        <v>5</v>
      </c>
      <c r="V442">
        <v>6</v>
      </c>
      <c r="W442">
        <v>7</v>
      </c>
      <c r="X442">
        <v>8</v>
      </c>
      <c r="Y442">
        <v>9</v>
      </c>
      <c r="Z442">
        <v>10</v>
      </c>
      <c r="AA442">
        <v>11</v>
      </c>
      <c r="AB442">
        <v>12</v>
      </c>
      <c r="AC442">
        <v>13</v>
      </c>
      <c r="AD442">
        <v>14</v>
      </c>
      <c r="AE442">
        <v>15</v>
      </c>
    </row>
    <row r="443" spans="1:43" x14ac:dyDescent="0.2">
      <c r="A443" s="3">
        <v>1982</v>
      </c>
      <c r="B443">
        <f>'pm_24.dat '!B320</f>
        <v>10950974.4512849</v>
      </c>
      <c r="C443">
        <f>'pm_24.dat '!C320</f>
        <v>27660832.925183602</v>
      </c>
      <c r="D443">
        <f>'pm_24.dat '!D320</f>
        <v>32223232.542420901</v>
      </c>
      <c r="E443">
        <f>'pm_24.dat '!E320</f>
        <v>43530572.024463899</v>
      </c>
      <c r="F443">
        <f>'pm_24.dat '!F320</f>
        <v>14753173.7463497</v>
      </c>
      <c r="G443">
        <f>'pm_24.dat '!G320</f>
        <v>1969658.2757997999</v>
      </c>
      <c r="H443">
        <f>'pm_24.dat '!H320</f>
        <v>1271123.0683047699</v>
      </c>
      <c r="I443">
        <f>'pm_24.dat '!I320</f>
        <v>609063.76233485795</v>
      </c>
      <c r="J443">
        <f>'pm_24.dat '!J320</f>
        <v>377022.65914011199</v>
      </c>
      <c r="K443">
        <f>'pm_24.dat '!K320</f>
        <v>237253.757234402</v>
      </c>
      <c r="L443">
        <f>'pm_24.dat '!L320</f>
        <v>146091.809763005</v>
      </c>
      <c r="M443">
        <f>SUM('pm_24.dat '!M320:P320)</f>
        <v>146363.3350602898</v>
      </c>
      <c r="N443" t="s">
        <v>99</v>
      </c>
      <c r="O443">
        <v>1982</v>
      </c>
      <c r="P443">
        <v>1</v>
      </c>
      <c r="Q443">
        <v>1982</v>
      </c>
      <c r="R443">
        <v>1130.5214129999999</v>
      </c>
      <c r="S443">
        <v>2750.3319219999998</v>
      </c>
      <c r="T443">
        <v>3290.6287050000001</v>
      </c>
      <c r="U443">
        <v>4543.5904170000003</v>
      </c>
      <c r="V443">
        <v>1516.427666</v>
      </c>
      <c r="W443">
        <v>216.7743303</v>
      </c>
      <c r="X443">
        <v>147.14566070000001</v>
      </c>
      <c r="Y443">
        <v>71.048470300000005</v>
      </c>
      <c r="Z443">
        <v>46.643507329999998</v>
      </c>
      <c r="AA443">
        <v>24.937155440000002</v>
      </c>
      <c r="AB443">
        <v>13.003900420000001</v>
      </c>
      <c r="AC443">
        <v>10.070445899999999</v>
      </c>
      <c r="AD443">
        <v>2.5485040059999999</v>
      </c>
      <c r="AE443">
        <v>1.0384204749999999</v>
      </c>
      <c r="AF443">
        <v>0.27718632599999998</v>
      </c>
    </row>
    <row r="444" spans="1:43" x14ac:dyDescent="0.2">
      <c r="A444" s="3">
        <v>1983</v>
      </c>
      <c r="B444">
        <f>'pm_24.dat '!B321</f>
        <v>45353039.799437299</v>
      </c>
      <c r="C444">
        <f>'pm_24.dat '!C321</f>
        <v>10716107.4837176</v>
      </c>
      <c r="D444">
        <f>'pm_24.dat '!D321</f>
        <v>29198382.118134901</v>
      </c>
      <c r="E444">
        <f>'pm_24.dat '!E321</f>
        <v>45573178.354512602</v>
      </c>
      <c r="F444">
        <f>'pm_24.dat '!F321</f>
        <v>93820499.1080219</v>
      </c>
      <c r="G444">
        <f>'pm_24.dat '!G321</f>
        <v>27078547.880949501</v>
      </c>
      <c r="H444">
        <f>'pm_24.dat '!H321</f>
        <v>4594651.2297550198</v>
      </c>
      <c r="I444">
        <f>'pm_24.dat '!I321</f>
        <v>2078541.9749200901</v>
      </c>
      <c r="J444">
        <f>'pm_24.dat '!J321</f>
        <v>951270.13173353102</v>
      </c>
      <c r="K444">
        <f>'pm_24.dat '!K321</f>
        <v>854355.81661309802</v>
      </c>
      <c r="L444">
        <f>'pm_24.dat '!L321</f>
        <v>608218.13659264904</v>
      </c>
      <c r="M444">
        <f>SUM('pm_24.dat '!M321:P321)</f>
        <v>408578.62379859574</v>
      </c>
      <c r="N444" t="s">
        <v>99</v>
      </c>
      <c r="O444">
        <v>1983</v>
      </c>
      <c r="P444">
        <v>2</v>
      </c>
      <c r="Q444">
        <v>1983</v>
      </c>
      <c r="R444">
        <v>451.2319981</v>
      </c>
      <c r="S444">
        <v>656.11268340000004</v>
      </c>
      <c r="T444">
        <v>1618.8904560000001</v>
      </c>
      <c r="U444">
        <v>3059.9554739999999</v>
      </c>
      <c r="V444">
        <v>6726.5056480000003</v>
      </c>
      <c r="W444">
        <v>1979.432521</v>
      </c>
      <c r="X444">
        <v>366.93279039999999</v>
      </c>
      <c r="Y444">
        <v>192.94133640000001</v>
      </c>
      <c r="Z444">
        <v>74.843329839999996</v>
      </c>
      <c r="AA444">
        <v>69.256374629999996</v>
      </c>
      <c r="AB444">
        <v>53.376227669999999</v>
      </c>
      <c r="AC444">
        <v>17.996927759999998</v>
      </c>
      <c r="AD444">
        <v>8.6046424810000008</v>
      </c>
      <c r="AE444">
        <v>7.2142187360000003</v>
      </c>
      <c r="AF444">
        <v>2.3026592890000002</v>
      </c>
    </row>
    <row r="445" spans="1:43" x14ac:dyDescent="0.2">
      <c r="A445" s="3">
        <v>1984</v>
      </c>
      <c r="B445">
        <f>'pm_24.dat '!B322</f>
        <v>4810111.3782475302</v>
      </c>
      <c r="C445">
        <f>'pm_24.dat '!C322</f>
        <v>3952848.9402117301</v>
      </c>
      <c r="D445">
        <f>'pm_24.dat '!D322</f>
        <v>7983445.9509722097</v>
      </c>
      <c r="E445">
        <f>'pm_24.dat '!E322</f>
        <v>22444469.958637301</v>
      </c>
      <c r="F445">
        <f>'pm_24.dat '!F322</f>
        <v>24850572.2953768</v>
      </c>
      <c r="G445">
        <f>'pm_24.dat '!G322</f>
        <v>52883234.632338002</v>
      </c>
      <c r="H445">
        <f>'pm_24.dat '!H322</f>
        <v>9357925.4988365807</v>
      </c>
      <c r="I445">
        <f>'pm_24.dat '!I322</f>
        <v>2004008.8872482399</v>
      </c>
      <c r="J445">
        <f>'pm_24.dat '!J322</f>
        <v>913114.08349836397</v>
      </c>
      <c r="K445">
        <f>'pm_24.dat '!K322</f>
        <v>305593.10159020202</v>
      </c>
      <c r="L445">
        <f>'pm_24.dat '!L322</f>
        <v>208697.44284325</v>
      </c>
      <c r="M445">
        <f>SUM('pm_24.dat '!M322:P322)</f>
        <v>213475.58888945903</v>
      </c>
      <c r="N445" t="s">
        <v>99</v>
      </c>
      <c r="O445">
        <v>1984</v>
      </c>
      <c r="P445">
        <v>3</v>
      </c>
      <c r="Q445">
        <v>1984</v>
      </c>
      <c r="R445">
        <v>340.01782789999999</v>
      </c>
      <c r="S445">
        <v>331.73939289999998</v>
      </c>
      <c r="T445">
        <v>453.49072530000001</v>
      </c>
      <c r="U445">
        <v>1562.558522</v>
      </c>
      <c r="V445">
        <v>1810.5330919999999</v>
      </c>
      <c r="W445">
        <v>4535.0304649999998</v>
      </c>
      <c r="X445">
        <v>897.11688000000004</v>
      </c>
      <c r="Y445">
        <v>202.70348970000001</v>
      </c>
      <c r="Z445">
        <v>86.766092779999994</v>
      </c>
      <c r="AA445">
        <v>32.079804150000001</v>
      </c>
      <c r="AB445">
        <v>19.914608350000002</v>
      </c>
      <c r="AC445">
        <v>8.0331804459999994</v>
      </c>
      <c r="AD445">
        <v>4.703545085</v>
      </c>
      <c r="AE445">
        <v>5.8212357819999996</v>
      </c>
      <c r="AF445">
        <v>3.065328021</v>
      </c>
    </row>
    <row r="446" spans="1:43" x14ac:dyDescent="0.2">
      <c r="A446" s="3">
        <v>1985</v>
      </c>
      <c r="B446">
        <f>'pm_24.dat '!B323</f>
        <v>49329672.639315903</v>
      </c>
      <c r="C446">
        <f>'pm_24.dat '!C323</f>
        <v>7897975.7368274499</v>
      </c>
      <c r="D446">
        <f>'pm_24.dat '!D323</f>
        <v>38994179.7363379</v>
      </c>
      <c r="E446">
        <f>'pm_24.dat '!E323</f>
        <v>13798730.350597</v>
      </c>
      <c r="F446">
        <f>'pm_24.dat '!F323</f>
        <v>45398935.827805303</v>
      </c>
      <c r="G446">
        <f>'pm_24.dat '!G323</f>
        <v>27954403.849750198</v>
      </c>
      <c r="H446">
        <f>'pm_24.dat '!H323</f>
        <v>18475998.025653102</v>
      </c>
      <c r="I446">
        <f>'pm_24.dat '!I323</f>
        <v>3514636.1273288401</v>
      </c>
      <c r="J446">
        <f>'pm_24.dat '!J323</f>
        <v>858065.09961043496</v>
      </c>
      <c r="K446">
        <f>'pm_24.dat '!K323</f>
        <v>725771.70065458503</v>
      </c>
      <c r="L446">
        <f>'pm_24.dat '!L323</f>
        <v>252889.85800559499</v>
      </c>
      <c r="M446">
        <f>SUM('pm_24.dat '!M323:P323)</f>
        <v>177729.92293757931</v>
      </c>
      <c r="N446" t="s">
        <v>99</v>
      </c>
      <c r="O446">
        <v>1985</v>
      </c>
      <c r="P446">
        <v>4</v>
      </c>
      <c r="Q446">
        <v>1985</v>
      </c>
      <c r="R446">
        <v>2825.07476</v>
      </c>
      <c r="S446">
        <v>686.30395629999998</v>
      </c>
      <c r="T446">
        <v>3171.9675790000001</v>
      </c>
      <c r="U446">
        <v>1420.930353</v>
      </c>
      <c r="V446">
        <v>4743.3019990000003</v>
      </c>
      <c r="W446">
        <v>2405.7303590000001</v>
      </c>
      <c r="X446">
        <v>1719.6455539999999</v>
      </c>
      <c r="Y446">
        <v>354.7306706</v>
      </c>
      <c r="Z446">
        <v>86.699098960000001</v>
      </c>
      <c r="AA446">
        <v>68.084538850000001</v>
      </c>
      <c r="AB446">
        <v>18.88378135</v>
      </c>
      <c r="AC446">
        <v>6.0270479349999997</v>
      </c>
      <c r="AD446">
        <v>6.9751121669999998</v>
      </c>
      <c r="AE446">
        <v>1.1650844490000001</v>
      </c>
      <c r="AF446">
        <v>0.31619292599999999</v>
      </c>
    </row>
    <row r="447" spans="1:43" x14ac:dyDescent="0.2">
      <c r="A447" s="3">
        <v>1986</v>
      </c>
      <c r="B447">
        <f>'pm_24.dat '!B324</f>
        <v>29490315.2566998</v>
      </c>
      <c r="C447">
        <f>'pm_24.dat '!C324</f>
        <v>9771055.2670827601</v>
      </c>
      <c r="D447">
        <f>'pm_24.dat '!D324</f>
        <v>7912883.3308116104</v>
      </c>
      <c r="E447">
        <f>'pm_24.dat '!E324</f>
        <v>33510131.100490101</v>
      </c>
      <c r="F447">
        <f>'pm_24.dat '!F324</f>
        <v>17077324.716115098</v>
      </c>
      <c r="G447">
        <f>'pm_24.dat '!G324</f>
        <v>25786652.466188502</v>
      </c>
      <c r="H447">
        <f>'pm_24.dat '!H324</f>
        <v>21402885.625976499</v>
      </c>
      <c r="I447">
        <f>'pm_24.dat '!I324</f>
        <v>17865634.080354601</v>
      </c>
      <c r="J447">
        <f>'pm_24.dat '!J324</f>
        <v>5324409.4465166796</v>
      </c>
      <c r="K447">
        <f>'pm_24.dat '!K324</f>
        <v>822842.70269317296</v>
      </c>
      <c r="L447">
        <f>'pm_24.dat '!L324</f>
        <v>369154.61353154801</v>
      </c>
      <c r="M447">
        <f>SUM('pm_24.dat '!M324:P324)</f>
        <v>239293.47882299361</v>
      </c>
      <c r="N447" t="s">
        <v>99</v>
      </c>
      <c r="O447">
        <v>1986</v>
      </c>
      <c r="P447">
        <v>5</v>
      </c>
      <c r="Q447">
        <v>1986</v>
      </c>
      <c r="R447">
        <v>2255.748114</v>
      </c>
      <c r="S447">
        <v>344.27232859999998</v>
      </c>
      <c r="T447">
        <v>399.4535808</v>
      </c>
      <c r="U447">
        <v>1989.1818900000001</v>
      </c>
      <c r="V447">
        <v>1092.305102</v>
      </c>
      <c r="W447">
        <v>2010.4750489999999</v>
      </c>
      <c r="X447">
        <v>1641.205755</v>
      </c>
      <c r="Y447">
        <v>1387.8774149999999</v>
      </c>
      <c r="Z447">
        <v>471.56875050000002</v>
      </c>
      <c r="AA447">
        <v>77.052358049999995</v>
      </c>
      <c r="AB447">
        <v>32.002090969999998</v>
      </c>
      <c r="AC447">
        <v>15.0330771</v>
      </c>
      <c r="AD447">
        <v>0.29510004000000001</v>
      </c>
      <c r="AE447">
        <v>3.1452551500000001</v>
      </c>
      <c r="AF447">
        <v>0</v>
      </c>
    </row>
    <row r="448" spans="1:43" x14ac:dyDescent="0.2">
      <c r="A448" s="3">
        <v>1987</v>
      </c>
      <c r="B448">
        <f>'pm_24.dat '!B325</f>
        <v>4901555.3697378701</v>
      </c>
      <c r="C448">
        <f>'pm_24.dat '!C325</f>
        <v>6880152.20894437</v>
      </c>
      <c r="D448">
        <f>'pm_24.dat '!D325</f>
        <v>11747969.221029799</v>
      </c>
      <c r="E448">
        <f>'pm_24.dat '!E325</f>
        <v>9240663.5220039897</v>
      </c>
      <c r="F448">
        <f>'pm_24.dat '!F325</f>
        <v>55681133.402808003</v>
      </c>
      <c r="G448">
        <f>'pm_24.dat '!G325</f>
        <v>14563847.775801999</v>
      </c>
      <c r="H448">
        <f>'pm_24.dat '!H325</f>
        <v>13287612.689125899</v>
      </c>
      <c r="I448">
        <f>'pm_24.dat '!I325</f>
        <v>5162855.0036796099</v>
      </c>
      <c r="J448">
        <f>'pm_24.dat '!J325</f>
        <v>16110202.947726</v>
      </c>
      <c r="K448">
        <f>'pm_24.dat '!K325</f>
        <v>2540705.4346674001</v>
      </c>
      <c r="L448">
        <f>'pm_24.dat '!L325</f>
        <v>778630.04198421596</v>
      </c>
      <c r="M448">
        <f>SUM('pm_24.dat '!M325:P325)</f>
        <v>409313.83898910455</v>
      </c>
      <c r="N448" t="s">
        <v>99</v>
      </c>
      <c r="O448">
        <v>1987</v>
      </c>
      <c r="P448">
        <v>6</v>
      </c>
      <c r="Q448">
        <v>1987</v>
      </c>
      <c r="R448">
        <v>304.84364640000001</v>
      </c>
      <c r="S448">
        <v>629.53370189999998</v>
      </c>
      <c r="T448">
        <v>893.48751240000001</v>
      </c>
      <c r="U448">
        <v>582.61217550000003</v>
      </c>
      <c r="V448">
        <v>5633.2173769999999</v>
      </c>
      <c r="W448">
        <v>1140.885323</v>
      </c>
      <c r="X448">
        <v>1369.402691</v>
      </c>
      <c r="Y448">
        <v>519.40235810000001</v>
      </c>
      <c r="Z448">
        <v>1671.1073260000001</v>
      </c>
      <c r="AA448">
        <v>234.91551430000001</v>
      </c>
      <c r="AB448">
        <v>88.267438940000005</v>
      </c>
      <c r="AC448">
        <v>30.201367770000001</v>
      </c>
      <c r="AD448">
        <v>4.2982062179999998</v>
      </c>
      <c r="AE448">
        <v>1.712181146</v>
      </c>
      <c r="AF448">
        <v>1.5845517389999999</v>
      </c>
    </row>
    <row r="449" spans="1:32" x14ac:dyDescent="0.2">
      <c r="A449" s="3">
        <v>1988</v>
      </c>
      <c r="B449">
        <f>'pm_24.dat '!B326</f>
        <v>15721198.771404</v>
      </c>
      <c r="C449">
        <f>'pm_24.dat '!C326</f>
        <v>7773880.3733878797</v>
      </c>
      <c r="D449">
        <f>'pm_24.dat '!D326</f>
        <v>24314713.389568001</v>
      </c>
      <c r="E449">
        <f>'pm_24.dat '!E326</f>
        <v>47640041.876987197</v>
      </c>
      <c r="F449">
        <f>'pm_24.dat '!F326</f>
        <v>20536960.594996601</v>
      </c>
      <c r="G449">
        <f>'pm_24.dat '!G326</f>
        <v>63389846.636579201</v>
      </c>
      <c r="H449">
        <f>'pm_24.dat '!H326</f>
        <v>16983185.828149699</v>
      </c>
      <c r="I449">
        <f>'pm_24.dat '!I326</f>
        <v>12027275.470047601</v>
      </c>
      <c r="J449">
        <f>'pm_24.dat '!J326</f>
        <v>6679708.2599200802</v>
      </c>
      <c r="K449">
        <f>'pm_24.dat '!K326</f>
        <v>16101297.0007217</v>
      </c>
      <c r="L449">
        <f>'pm_24.dat '!L326</f>
        <v>1550733.67231137</v>
      </c>
      <c r="M449">
        <f>SUM('pm_24.dat '!M326:P326)</f>
        <v>1503665.529302343</v>
      </c>
      <c r="N449" t="s">
        <v>99</v>
      </c>
      <c r="O449">
        <v>1988</v>
      </c>
      <c r="P449">
        <v>7</v>
      </c>
      <c r="Q449">
        <v>1988</v>
      </c>
      <c r="R449">
        <v>753.77253299999995</v>
      </c>
      <c r="S449">
        <v>697.38442180000004</v>
      </c>
      <c r="T449">
        <v>1460.096401</v>
      </c>
      <c r="U449">
        <v>3749.9224530000001</v>
      </c>
      <c r="V449">
        <v>1481.345898</v>
      </c>
      <c r="W449">
        <v>5329.4552329999997</v>
      </c>
      <c r="X449">
        <v>1701.469521</v>
      </c>
      <c r="Y449">
        <v>1307.164702</v>
      </c>
      <c r="Z449">
        <v>728.24985360000005</v>
      </c>
      <c r="AA449">
        <v>1597.9795549999999</v>
      </c>
      <c r="AB449">
        <v>160.540629</v>
      </c>
      <c r="AC449">
        <v>85.873943220000001</v>
      </c>
      <c r="AD449">
        <v>15.350048019999999</v>
      </c>
      <c r="AE449">
        <v>31.080921679999999</v>
      </c>
      <c r="AF449">
        <v>11.28363665</v>
      </c>
    </row>
    <row r="450" spans="1:32" x14ac:dyDescent="0.2">
      <c r="A450" s="3">
        <v>1989</v>
      </c>
      <c r="B450">
        <f>'pm_24.dat '!B327</f>
        <v>9045388.6047476791</v>
      </c>
      <c r="C450">
        <f>'pm_24.dat '!C327</f>
        <v>5451633.6812119903</v>
      </c>
      <c r="D450">
        <f>'pm_24.dat '!D327</f>
        <v>9594897.4426621906</v>
      </c>
      <c r="E450">
        <f>'pm_24.dat '!E327</f>
        <v>30531376.532568101</v>
      </c>
      <c r="F450">
        <f>'pm_24.dat '!F327</f>
        <v>67674814.832389399</v>
      </c>
      <c r="G450">
        <f>'pm_24.dat '!G327</f>
        <v>12756643.9396702</v>
      </c>
      <c r="H450">
        <f>'pm_24.dat '!H327</f>
        <v>45028752.912757799</v>
      </c>
      <c r="I450">
        <f>'pm_24.dat '!I327</f>
        <v>6319707.9475059099</v>
      </c>
      <c r="J450">
        <f>'pm_24.dat '!J327</f>
        <v>7001089.8469599802</v>
      </c>
      <c r="K450">
        <f>'pm_24.dat '!K327</f>
        <v>2617073.29233468</v>
      </c>
      <c r="L450">
        <f>'pm_24.dat '!L327</f>
        <v>8197902.3667813996</v>
      </c>
      <c r="M450">
        <f>SUM('pm_24.dat '!M327:P327)</f>
        <v>4162438.0419268063</v>
      </c>
      <c r="N450" t="s">
        <v>99</v>
      </c>
      <c r="O450">
        <v>1989</v>
      </c>
      <c r="P450">
        <v>8</v>
      </c>
      <c r="Q450">
        <v>1989</v>
      </c>
      <c r="R450">
        <v>792.12314630000003</v>
      </c>
      <c r="S450">
        <v>332.33580810000001</v>
      </c>
      <c r="T450">
        <v>655.05043860000001</v>
      </c>
      <c r="U450">
        <v>2146.9789350000001</v>
      </c>
      <c r="V450">
        <v>4769.6545230000002</v>
      </c>
      <c r="W450">
        <v>1054.4277179999999</v>
      </c>
      <c r="X450">
        <v>3985.8904550000002</v>
      </c>
      <c r="Y450">
        <v>582.35323359999995</v>
      </c>
      <c r="Z450">
        <v>749.41848619999996</v>
      </c>
      <c r="AA450">
        <v>284.23847970000003</v>
      </c>
      <c r="AB450">
        <v>727.18083079999997</v>
      </c>
      <c r="AC450">
        <v>135.5862109</v>
      </c>
      <c r="AD450">
        <v>107.0902876</v>
      </c>
      <c r="AE450">
        <v>60.908587410000003</v>
      </c>
      <c r="AF450">
        <v>68.693903270000007</v>
      </c>
    </row>
    <row r="451" spans="1:32" x14ac:dyDescent="0.2">
      <c r="A451" s="3">
        <v>1990</v>
      </c>
      <c r="B451">
        <f>'pm_24.dat '!B328</f>
        <v>22226901.339978199</v>
      </c>
      <c r="C451">
        <f>'pm_24.dat '!C328</f>
        <v>2761070.0211067698</v>
      </c>
      <c r="D451">
        <f>'pm_24.dat '!D328</f>
        <v>1099600.74022376</v>
      </c>
      <c r="E451">
        <f>'pm_24.dat '!E328</f>
        <v>11388230.135009199</v>
      </c>
      <c r="F451">
        <f>'pm_24.dat '!F328</f>
        <v>25704041.481396601</v>
      </c>
      <c r="G451">
        <f>'pm_24.dat '!G328</f>
        <v>83172249.362636</v>
      </c>
      <c r="H451">
        <f>'pm_24.dat '!H328</f>
        <v>15303101.0847276</v>
      </c>
      <c r="I451">
        <f>'pm_24.dat '!I328</f>
        <v>36320255.448197402</v>
      </c>
      <c r="J451">
        <f>'pm_24.dat '!J328</f>
        <v>3435531.12167911</v>
      </c>
      <c r="K451">
        <f>'pm_24.dat '!K328</f>
        <v>5911134.7230660403</v>
      </c>
      <c r="L451">
        <f>'pm_24.dat '!L328</f>
        <v>894996.43698955199</v>
      </c>
      <c r="M451">
        <f>SUM('pm_24.dat '!M328:P328)</f>
        <v>10278509.42938254</v>
      </c>
      <c r="N451" t="s">
        <v>99</v>
      </c>
      <c r="O451">
        <v>1990</v>
      </c>
      <c r="P451">
        <v>9</v>
      </c>
      <c r="Q451">
        <v>1990</v>
      </c>
      <c r="R451">
        <v>1713.7030950000001</v>
      </c>
      <c r="S451">
        <v>349.10110100000003</v>
      </c>
      <c r="T451">
        <v>103.1125538</v>
      </c>
      <c r="U451">
        <v>938.20911869999998</v>
      </c>
      <c r="V451">
        <v>1630.365628</v>
      </c>
      <c r="W451">
        <v>5951.3879399999996</v>
      </c>
      <c r="X451">
        <v>1315.481671</v>
      </c>
      <c r="Y451">
        <v>3324.747222</v>
      </c>
      <c r="Z451">
        <v>361.13427739999997</v>
      </c>
      <c r="AA451">
        <v>566.80320500000005</v>
      </c>
      <c r="AB451">
        <v>99.749182739999995</v>
      </c>
      <c r="AC451">
        <v>766.57272209999996</v>
      </c>
      <c r="AD451">
        <v>56.866140440000002</v>
      </c>
      <c r="AE451">
        <v>68.403720730000003</v>
      </c>
      <c r="AF451">
        <v>53.260069369999997</v>
      </c>
    </row>
    <row r="452" spans="1:32" x14ac:dyDescent="0.2">
      <c r="A452" s="3">
        <v>1991</v>
      </c>
      <c r="B452">
        <f>'pm_24.dat '!B329</f>
        <v>32298906.470859401</v>
      </c>
      <c r="C452">
        <f>'pm_24.dat '!C329</f>
        <v>9281835.6580339707</v>
      </c>
      <c r="D452">
        <f>'pm_24.dat '!D329</f>
        <v>3572292.7368461001</v>
      </c>
      <c r="E452">
        <f>'pm_24.dat '!E329</f>
        <v>1395060.73038829</v>
      </c>
      <c r="F452">
        <f>'pm_24.dat '!F329</f>
        <v>9842053.6144254394</v>
      </c>
      <c r="G452">
        <f>'pm_24.dat '!G329</f>
        <v>8416663.3948661704</v>
      </c>
      <c r="H452">
        <f>'pm_24.dat '!H329</f>
        <v>25137376.3269163</v>
      </c>
      <c r="I452">
        <f>'pm_24.dat '!I329</f>
        <v>8746967.2907915991</v>
      </c>
      <c r="J452">
        <f>'pm_24.dat '!J329</f>
        <v>16907442.372808799</v>
      </c>
      <c r="K452">
        <f>'pm_24.dat '!K329</f>
        <v>4270043.2416153802</v>
      </c>
      <c r="L452">
        <f>'pm_24.dat '!L329</f>
        <v>5703730.4564042399</v>
      </c>
      <c r="M452">
        <f>SUM('pm_24.dat '!M329:P329)</f>
        <v>5707270.0655534118</v>
      </c>
      <c r="N452" t="s">
        <v>99</v>
      </c>
      <c r="O452">
        <v>1991</v>
      </c>
      <c r="P452">
        <v>10</v>
      </c>
      <c r="Q452">
        <v>1991</v>
      </c>
      <c r="R452">
        <v>3101.6685889999999</v>
      </c>
      <c r="S452">
        <v>1020.909949</v>
      </c>
      <c r="T452">
        <v>132.0965123</v>
      </c>
      <c r="U452">
        <v>76.865143500000002</v>
      </c>
      <c r="V452">
        <v>641.13063560000001</v>
      </c>
      <c r="W452">
        <v>594.45308929999999</v>
      </c>
      <c r="X452">
        <v>1944.529667</v>
      </c>
      <c r="Y452">
        <v>739.66216120000001</v>
      </c>
      <c r="Z452">
        <v>1684.258705</v>
      </c>
      <c r="AA452">
        <v>410.19679760000002</v>
      </c>
      <c r="AB452">
        <v>567.83068830000002</v>
      </c>
      <c r="AC452">
        <v>116.08678879999999</v>
      </c>
      <c r="AD452">
        <v>312.53892999999999</v>
      </c>
      <c r="AE452">
        <v>45.313067650000001</v>
      </c>
      <c r="AF452">
        <v>31.677354380000001</v>
      </c>
    </row>
    <row r="453" spans="1:32" x14ac:dyDescent="0.2">
      <c r="A453" s="3">
        <v>1992</v>
      </c>
      <c r="B453">
        <f>'pm_24.dat '!B330</f>
        <v>15591259.426588001</v>
      </c>
      <c r="C453">
        <f>'pm_24.dat '!C330</f>
        <v>4378480.4942384697</v>
      </c>
      <c r="D453">
        <f>'pm_24.dat '!D330</f>
        <v>29295026.226430099</v>
      </c>
      <c r="E453">
        <f>'pm_24.dat '!E330</f>
        <v>4359981.4623811096</v>
      </c>
      <c r="F453">
        <f>'pm_24.dat '!F330</f>
        <v>5255429.7008017804</v>
      </c>
      <c r="G453">
        <f>'pm_24.dat '!G330</f>
        <v>8508346.0315588899</v>
      </c>
      <c r="H453">
        <f>'pm_24.dat '!H330</f>
        <v>7572848.9479585998</v>
      </c>
      <c r="I453">
        <f>'pm_24.dat '!I330</f>
        <v>10551672.652462499</v>
      </c>
      <c r="J453">
        <f>'pm_24.dat '!J330</f>
        <v>4535727.8979380298</v>
      </c>
      <c r="K453">
        <f>'pm_24.dat '!K330</f>
        <v>8386234.0295318896</v>
      </c>
      <c r="L453">
        <f>'pm_24.dat '!L330</f>
        <v>2888373.70759671</v>
      </c>
      <c r="M453">
        <f>SUM('pm_24.dat '!M330:P330)</f>
        <v>7292082.4910008814</v>
      </c>
      <c r="N453" t="s">
        <v>99</v>
      </c>
      <c r="O453">
        <v>1992</v>
      </c>
      <c r="P453">
        <v>11</v>
      </c>
      <c r="Q453">
        <v>1992</v>
      </c>
      <c r="R453">
        <v>1394.2439360000001</v>
      </c>
      <c r="S453">
        <v>436.34337950000003</v>
      </c>
      <c r="T453">
        <v>2171.0987019999998</v>
      </c>
      <c r="U453">
        <v>500.63410219999997</v>
      </c>
      <c r="V453">
        <v>515.85661579999999</v>
      </c>
      <c r="W453">
        <v>810.44095570000002</v>
      </c>
      <c r="X453">
        <v>628.99902399999996</v>
      </c>
      <c r="Y453">
        <v>794.79555200000004</v>
      </c>
      <c r="Z453">
        <v>375.08581370000002</v>
      </c>
      <c r="AA453">
        <v>862.94786780000004</v>
      </c>
      <c r="AB453">
        <v>311.66186579999999</v>
      </c>
      <c r="AC453">
        <v>370.80196239999998</v>
      </c>
      <c r="AD453">
        <v>159.02235959999999</v>
      </c>
      <c r="AE453">
        <v>111.12774330000001</v>
      </c>
      <c r="AF453">
        <v>97.734988419999993</v>
      </c>
    </row>
    <row r="454" spans="1:32" x14ac:dyDescent="0.2">
      <c r="A454" s="3">
        <v>1993</v>
      </c>
      <c r="B454">
        <f>'pm_24.dat '!B331</f>
        <v>26831974.6102711</v>
      </c>
      <c r="C454">
        <f>'pm_24.dat '!C331</f>
        <v>4429513.8794717202</v>
      </c>
      <c r="D454">
        <f>'pm_24.dat '!D331</f>
        <v>11510462.076905999</v>
      </c>
      <c r="E454">
        <f>'pm_24.dat '!E331</f>
        <v>51257439.304945402</v>
      </c>
      <c r="F454">
        <f>'pm_24.dat '!F331</f>
        <v>10664547.7264967</v>
      </c>
      <c r="G454">
        <f>'pm_24.dat '!G331</f>
        <v>8107782.7725243503</v>
      </c>
      <c r="H454">
        <f>'pm_24.dat '!H331</f>
        <v>4050373.3913167398</v>
      </c>
      <c r="I454">
        <f>'pm_24.dat '!I331</f>
        <v>5309957.1690487396</v>
      </c>
      <c r="J454">
        <f>'pm_24.dat '!J331</f>
        <v>6725902.1948124003</v>
      </c>
      <c r="K454">
        <f>'pm_24.dat '!K331</f>
        <v>4106511.7787757302</v>
      </c>
      <c r="L454">
        <f>'pm_24.dat '!L331</f>
        <v>3551802.9271184602</v>
      </c>
      <c r="M454">
        <f>SUM('pm_24.dat '!M331:P331)</f>
        <v>7102378.2649729</v>
      </c>
      <c r="N454" t="s">
        <v>99</v>
      </c>
      <c r="O454">
        <v>1993</v>
      </c>
      <c r="P454">
        <v>12</v>
      </c>
      <c r="Q454">
        <v>1993</v>
      </c>
      <c r="R454">
        <v>1636.676191</v>
      </c>
      <c r="S454">
        <v>305.27202549999998</v>
      </c>
      <c r="T454">
        <v>1137.002391</v>
      </c>
      <c r="U454">
        <v>3971.8901580000002</v>
      </c>
      <c r="V454">
        <v>684.0234815</v>
      </c>
      <c r="W454">
        <v>510.79208119999998</v>
      </c>
      <c r="X454">
        <v>304.7444271</v>
      </c>
      <c r="Y454">
        <v>466.42620840000001</v>
      </c>
      <c r="Z454">
        <v>628.65031859999999</v>
      </c>
      <c r="AA454">
        <v>393.55778789999999</v>
      </c>
      <c r="AB454">
        <v>351.5175122</v>
      </c>
      <c r="AC454">
        <v>254.73883520000001</v>
      </c>
      <c r="AD454">
        <v>164.59943469999999</v>
      </c>
      <c r="AE454">
        <v>109.2274733</v>
      </c>
      <c r="AF454">
        <v>130.75821880000001</v>
      </c>
    </row>
    <row r="455" spans="1:32" x14ac:dyDescent="0.2">
      <c r="A455" s="3">
        <v>1994</v>
      </c>
      <c r="B455">
        <f>'pm_24.dat '!B332</f>
        <v>16300489.777956201</v>
      </c>
      <c r="C455">
        <f>'pm_24.dat '!C332</f>
        <v>7250175.2155914595</v>
      </c>
      <c r="D455">
        <f>'pm_24.dat '!D332</f>
        <v>5317648.4397865999</v>
      </c>
      <c r="E455">
        <f>'pm_24.dat '!E332</f>
        <v>20643527.026220702</v>
      </c>
      <c r="F455">
        <f>'pm_24.dat '!F332</f>
        <v>60111518.859813496</v>
      </c>
      <c r="G455">
        <f>'pm_24.dat '!G332</f>
        <v>9773969.6272954494</v>
      </c>
      <c r="H455">
        <f>'pm_24.dat '!H332</f>
        <v>2348752.1819104198</v>
      </c>
      <c r="I455">
        <f>'pm_24.dat '!I332</f>
        <v>1811381.4285226299</v>
      </c>
      <c r="J455">
        <f>'pm_24.dat '!J332</f>
        <v>1958684.71783979</v>
      </c>
      <c r="K455">
        <f>'pm_24.dat '!K332</f>
        <v>3618517.6721605398</v>
      </c>
      <c r="L455">
        <f>'pm_24.dat '!L332</f>
        <v>2207971.9705289998</v>
      </c>
      <c r="M455">
        <f>SUM('pm_24.dat '!M332:P332)</f>
        <v>7280225.6556305103</v>
      </c>
      <c r="N455" t="s">
        <v>99</v>
      </c>
      <c r="O455">
        <v>1994</v>
      </c>
      <c r="P455">
        <v>13</v>
      </c>
      <c r="Q455">
        <v>1994</v>
      </c>
      <c r="R455">
        <v>1091.2245230000001</v>
      </c>
      <c r="S455">
        <v>585.30561260000002</v>
      </c>
      <c r="T455">
        <v>565.89238850000004</v>
      </c>
      <c r="U455">
        <v>1702.080168</v>
      </c>
      <c r="V455">
        <v>4242.1004240000002</v>
      </c>
      <c r="W455">
        <v>816.87686719999999</v>
      </c>
      <c r="X455">
        <v>199.95140129999999</v>
      </c>
      <c r="Y455">
        <v>207.1846754</v>
      </c>
      <c r="Z455">
        <v>193.60287249999999</v>
      </c>
      <c r="AA455">
        <v>357.56192440000001</v>
      </c>
      <c r="AB455">
        <v>207.43283400000001</v>
      </c>
      <c r="AC455">
        <v>306.28363519999999</v>
      </c>
      <c r="AD455">
        <v>106.48083339999999</v>
      </c>
      <c r="AE455">
        <v>90.670698099999996</v>
      </c>
      <c r="AF455">
        <v>155.57739240000001</v>
      </c>
    </row>
    <row r="456" spans="1:32" x14ac:dyDescent="0.2">
      <c r="A456" s="3">
        <v>1995</v>
      </c>
      <c r="B456">
        <f>'pm_24.dat '!B333</f>
        <v>16172066.368646899</v>
      </c>
      <c r="C456">
        <f>'pm_24.dat '!C333</f>
        <v>2163197.37359379</v>
      </c>
      <c r="D456">
        <f>'pm_24.dat '!D333</f>
        <v>4766678.9051212799</v>
      </c>
      <c r="E456">
        <f>'pm_24.dat '!E333</f>
        <v>20039763.278926302</v>
      </c>
      <c r="F456">
        <f>'pm_24.dat '!F333</f>
        <v>29276360.7488763</v>
      </c>
      <c r="G456">
        <f>'pm_24.dat '!G333</f>
        <v>51039895.6686645</v>
      </c>
      <c r="H456">
        <f>'pm_24.dat '!H333</f>
        <v>18719841.155080602</v>
      </c>
      <c r="I456">
        <f>'pm_24.dat '!I333</f>
        <v>4046350.5696561602</v>
      </c>
      <c r="J456">
        <f>'pm_24.dat '!J333</f>
        <v>2352040.0368374302</v>
      </c>
      <c r="K456">
        <f>'pm_24.dat '!K333</f>
        <v>1480145.77037509</v>
      </c>
      <c r="L456">
        <f>'pm_24.dat '!L333</f>
        <v>2718517.3372577298</v>
      </c>
      <c r="M456">
        <f>SUM('pm_24.dat '!M333:P333)</f>
        <v>5235716.961736626</v>
      </c>
      <c r="N456" t="s">
        <v>99</v>
      </c>
      <c r="O456">
        <v>1995</v>
      </c>
      <c r="P456">
        <v>14</v>
      </c>
      <c r="Q456">
        <v>1995</v>
      </c>
      <c r="R456">
        <v>1464.652746</v>
      </c>
      <c r="S456">
        <v>97.795707609999994</v>
      </c>
      <c r="T456">
        <v>445.20956000000001</v>
      </c>
      <c r="U456">
        <v>1955.1713689999999</v>
      </c>
      <c r="V456">
        <v>2748.262757</v>
      </c>
      <c r="W456">
        <v>4629.9335600000004</v>
      </c>
      <c r="X456">
        <v>1634.1057269999999</v>
      </c>
      <c r="Y456">
        <v>348.63610449999999</v>
      </c>
      <c r="Z456">
        <v>284.84191349999998</v>
      </c>
      <c r="AA456">
        <v>240.36746299999999</v>
      </c>
      <c r="AB456">
        <v>313.9027428</v>
      </c>
      <c r="AC456">
        <v>148.26820609999999</v>
      </c>
      <c r="AD456">
        <v>224.02419019999999</v>
      </c>
      <c r="AE456">
        <v>80.371357329999995</v>
      </c>
      <c r="AF456">
        <v>110.86187049999999</v>
      </c>
    </row>
    <row r="457" spans="1:32" x14ac:dyDescent="0.2">
      <c r="A457" s="3">
        <v>1996</v>
      </c>
      <c r="B457">
        <f>'pm_24.dat '!B334</f>
        <v>19509804.105760399</v>
      </c>
      <c r="C457">
        <f>'pm_24.dat '!C334</f>
        <v>4281948.5403038496</v>
      </c>
      <c r="D457">
        <f>'pm_24.dat '!D334</f>
        <v>1998104.7281460401</v>
      </c>
      <c r="E457">
        <f>'pm_24.dat '!E334</f>
        <v>4089532.3444474102</v>
      </c>
      <c r="F457">
        <f>'pm_24.dat '!F334</f>
        <v>11371114.7943142</v>
      </c>
      <c r="G457">
        <f>'pm_24.dat '!G334</f>
        <v>15092896.2063554</v>
      </c>
      <c r="H457">
        <f>'pm_24.dat '!H334</f>
        <v>12896445.395454099</v>
      </c>
      <c r="I457">
        <f>'pm_24.dat '!I334</f>
        <v>4250633.7937668702</v>
      </c>
      <c r="J457">
        <f>'pm_24.dat '!J334</f>
        <v>1028539.25664889</v>
      </c>
      <c r="K457">
        <f>'pm_24.dat '!K334</f>
        <v>1113077.0861783801</v>
      </c>
      <c r="L457">
        <f>'pm_24.dat '!L334</f>
        <v>743345.21833838103</v>
      </c>
      <c r="M457">
        <f>SUM('pm_24.dat '!M334:P334)</f>
        <v>3985137.4283524957</v>
      </c>
      <c r="N457" t="s">
        <v>99</v>
      </c>
      <c r="O457">
        <v>1996</v>
      </c>
      <c r="P457">
        <v>15</v>
      </c>
      <c r="Q457">
        <v>1996</v>
      </c>
      <c r="R457">
        <v>1496.6223130000001</v>
      </c>
      <c r="S457">
        <v>353.7244834</v>
      </c>
      <c r="T457">
        <v>143.9141228</v>
      </c>
      <c r="U457">
        <v>378.30359759999999</v>
      </c>
      <c r="V457">
        <v>1005.94859</v>
      </c>
      <c r="W457">
        <v>1337.9394139999999</v>
      </c>
      <c r="X457">
        <v>1293.2673050000001</v>
      </c>
      <c r="Y457">
        <v>391.99761469999999</v>
      </c>
      <c r="Z457">
        <v>104.9672671</v>
      </c>
      <c r="AA457">
        <v>92.300190950000001</v>
      </c>
      <c r="AB457">
        <v>77.105566909999993</v>
      </c>
      <c r="AC457">
        <v>147.3499027</v>
      </c>
      <c r="AD457">
        <v>39.826167820000002</v>
      </c>
      <c r="AE457">
        <v>84.534841839999999</v>
      </c>
      <c r="AF457">
        <v>89.774281020000004</v>
      </c>
    </row>
    <row r="458" spans="1:32" x14ac:dyDescent="0.2">
      <c r="A458" s="3">
        <v>1997</v>
      </c>
      <c r="B458">
        <f>'pm_24.dat '!B335</f>
        <v>23321877.3434094</v>
      </c>
      <c r="C458">
        <f>'pm_24.dat '!C335</f>
        <v>4056464.3823756501</v>
      </c>
      <c r="D458">
        <f>'pm_24.dat '!D335</f>
        <v>2202758.2367957602</v>
      </c>
      <c r="E458">
        <f>'pm_24.dat '!E335</f>
        <v>2686353.9522297699</v>
      </c>
      <c r="F458">
        <f>'pm_24.dat '!F335</f>
        <v>30780660.999782801</v>
      </c>
      <c r="G458">
        <f>'pm_24.dat '!G335</f>
        <v>14116880.0314743</v>
      </c>
      <c r="H458">
        <f>'pm_24.dat '!H335</f>
        <v>8291227.9427613104</v>
      </c>
      <c r="I458">
        <f>'pm_24.dat '!I335</f>
        <v>10663663.6272281</v>
      </c>
      <c r="J458">
        <f>'pm_24.dat '!J335</f>
        <v>1842194.98407276</v>
      </c>
      <c r="K458">
        <f>'pm_24.dat '!K335</f>
        <v>927184.348024962</v>
      </c>
      <c r="L458">
        <f>'pm_24.dat '!L335</f>
        <v>672693.77803286596</v>
      </c>
      <c r="M458">
        <f>SUM('pm_24.dat '!M335:P335)</f>
        <v>3812370.5861220667</v>
      </c>
      <c r="N458" t="s">
        <v>99</v>
      </c>
      <c r="O458">
        <v>1997</v>
      </c>
      <c r="P458">
        <v>16</v>
      </c>
      <c r="Q458">
        <v>1997</v>
      </c>
      <c r="R458">
        <v>2534.8493119999998</v>
      </c>
      <c r="S458">
        <v>312.16104380000002</v>
      </c>
      <c r="T458">
        <v>194.20897120000001</v>
      </c>
      <c r="U458">
        <v>228.93891790000001</v>
      </c>
      <c r="V458">
        <v>3129.4949590000001</v>
      </c>
      <c r="W458">
        <v>1348.422961</v>
      </c>
      <c r="X458">
        <v>863.6727545</v>
      </c>
      <c r="Y458">
        <v>1026.1322299999999</v>
      </c>
      <c r="Z458">
        <v>153.8425331</v>
      </c>
      <c r="AA458">
        <v>58.137807000000002</v>
      </c>
      <c r="AB458">
        <v>66.786142330000004</v>
      </c>
      <c r="AC458">
        <v>79.584698059999994</v>
      </c>
      <c r="AD458">
        <v>94.224099319999993</v>
      </c>
      <c r="AE458">
        <v>31.875575139999999</v>
      </c>
      <c r="AF458">
        <v>115.4224134</v>
      </c>
    </row>
    <row r="459" spans="1:32" x14ac:dyDescent="0.2">
      <c r="A459" s="3">
        <v>1998</v>
      </c>
      <c r="B459">
        <f>'pm_24.dat '!B336</f>
        <v>8710506.4689419605</v>
      </c>
      <c r="C459">
        <f>'pm_24.dat '!C336</f>
        <v>6882750.6966391597</v>
      </c>
      <c r="D459">
        <f>'pm_24.dat '!D336</f>
        <v>3709754.0406653499</v>
      </c>
      <c r="E459">
        <f>'pm_24.dat '!E336</f>
        <v>2666862.7499272702</v>
      </c>
      <c r="F459">
        <f>'pm_24.dat '!F336</f>
        <v>5566325.4217639398</v>
      </c>
      <c r="G459">
        <f>'pm_24.dat '!G336</f>
        <v>30576666.713327002</v>
      </c>
      <c r="H459">
        <f>'pm_24.dat '!H336</f>
        <v>7836743.3349238504</v>
      </c>
      <c r="I459">
        <f>'pm_24.dat '!I336</f>
        <v>4743927.8398363004</v>
      </c>
      <c r="J459">
        <f>'pm_24.dat '!J336</f>
        <v>3602094.2299219999</v>
      </c>
      <c r="K459">
        <f>'pm_24.dat '!K336</f>
        <v>925925.35893913906</v>
      </c>
      <c r="L459">
        <f>'pm_24.dat '!L336</f>
        <v>408505.21903899102</v>
      </c>
      <c r="M459">
        <f>SUM('pm_24.dat '!M336:P336)</f>
        <v>1631192.1821449539</v>
      </c>
      <c r="N459" t="s">
        <v>99</v>
      </c>
      <c r="O459">
        <v>1998</v>
      </c>
      <c r="P459">
        <v>17</v>
      </c>
      <c r="Q459">
        <v>1998</v>
      </c>
      <c r="R459">
        <v>660.47803750000003</v>
      </c>
      <c r="S459">
        <v>627.61688839999999</v>
      </c>
      <c r="T459">
        <v>251.54737789999999</v>
      </c>
      <c r="U459">
        <v>203.86734430000001</v>
      </c>
      <c r="V459">
        <v>465.02565579999998</v>
      </c>
      <c r="W459">
        <v>2610.33277</v>
      </c>
      <c r="X459">
        <v>719.7212753</v>
      </c>
      <c r="Y459">
        <v>465.44601790000002</v>
      </c>
      <c r="Z459">
        <v>345.37173050000001</v>
      </c>
      <c r="AA459">
        <v>88.421462030000001</v>
      </c>
      <c r="AB459">
        <v>29.82091951</v>
      </c>
      <c r="AC459">
        <v>11.245366669999999</v>
      </c>
      <c r="AD459">
        <v>27.412308249999999</v>
      </c>
      <c r="AE459">
        <v>24.708630070000002</v>
      </c>
      <c r="AF459">
        <v>58.515497330000002</v>
      </c>
    </row>
    <row r="460" spans="1:32" x14ac:dyDescent="0.2">
      <c r="A460" s="3">
        <v>1999</v>
      </c>
      <c r="B460">
        <f>'pm_24.dat '!B337</f>
        <v>9913042.8278842792</v>
      </c>
      <c r="C460">
        <f>'pm_24.dat '!C337</f>
        <v>11126238.6498603</v>
      </c>
      <c r="D460">
        <f>'pm_24.dat '!D337</f>
        <v>12972902.585498599</v>
      </c>
      <c r="E460">
        <f>'pm_24.dat '!E337</f>
        <v>12336593.098128799</v>
      </c>
      <c r="F460">
        <f>'pm_24.dat '!F337</f>
        <v>6847299.0044815801</v>
      </c>
      <c r="G460">
        <f>'pm_24.dat '!G337</f>
        <v>12601727.5695299</v>
      </c>
      <c r="H460">
        <f>'pm_24.dat '!H337</f>
        <v>29493827.843818601</v>
      </c>
      <c r="I460">
        <f>'pm_24.dat '!I337</f>
        <v>7567610.20581723</v>
      </c>
      <c r="J460">
        <f>'pm_24.dat '!J337</f>
        <v>3601764.58767197</v>
      </c>
      <c r="K460">
        <f>'pm_24.dat '!K337</f>
        <v>3327253.2671153499</v>
      </c>
      <c r="L460">
        <f>'pm_24.dat '!L337</f>
        <v>1243839.98288019</v>
      </c>
      <c r="M460">
        <f>SUM('pm_24.dat '!M337:P337)</f>
        <v>2205715.4381678952</v>
      </c>
      <c r="N460" t="s">
        <v>99</v>
      </c>
      <c r="O460">
        <v>1999</v>
      </c>
      <c r="P460">
        <v>18</v>
      </c>
      <c r="Q460">
        <v>1999</v>
      </c>
      <c r="R460">
        <v>1064.122421</v>
      </c>
      <c r="S460">
        <v>948.49085590000004</v>
      </c>
      <c r="T460">
        <v>854.13070049999999</v>
      </c>
      <c r="U460">
        <v>1016.122194</v>
      </c>
      <c r="V460">
        <v>591.03595919999998</v>
      </c>
      <c r="W460">
        <v>966.45755429999997</v>
      </c>
      <c r="X460">
        <v>2832.6317140000001</v>
      </c>
      <c r="Y460">
        <v>764.66609979999998</v>
      </c>
      <c r="Z460">
        <v>423.88784509999999</v>
      </c>
      <c r="AA460">
        <v>349.25679000000002</v>
      </c>
      <c r="AB460">
        <v>144.298588</v>
      </c>
      <c r="AC460">
        <v>46.426737240000001</v>
      </c>
      <c r="AD460">
        <v>21.14275911</v>
      </c>
      <c r="AE460">
        <v>26.589922319999999</v>
      </c>
      <c r="AF460">
        <v>81.626535660000002</v>
      </c>
    </row>
    <row r="461" spans="1:32" x14ac:dyDescent="0.2">
      <c r="A461" s="3">
        <v>2000</v>
      </c>
      <c r="B461">
        <f>'pm_24.dat '!B338</f>
        <v>10448664.909940099</v>
      </c>
      <c r="C461">
        <f>'pm_24.dat '!C338</f>
        <v>3755297.9228753801</v>
      </c>
      <c r="D461">
        <f>'pm_24.dat '!D338</f>
        <v>6910062.9679343598</v>
      </c>
      <c r="E461">
        <f>'pm_24.dat '!E338</f>
        <v>21500309.211034302</v>
      </c>
      <c r="F461">
        <f>'pm_24.dat '!F338</f>
        <v>21595549.185668699</v>
      </c>
      <c r="G461">
        <f>'pm_24.dat '!G338</f>
        <v>11989499.150025999</v>
      </c>
      <c r="H461">
        <f>'pm_24.dat '!H338</f>
        <v>9536075.9681254998</v>
      </c>
      <c r="I461">
        <f>'pm_24.dat '!I338</f>
        <v>28947090.606250301</v>
      </c>
      <c r="J461">
        <f>'pm_24.dat '!J338</f>
        <v>10961417.662543399</v>
      </c>
      <c r="K461">
        <f>'pm_24.dat '!K338</f>
        <v>5720885.0075573102</v>
      </c>
      <c r="L461">
        <f>'pm_24.dat '!L338</f>
        <v>2449524.0860186098</v>
      </c>
      <c r="M461">
        <f>SUM('pm_24.dat '!M338:P338)</f>
        <v>3272375.2429257007</v>
      </c>
      <c r="N461" t="s">
        <v>99</v>
      </c>
      <c r="O461">
        <v>2000</v>
      </c>
      <c r="P461">
        <v>19</v>
      </c>
      <c r="Q461">
        <v>2000</v>
      </c>
      <c r="R461">
        <v>1090.2051710000001</v>
      </c>
      <c r="S461">
        <v>389.27234390000001</v>
      </c>
      <c r="T461">
        <v>378.76930279999999</v>
      </c>
      <c r="U461">
        <v>1744.370277</v>
      </c>
      <c r="V461">
        <v>1719.7108209999999</v>
      </c>
      <c r="W461">
        <v>1050.0874490000001</v>
      </c>
      <c r="X461">
        <v>757.9043332</v>
      </c>
      <c r="Y461">
        <v>2773.0971960000002</v>
      </c>
      <c r="Z461">
        <v>1002.626702</v>
      </c>
      <c r="AA461">
        <v>547.58853260000001</v>
      </c>
      <c r="AB461">
        <v>205.1439024</v>
      </c>
      <c r="AC461">
        <v>161.60961370000001</v>
      </c>
      <c r="AD461">
        <v>30.030237960000001</v>
      </c>
      <c r="AE461">
        <v>15.72331385</v>
      </c>
      <c r="AF461">
        <v>83.046045210000003</v>
      </c>
    </row>
    <row r="462" spans="1:32" x14ac:dyDescent="0.2">
      <c r="A462" s="3">
        <v>2001</v>
      </c>
      <c r="B462">
        <f>'pm_24.dat '!B339</f>
        <v>19866054.300051302</v>
      </c>
      <c r="C462">
        <f>'pm_24.dat '!C339</f>
        <v>12222795.744160499</v>
      </c>
      <c r="D462">
        <f>'pm_24.dat '!D339</f>
        <v>7257354.2739721099</v>
      </c>
      <c r="E462">
        <f>'pm_24.dat '!E339</f>
        <v>7027317.9456200302</v>
      </c>
      <c r="F462">
        <f>'pm_24.dat '!F339</f>
        <v>16891582.837152701</v>
      </c>
      <c r="G462">
        <f>'pm_24.dat '!G339</f>
        <v>16558361.1551107</v>
      </c>
      <c r="H462">
        <f>'pm_24.dat '!H339</f>
        <v>6898437.4829649404</v>
      </c>
      <c r="I462">
        <f>'pm_24.dat '!I339</f>
        <v>3352512.3996226201</v>
      </c>
      <c r="J462">
        <f>'pm_24.dat '!J339</f>
        <v>9955198.0531046204</v>
      </c>
      <c r="K462">
        <f>'pm_24.dat '!K339</f>
        <v>7114905.8515774896</v>
      </c>
      <c r="L462">
        <f>'pm_24.dat '!L339</f>
        <v>2710397.2158764298</v>
      </c>
      <c r="M462">
        <f>SUM('pm_24.dat '!M339:P339)</f>
        <v>3958231.0202556122</v>
      </c>
      <c r="N462" t="s">
        <v>99</v>
      </c>
      <c r="O462">
        <v>2001</v>
      </c>
      <c r="P462">
        <v>20</v>
      </c>
      <c r="Q462">
        <v>2001</v>
      </c>
      <c r="R462">
        <v>1674.765463</v>
      </c>
      <c r="S462">
        <v>953.53996970000003</v>
      </c>
      <c r="T462">
        <v>510.70856529999998</v>
      </c>
      <c r="U462">
        <v>541.58173190000002</v>
      </c>
      <c r="V462">
        <v>1311.409265</v>
      </c>
      <c r="W462">
        <v>1490.1337060000001</v>
      </c>
      <c r="X462">
        <v>568.27910659999998</v>
      </c>
      <c r="Y462">
        <v>306.85603520000001</v>
      </c>
      <c r="Z462">
        <v>969.24090309999997</v>
      </c>
      <c r="AA462">
        <v>714.90580790000001</v>
      </c>
      <c r="AB462">
        <v>252.22308430000001</v>
      </c>
      <c r="AC462">
        <v>208.4297225</v>
      </c>
      <c r="AD462">
        <v>71.451205139999999</v>
      </c>
      <c r="AE462">
        <v>30.105837650000002</v>
      </c>
      <c r="AF462">
        <v>75.732314439999996</v>
      </c>
    </row>
    <row r="463" spans="1:32" x14ac:dyDescent="0.2">
      <c r="A463" s="3">
        <v>2002</v>
      </c>
      <c r="B463">
        <f>'pm_24.dat '!B340</f>
        <v>13635855.0241549</v>
      </c>
      <c r="C463">
        <f>'pm_24.dat '!C340</f>
        <v>3947946.22365927</v>
      </c>
      <c r="D463">
        <f>'pm_24.dat '!D340</f>
        <v>7954137.7279658802</v>
      </c>
      <c r="E463">
        <f>'pm_24.dat '!E340</f>
        <v>12397079.289259201</v>
      </c>
      <c r="F463">
        <f>'pm_24.dat '!F340</f>
        <v>13675553.0055688</v>
      </c>
      <c r="G463">
        <f>'pm_24.dat '!G340</f>
        <v>17717869.8007573</v>
      </c>
      <c r="H463">
        <f>'pm_24.dat '!H340</f>
        <v>8844064.1329108905</v>
      </c>
      <c r="I463">
        <f>'pm_24.dat '!I340</f>
        <v>4275741.9949846901</v>
      </c>
      <c r="J463">
        <f>'pm_24.dat '!J340</f>
        <v>5723709.1558822701</v>
      </c>
      <c r="K463">
        <f>'pm_24.dat '!K340</f>
        <v>10676031.9783793</v>
      </c>
      <c r="L463">
        <f>'pm_24.dat '!L340</f>
        <v>5321374.60991868</v>
      </c>
      <c r="M463">
        <f>SUM('pm_24.dat '!M340:P340)</f>
        <v>4912675.7397907209</v>
      </c>
      <c r="N463" t="s">
        <v>99</v>
      </c>
      <c r="O463">
        <v>2002</v>
      </c>
      <c r="P463">
        <v>21</v>
      </c>
      <c r="Q463">
        <v>2002</v>
      </c>
      <c r="R463">
        <v>760.55382929999996</v>
      </c>
      <c r="S463">
        <v>424.7408193</v>
      </c>
      <c r="T463">
        <v>728.74240769999994</v>
      </c>
      <c r="U463">
        <v>1062.7683790000001</v>
      </c>
      <c r="V463">
        <v>1286.374689</v>
      </c>
      <c r="W463">
        <v>1660.633462</v>
      </c>
      <c r="X463">
        <v>921.22222739999995</v>
      </c>
      <c r="Y463">
        <v>473.44189699999998</v>
      </c>
      <c r="Z463">
        <v>571.30760220000002</v>
      </c>
      <c r="AA463">
        <v>1158.042158</v>
      </c>
      <c r="AB463">
        <v>552.15232209999999</v>
      </c>
      <c r="AC463">
        <v>250.47363669999999</v>
      </c>
      <c r="AD463">
        <v>148.64073690000001</v>
      </c>
      <c r="AE463">
        <v>42.595607280000003</v>
      </c>
      <c r="AF463">
        <v>41.67326413</v>
      </c>
    </row>
    <row r="464" spans="1:32" x14ac:dyDescent="0.2">
      <c r="A464" s="3">
        <v>2003</v>
      </c>
      <c r="B464">
        <f>'pm_24.dat '!B341</f>
        <v>5737576.9603504697</v>
      </c>
      <c r="C464">
        <f>'pm_24.dat '!C341</f>
        <v>1659415.14152671</v>
      </c>
      <c r="D464">
        <f>'pm_24.dat '!D341</f>
        <v>10661073.541534301</v>
      </c>
      <c r="E464">
        <f>'pm_24.dat '!E341</f>
        <v>18279647.401159301</v>
      </c>
      <c r="F464">
        <f>'pm_24.dat '!F341</f>
        <v>21598012.6217895</v>
      </c>
      <c r="G464">
        <f>'pm_24.dat '!G341</f>
        <v>17999136.579072099</v>
      </c>
      <c r="H464">
        <f>'pm_24.dat '!H341</f>
        <v>22581250.933334298</v>
      </c>
      <c r="I464">
        <f>'pm_24.dat '!I341</f>
        <v>11663681.3412534</v>
      </c>
      <c r="J464">
        <f>'pm_24.dat '!J341</f>
        <v>4860659.6331773102</v>
      </c>
      <c r="K464">
        <f>'pm_24.dat '!K341</f>
        <v>6354239.9680312304</v>
      </c>
      <c r="L464">
        <f>'pm_24.dat '!L341</f>
        <v>12371856.7544365</v>
      </c>
      <c r="M464">
        <f>SUM('pm_24.dat '!M341:P341)</f>
        <v>9891183.1940380279</v>
      </c>
      <c r="N464" t="s">
        <v>99</v>
      </c>
      <c r="O464">
        <v>2003</v>
      </c>
      <c r="P464">
        <v>22</v>
      </c>
      <c r="Q464">
        <v>2003</v>
      </c>
      <c r="R464">
        <v>412.04848620000001</v>
      </c>
      <c r="S464">
        <v>162.11164969999999</v>
      </c>
      <c r="T464">
        <v>684.20175280000001</v>
      </c>
      <c r="U464">
        <v>2062.8556119999998</v>
      </c>
      <c r="V464">
        <v>2201.3754370000001</v>
      </c>
      <c r="W464">
        <v>1995.361373</v>
      </c>
      <c r="X464">
        <v>2478.988617</v>
      </c>
      <c r="Y464">
        <v>1368.891973</v>
      </c>
      <c r="Z464">
        <v>576.14492029999997</v>
      </c>
      <c r="AA464">
        <v>887.58897379999996</v>
      </c>
      <c r="AB464">
        <v>1874.988949</v>
      </c>
      <c r="AC464">
        <v>759.25320650000003</v>
      </c>
      <c r="AD464">
        <v>282.56125509999998</v>
      </c>
      <c r="AE464">
        <v>102.6670262</v>
      </c>
      <c r="AF464">
        <v>69.379848850000002</v>
      </c>
    </row>
    <row r="465" spans="1:32" x14ac:dyDescent="0.2">
      <c r="A465" s="3">
        <v>2004</v>
      </c>
      <c r="B465">
        <f>'pm_24.dat '!B342</f>
        <v>3971309.62755587</v>
      </c>
      <c r="C465">
        <f>'pm_24.dat '!C342</f>
        <v>2661212.6778871301</v>
      </c>
      <c r="D465">
        <f>'pm_24.dat '!D342</f>
        <v>1887508.09233705</v>
      </c>
      <c r="E465">
        <f>'pm_24.dat '!E342</f>
        <v>16144529.582410499</v>
      </c>
      <c r="F465">
        <f>'pm_24.dat '!F342</f>
        <v>15888686.0489542</v>
      </c>
      <c r="G465">
        <f>'pm_24.dat '!G342</f>
        <v>11776407.943177801</v>
      </c>
      <c r="H465">
        <f>'pm_24.dat '!H342</f>
        <v>6574297.3892349899</v>
      </c>
      <c r="I465">
        <f>'pm_24.dat '!I342</f>
        <v>6943471.4836398</v>
      </c>
      <c r="J465">
        <f>'pm_24.dat '!J342</f>
        <v>3435546.6641396699</v>
      </c>
      <c r="K465">
        <f>'pm_24.dat '!K342</f>
        <v>2168119.4423035202</v>
      </c>
      <c r="L465">
        <f>'pm_24.dat '!L342</f>
        <v>2169458.4559832001</v>
      </c>
      <c r="M465">
        <f>SUM('pm_24.dat '!M342:P342)</f>
        <v>6576445.3816087125</v>
      </c>
      <c r="N465" t="s">
        <v>99</v>
      </c>
      <c r="O465">
        <v>2004</v>
      </c>
      <c r="P465">
        <v>23</v>
      </c>
      <c r="Q465">
        <v>2004</v>
      </c>
      <c r="R465">
        <v>367.36664109999998</v>
      </c>
      <c r="S465">
        <v>267.47566749999999</v>
      </c>
      <c r="T465">
        <v>155.98351980000001</v>
      </c>
      <c r="U465">
        <v>1249.6103169999999</v>
      </c>
      <c r="V465">
        <v>1438.6317019999999</v>
      </c>
      <c r="W465">
        <v>1048.6040559999999</v>
      </c>
      <c r="X465">
        <v>611.88980619999995</v>
      </c>
      <c r="Y465">
        <v>669.3780683</v>
      </c>
      <c r="Z465">
        <v>316.59438949999998</v>
      </c>
      <c r="AA465">
        <v>200.80826250000001</v>
      </c>
      <c r="AB465">
        <v>196.7647398</v>
      </c>
      <c r="AC465">
        <v>365.24477660000002</v>
      </c>
      <c r="AD465">
        <v>155.4052422</v>
      </c>
      <c r="AE465">
        <v>34.970835039999997</v>
      </c>
      <c r="AF465">
        <v>27.70396165</v>
      </c>
    </row>
    <row r="466" spans="1:32" x14ac:dyDescent="0.2">
      <c r="A466" s="3">
        <v>2005</v>
      </c>
      <c r="B466">
        <f>'pm_24.dat '!B343</f>
        <v>4008208.1618505502</v>
      </c>
      <c r="C466">
        <f>'pm_24.dat '!C343</f>
        <v>1475001.81060437</v>
      </c>
      <c r="D466">
        <f>'pm_24.dat '!D343</f>
        <v>2199280.00870999</v>
      </c>
      <c r="E466">
        <f>'pm_24.dat '!E343</f>
        <v>11044908.8662399</v>
      </c>
      <c r="F466">
        <f>'pm_24.dat '!F343</f>
        <v>32386920.078519501</v>
      </c>
      <c r="G466">
        <f>'pm_24.dat '!G343</f>
        <v>21787234.569160901</v>
      </c>
      <c r="H466">
        <f>'pm_24.dat '!H343</f>
        <v>11405131.1795658</v>
      </c>
      <c r="I466">
        <f>'pm_24.dat '!I343</f>
        <v>4548673.9516830603</v>
      </c>
      <c r="J466">
        <f>'pm_24.dat '!J343</f>
        <v>3869508.8158726399</v>
      </c>
      <c r="K466">
        <f>'pm_24.dat '!K343</f>
        <v>2702438.7559021199</v>
      </c>
      <c r="L466">
        <f>'pm_24.dat '!L343</f>
        <v>783657.36676774896</v>
      </c>
      <c r="M466">
        <f>SUM('pm_24.dat '!M343:P343)</f>
        <v>6456129.0184781896</v>
      </c>
      <c r="N466" t="s">
        <v>99</v>
      </c>
      <c r="O466">
        <v>2005</v>
      </c>
      <c r="P466">
        <v>24</v>
      </c>
      <c r="Q466">
        <v>2005</v>
      </c>
      <c r="R466">
        <v>383.36239169999999</v>
      </c>
      <c r="S466">
        <v>145.09923090000001</v>
      </c>
      <c r="T466">
        <v>195.2829102</v>
      </c>
      <c r="U466">
        <v>1027.8991140000001</v>
      </c>
      <c r="V466">
        <v>2746.6588179999999</v>
      </c>
      <c r="W466">
        <v>2210.216942</v>
      </c>
      <c r="X466">
        <v>1205.561731</v>
      </c>
      <c r="Y466">
        <v>446.83568960000002</v>
      </c>
      <c r="Z466">
        <v>382.02947419999998</v>
      </c>
      <c r="AA466">
        <v>275.53258160000001</v>
      </c>
      <c r="AB466">
        <v>73.979111360000005</v>
      </c>
      <c r="AC466">
        <v>148.7471841</v>
      </c>
      <c r="AD466">
        <v>266.95068880000002</v>
      </c>
      <c r="AE466">
        <v>95.009462569999997</v>
      </c>
      <c r="AF466">
        <v>90.187639820000001</v>
      </c>
    </row>
    <row r="467" spans="1:32" x14ac:dyDescent="0.2">
      <c r="A467" s="3">
        <v>2006</v>
      </c>
      <c r="B467">
        <f>'pm_24.dat '!B344</f>
        <v>8156013.5150606399</v>
      </c>
      <c r="C467">
        <f>'pm_24.dat '!C344</f>
        <v>754624.10763693601</v>
      </c>
      <c r="D467">
        <f>'pm_24.dat '!D344</f>
        <v>1134938.14698683</v>
      </c>
      <c r="E467">
        <f>'pm_24.dat '!E344</f>
        <v>5185575.9325116798</v>
      </c>
      <c r="F467">
        <f>'pm_24.dat '!F344</f>
        <v>13999692.682987301</v>
      </c>
      <c r="G467">
        <f>'pm_24.dat '!G344</f>
        <v>16450247.714172799</v>
      </c>
      <c r="H467">
        <f>'pm_24.dat '!H344</f>
        <v>9665799.2949382793</v>
      </c>
      <c r="I467">
        <f>'pm_24.dat '!I344</f>
        <v>4401420.8653991101</v>
      </c>
      <c r="J467">
        <f>'pm_24.dat '!J344</f>
        <v>2443650.57789393</v>
      </c>
      <c r="K467">
        <f>'pm_24.dat '!K344</f>
        <v>2038641.1422488501</v>
      </c>
      <c r="L467">
        <f>'pm_24.dat '!L344</f>
        <v>980045.78562935104</v>
      </c>
      <c r="M467">
        <f>SUM('pm_24.dat '!M344:P344)</f>
        <v>3865185.6840558993</v>
      </c>
      <c r="N467" t="s">
        <v>99</v>
      </c>
      <c r="O467">
        <v>2006</v>
      </c>
      <c r="P467">
        <v>25</v>
      </c>
      <c r="Q467">
        <v>2006</v>
      </c>
      <c r="R467">
        <v>865.76970070000004</v>
      </c>
      <c r="S467">
        <v>43.334324189999997</v>
      </c>
      <c r="T467">
        <v>44.802144220000002</v>
      </c>
      <c r="U467">
        <v>369.97049170000003</v>
      </c>
      <c r="V467">
        <v>989.9063572</v>
      </c>
      <c r="W467">
        <v>1268.5258080000001</v>
      </c>
      <c r="X467">
        <v>843.47770809999997</v>
      </c>
      <c r="Y467">
        <v>391.28760110000002</v>
      </c>
      <c r="Z467">
        <v>227.33087950000001</v>
      </c>
      <c r="AA467">
        <v>198.0631788</v>
      </c>
      <c r="AB467">
        <v>98.082940149999999</v>
      </c>
      <c r="AC467">
        <v>55.556970460000002</v>
      </c>
      <c r="AD467">
        <v>85.255491759999998</v>
      </c>
      <c r="AE467">
        <v>112.79168660000001</v>
      </c>
      <c r="AF467">
        <v>110.2386332</v>
      </c>
    </row>
    <row r="468" spans="1:32" x14ac:dyDescent="0.2">
      <c r="A468" s="3">
        <v>2007</v>
      </c>
      <c r="B468">
        <f>'pm_24.dat '!B345</f>
        <v>27341965.702982198</v>
      </c>
      <c r="C468">
        <f>'pm_24.dat '!C345</f>
        <v>678019.34163620695</v>
      </c>
      <c r="D468">
        <f>'pm_24.dat '!D345</f>
        <v>2210945.20084331</v>
      </c>
      <c r="E468">
        <f>'pm_24.dat '!E345</f>
        <v>7071104.0355054997</v>
      </c>
      <c r="F468">
        <f>'pm_24.dat '!F345</f>
        <v>22182197.296949901</v>
      </c>
      <c r="G468">
        <f>'pm_24.dat '!G345</f>
        <v>25081372.686613198</v>
      </c>
      <c r="H468">
        <f>'pm_24.dat '!H345</f>
        <v>16726703.7793504</v>
      </c>
      <c r="I468">
        <f>'pm_24.dat '!I345</f>
        <v>11659449.888640299</v>
      </c>
      <c r="J468">
        <f>'pm_24.dat '!J345</f>
        <v>4624081.6520319199</v>
      </c>
      <c r="K468">
        <f>'pm_24.dat '!K345</f>
        <v>1983255.7167177999</v>
      </c>
      <c r="L468">
        <f>'pm_24.dat '!L345</f>
        <v>1738549.0849266599</v>
      </c>
      <c r="M468">
        <f>SUM('pm_24.dat '!M345:P345)</f>
        <v>4954597.313280357</v>
      </c>
      <c r="N468" t="s">
        <v>99</v>
      </c>
      <c r="O468">
        <v>2007</v>
      </c>
      <c r="P468">
        <v>26</v>
      </c>
      <c r="Q468">
        <v>2007</v>
      </c>
      <c r="R468">
        <v>2338.2706240000002</v>
      </c>
      <c r="S468">
        <v>40.239941960000003</v>
      </c>
      <c r="T468">
        <v>100.6895743</v>
      </c>
      <c r="U468">
        <v>449.93250339999997</v>
      </c>
      <c r="V468">
        <v>1461.4734390000001</v>
      </c>
      <c r="W468">
        <v>1735.428733</v>
      </c>
      <c r="X468">
        <v>1281.2682669999999</v>
      </c>
      <c r="Y468">
        <v>902.20709239999996</v>
      </c>
      <c r="Z468">
        <v>390.4658713</v>
      </c>
      <c r="AA468">
        <v>165.78058619999999</v>
      </c>
      <c r="AB468">
        <v>148.18847790000001</v>
      </c>
      <c r="AC468">
        <v>146.33667790000001</v>
      </c>
      <c r="AD468">
        <v>60.808445370000001</v>
      </c>
      <c r="AE468">
        <v>82.492004269999995</v>
      </c>
      <c r="AF468">
        <v>146.21300149999999</v>
      </c>
    </row>
    <row r="469" spans="1:32" x14ac:dyDescent="0.2">
      <c r="A469" s="3">
        <v>2008</v>
      </c>
      <c r="B469">
        <f>'pm_24.dat '!B346</f>
        <v>5026908.8713395502</v>
      </c>
      <c r="C469">
        <f>'pm_24.dat '!C346</f>
        <v>1229266.3225861499</v>
      </c>
      <c r="D469">
        <f>'pm_24.dat '!D346</f>
        <v>1364744.5919717599</v>
      </c>
      <c r="E469">
        <f>'pm_24.dat '!E346</f>
        <v>2640640.5453404202</v>
      </c>
      <c r="F469">
        <f>'pm_24.dat '!F346</f>
        <v>7836966.4632843398</v>
      </c>
      <c r="G469">
        <f>'pm_24.dat '!G346</f>
        <v>15530947.6455134</v>
      </c>
      <c r="H469">
        <f>'pm_24.dat '!H346</f>
        <v>11319399.2877752</v>
      </c>
      <c r="I469">
        <f>'pm_24.dat '!I346</f>
        <v>7076204.9498563902</v>
      </c>
      <c r="J469">
        <f>'pm_24.dat '!J346</f>
        <v>4305625.6203512195</v>
      </c>
      <c r="K469">
        <f>'pm_24.dat '!K346</f>
        <v>1564026.58414144</v>
      </c>
      <c r="L469">
        <f>'pm_24.dat '!L346</f>
        <v>1276787.5681260601</v>
      </c>
      <c r="M469">
        <f>SUM('pm_24.dat '!M346:P346)</f>
        <v>3209367.0858287821</v>
      </c>
      <c r="N469" t="s">
        <v>99</v>
      </c>
      <c r="O469">
        <v>2008</v>
      </c>
      <c r="P469">
        <v>27</v>
      </c>
      <c r="Q469">
        <v>2008</v>
      </c>
      <c r="R469">
        <v>505.3932178</v>
      </c>
      <c r="S469">
        <v>92.704837850000004</v>
      </c>
      <c r="T469">
        <v>65.441565999999995</v>
      </c>
      <c r="U469">
        <v>147.37031930000001</v>
      </c>
      <c r="V469">
        <v>530.18034909999994</v>
      </c>
      <c r="W469">
        <v>1163.497505</v>
      </c>
      <c r="X469">
        <v>861.04710669999997</v>
      </c>
      <c r="Y469">
        <v>597.18806789999996</v>
      </c>
      <c r="Z469">
        <v>402.2826791</v>
      </c>
      <c r="AA469">
        <v>149.8513944</v>
      </c>
      <c r="AB469">
        <v>128.98020070000001</v>
      </c>
      <c r="AC469">
        <v>99.443682969999998</v>
      </c>
      <c r="AD469">
        <v>48.383504469999998</v>
      </c>
      <c r="AE469">
        <v>27.657988960000001</v>
      </c>
      <c r="AF469">
        <v>143.44230780000001</v>
      </c>
    </row>
    <row r="470" spans="1:32" x14ac:dyDescent="0.2">
      <c r="A470" s="3">
        <v>2009</v>
      </c>
      <c r="B470">
        <f>'pm_24.dat '!B347</f>
        <v>8423248.11151544</v>
      </c>
      <c r="C470">
        <f>'pm_24.dat '!C347</f>
        <v>2107005.9911137298</v>
      </c>
      <c r="D470">
        <f>'pm_24.dat '!D347</f>
        <v>4331186.1366522899</v>
      </c>
      <c r="E470">
        <f>'pm_24.dat '!E347</f>
        <v>4899554.0494928798</v>
      </c>
      <c r="F470">
        <f>'pm_24.dat '!F347</f>
        <v>3323841.6469736798</v>
      </c>
      <c r="G470">
        <f>'pm_24.dat '!G347</f>
        <v>5015183.0561546199</v>
      </c>
      <c r="H470">
        <f>'pm_24.dat '!H347</f>
        <v>7082004.0262393197</v>
      </c>
      <c r="I470">
        <f>'pm_24.dat '!I347</f>
        <v>5383262.17195589</v>
      </c>
      <c r="J470">
        <f>'pm_24.dat '!J347</f>
        <v>3854987.4527946599</v>
      </c>
      <c r="K470">
        <f>'pm_24.dat '!K347</f>
        <v>1755691.0759548401</v>
      </c>
      <c r="L470">
        <f>'pm_24.dat '!L347</f>
        <v>1104478.0272613401</v>
      </c>
      <c r="M470">
        <f>SUM('pm_24.dat '!M347:P347)</f>
        <v>1672976.2502320649</v>
      </c>
      <c r="N470" t="s">
        <v>99</v>
      </c>
      <c r="O470">
        <v>2009</v>
      </c>
      <c r="P470">
        <v>28</v>
      </c>
      <c r="Q470">
        <v>2009</v>
      </c>
      <c r="R470">
        <v>792.6282453</v>
      </c>
      <c r="S470">
        <v>137.85464529999999</v>
      </c>
      <c r="T470">
        <v>400.3639743</v>
      </c>
      <c r="U470">
        <v>458.4450119</v>
      </c>
      <c r="V470">
        <v>236.28524519999999</v>
      </c>
      <c r="W470">
        <v>361.6800513</v>
      </c>
      <c r="X470">
        <v>529.67116309999994</v>
      </c>
      <c r="Y470">
        <v>446.22518059999999</v>
      </c>
      <c r="Z470">
        <v>350.20588709999998</v>
      </c>
      <c r="AA470">
        <v>159.15267449999999</v>
      </c>
      <c r="AB470">
        <v>103.27225199999999</v>
      </c>
      <c r="AC470">
        <v>34.550091129999998</v>
      </c>
      <c r="AD470">
        <v>32.322988049999999</v>
      </c>
      <c r="AE470">
        <v>17.87744417</v>
      </c>
      <c r="AF470">
        <v>69.078350439999994</v>
      </c>
    </row>
    <row r="471" spans="1:32" x14ac:dyDescent="0.2">
      <c r="A471" s="3">
        <v>2010</v>
      </c>
      <c r="B471">
        <f>'pm_24.dat '!B348</f>
        <v>4800589.2047151998</v>
      </c>
      <c r="C471">
        <f>'pm_24.dat '!C348</f>
        <v>1346455.9479759</v>
      </c>
      <c r="D471">
        <f>'pm_24.dat '!D348</f>
        <v>3047328.7974732001</v>
      </c>
      <c r="E471">
        <f>'pm_24.dat '!E348</f>
        <v>40506328.7463082</v>
      </c>
      <c r="F471">
        <f>'pm_24.dat '!F348</f>
        <v>16685255.9173296</v>
      </c>
      <c r="G471">
        <f>'pm_24.dat '!G348</f>
        <v>4685657.7252336396</v>
      </c>
      <c r="H471">
        <f>'pm_24.dat '!H348</f>
        <v>3743015.8592007798</v>
      </c>
      <c r="I471">
        <f>'pm_24.dat '!I348</f>
        <v>3828855.5389574901</v>
      </c>
      <c r="J471">
        <f>'pm_24.dat '!J348</f>
        <v>3837498.5177275701</v>
      </c>
      <c r="K471">
        <f>'pm_24.dat '!K348</f>
        <v>2628770.46325295</v>
      </c>
      <c r="L471">
        <f>'pm_24.dat '!L348</f>
        <v>2237314.9572140998</v>
      </c>
      <c r="M471">
        <f>SUM('pm_24.dat '!M348:P348)</f>
        <v>2257346.9826619262</v>
      </c>
      <c r="N471" t="s">
        <v>99</v>
      </c>
      <c r="O471">
        <v>2010</v>
      </c>
      <c r="P471">
        <v>29</v>
      </c>
      <c r="Q471">
        <v>2010</v>
      </c>
      <c r="R471">
        <v>547.8481213</v>
      </c>
      <c r="S471">
        <v>119.20684799999999</v>
      </c>
      <c r="T471">
        <v>148.17051509999999</v>
      </c>
      <c r="U471">
        <v>2901.8500899999999</v>
      </c>
      <c r="V471">
        <v>1395.6144159999999</v>
      </c>
      <c r="W471">
        <v>414.20878540000001</v>
      </c>
      <c r="X471">
        <v>363.71516830000002</v>
      </c>
      <c r="Y471">
        <v>377.79818280000001</v>
      </c>
      <c r="Z471">
        <v>386.36648689999998</v>
      </c>
      <c r="AA471">
        <v>269.94465689999998</v>
      </c>
      <c r="AB471">
        <v>228.03405789999999</v>
      </c>
      <c r="AC471">
        <v>84.585818290000006</v>
      </c>
      <c r="AD471">
        <v>48.087422070000002</v>
      </c>
      <c r="AE471">
        <v>26.59874258</v>
      </c>
      <c r="AF471">
        <v>64.899256730000005</v>
      </c>
    </row>
    <row r="472" spans="1:32" x14ac:dyDescent="0.2">
      <c r="A472" s="3">
        <v>2011</v>
      </c>
      <c r="B472">
        <f>'pm_24.dat '!B349</f>
        <v>12920051.508882601</v>
      </c>
      <c r="C472">
        <f>'pm_24.dat '!C349</f>
        <v>1361769.3920551599</v>
      </c>
      <c r="D472">
        <f>'pm_24.dat '!D349</f>
        <v>3424695.7372248201</v>
      </c>
      <c r="E472">
        <f>'pm_24.dat '!E349</f>
        <v>4262527.4090895299</v>
      </c>
      <c r="F472">
        <f>'pm_24.dat '!F349</f>
        <v>21528083.6556524</v>
      </c>
      <c r="G472">
        <f>'pm_24.dat '!G349</f>
        <v>10427647.841868101</v>
      </c>
      <c r="H472">
        <f>'pm_24.dat '!H349</f>
        <v>2948261.1325651398</v>
      </c>
      <c r="I472">
        <f>'pm_24.dat '!I349</f>
        <v>1604116.7676845901</v>
      </c>
      <c r="J472">
        <f>'pm_24.dat '!J349</f>
        <v>2434947.2187868701</v>
      </c>
      <c r="K472">
        <f>'pm_24.dat '!K349</f>
        <v>2401882.8689918602</v>
      </c>
      <c r="L472">
        <f>'pm_24.dat '!L349</f>
        <v>2041112.0477622501</v>
      </c>
      <c r="M472">
        <f>SUM('pm_24.dat '!M349:P349)</f>
        <v>3518077.7720228136</v>
      </c>
      <c r="N472" t="s">
        <v>99</v>
      </c>
      <c r="O472">
        <v>2011</v>
      </c>
      <c r="P472">
        <v>30</v>
      </c>
      <c r="Q472">
        <v>2011</v>
      </c>
      <c r="R472">
        <v>1113.0317379999999</v>
      </c>
      <c r="S472">
        <v>101.40886380000001</v>
      </c>
      <c r="T472">
        <v>242.5612232</v>
      </c>
      <c r="U472">
        <v>363.86154399999998</v>
      </c>
      <c r="V472">
        <v>1787.825527</v>
      </c>
      <c r="W472">
        <v>907.69241009999996</v>
      </c>
      <c r="X472">
        <v>256.9825429</v>
      </c>
      <c r="Y472">
        <v>164.6150983</v>
      </c>
      <c r="Z472">
        <v>243.590833</v>
      </c>
      <c r="AA472">
        <v>234.98775810000001</v>
      </c>
      <c r="AB472">
        <v>186.08466390000001</v>
      </c>
      <c r="AC472">
        <v>152.18377820000001</v>
      </c>
      <c r="AD472">
        <v>59.106216119999999</v>
      </c>
      <c r="AE472">
        <v>30.301413589999999</v>
      </c>
      <c r="AF472">
        <v>79.933426990000001</v>
      </c>
    </row>
    <row r="473" spans="1:32" x14ac:dyDescent="0.2">
      <c r="A473" s="3">
        <v>2012</v>
      </c>
      <c r="B473">
        <f>'pm_24.dat '!B350</f>
        <v>12972591.788060199</v>
      </c>
      <c r="C473">
        <f>'pm_24.dat '!C350</f>
        <v>2087692.16509478</v>
      </c>
      <c r="D473">
        <f>'pm_24.dat '!D350</f>
        <v>4934353.7152756304</v>
      </c>
      <c r="E473">
        <f>'pm_24.dat '!E350</f>
        <v>42492643.243836798</v>
      </c>
      <c r="F473">
        <f>'pm_24.dat '!F350</f>
        <v>9645034.8595365491</v>
      </c>
      <c r="G473">
        <f>'pm_24.dat '!G350</f>
        <v>14441576.410553699</v>
      </c>
      <c r="H473">
        <f>'pm_24.dat '!H350</f>
        <v>4585875.8293913901</v>
      </c>
      <c r="I473">
        <f>'pm_24.dat '!I350</f>
        <v>1717604.0593898699</v>
      </c>
      <c r="J473">
        <f>'pm_24.dat '!J350</f>
        <v>1146282.599315</v>
      </c>
      <c r="K473">
        <f>'pm_24.dat '!K350</f>
        <v>1574203.58214513</v>
      </c>
      <c r="L473">
        <f>'pm_24.dat '!L350</f>
        <v>1266093.15511427</v>
      </c>
      <c r="M473">
        <f>SUM('pm_24.dat '!M350:P350)</f>
        <v>3021132.7724010833</v>
      </c>
      <c r="N473" t="s">
        <v>99</v>
      </c>
      <c r="O473">
        <v>2012</v>
      </c>
      <c r="P473">
        <v>31</v>
      </c>
      <c r="Q473">
        <v>2012</v>
      </c>
      <c r="R473">
        <v>1173.12375</v>
      </c>
      <c r="S473">
        <v>197.2742422</v>
      </c>
      <c r="T473">
        <v>380.40205459999999</v>
      </c>
      <c r="U473">
        <v>3199.2073350000001</v>
      </c>
      <c r="V473">
        <v>744.02254210000001</v>
      </c>
      <c r="W473">
        <v>1281.612543</v>
      </c>
      <c r="X473">
        <v>410.83421859999999</v>
      </c>
      <c r="Y473">
        <v>192.8252938</v>
      </c>
      <c r="Z473">
        <v>122.8037539</v>
      </c>
      <c r="AA473">
        <v>164.69137370000001</v>
      </c>
      <c r="AB473">
        <v>143.21940190000001</v>
      </c>
      <c r="AC473">
        <v>122.00564060000001</v>
      </c>
      <c r="AD473">
        <v>106.54744479999999</v>
      </c>
      <c r="AE473">
        <v>37.64430377</v>
      </c>
      <c r="AF473">
        <v>64.092165780000002</v>
      </c>
    </row>
    <row r="474" spans="1:32" x14ac:dyDescent="0.2">
      <c r="A474" s="3">
        <v>2013</v>
      </c>
      <c r="B474">
        <f>'pm_24.dat '!B351</f>
        <v>12516351.138061</v>
      </c>
      <c r="C474">
        <f>'pm_24.dat '!C351</f>
        <v>1331414.6955716801</v>
      </c>
      <c r="D474">
        <f>'pm_24.dat '!D351</f>
        <v>2719135.0689647798</v>
      </c>
      <c r="E474">
        <f>'pm_24.dat '!E351</f>
        <v>11312127.922041601</v>
      </c>
      <c r="F474">
        <f>'pm_24.dat '!F351</f>
        <v>54588377.210021503</v>
      </c>
      <c r="G474">
        <f>'pm_24.dat '!G351</f>
        <v>12315141.3228873</v>
      </c>
      <c r="H474">
        <f>'pm_24.dat '!H351</f>
        <v>7509078.6865230203</v>
      </c>
      <c r="I474">
        <f>'pm_24.dat '!I351</f>
        <v>2626977.4553217799</v>
      </c>
      <c r="J474">
        <f>'pm_24.dat '!J351</f>
        <v>889696.516048764</v>
      </c>
      <c r="K474">
        <f>'pm_24.dat '!K351</f>
        <v>795045.41157902498</v>
      </c>
      <c r="L474">
        <f>'pm_24.dat '!L351</f>
        <v>1044107.47463349</v>
      </c>
      <c r="M474">
        <f>SUM('pm_24.dat '!M351:P351)</f>
        <v>2595113.4720797399</v>
      </c>
      <c r="N474" t="s">
        <v>99</v>
      </c>
      <c r="O474">
        <v>2013</v>
      </c>
      <c r="P474">
        <v>32</v>
      </c>
      <c r="Q474">
        <v>2013</v>
      </c>
      <c r="R474">
        <v>1204.3984909999999</v>
      </c>
      <c r="S474">
        <v>88.582106289999999</v>
      </c>
      <c r="T474">
        <v>133.2787471</v>
      </c>
      <c r="U474">
        <v>958.17913799999997</v>
      </c>
      <c r="V474">
        <v>4953.0829999999996</v>
      </c>
      <c r="W474">
        <v>1171.1542099999999</v>
      </c>
      <c r="X474">
        <v>737.22006680000004</v>
      </c>
      <c r="Y474">
        <v>259.48299059999999</v>
      </c>
      <c r="Z474">
        <v>81.705477779999995</v>
      </c>
      <c r="AA474">
        <v>78.767345199999994</v>
      </c>
      <c r="AB474">
        <v>101.10626980000001</v>
      </c>
      <c r="AC474">
        <v>79.11921993</v>
      </c>
      <c r="AD474">
        <v>70.716528719999999</v>
      </c>
      <c r="AE474">
        <v>36.614740580000003</v>
      </c>
      <c r="AF474">
        <v>46.937537040000002</v>
      </c>
    </row>
    <row r="475" spans="1:32" x14ac:dyDescent="0.2">
      <c r="A475" s="3">
        <v>2014</v>
      </c>
      <c r="B475">
        <f>'pm_24.dat '!B352</f>
        <v>25378686.143507101</v>
      </c>
      <c r="C475">
        <f>'pm_24.dat '!C352</f>
        <v>4876512.2683694996</v>
      </c>
      <c r="D475">
        <f>'pm_24.dat '!D352</f>
        <v>2785092.37422011</v>
      </c>
      <c r="E475">
        <f>'pm_24.dat '!E352</f>
        <v>4941127.8173848204</v>
      </c>
      <c r="F475">
        <f>'pm_24.dat '!F352</f>
        <v>22998938.763282102</v>
      </c>
      <c r="G475">
        <f>'pm_24.dat '!G352</f>
        <v>77482489.417188898</v>
      </c>
      <c r="H475">
        <f>'pm_24.dat '!H352</f>
        <v>38209563.5122995</v>
      </c>
      <c r="I475">
        <f>'pm_24.dat '!I352</f>
        <v>8022328.7641793201</v>
      </c>
      <c r="J475">
        <f>'pm_24.dat '!J352</f>
        <v>4363180.8357622596</v>
      </c>
      <c r="K475">
        <f>'pm_24.dat '!K352</f>
        <v>1576299.4413270201</v>
      </c>
      <c r="L475">
        <f>'pm_24.dat '!L352</f>
        <v>617041.82808300003</v>
      </c>
      <c r="M475">
        <f>SUM('pm_24.dat '!M352:P352)</f>
        <v>3609888.3788069207</v>
      </c>
      <c r="N475" t="s">
        <v>99</v>
      </c>
      <c r="O475">
        <v>2014</v>
      </c>
      <c r="P475">
        <v>33</v>
      </c>
      <c r="Q475">
        <v>2014</v>
      </c>
      <c r="R475">
        <v>2237.7922509999999</v>
      </c>
      <c r="S475">
        <v>516.63557849999995</v>
      </c>
      <c r="T475">
        <v>105.893522</v>
      </c>
      <c r="U475">
        <v>382.28479420000002</v>
      </c>
      <c r="V475">
        <v>1691.108547</v>
      </c>
      <c r="W475">
        <v>6260.7929290000002</v>
      </c>
      <c r="X475">
        <v>3209.9858880000002</v>
      </c>
      <c r="Y475">
        <v>736.75283969999998</v>
      </c>
      <c r="Z475">
        <v>379.55037750000002</v>
      </c>
      <c r="AA475">
        <v>149.01421010000001</v>
      </c>
      <c r="AB475">
        <v>56.209581229999998</v>
      </c>
      <c r="AC475">
        <v>67.841648739999997</v>
      </c>
      <c r="AD475">
        <v>62.156830630000002</v>
      </c>
      <c r="AE475">
        <v>37.256111169999997</v>
      </c>
      <c r="AF475">
        <v>77.854003199999994</v>
      </c>
    </row>
    <row r="476" spans="1:32" x14ac:dyDescent="0.2">
      <c r="A476" s="3">
        <v>2015</v>
      </c>
      <c r="B476">
        <f>'pm_24.dat '!B353</f>
        <v>14570602.836345701</v>
      </c>
      <c r="C476">
        <f>'pm_24.dat '!C353</f>
        <v>9287210.0476073995</v>
      </c>
      <c r="D476">
        <f>'pm_24.dat '!D353</f>
        <v>27666360.964924</v>
      </c>
      <c r="E476">
        <f>'pm_24.dat '!E353</f>
        <v>7412849.3819824504</v>
      </c>
      <c r="F476">
        <f>'pm_24.dat '!F353</f>
        <v>15161330.593746999</v>
      </c>
      <c r="G476">
        <f>'pm_24.dat '!G353</f>
        <v>27357325.580514699</v>
      </c>
      <c r="H476">
        <f>'pm_24.dat '!H353</f>
        <v>51509441.954418197</v>
      </c>
      <c r="I476">
        <f>'pm_24.dat '!I353</f>
        <v>15215181.790152701</v>
      </c>
      <c r="J476">
        <f>'pm_24.dat '!J353</f>
        <v>3849752.0415055202</v>
      </c>
      <c r="K476">
        <f>'pm_24.dat '!K353</f>
        <v>1905497.56630907</v>
      </c>
      <c r="L476">
        <f>'pm_24.dat '!L353</f>
        <v>273243.76532811997</v>
      </c>
      <c r="M476">
        <f>SUM('pm_24.dat '!M353:P353)</f>
        <v>1738139.0733902939</v>
      </c>
      <c r="N476" t="s">
        <v>99</v>
      </c>
      <c r="O476">
        <v>2015</v>
      </c>
      <c r="P476">
        <v>34</v>
      </c>
      <c r="Q476">
        <v>2015</v>
      </c>
      <c r="R476">
        <v>1166.9765560000001</v>
      </c>
      <c r="S476">
        <v>770.78009220000001</v>
      </c>
      <c r="T476">
        <v>2165.7538220000001</v>
      </c>
      <c r="U476">
        <v>602.81803969999999</v>
      </c>
      <c r="V476">
        <v>1181.1527289999999</v>
      </c>
      <c r="W476">
        <v>2283.1912779999998</v>
      </c>
      <c r="X476">
        <v>4471.2403949999998</v>
      </c>
      <c r="Y476">
        <v>1324.234107</v>
      </c>
      <c r="Z476">
        <v>313.8023733</v>
      </c>
      <c r="AA476">
        <v>140.45121459999999</v>
      </c>
      <c r="AB476">
        <v>21.659886019999998</v>
      </c>
      <c r="AC476">
        <v>17.859490409999999</v>
      </c>
      <c r="AD476">
        <v>38.680261389999998</v>
      </c>
      <c r="AE476">
        <v>14.679118000000001</v>
      </c>
      <c r="AF476">
        <v>29.781029449999998</v>
      </c>
    </row>
    <row r="477" spans="1:32" x14ac:dyDescent="0.2">
      <c r="A477" s="3">
        <v>2016</v>
      </c>
      <c r="B477">
        <f>'pm_24.dat '!B354</f>
        <v>7941441.5278521702</v>
      </c>
      <c r="C477">
        <f>'pm_24.dat '!C354</f>
        <v>4933720.7832396897</v>
      </c>
      <c r="D477">
        <f>'pm_24.dat '!D354</f>
        <v>7280966.2906801198</v>
      </c>
      <c r="E477">
        <f>'pm_24.dat '!E354</f>
        <v>40234752.7736063</v>
      </c>
      <c r="F477">
        <f>'pm_24.dat '!F354</f>
        <v>16990612.895686999</v>
      </c>
      <c r="G477">
        <f>'pm_24.dat '!G354</f>
        <v>12002854.0187358</v>
      </c>
      <c r="H477">
        <f>'pm_24.dat '!H354</f>
        <v>17683480.832810201</v>
      </c>
      <c r="I477">
        <f>'pm_24.dat '!I354</f>
        <v>26916812.6824673</v>
      </c>
      <c r="J477">
        <f>'pm_24.dat '!J354</f>
        <v>5421347.8346778098</v>
      </c>
      <c r="K477">
        <f>'pm_24.dat '!K354</f>
        <v>2219756.7917613201</v>
      </c>
      <c r="L477">
        <f>'pm_24.dat '!L354</f>
        <v>800491.83111522696</v>
      </c>
      <c r="M477">
        <f>SUM('pm_24.dat '!M354:P354)</f>
        <v>563683.66454239923</v>
      </c>
      <c r="N477" t="s">
        <v>99</v>
      </c>
      <c r="O477">
        <v>2016</v>
      </c>
      <c r="P477">
        <v>35</v>
      </c>
      <c r="Q477">
        <v>2016</v>
      </c>
      <c r="R477">
        <v>733.82638110000005</v>
      </c>
      <c r="S477">
        <v>374.76087519999999</v>
      </c>
      <c r="T477">
        <v>646.23269470000002</v>
      </c>
      <c r="U477">
        <v>3257.5901090000002</v>
      </c>
      <c r="V477">
        <v>1340.8702940000001</v>
      </c>
      <c r="W477">
        <v>935.50827560000005</v>
      </c>
      <c r="X477">
        <v>1337.6439399999999</v>
      </c>
      <c r="Y477">
        <v>1908.6116589999999</v>
      </c>
      <c r="Z477">
        <v>372.43428130000001</v>
      </c>
      <c r="AA477">
        <v>141.9465807</v>
      </c>
      <c r="AB477">
        <v>47.451275109999997</v>
      </c>
      <c r="AC477">
        <v>10.093782620000001</v>
      </c>
      <c r="AD477">
        <v>8.2938984530000006</v>
      </c>
      <c r="AE477">
        <v>5.3656876379999998</v>
      </c>
      <c r="AF477">
        <v>3.9954627650000001</v>
      </c>
    </row>
    <row r="478" spans="1:32" x14ac:dyDescent="0.2">
      <c r="A478" s="3">
        <v>2017</v>
      </c>
      <c r="B478">
        <f>'pm_24.dat '!B355</f>
        <v>7835995.1838214099</v>
      </c>
      <c r="C478">
        <f>'pm_24.dat '!C355</f>
        <v>3214697.8162231301</v>
      </c>
      <c r="D478">
        <f>'pm_24.dat '!D355</f>
        <v>5449588.2010550797</v>
      </c>
      <c r="E478">
        <f>'pm_24.dat '!E355</f>
        <v>26483257.231641099</v>
      </c>
      <c r="F478">
        <f>'pm_24.dat '!F355</f>
        <v>34955817.768618599</v>
      </c>
      <c r="G478">
        <f>'pm_24.dat '!G355</f>
        <v>15973015.853458401</v>
      </c>
      <c r="H478">
        <f>'pm_24.dat '!H355</f>
        <v>12309447.3700897</v>
      </c>
      <c r="I478">
        <f>'pm_24.dat '!I355</f>
        <v>11547000.189348301</v>
      </c>
      <c r="J478">
        <f>'pm_24.dat '!J355</f>
        <v>14759950.209909</v>
      </c>
      <c r="K478">
        <f>'pm_24.dat '!K355</f>
        <v>4236452.4896050002</v>
      </c>
      <c r="L478">
        <f>'pm_24.dat '!L355</f>
        <v>1626289.8823387499</v>
      </c>
      <c r="M478">
        <f>SUM('pm_24.dat '!M355:P355)</f>
        <v>840871.68479827663</v>
      </c>
      <c r="N478" t="s">
        <v>99</v>
      </c>
      <c r="O478">
        <v>2017</v>
      </c>
      <c r="P478">
        <v>36</v>
      </c>
      <c r="Q478">
        <v>2017</v>
      </c>
      <c r="R478">
        <v>850.14334040000006</v>
      </c>
      <c r="S478">
        <v>248.5520018</v>
      </c>
      <c r="T478">
        <v>415.14366080000002</v>
      </c>
      <c r="U478">
        <v>2400.5041769999998</v>
      </c>
      <c r="V478">
        <v>3299.2502249999998</v>
      </c>
      <c r="W478">
        <v>1399.263132</v>
      </c>
      <c r="X478">
        <v>1096.166068</v>
      </c>
      <c r="Y478">
        <v>1082.41695</v>
      </c>
      <c r="Z478">
        <v>1354.028476</v>
      </c>
      <c r="AA478">
        <v>405.69169970000002</v>
      </c>
      <c r="AB478">
        <v>165.48954230000001</v>
      </c>
      <c r="AC478">
        <v>48.858806710000003</v>
      </c>
      <c r="AD478">
        <v>7.6317166590000003</v>
      </c>
      <c r="AE478">
        <v>9.5955395110000001</v>
      </c>
      <c r="AF478">
        <v>6.7768369450000003</v>
      </c>
    </row>
    <row r="479" spans="1:32" x14ac:dyDescent="0.2">
      <c r="A479" s="3">
        <v>2018</v>
      </c>
      <c r="B479">
        <f>'pm_24.dat '!B356</f>
        <v>11286192.270435501</v>
      </c>
      <c r="C479">
        <f>'pm_24.dat '!C356</f>
        <v>4732793.6619869601</v>
      </c>
      <c r="D479">
        <f>'pm_24.dat '!D356</f>
        <v>2514980.6017866801</v>
      </c>
      <c r="E479">
        <f>'pm_24.dat '!E356</f>
        <v>3644291.3317505601</v>
      </c>
      <c r="F479">
        <f>'pm_24.dat '!F356</f>
        <v>25017136.571692001</v>
      </c>
      <c r="G479">
        <f>'pm_24.dat '!G356</f>
        <v>15376458.9127289</v>
      </c>
      <c r="H479">
        <f>'pm_24.dat '!H356</f>
        <v>5329573.7819736497</v>
      </c>
      <c r="I479">
        <f>'pm_24.dat '!I356</f>
        <v>3877931.6350245699</v>
      </c>
      <c r="J479">
        <f>'pm_24.dat '!J356</f>
        <v>3983520.8119236901</v>
      </c>
      <c r="K479">
        <f>'pm_24.dat '!K356</f>
        <v>3265517.4227273301</v>
      </c>
      <c r="L479">
        <f>'pm_24.dat '!L356</f>
        <v>914786.24742378702</v>
      </c>
      <c r="M479">
        <f>SUM('pm_24.dat '!M356:P356)</f>
        <v>220264.60785659423</v>
      </c>
      <c r="N479" t="s">
        <v>99</v>
      </c>
      <c r="O479">
        <v>2018</v>
      </c>
      <c r="P479">
        <v>37</v>
      </c>
      <c r="Q479">
        <v>2018</v>
      </c>
      <c r="R479">
        <v>1027.1767110000001</v>
      </c>
      <c r="S479">
        <v>447.0252261</v>
      </c>
      <c r="T479">
        <v>161.12407909999999</v>
      </c>
      <c r="U479">
        <v>361.13536219999997</v>
      </c>
      <c r="V479">
        <v>2608.6212390000001</v>
      </c>
      <c r="W479">
        <v>1510.4136639999999</v>
      </c>
      <c r="X479">
        <v>501.09745329999998</v>
      </c>
      <c r="Y479">
        <v>372.57147170000002</v>
      </c>
      <c r="Z479">
        <v>374.80909359999998</v>
      </c>
      <c r="AA479">
        <v>280.82834539999999</v>
      </c>
      <c r="AB479">
        <v>91.133023980000004</v>
      </c>
      <c r="AC479">
        <v>12.6781042</v>
      </c>
      <c r="AD479">
        <v>1.6478187419999999</v>
      </c>
      <c r="AE479">
        <v>0</v>
      </c>
      <c r="AF479">
        <v>4.2027810399999996</v>
      </c>
    </row>
    <row r="480" spans="1:32" x14ac:dyDescent="0.2">
      <c r="A480" s="3">
        <v>2019</v>
      </c>
      <c r="B480">
        <f>'pm_24.dat '!B357</f>
        <v>26795702.009224299</v>
      </c>
      <c r="C480">
        <f>'pm_24.dat '!C357</f>
        <v>7133716.5654144697</v>
      </c>
      <c r="D480">
        <f>'pm_24.dat '!D357</f>
        <v>5930177.0410660496</v>
      </c>
      <c r="E480">
        <f>'pm_24.dat '!E357</f>
        <v>6152047.19672962</v>
      </c>
      <c r="F480">
        <f>'pm_24.dat '!F357</f>
        <v>17596778.628679901</v>
      </c>
      <c r="G480">
        <f>'pm_24.dat '!G357</f>
        <v>62768466.637020603</v>
      </c>
      <c r="H480">
        <f>'pm_24.dat '!H357</f>
        <v>25067658.534419999</v>
      </c>
      <c r="I480">
        <f>'pm_24.dat '!I357</f>
        <v>5958068.9450741997</v>
      </c>
      <c r="J480">
        <f>'pm_24.dat '!J357</f>
        <v>4295960.4012729004</v>
      </c>
      <c r="K480">
        <f>'pm_24.dat '!K357</f>
        <v>2541978.3243035902</v>
      </c>
      <c r="L480">
        <f>'pm_24.dat '!L357</f>
        <v>1336557.43998952</v>
      </c>
      <c r="M480">
        <f>SUM('pm_24.dat '!M357:P357)</f>
        <v>943469.61414016807</v>
      </c>
      <c r="N480" t="s">
        <v>99</v>
      </c>
      <c r="O480">
        <v>2019</v>
      </c>
      <c r="P480">
        <v>38</v>
      </c>
      <c r="Q480">
        <v>2019</v>
      </c>
      <c r="R480">
        <v>2545.287163</v>
      </c>
      <c r="S480">
        <v>659.17102260000001</v>
      </c>
      <c r="T480">
        <v>302.85380450000002</v>
      </c>
      <c r="U480">
        <v>487.00260539999999</v>
      </c>
      <c r="V480">
        <v>1464.4243530000001</v>
      </c>
      <c r="W480">
        <v>5476.5855799999999</v>
      </c>
      <c r="X480">
        <v>2240.5472599999998</v>
      </c>
      <c r="Y480">
        <v>560.71972540000002</v>
      </c>
      <c r="Z480">
        <v>426.00995610000001</v>
      </c>
      <c r="AA480">
        <v>244.1961129</v>
      </c>
      <c r="AB480">
        <v>132.18573689999999</v>
      </c>
      <c r="AC480">
        <v>56.222518829999999</v>
      </c>
      <c r="AD480">
        <v>23.290145240000001</v>
      </c>
      <c r="AE480">
        <v>14.16103019</v>
      </c>
      <c r="AF480">
        <v>0</v>
      </c>
    </row>
    <row r="481" spans="1:32" x14ac:dyDescent="0.2">
      <c r="A481" s="3">
        <v>2021</v>
      </c>
      <c r="B481">
        <f>'pm_24.dat '!B358</f>
        <v>10321941.107230401</v>
      </c>
      <c r="C481">
        <f>'pm_24.dat '!C358</f>
        <v>7980262.7680814303</v>
      </c>
      <c r="D481">
        <f>'pm_24.dat '!D358</f>
        <v>19643040.994242501</v>
      </c>
      <c r="E481">
        <f>'pm_24.dat '!E358</f>
        <v>7534073.0473998496</v>
      </c>
      <c r="F481">
        <f>'pm_24.dat '!F358</f>
        <v>6888789.5908251097</v>
      </c>
      <c r="G481">
        <f>'pm_24.dat '!G358</f>
        <v>5019764.1405570898</v>
      </c>
      <c r="H481">
        <f>'pm_24.dat '!H358</f>
        <v>12791898.633880099</v>
      </c>
      <c r="I481">
        <f>'pm_24.dat '!I358</f>
        <v>14770243.6181076</v>
      </c>
      <c r="J481">
        <f>'pm_24.dat '!J358</f>
        <v>3919545.9709568801</v>
      </c>
      <c r="K481">
        <f>'pm_24.dat '!K358</f>
        <v>1521761.9978549399</v>
      </c>
      <c r="L481">
        <f>'pm_24.dat '!L358</f>
        <v>1274924.0175382399</v>
      </c>
      <c r="M481">
        <f>SUM('pm_24.dat '!M358:P358)</f>
        <v>1177548.2249667263</v>
      </c>
      <c r="N481" t="s">
        <v>99</v>
      </c>
      <c r="O481">
        <v>2021</v>
      </c>
      <c r="P481">
        <v>39</v>
      </c>
      <c r="Q481">
        <v>2021</v>
      </c>
      <c r="R481">
        <v>905.80912439999997</v>
      </c>
      <c r="S481">
        <v>522.28667859999996</v>
      </c>
      <c r="T481">
        <v>1251.4794810000001</v>
      </c>
      <c r="U481">
        <v>667.51725829999998</v>
      </c>
      <c r="V481">
        <v>553.95522549999998</v>
      </c>
      <c r="W481">
        <v>434.65723969999999</v>
      </c>
      <c r="X481">
        <v>1174.0553179999999</v>
      </c>
      <c r="Y481">
        <v>1358.7252599999999</v>
      </c>
      <c r="Z481">
        <v>354.90140459999998</v>
      </c>
      <c r="AA481">
        <v>134.24052710000001</v>
      </c>
      <c r="AB481">
        <v>106.665633</v>
      </c>
      <c r="AC481">
        <v>71.741596900000005</v>
      </c>
      <c r="AD481">
        <v>13.93179595</v>
      </c>
      <c r="AE481">
        <v>10.10668218</v>
      </c>
      <c r="AF481">
        <v>2.5389371970000001</v>
      </c>
    </row>
    <row r="482" spans="1:32" x14ac:dyDescent="0.2">
      <c r="A482" s="3">
        <v>2022</v>
      </c>
      <c r="B482">
        <f>'pm_24.dat '!B359</f>
        <v>8119155.4789981097</v>
      </c>
      <c r="C482">
        <f>'pm_24.dat '!C359</f>
        <v>3512415.1722926102</v>
      </c>
      <c r="D482">
        <f>'pm_24.dat '!D359</f>
        <v>5999539.4952552496</v>
      </c>
      <c r="E482">
        <f>'pm_24.dat '!E359</f>
        <v>40060934.4575978</v>
      </c>
      <c r="F482">
        <f>'pm_24.dat '!F359</f>
        <v>18724630.110852499</v>
      </c>
      <c r="G482">
        <f>'pm_24.dat '!G359</f>
        <v>7295680.6874011699</v>
      </c>
      <c r="H482">
        <f>'pm_24.dat '!H359</f>
        <v>8107799.0645883</v>
      </c>
      <c r="I482">
        <f>'pm_24.dat '!I359</f>
        <v>11423969.807732601</v>
      </c>
      <c r="J482">
        <f>'pm_24.dat '!J359</f>
        <v>8559664.4369053897</v>
      </c>
      <c r="K482">
        <f>'pm_24.dat '!K359</f>
        <v>2718413.7017737101</v>
      </c>
      <c r="L482">
        <f>'pm_24.dat '!L359</f>
        <v>1159337.26925105</v>
      </c>
      <c r="M482">
        <f>SUM('pm_24.dat '!M359:P359)</f>
        <v>1573611.8383219999</v>
      </c>
      <c r="N482" t="s">
        <v>99</v>
      </c>
      <c r="O482">
        <v>2022</v>
      </c>
      <c r="P482">
        <v>40</v>
      </c>
      <c r="Q482">
        <v>2022</v>
      </c>
      <c r="R482">
        <v>904.49169140000004</v>
      </c>
      <c r="S482">
        <v>291.77647300000001</v>
      </c>
      <c r="T482">
        <v>499.8167186</v>
      </c>
      <c r="U482">
        <v>3218.022915</v>
      </c>
      <c r="V482">
        <v>1571.331983</v>
      </c>
      <c r="W482">
        <v>693.9172069</v>
      </c>
      <c r="X482">
        <v>763.44527989999995</v>
      </c>
      <c r="Y482">
        <v>1088.0849189999999</v>
      </c>
      <c r="Z482">
        <v>859.16645679999999</v>
      </c>
      <c r="AA482">
        <v>254.32565600000001</v>
      </c>
      <c r="AB482">
        <v>100.9948052</v>
      </c>
      <c r="AC482">
        <v>87.570169919999998</v>
      </c>
      <c r="AD482">
        <v>38.814025780000001</v>
      </c>
      <c r="AE482">
        <v>14.434969710000001</v>
      </c>
      <c r="AF482">
        <v>0</v>
      </c>
    </row>
    <row r="483" spans="1:32" x14ac:dyDescent="0.2">
      <c r="A483" s="3">
        <v>2023</v>
      </c>
      <c r="B483">
        <f>'pm_24.dat '!B360</f>
        <v>11137835.3580554</v>
      </c>
      <c r="C483">
        <f>'pm_24.dat '!C360</f>
        <v>3821529.6571778501</v>
      </c>
      <c r="D483">
        <f>'pm_24.dat '!D360</f>
        <v>3417362.30158898</v>
      </c>
      <c r="E483">
        <f>'pm_24.dat '!E360</f>
        <v>6362056.5565748001</v>
      </c>
      <c r="F483">
        <f>'pm_24.dat '!F360</f>
        <v>27500461.752457101</v>
      </c>
      <c r="G483">
        <f>'pm_24.dat '!G360</f>
        <v>8082480.3632932799</v>
      </c>
      <c r="H483">
        <f>'pm_24.dat '!H360</f>
        <v>4453183.5229307897</v>
      </c>
      <c r="I483">
        <f>'pm_24.dat '!I360</f>
        <v>4429531.4949839003</v>
      </c>
      <c r="J483">
        <f>'pm_24.dat '!J360</f>
        <v>7032284.8866445702</v>
      </c>
      <c r="K483">
        <f>'pm_24.dat '!K360</f>
        <v>4966833.3140758798</v>
      </c>
      <c r="L483">
        <f>'pm_24.dat '!L360</f>
        <v>1060140.98091226</v>
      </c>
      <c r="M483">
        <f>SUM('pm_24.dat '!M360:P360)</f>
        <v>934730.59264817799</v>
      </c>
      <c r="N483" t="s">
        <v>99</v>
      </c>
      <c r="O483">
        <v>2023</v>
      </c>
      <c r="P483">
        <v>41</v>
      </c>
      <c r="Q483">
        <v>2023</v>
      </c>
      <c r="R483">
        <v>1384.4532610000001</v>
      </c>
      <c r="S483">
        <v>328.97686970000001</v>
      </c>
      <c r="T483">
        <v>258.29274850000002</v>
      </c>
      <c r="U483">
        <v>627.12585469999999</v>
      </c>
      <c r="V483">
        <v>2680.683959</v>
      </c>
      <c r="W483">
        <v>630.04235349999999</v>
      </c>
      <c r="X483">
        <v>324.9391804</v>
      </c>
      <c r="Y483">
        <v>314.94236569999998</v>
      </c>
      <c r="Z483">
        <v>554.28892480000002</v>
      </c>
      <c r="AA483">
        <v>387.11098299999998</v>
      </c>
      <c r="AB483">
        <v>97.27787343</v>
      </c>
      <c r="AC483">
        <v>41.798398540000001</v>
      </c>
      <c r="AD483">
        <v>43.963521790000001</v>
      </c>
      <c r="AE483">
        <v>8.0563265120000001</v>
      </c>
      <c r="AF483">
        <v>11.05346883</v>
      </c>
    </row>
    <row r="484" spans="1:32" s="2" customFormat="1" x14ac:dyDescent="0.2">
      <c r="A484" s="3">
        <v>2024</v>
      </c>
      <c r="B484" s="2">
        <f>'pm_24.dat '!B361</f>
        <v>16262095.5924962</v>
      </c>
      <c r="C484" s="2">
        <f>'pm_24.dat '!C361</f>
        <v>10959913.955809601</v>
      </c>
      <c r="D484" s="2">
        <f>'pm_24.dat '!D361</f>
        <v>9746020.6600887198</v>
      </c>
      <c r="E484" s="2">
        <f>'pm_24.dat '!E361</f>
        <v>6623305.5987449903</v>
      </c>
      <c r="F484" s="2">
        <f>'pm_24.dat '!F361</f>
        <v>20779428.819194701</v>
      </c>
      <c r="G484" s="2">
        <f>'pm_24.dat '!G361</f>
        <v>68044769.383987904</v>
      </c>
      <c r="H484" s="2">
        <f>'pm_24.dat '!H361</f>
        <v>15085251.925883999</v>
      </c>
      <c r="I484" s="2">
        <f>'pm_24.dat '!I361</f>
        <v>4701781.4321535304</v>
      </c>
      <c r="J484" s="2">
        <f>'pm_24.dat '!J361</f>
        <v>4432455.9634271301</v>
      </c>
      <c r="K484" s="2">
        <f>'pm_24.dat '!K361</f>
        <v>3989283.0266505899</v>
      </c>
      <c r="L484" s="2">
        <f>'pm_24.dat '!L361</f>
        <v>2725271.1924725999</v>
      </c>
      <c r="M484" s="2">
        <f>SUM('pm_24.dat '!M361:P361)</f>
        <v>1517650.599722056</v>
      </c>
    </row>
    <row r="485" spans="1:32" x14ac:dyDescent="0.2">
      <c r="B485" t="s">
        <v>99</v>
      </c>
      <c r="C485" t="s">
        <v>178</v>
      </c>
    </row>
    <row r="486" spans="1:32" x14ac:dyDescent="0.2">
      <c r="A486" s="3">
        <v>1982</v>
      </c>
      <c r="B486">
        <f>[1]Sheet1!L144</f>
        <v>3.4802410000000002E-3</v>
      </c>
      <c r="C486">
        <f>[1]Sheet1!M144</f>
        <v>1.305424E-2</v>
      </c>
      <c r="D486">
        <f>[1]Sheet1!N144</f>
        <v>2.1475300000000003E-2</v>
      </c>
      <c r="E486">
        <f>[1]Sheet1!O144</f>
        <v>1.1127389999999999E-2</v>
      </c>
      <c r="F486">
        <f>[1]Sheet1!P144</f>
        <v>1.82894E-3</v>
      </c>
      <c r="G486">
        <f>[1]Sheet1!Q144</f>
        <v>4.799078E-3</v>
      </c>
      <c r="H486">
        <f>[1]Sheet1!R144</f>
        <v>1.8286509999999999E-2</v>
      </c>
      <c r="I486">
        <f>[1]Sheet1!S144</f>
        <v>5.0873499999999898E-2</v>
      </c>
      <c r="J486">
        <f>[1]Sheet1!T144</f>
        <v>8.1769800000000004E-2</v>
      </c>
      <c r="K486">
        <f>[1]Sheet1!U144</f>
        <v>5.47435E-2</v>
      </c>
      <c r="L486">
        <f>[1]Sheet1!V144</f>
        <v>3.8748999999999999E-2</v>
      </c>
      <c r="M486">
        <f>[1]Sheet1!W144</f>
        <v>6.3004099999999993E-2</v>
      </c>
      <c r="N486">
        <f>[1]Sheet1!X144</f>
        <v>0.1432495</v>
      </c>
      <c r="O486">
        <f>[1]Sheet1!Y144</f>
        <v>0.12579590000000002</v>
      </c>
      <c r="P486">
        <f>[1]Sheet1!Z144</f>
        <v>0.1209735</v>
      </c>
      <c r="Q486">
        <f>[1]Sheet1!AA144</f>
        <v>0.10506940000000001</v>
      </c>
      <c r="R486">
        <f>[1]Sheet1!AB144</f>
        <v>7.6361999999999999E-2</v>
      </c>
      <c r="S486">
        <f>[1]Sheet1!AC144</f>
        <v>3.9180380000000001E-2</v>
      </c>
      <c r="T486">
        <f>[1]Sheet1!AD144</f>
        <v>1.561599E-2</v>
      </c>
      <c r="U486">
        <f>[1]Sheet1!AE144</f>
        <v>7.2631410000000007E-3</v>
      </c>
      <c r="V486">
        <f>[1]Sheet1!AF144</f>
        <v>2.1427289999999999E-3</v>
      </c>
      <c r="W486">
        <f>[1]Sheet1!AG144</f>
        <v>7.9687099999999999E-4</v>
      </c>
      <c r="X486">
        <f>[1]Sheet1!AH144</f>
        <v>3.5906000000000002E-4</v>
      </c>
      <c r="Y486">
        <f>[1]Sheet1!AI144</f>
        <v>0</v>
      </c>
      <c r="Z486">
        <f>[1]Sheet1!AJ144</f>
        <v>0</v>
      </c>
      <c r="AA486" t="s">
        <v>99</v>
      </c>
      <c r="AB486">
        <v>1982</v>
      </c>
      <c r="AC486">
        <v>1</v>
      </c>
    </row>
    <row r="487" spans="1:32" x14ac:dyDescent="0.2">
      <c r="A487" s="3">
        <v>1983</v>
      </c>
      <c r="B487">
        <f>[1]Sheet1!L145</f>
        <v>6.4654852999999998E-2</v>
      </c>
      <c r="C487">
        <f>[1]Sheet1!M145</f>
        <v>0.10696080000000001</v>
      </c>
      <c r="D487">
        <f>[1]Sheet1!N145</f>
        <v>8.2289199999999993E-2</v>
      </c>
      <c r="E487">
        <f>[1]Sheet1!O145</f>
        <v>3.3773459999999998E-2</v>
      </c>
      <c r="F487">
        <f>[1]Sheet1!P145</f>
        <v>6.2037070000000001E-3</v>
      </c>
      <c r="G487">
        <f>[1]Sheet1!Q145</f>
        <v>4.3383069999999996E-3</v>
      </c>
      <c r="H487">
        <f>[1]Sheet1!R145</f>
        <v>1.5399259999999998E-2</v>
      </c>
      <c r="I487">
        <f>[1]Sheet1!S145</f>
        <v>3.3902210000000002E-2</v>
      </c>
      <c r="J487">
        <f>[1]Sheet1!T145</f>
        <v>3.9951600000000004E-2</v>
      </c>
      <c r="K487">
        <f>[1]Sheet1!U145</f>
        <v>2.2483920000000001E-2</v>
      </c>
      <c r="L487">
        <f>[1]Sheet1!V145</f>
        <v>1.8415789999999998E-2</v>
      </c>
      <c r="M487">
        <f>[1]Sheet1!W145</f>
        <v>3.8821800000000004E-2</v>
      </c>
      <c r="N487">
        <f>[1]Sheet1!X145</f>
        <v>0.11184520000000001</v>
      </c>
      <c r="O487">
        <f>[1]Sheet1!Y145</f>
        <v>9.6534099999999998E-2</v>
      </c>
      <c r="P487">
        <f>[1]Sheet1!Z145</f>
        <v>9.90505E-2</v>
      </c>
      <c r="Q487">
        <f>[1]Sheet1!AA145</f>
        <v>8.0924299999999991E-2</v>
      </c>
      <c r="R487">
        <f>[1]Sheet1!AB145</f>
        <v>6.576449999999999E-2</v>
      </c>
      <c r="S487">
        <f>[1]Sheet1!AC145</f>
        <v>4.4539479999999999E-2</v>
      </c>
      <c r="T487">
        <f>[1]Sheet1!AD145</f>
        <v>2.2216310000000003E-2</v>
      </c>
      <c r="U487">
        <f>[1]Sheet1!AE145</f>
        <v>8.6918529999999994E-3</v>
      </c>
      <c r="V487">
        <f>[1]Sheet1!AF145</f>
        <v>2.2922899999999998E-3</v>
      </c>
      <c r="W487">
        <f>[1]Sheet1!AG145</f>
        <v>5.5794500000000001E-4</v>
      </c>
      <c r="X487">
        <f>[1]Sheet1!AH145</f>
        <v>3.0021699999999998E-4</v>
      </c>
      <c r="Y487">
        <f>[1]Sheet1!AI145</f>
        <v>8.81E-5</v>
      </c>
      <c r="Z487">
        <f>[1]Sheet1!AJ145</f>
        <v>0</v>
      </c>
      <c r="AA487" t="s">
        <v>99</v>
      </c>
      <c r="AB487">
        <v>1983</v>
      </c>
      <c r="AC487">
        <v>2</v>
      </c>
    </row>
    <row r="488" spans="1:32" x14ac:dyDescent="0.2">
      <c r="A488" s="3">
        <v>1984</v>
      </c>
      <c r="B488">
        <f>[1]Sheet1!L146</f>
        <v>1.0071731E-2</v>
      </c>
      <c r="C488">
        <f>[1]Sheet1!M146</f>
        <v>7.9211799999999999E-3</v>
      </c>
      <c r="D488">
        <f>[1]Sheet1!N146</f>
        <v>8.3751500000000013E-3</v>
      </c>
      <c r="E488">
        <f>[1]Sheet1!O146</f>
        <v>1.376351E-2</v>
      </c>
      <c r="F488">
        <f>[1]Sheet1!P146</f>
        <v>3.6613889999999996E-2</v>
      </c>
      <c r="G488">
        <f>[1]Sheet1!Q146</f>
        <v>9.4873299999999994E-2</v>
      </c>
      <c r="H488">
        <f>[1]Sheet1!R146</f>
        <v>0.15036660000000002</v>
      </c>
      <c r="I488">
        <f>[1]Sheet1!S146</f>
        <v>0.1189412</v>
      </c>
      <c r="J488">
        <f>[1]Sheet1!T146</f>
        <v>7.0978900000000011E-2</v>
      </c>
      <c r="K488">
        <f>[1]Sheet1!U146</f>
        <v>2.9878429999999997E-2</v>
      </c>
      <c r="L488">
        <f>[1]Sheet1!V146</f>
        <v>1.980467E-2</v>
      </c>
      <c r="M488">
        <f>[1]Sheet1!W146</f>
        <v>2.1437909999999998E-2</v>
      </c>
      <c r="N488">
        <f>[1]Sheet1!X146</f>
        <v>4.5575649999999995E-2</v>
      </c>
      <c r="O488">
        <f>[1]Sheet1!Y146</f>
        <v>5.1835880000000001E-2</v>
      </c>
      <c r="P488">
        <f>[1]Sheet1!Z146</f>
        <v>7.6536500000000007E-2</v>
      </c>
      <c r="Q488">
        <f>[1]Sheet1!AA146</f>
        <v>7.5630200000000009E-2</v>
      </c>
      <c r="R488">
        <f>[1]Sheet1!AB146</f>
        <v>7.2697700000000004E-2</v>
      </c>
      <c r="S488">
        <f>[1]Sheet1!AC146</f>
        <v>4.5103240000000003E-2</v>
      </c>
      <c r="T488">
        <f>[1]Sheet1!AD146</f>
        <v>2.6867559999999999E-2</v>
      </c>
      <c r="U488">
        <f>[1]Sheet1!AE146</f>
        <v>1.2539449999999999E-2</v>
      </c>
      <c r="V488">
        <f>[1]Sheet1!AF146</f>
        <v>7.1355289999999998E-3</v>
      </c>
      <c r="W488">
        <f>[1]Sheet1!AG146</f>
        <v>2.1831910000000001E-3</v>
      </c>
      <c r="X488">
        <f>[1]Sheet1!AH146</f>
        <v>7.9885299999999998E-4</v>
      </c>
      <c r="Y488">
        <f>[1]Sheet1!AI146</f>
        <v>6.9900000000000005E-5</v>
      </c>
      <c r="Z488">
        <f>[1]Sheet1!AJ146</f>
        <v>0</v>
      </c>
      <c r="AA488" t="s">
        <v>99</v>
      </c>
      <c r="AB488">
        <v>1984</v>
      </c>
      <c r="AC488">
        <v>3</v>
      </c>
    </row>
    <row r="489" spans="1:32" x14ac:dyDescent="0.2">
      <c r="A489" s="3">
        <v>1985</v>
      </c>
      <c r="B489">
        <f>[1]Sheet1!L147</f>
        <v>2.0334079999999997E-2</v>
      </c>
      <c r="C489">
        <f>[1]Sheet1!M147</f>
        <v>3.8535239999999998E-2</v>
      </c>
      <c r="D489">
        <f>[1]Sheet1!N147</f>
        <v>7.0079900000000001E-2</v>
      </c>
      <c r="E489">
        <f>[1]Sheet1!O147</f>
        <v>9.9761700000000009E-2</v>
      </c>
      <c r="F489">
        <f>[1]Sheet1!P147</f>
        <v>8.5198099999999999E-2</v>
      </c>
      <c r="G489">
        <f>[1]Sheet1!Q147</f>
        <v>2.5704390000000001E-2</v>
      </c>
      <c r="H489">
        <f>[1]Sheet1!R147</f>
        <v>2.1673060000000001E-2</v>
      </c>
      <c r="I489">
        <f>[1]Sheet1!S147</f>
        <v>4.19152E-2</v>
      </c>
      <c r="J489">
        <f>[1]Sheet1!T147</f>
        <v>5.44761E-2</v>
      </c>
      <c r="K489">
        <f>[1]Sheet1!U147</f>
        <v>5.8087100000000003E-2</v>
      </c>
      <c r="L489">
        <f>[1]Sheet1!V147</f>
        <v>7.7957800000000008E-2</v>
      </c>
      <c r="M489">
        <f>[1]Sheet1!W147</f>
        <v>8.8610499999999995E-2</v>
      </c>
      <c r="N489">
        <f>[1]Sheet1!X147</f>
        <v>9.3971800000000008E-2</v>
      </c>
      <c r="O489">
        <f>[1]Sheet1!Y147</f>
        <v>3.4796569999999999E-2</v>
      </c>
      <c r="P489">
        <f>[1]Sheet1!Z147</f>
        <v>2.7603710000000004E-2</v>
      </c>
      <c r="Q489">
        <f>[1]Sheet1!AA147</f>
        <v>3.3346710000000002E-2</v>
      </c>
      <c r="R489">
        <f>[1]Sheet1!AB147</f>
        <v>4.2559199999999991E-2</v>
      </c>
      <c r="S489">
        <f>[1]Sheet1!AC147</f>
        <v>3.7394629999999998E-2</v>
      </c>
      <c r="T489">
        <f>[1]Sheet1!AD147</f>
        <v>2.7372590000000002E-2</v>
      </c>
      <c r="U489">
        <f>[1]Sheet1!AE147</f>
        <v>1.2724719999999998E-2</v>
      </c>
      <c r="V489">
        <f>[1]Sheet1!AF147</f>
        <v>4.955409E-3</v>
      </c>
      <c r="W489">
        <f>[1]Sheet1!AG147</f>
        <v>1.7109670000000001E-3</v>
      </c>
      <c r="X489">
        <f>[1]Sheet1!AH147</f>
        <v>1.0372999999999999E-3</v>
      </c>
      <c r="Y489">
        <f>[1]Sheet1!AI147</f>
        <v>1.93222E-4</v>
      </c>
      <c r="Z489">
        <f>[1]Sheet1!AJ147</f>
        <v>0</v>
      </c>
      <c r="AA489" t="s">
        <v>99</v>
      </c>
      <c r="AB489">
        <v>1985</v>
      </c>
      <c r="AC489">
        <v>4</v>
      </c>
    </row>
    <row r="490" spans="1:32" x14ac:dyDescent="0.2">
      <c r="A490" s="3">
        <v>1986</v>
      </c>
      <c r="B490">
        <f>[1]Sheet1!L148</f>
        <v>1.8812510000000001E-2</v>
      </c>
      <c r="C490">
        <f>[1]Sheet1!M148</f>
        <v>3.3044000000000004E-2</v>
      </c>
      <c r="D490">
        <f>[1]Sheet1!N148</f>
        <v>2.7349850000000002E-2</v>
      </c>
      <c r="E490">
        <f>[1]Sheet1!O148</f>
        <v>5.2798899999999998E-3</v>
      </c>
      <c r="F490">
        <f>[1]Sheet1!P148</f>
        <v>1.349702E-2</v>
      </c>
      <c r="G490">
        <f>[1]Sheet1!Q148</f>
        <v>6.6933800000000002E-2</v>
      </c>
      <c r="H490">
        <f>[1]Sheet1!R148</f>
        <v>0.12656339999999999</v>
      </c>
      <c r="I490">
        <f>[1]Sheet1!S148</f>
        <v>0.12187790000000001</v>
      </c>
      <c r="J490">
        <f>[1]Sheet1!T148</f>
        <v>9.1598799999999994E-2</v>
      </c>
      <c r="K490">
        <f>[1]Sheet1!U148</f>
        <v>5.86396E-2</v>
      </c>
      <c r="L490">
        <f>[1]Sheet1!V148</f>
        <v>2.9717879999999999E-2</v>
      </c>
      <c r="M490">
        <f>[1]Sheet1!W148</f>
        <v>3.1464099999999995E-2</v>
      </c>
      <c r="N490">
        <f>[1]Sheet1!X148</f>
        <v>7.3563500000000004E-2</v>
      </c>
      <c r="O490">
        <f>[1]Sheet1!Y148</f>
        <v>9.0210399999999996E-2</v>
      </c>
      <c r="P490">
        <f>[1]Sheet1!Z148</f>
        <v>6.9688299999999995E-2</v>
      </c>
      <c r="Q490">
        <f>[1]Sheet1!AA148</f>
        <v>3.6017310000000004E-2</v>
      </c>
      <c r="R490">
        <f>[1]Sheet1!AB148</f>
        <v>2.7368640000000003E-2</v>
      </c>
      <c r="S490">
        <f>[1]Sheet1!AC148</f>
        <v>2.8137540000000003E-2</v>
      </c>
      <c r="T490">
        <f>[1]Sheet1!AD148</f>
        <v>2.3833020000000003E-2</v>
      </c>
      <c r="U490">
        <f>[1]Sheet1!AE148</f>
        <v>1.341E-2</v>
      </c>
      <c r="V490">
        <f>[1]Sheet1!AF148</f>
        <v>7.9490000000000012E-3</v>
      </c>
      <c r="W490">
        <f>[1]Sheet1!AG148</f>
        <v>3.089362E-3</v>
      </c>
      <c r="X490">
        <f>[1]Sheet1!AH148</f>
        <v>1.3836720000000001E-3</v>
      </c>
      <c r="Y490">
        <f>[1]Sheet1!AI148</f>
        <v>5.7034100000000003E-4</v>
      </c>
      <c r="Z490">
        <f>[1]Sheet1!AJ148</f>
        <v>0</v>
      </c>
      <c r="AA490" t="s">
        <v>99</v>
      </c>
      <c r="AB490">
        <v>1986</v>
      </c>
      <c r="AC490">
        <v>5</v>
      </c>
    </row>
    <row r="491" spans="1:32" x14ac:dyDescent="0.2">
      <c r="A491" s="3">
        <v>1987</v>
      </c>
      <c r="B491">
        <f>[1]Sheet1!L149</f>
        <v>2.284379E-3</v>
      </c>
      <c r="C491">
        <f>[1]Sheet1!M149</f>
        <v>1.1490819999999999E-2</v>
      </c>
      <c r="D491">
        <f>[1]Sheet1!N149</f>
        <v>2.897781E-2</v>
      </c>
      <c r="E491">
        <f>[1]Sheet1!O149</f>
        <v>3.7171900000000001E-2</v>
      </c>
      <c r="F491">
        <f>[1]Sheet1!P149</f>
        <v>1.757601E-2</v>
      </c>
      <c r="G491">
        <f>[1]Sheet1!Q149</f>
        <v>2.4161490000000001E-2</v>
      </c>
      <c r="H491">
        <f>[1]Sheet1!R149</f>
        <v>5.5979899999999999E-2</v>
      </c>
      <c r="I491">
        <f>[1]Sheet1!S149</f>
        <v>8.60987E-2</v>
      </c>
      <c r="J491">
        <f>[1]Sheet1!T149</f>
        <v>6.7761000000000002E-2</v>
      </c>
      <c r="K491">
        <f>[1]Sheet1!U149</f>
        <v>5.3062300000000007E-2</v>
      </c>
      <c r="L491">
        <f>[1]Sheet1!V149</f>
        <v>6.9421300000000005E-2</v>
      </c>
      <c r="M491">
        <f>[1]Sheet1!W149</f>
        <v>9.3841499999999994E-2</v>
      </c>
      <c r="N491">
        <f>[1]Sheet1!X149</f>
        <v>0.1341627</v>
      </c>
      <c r="O491">
        <f>[1]Sheet1!Y149</f>
        <v>6.7366700000000002E-2</v>
      </c>
      <c r="P491">
        <f>[1]Sheet1!Z149</f>
        <v>5.5730729999999999E-2</v>
      </c>
      <c r="Q491">
        <f>[1]Sheet1!AA149</f>
        <v>6.0470700000000002E-2</v>
      </c>
      <c r="R491">
        <f>[1]Sheet1!AB149</f>
        <v>5.7602399999999998E-2</v>
      </c>
      <c r="S491">
        <f>[1]Sheet1!AC149</f>
        <v>3.3010120000000004E-2</v>
      </c>
      <c r="T491">
        <f>[1]Sheet1!AD149</f>
        <v>1.7974190000000001E-2</v>
      </c>
      <c r="U491">
        <f>[1]Sheet1!AE149</f>
        <v>1.5152209999999999E-2</v>
      </c>
      <c r="V491">
        <f>[1]Sheet1!AF149</f>
        <v>4.7671670000000001E-3</v>
      </c>
      <c r="W491">
        <f>[1]Sheet1!AG149</f>
        <v>3.8227090000000001E-3</v>
      </c>
      <c r="X491">
        <f>[1]Sheet1!AH149</f>
        <v>1.4750139999999998E-3</v>
      </c>
      <c r="Y491">
        <f>[1]Sheet1!AI149</f>
        <v>5.9544999999999997E-4</v>
      </c>
      <c r="Z491">
        <f>[1]Sheet1!AJ149</f>
        <v>4.2700000000000001E-5</v>
      </c>
      <c r="AA491" t="s">
        <v>99</v>
      </c>
      <c r="AB491">
        <v>1987</v>
      </c>
      <c r="AC491">
        <v>6</v>
      </c>
    </row>
    <row r="492" spans="1:32" x14ac:dyDescent="0.2">
      <c r="A492" s="3">
        <v>1988</v>
      </c>
      <c r="B492">
        <f>[1]Sheet1!L150</f>
        <v>1.5779520000000001E-3</v>
      </c>
      <c r="C492">
        <f>[1]Sheet1!M150</f>
        <v>6.9694099999999997E-3</v>
      </c>
      <c r="D492">
        <f>[1]Sheet1!N150</f>
        <v>9.1126799999999997E-3</v>
      </c>
      <c r="E492">
        <f>[1]Sheet1!O150</f>
        <v>7.3108500000000007E-3</v>
      </c>
      <c r="F492">
        <f>[1]Sheet1!P150</f>
        <v>1.5096229999999999E-2</v>
      </c>
      <c r="G492">
        <f>[1]Sheet1!Q150</f>
        <v>2.514858E-2</v>
      </c>
      <c r="H492">
        <f>[1]Sheet1!R150</f>
        <v>3.1805019999999996E-2</v>
      </c>
      <c r="I492">
        <f>[1]Sheet1!S150</f>
        <v>4.3841699999999997E-2</v>
      </c>
      <c r="J492">
        <f>[1]Sheet1!T150</f>
        <v>6.7458599999999994E-2</v>
      </c>
      <c r="K492">
        <f>[1]Sheet1!U150</f>
        <v>5.4699300000000006E-2</v>
      </c>
      <c r="L492">
        <f>[1]Sheet1!V150</f>
        <v>5.88037E-2</v>
      </c>
      <c r="M492">
        <f>[1]Sheet1!W150</f>
        <v>7.3744799999999999E-2</v>
      </c>
      <c r="N492">
        <f>[1]Sheet1!X150</f>
        <v>0.14009260000000001</v>
      </c>
      <c r="O492">
        <f>[1]Sheet1!Y150</f>
        <v>0.12558069999999999</v>
      </c>
      <c r="P492">
        <f>[1]Sheet1!Z150</f>
        <v>0.1051952</v>
      </c>
      <c r="Q492">
        <f>[1]Sheet1!AA150</f>
        <v>7.7561299999999986E-2</v>
      </c>
      <c r="R492">
        <f>[1]Sheet1!AB150</f>
        <v>5.2885309999999998E-2</v>
      </c>
      <c r="S492">
        <f>[1]Sheet1!AC150</f>
        <v>4.1950019999999998E-2</v>
      </c>
      <c r="T492">
        <f>[1]Sheet1!AD150</f>
        <v>2.8715999999999995E-2</v>
      </c>
      <c r="U492">
        <f>[1]Sheet1!AE150</f>
        <v>1.9033909999999998E-2</v>
      </c>
      <c r="V492">
        <f>[1]Sheet1!AF150</f>
        <v>6.7166229999999997E-3</v>
      </c>
      <c r="W492">
        <f>[1]Sheet1!AG150</f>
        <v>3.8062809999999999E-3</v>
      </c>
      <c r="X492">
        <f>[1]Sheet1!AH150</f>
        <v>2.1352720000000001E-3</v>
      </c>
      <c r="Y492">
        <f>[1]Sheet1!AI150</f>
        <v>3.8099299999999999E-4</v>
      </c>
      <c r="Z492">
        <f>[1]Sheet1!AJ150</f>
        <v>3.7693699999999999E-4</v>
      </c>
      <c r="AA492" t="s">
        <v>99</v>
      </c>
      <c r="AB492">
        <v>1988</v>
      </c>
      <c r="AC492">
        <v>7</v>
      </c>
    </row>
    <row r="493" spans="1:32" x14ac:dyDescent="0.2">
      <c r="A493" s="3">
        <v>1989</v>
      </c>
      <c r="B493">
        <f>[1]Sheet1!L151</f>
        <v>7.0996039999999998E-3</v>
      </c>
      <c r="C493">
        <f>[1]Sheet1!M151</f>
        <v>1.9031380000000001E-2</v>
      </c>
      <c r="D493">
        <f>[1]Sheet1!N151</f>
        <v>3.0897169999999998E-2</v>
      </c>
      <c r="E493">
        <f>[1]Sheet1!O151</f>
        <v>1.22296E-2</v>
      </c>
      <c r="F493">
        <f>[1]Sheet1!P151</f>
        <v>5.3994440000000006E-3</v>
      </c>
      <c r="G493">
        <f>[1]Sheet1!Q151</f>
        <v>6.5112599999999996E-3</v>
      </c>
      <c r="H493">
        <f>[1]Sheet1!R151</f>
        <v>7.6243100000000005E-3</v>
      </c>
      <c r="I493">
        <f>[1]Sheet1!S151</f>
        <v>9.4773200000000009E-3</v>
      </c>
      <c r="J493">
        <f>[1]Sheet1!T151</f>
        <v>2.0880049999999997E-2</v>
      </c>
      <c r="K493">
        <f>[1]Sheet1!U151</f>
        <v>3.64395E-2</v>
      </c>
      <c r="L493">
        <f>[1]Sheet1!V151</f>
        <v>3.401361E-2</v>
      </c>
      <c r="M493">
        <f>[1]Sheet1!W151</f>
        <v>4.2907000000000001E-2</v>
      </c>
      <c r="N493">
        <f>[1]Sheet1!X151</f>
        <v>8.9614799999999994E-2</v>
      </c>
      <c r="O493">
        <f>[1]Sheet1!Y151</f>
        <v>0.1221235</v>
      </c>
      <c r="P493">
        <f>[1]Sheet1!Z151</f>
        <v>0.1266322</v>
      </c>
      <c r="Q493">
        <f>[1]Sheet1!AA151</f>
        <v>0.1124367</v>
      </c>
      <c r="R493">
        <f>[1]Sheet1!AB151</f>
        <v>9.6166500000000002E-2</v>
      </c>
      <c r="S493">
        <f>[1]Sheet1!AC151</f>
        <v>8.1407800000000002E-2</v>
      </c>
      <c r="T493">
        <f>[1]Sheet1!AD151</f>
        <v>5.781532000000001E-2</v>
      </c>
      <c r="U493">
        <f>[1]Sheet1!AE151</f>
        <v>3.6206769999999999E-2</v>
      </c>
      <c r="V493">
        <f>[1]Sheet1!AF151</f>
        <v>2.0075370000000002E-2</v>
      </c>
      <c r="W493">
        <f>[1]Sheet1!AG151</f>
        <v>1.31263E-2</v>
      </c>
      <c r="X493">
        <f>[1]Sheet1!AH151</f>
        <v>6.7855759999999998E-3</v>
      </c>
      <c r="Y493">
        <f>[1]Sheet1!AI151</f>
        <v>5.0993610000000002E-3</v>
      </c>
      <c r="Z493">
        <f>[1]Sheet1!AJ151</f>
        <v>0</v>
      </c>
      <c r="AA493" t="s">
        <v>99</v>
      </c>
      <c r="AB493">
        <v>1989</v>
      </c>
      <c r="AC493">
        <v>8</v>
      </c>
    </row>
    <row r="494" spans="1:32" x14ac:dyDescent="0.2">
      <c r="A494" s="3">
        <v>1990</v>
      </c>
      <c r="B494">
        <f>[1]Sheet1!L152</f>
        <v>6.2215820000000005E-2</v>
      </c>
      <c r="C494">
        <f>[1]Sheet1!M152</f>
        <v>0.1000453</v>
      </c>
      <c r="D494">
        <f>[1]Sheet1!N152</f>
        <v>0.10769380000000001</v>
      </c>
      <c r="E494">
        <f>[1]Sheet1!O152</f>
        <v>4.6352000000000004E-2</v>
      </c>
      <c r="F494">
        <f>[1]Sheet1!P152</f>
        <v>2.099722E-2</v>
      </c>
      <c r="G494">
        <f>[1]Sheet1!Q152</f>
        <v>2.7832820000000001E-2</v>
      </c>
      <c r="H494">
        <f>[1]Sheet1!R152</f>
        <v>4.8842499999999997E-2</v>
      </c>
      <c r="I494">
        <f>[1]Sheet1!S152</f>
        <v>5.4327299999999995E-2</v>
      </c>
      <c r="J494">
        <f>[1]Sheet1!T152</f>
        <v>5.5720400000000003E-2</v>
      </c>
      <c r="K494">
        <f>[1]Sheet1!U152</f>
        <v>3.86243E-2</v>
      </c>
      <c r="L494">
        <f>[1]Sheet1!V152</f>
        <v>2.8966739999999998E-2</v>
      </c>
      <c r="M494">
        <f>[1]Sheet1!W152</f>
        <v>1.9139299999999998E-2</v>
      </c>
      <c r="N494">
        <f>[1]Sheet1!X152</f>
        <v>3.4013100000000004E-2</v>
      </c>
      <c r="O494">
        <f>[1]Sheet1!Y152</f>
        <v>4.7707689999999997E-2</v>
      </c>
      <c r="P494">
        <f>[1]Sheet1!Z152</f>
        <v>6.4913999999999999E-2</v>
      </c>
      <c r="Q494">
        <f>[1]Sheet1!AA152</f>
        <v>6.9349629999999995E-2</v>
      </c>
      <c r="R494">
        <f>[1]Sheet1!AB152</f>
        <v>5.3326519999999995E-2</v>
      </c>
      <c r="S494">
        <f>[1]Sheet1!AC152</f>
        <v>4.5192120000000002E-2</v>
      </c>
      <c r="T494">
        <f>[1]Sheet1!AD152</f>
        <v>3.0705020000000003E-2</v>
      </c>
      <c r="U494">
        <f>[1]Sheet1!AE152</f>
        <v>2.0521009999999999E-2</v>
      </c>
      <c r="V494">
        <f>[1]Sheet1!AF152</f>
        <v>1.2782379999999999E-2</v>
      </c>
      <c r="W494">
        <f>[1]Sheet1!AG152</f>
        <v>5.7266549999999998E-3</v>
      </c>
      <c r="X494">
        <f>[1]Sheet1!AH152</f>
        <v>3.4619939999999999E-3</v>
      </c>
      <c r="Y494">
        <f>[1]Sheet1!AI152</f>
        <v>1.2690729999999999E-3</v>
      </c>
      <c r="Z494">
        <f>[1]Sheet1!AJ152</f>
        <v>2.7326E-4</v>
      </c>
      <c r="AA494" t="s">
        <v>99</v>
      </c>
      <c r="AB494">
        <v>1990</v>
      </c>
      <c r="AC494">
        <v>9</v>
      </c>
    </row>
    <row r="495" spans="1:32" x14ac:dyDescent="0.2">
      <c r="A495" s="3">
        <v>1991</v>
      </c>
      <c r="B495">
        <f>[1]Sheet1!L153</f>
        <v>3.3660611E-2</v>
      </c>
      <c r="C495">
        <f>[1]Sheet1!M153</f>
        <v>6.0799900000000004E-2</v>
      </c>
      <c r="D495">
        <f>[1]Sheet1!N153</f>
        <v>5.4858199999999996E-2</v>
      </c>
      <c r="E495">
        <f>[1]Sheet1!O153</f>
        <v>4.5257599999999995E-2</v>
      </c>
      <c r="F495">
        <f>[1]Sheet1!P153</f>
        <v>3.0828370000000001E-2</v>
      </c>
      <c r="G495">
        <f>[1]Sheet1!Q153</f>
        <v>5.0754599999999997E-2</v>
      </c>
      <c r="H495">
        <f>[1]Sheet1!R153</f>
        <v>0.1034878</v>
      </c>
      <c r="I495">
        <f>[1]Sheet1!S153</f>
        <v>0.1361619</v>
      </c>
      <c r="J495">
        <f>[1]Sheet1!T153</f>
        <v>0.11299819999999999</v>
      </c>
      <c r="K495">
        <f>[1]Sheet1!U153</f>
        <v>7.0354600000000003E-2</v>
      </c>
      <c r="L495">
        <f>[1]Sheet1!V153</f>
        <v>3.7398689999999998E-2</v>
      </c>
      <c r="M495">
        <f>[1]Sheet1!W153</f>
        <v>2.4091839999999989E-2</v>
      </c>
      <c r="N495">
        <f>[1]Sheet1!X153</f>
        <v>4.1099360000000001E-2</v>
      </c>
      <c r="O495">
        <f>[1]Sheet1!Y153</f>
        <v>4.4312890000000001E-2</v>
      </c>
      <c r="P495">
        <f>[1]Sheet1!Z153</f>
        <v>3.2141929999999999E-2</v>
      </c>
      <c r="Q495">
        <f>[1]Sheet1!AA153</f>
        <v>2.7635960000000001E-2</v>
      </c>
      <c r="R495">
        <f>[1]Sheet1!AB153</f>
        <v>3.1404040000000001E-2</v>
      </c>
      <c r="S495">
        <f>[1]Sheet1!AC153</f>
        <v>2.2526860000000003E-2</v>
      </c>
      <c r="T495">
        <f>[1]Sheet1!AD153</f>
        <v>1.360806E-2</v>
      </c>
      <c r="U495">
        <f>[1]Sheet1!AE153</f>
        <v>1.449169E-2</v>
      </c>
      <c r="V495">
        <f>[1]Sheet1!AF153</f>
        <v>5.8945170000000002E-3</v>
      </c>
      <c r="W495">
        <f>[1]Sheet1!AG153</f>
        <v>2.8661850000000003E-3</v>
      </c>
      <c r="X495">
        <f>[1]Sheet1!AH153</f>
        <v>2.1377690000000003E-3</v>
      </c>
      <c r="Y495">
        <f>[1]Sheet1!AI153</f>
        <v>1.0424729999999999E-3</v>
      </c>
      <c r="Z495">
        <f>[1]Sheet1!AJ153</f>
        <v>1.86064E-4</v>
      </c>
      <c r="AA495" t="s">
        <v>99</v>
      </c>
      <c r="AB495">
        <v>1991</v>
      </c>
      <c r="AC495">
        <v>10</v>
      </c>
    </row>
    <row r="496" spans="1:32" x14ac:dyDescent="0.2">
      <c r="A496" s="3">
        <v>1992</v>
      </c>
      <c r="B496">
        <f>[1]Sheet1!L154</f>
        <v>1.0265E-2</v>
      </c>
      <c r="C496">
        <f>[1]Sheet1!M154</f>
        <v>5.7109200000000006E-2</v>
      </c>
      <c r="D496">
        <f>[1]Sheet1!N154</f>
        <v>5.9200000000000003E-2</v>
      </c>
      <c r="E496">
        <f>[1]Sheet1!O154</f>
        <v>7.2283100000000003E-2</v>
      </c>
      <c r="F496">
        <f>[1]Sheet1!P154</f>
        <v>4.7526799999999994E-2</v>
      </c>
      <c r="G496">
        <f>[1]Sheet1!Q154</f>
        <v>6.0924100000000002E-2</v>
      </c>
      <c r="H496">
        <f>[1]Sheet1!R154</f>
        <v>9.7935500000000009E-2</v>
      </c>
      <c r="I496">
        <f>[1]Sheet1!S154</f>
        <v>0.10733369999999999</v>
      </c>
      <c r="J496">
        <f>[1]Sheet1!T154</f>
        <v>7.9479599999999997E-2</v>
      </c>
      <c r="K496">
        <f>[1]Sheet1!U154</f>
        <v>4.7134000000000002E-2</v>
      </c>
      <c r="L496">
        <f>[1]Sheet1!V154</f>
        <v>5.6486599999999998E-2</v>
      </c>
      <c r="M496">
        <f>[1]Sheet1!W154</f>
        <v>6.7488199999999998E-2</v>
      </c>
      <c r="N496">
        <f>[1]Sheet1!X154</f>
        <v>8.5787699999999995E-2</v>
      </c>
      <c r="O496">
        <f>[1]Sheet1!Y154</f>
        <v>4.6586449999999995E-2</v>
      </c>
      <c r="P496">
        <f>[1]Sheet1!Z154</f>
        <v>2.4555230000000004E-2</v>
      </c>
      <c r="Q496">
        <f>[1]Sheet1!AA154</f>
        <v>2.1085220000000002E-2</v>
      </c>
      <c r="R496">
        <f>[1]Sheet1!AB154</f>
        <v>1.7618590000000003E-2</v>
      </c>
      <c r="S496">
        <f>[1]Sheet1!AC154</f>
        <v>1.0045699999999999E-2</v>
      </c>
      <c r="T496">
        <f>[1]Sheet1!AD154</f>
        <v>1.1465319999999999E-2</v>
      </c>
      <c r="U496">
        <f>[1]Sheet1!AE154</f>
        <v>7.2691500000000003E-3</v>
      </c>
      <c r="V496">
        <f>[1]Sheet1!AF154</f>
        <v>5.1798979999999996E-3</v>
      </c>
      <c r="W496">
        <f>[1]Sheet1!AG154</f>
        <v>3.1297010000000004E-3</v>
      </c>
      <c r="X496">
        <f>[1]Sheet1!AH154</f>
        <v>2.6236510000000003E-3</v>
      </c>
      <c r="Y496">
        <f>[1]Sheet1!AI154</f>
        <v>1.227501E-3</v>
      </c>
      <c r="Z496">
        <f>[1]Sheet1!AJ154</f>
        <v>2.5999999999999998E-4</v>
      </c>
      <c r="AA496" t="s">
        <v>99</v>
      </c>
      <c r="AB496">
        <v>1992</v>
      </c>
      <c r="AC496">
        <v>11</v>
      </c>
    </row>
    <row r="497" spans="1:29" x14ac:dyDescent="0.2">
      <c r="A497" s="3">
        <v>1993</v>
      </c>
      <c r="B497">
        <f>[1]Sheet1!L155</f>
        <v>2.9223959000000001E-2</v>
      </c>
      <c r="C497">
        <f>[1]Sheet1!M155</f>
        <v>0.1078192</v>
      </c>
      <c r="D497">
        <f>[1]Sheet1!N155</f>
        <v>9.53711E-2</v>
      </c>
      <c r="E497">
        <f>[1]Sheet1!O155</f>
        <v>9.3678600000000001E-2</v>
      </c>
      <c r="F497">
        <f>[1]Sheet1!P155</f>
        <v>4.2804380000000003E-2</v>
      </c>
      <c r="G497">
        <f>[1]Sheet1!Q155</f>
        <v>1.758798E-2</v>
      </c>
      <c r="H497">
        <f>[1]Sheet1!R155</f>
        <v>3.3957299999999996E-2</v>
      </c>
      <c r="I497">
        <f>[1]Sheet1!S155</f>
        <v>7.0054000000000005E-2</v>
      </c>
      <c r="J497">
        <f>[1]Sheet1!T155</f>
        <v>7.6897500000000008E-2</v>
      </c>
      <c r="K497">
        <f>[1]Sheet1!U155</f>
        <v>5.5175500000000002E-2</v>
      </c>
      <c r="L497">
        <f>[1]Sheet1!V155</f>
        <v>5.0748100000000004E-2</v>
      </c>
      <c r="M497">
        <f>[1]Sheet1!W155</f>
        <v>6.4956600000000003E-2</v>
      </c>
      <c r="N497">
        <f>[1]Sheet1!X155</f>
        <v>9.7351400000000005E-2</v>
      </c>
      <c r="O497">
        <f>[1]Sheet1!Y155</f>
        <v>5.93985E-2</v>
      </c>
      <c r="P497">
        <f>[1]Sheet1!Z155</f>
        <v>3.4766770000000002E-2</v>
      </c>
      <c r="Q497">
        <f>[1]Sheet1!AA155</f>
        <v>2.5746399999999996E-2</v>
      </c>
      <c r="R497">
        <f>[1]Sheet1!AB155</f>
        <v>1.828579E-2</v>
      </c>
      <c r="S497">
        <f>[1]Sheet1!AC155</f>
        <v>7.2134899999999995E-3</v>
      </c>
      <c r="T497">
        <f>[1]Sheet1!AD155</f>
        <v>5.6676799999999996E-3</v>
      </c>
      <c r="U497">
        <f>[1]Sheet1!AE155</f>
        <v>4.5299980000000004E-3</v>
      </c>
      <c r="V497">
        <f>[1]Sheet1!AF155</f>
        <v>2.9312420000000001E-3</v>
      </c>
      <c r="W497">
        <f>[1]Sheet1!AG155</f>
        <v>2.2962910000000002E-3</v>
      </c>
      <c r="X497">
        <f>[1]Sheet1!AH155</f>
        <v>1.7345969999999998E-3</v>
      </c>
      <c r="Y497">
        <f>[1]Sheet1!AI155</f>
        <v>1.4846059999999999E-3</v>
      </c>
      <c r="Z497">
        <f>[1]Sheet1!AJ155</f>
        <v>3.1910299999999994E-4</v>
      </c>
      <c r="AA497" t="s">
        <v>99</v>
      </c>
      <c r="AB497">
        <v>1993</v>
      </c>
      <c r="AC497">
        <v>12</v>
      </c>
    </row>
    <row r="498" spans="1:29" x14ac:dyDescent="0.2">
      <c r="A498" s="3">
        <v>1994</v>
      </c>
      <c r="B498">
        <f>[1]Sheet1!L156</f>
        <v>3.22311E-3</v>
      </c>
      <c r="C498">
        <f>[1]Sheet1!M156</f>
        <v>1.492901E-2</v>
      </c>
      <c r="D498">
        <f>[1]Sheet1!N156</f>
        <v>2.254333E-2</v>
      </c>
      <c r="E498">
        <f>[1]Sheet1!O156</f>
        <v>2.5096840000000002E-2</v>
      </c>
      <c r="F498">
        <f>[1]Sheet1!P156</f>
        <v>2.5317770000000003E-2</v>
      </c>
      <c r="G498">
        <f>[1]Sheet1!Q156</f>
        <v>3.9892799999999999E-2</v>
      </c>
      <c r="H498">
        <f>[1]Sheet1!R156</f>
        <v>9.4684299999999999E-2</v>
      </c>
      <c r="I498">
        <f>[1]Sheet1!S156</f>
        <v>0.153643</v>
      </c>
      <c r="J498">
        <f>[1]Sheet1!T156</f>
        <v>0.12783079999999999</v>
      </c>
      <c r="K498">
        <f>[1]Sheet1!U156</f>
        <v>6.0651799999999999E-2</v>
      </c>
      <c r="L498">
        <f>[1]Sheet1!V156</f>
        <v>2.5999999999999995E-2</v>
      </c>
      <c r="M498">
        <f>[1]Sheet1!W156</f>
        <v>4.1068900000000005E-2</v>
      </c>
      <c r="N498">
        <f>[1]Sheet1!X156</f>
        <v>8.7369199999999994E-2</v>
      </c>
      <c r="O498">
        <f>[1]Sheet1!Y156</f>
        <v>6.8730800000000009E-2</v>
      </c>
      <c r="P498">
        <f>[1]Sheet1!Z156</f>
        <v>7.8572000000000003E-2</v>
      </c>
      <c r="Q498">
        <f>[1]Sheet1!AA156</f>
        <v>6.1148499999999995E-2</v>
      </c>
      <c r="R498">
        <f>[1]Sheet1!AB156</f>
        <v>3.61239E-2</v>
      </c>
      <c r="S498">
        <f>[1]Sheet1!AC156</f>
        <v>1.4646820000000001E-2</v>
      </c>
      <c r="T498">
        <f>[1]Sheet1!AD156</f>
        <v>5.8637470000000008E-3</v>
      </c>
      <c r="U498">
        <f>[1]Sheet1!AE156</f>
        <v>3.2405240000000003E-3</v>
      </c>
      <c r="V498">
        <f>[1]Sheet1!AF156</f>
        <v>4.306102E-3</v>
      </c>
      <c r="W498">
        <f>[1]Sheet1!AG156</f>
        <v>2.0843760000000002E-3</v>
      </c>
      <c r="X498">
        <f>[1]Sheet1!AH156</f>
        <v>1.043542E-3</v>
      </c>
      <c r="Y498">
        <f>[1]Sheet1!AI156</f>
        <v>1.882634E-3</v>
      </c>
      <c r="Z498">
        <f>[1]Sheet1!AJ156</f>
        <v>1.0620000000000001E-4</v>
      </c>
      <c r="AA498" t="s">
        <v>99</v>
      </c>
      <c r="AB498">
        <v>1994</v>
      </c>
      <c r="AC498">
        <v>13</v>
      </c>
    </row>
    <row r="499" spans="1:29" x14ac:dyDescent="0.2">
      <c r="A499" s="3">
        <v>1995</v>
      </c>
      <c r="B499">
        <f>[1]Sheet1!L157</f>
        <v>4.705486E-3</v>
      </c>
      <c r="C499">
        <f>[1]Sheet1!M157</f>
        <v>1.0596649999999999E-2</v>
      </c>
      <c r="D499">
        <f>[1]Sheet1!N157</f>
        <v>1.706585E-2</v>
      </c>
      <c r="E499">
        <f>[1]Sheet1!O157</f>
        <v>1.9931710000000002E-2</v>
      </c>
      <c r="F499">
        <f>[1]Sheet1!P157</f>
        <v>8.6542800000000003E-3</v>
      </c>
      <c r="G499">
        <f>[1]Sheet1!Q157</f>
        <v>2.651363E-2</v>
      </c>
      <c r="H499">
        <f>[1]Sheet1!R157</f>
        <v>6.3151200000000005E-2</v>
      </c>
      <c r="I499">
        <f>[1]Sheet1!S157</f>
        <v>7.4843499999999993E-2</v>
      </c>
      <c r="J499">
        <f>[1]Sheet1!T157</f>
        <v>6.1993700000000006E-2</v>
      </c>
      <c r="K499">
        <f>[1]Sheet1!U157</f>
        <v>8.7241000000000013E-2</v>
      </c>
      <c r="L499">
        <f>[1]Sheet1!V157</f>
        <v>0.12659900000000002</v>
      </c>
      <c r="M499">
        <f>[1]Sheet1!W157</f>
        <v>0.12557270000000001</v>
      </c>
      <c r="N499">
        <f>[1]Sheet1!X157</f>
        <v>0.12668070000000001</v>
      </c>
      <c r="O499">
        <f>[1]Sheet1!Y157</f>
        <v>6.0534799999999993E-2</v>
      </c>
      <c r="P499">
        <f>[1]Sheet1!Z157</f>
        <v>4.6766769999999999E-2</v>
      </c>
      <c r="Q499">
        <f>[1]Sheet1!AA157</f>
        <v>5.0073180000000009E-2</v>
      </c>
      <c r="R499">
        <f>[1]Sheet1!AB157</f>
        <v>3.5098500000000005E-2</v>
      </c>
      <c r="S499">
        <f>[1]Sheet1!AC157</f>
        <v>2.3113230000000002E-2</v>
      </c>
      <c r="T499">
        <f>[1]Sheet1!AD157</f>
        <v>1.3563780000000001E-2</v>
      </c>
      <c r="U499">
        <f>[1]Sheet1!AE157</f>
        <v>7.8236599999999996E-3</v>
      </c>
      <c r="V499">
        <f>[1]Sheet1!AF157</f>
        <v>3.6975340000000006E-3</v>
      </c>
      <c r="W499">
        <f>[1]Sheet1!AG157</f>
        <v>3.4833990000000003E-3</v>
      </c>
      <c r="X499">
        <f>[1]Sheet1!AH157</f>
        <v>1.4843180000000001E-3</v>
      </c>
      <c r="Y499">
        <f>[1]Sheet1!AI157</f>
        <v>6.3838999999999996E-4</v>
      </c>
      <c r="Z499">
        <f>[1]Sheet1!AJ157</f>
        <v>1.7289999999999997E-4</v>
      </c>
      <c r="AA499" t="s">
        <v>99</v>
      </c>
      <c r="AB499">
        <v>1995</v>
      </c>
      <c r="AC499">
        <v>14</v>
      </c>
    </row>
    <row r="500" spans="1:29" x14ac:dyDescent="0.2">
      <c r="A500" s="3">
        <v>1996</v>
      </c>
      <c r="B500">
        <f>[1]Sheet1!L158</f>
        <v>2.4884719999999998E-3</v>
      </c>
      <c r="C500">
        <f>[1]Sheet1!M158</f>
        <v>1.114134E-2</v>
      </c>
      <c r="D500">
        <f>[1]Sheet1!N158</f>
        <v>1.964159E-2</v>
      </c>
      <c r="E500">
        <f>[1]Sheet1!O158</f>
        <v>2.0014169999999998E-2</v>
      </c>
      <c r="F500">
        <f>[1]Sheet1!P158</f>
        <v>8.38677E-3</v>
      </c>
      <c r="G500">
        <f>[1]Sheet1!Q158</f>
        <v>1.5618440000000001E-2</v>
      </c>
      <c r="H500">
        <f>[1]Sheet1!R158</f>
        <v>5.1971900000000001E-2</v>
      </c>
      <c r="I500">
        <f>[1]Sheet1!S158</f>
        <v>7.9049700000000001E-2</v>
      </c>
      <c r="J500">
        <f>[1]Sheet1!T158</f>
        <v>6.8349500000000007E-2</v>
      </c>
      <c r="K500">
        <f>[1]Sheet1!U158</f>
        <v>5.2451700000000004E-2</v>
      </c>
      <c r="L500">
        <f>[1]Sheet1!V158</f>
        <v>5.7950000000000002E-2</v>
      </c>
      <c r="M500">
        <f>[1]Sheet1!W158</f>
        <v>8.3750000000000005E-2</v>
      </c>
      <c r="N500">
        <f>[1]Sheet1!X158</f>
        <v>0.16356699999999999</v>
      </c>
      <c r="O500">
        <f>[1]Sheet1!Y158</f>
        <v>0.14275119999999999</v>
      </c>
      <c r="P500">
        <f>[1]Sheet1!Z158</f>
        <v>8.5698399999999994E-2</v>
      </c>
      <c r="Q500">
        <f>[1]Sheet1!AA158</f>
        <v>4.4760159999999993E-2</v>
      </c>
      <c r="R500">
        <f>[1]Sheet1!AB158</f>
        <v>3.009554E-2</v>
      </c>
      <c r="S500">
        <f>[1]Sheet1!AC158</f>
        <v>2.5004600000000002E-2</v>
      </c>
      <c r="T500">
        <f>[1]Sheet1!AD158</f>
        <v>1.4400669999999999E-2</v>
      </c>
      <c r="U500">
        <f>[1]Sheet1!AE158</f>
        <v>1.0597599999999999E-2</v>
      </c>
      <c r="V500">
        <f>[1]Sheet1!AF158</f>
        <v>7.0649540000000009E-3</v>
      </c>
      <c r="W500">
        <f>[1]Sheet1!AG158</f>
        <v>2.8516320000000006E-3</v>
      </c>
      <c r="X500">
        <f>[1]Sheet1!AH158</f>
        <v>1.6973860000000002E-3</v>
      </c>
      <c r="Y500">
        <f>[1]Sheet1!AI158</f>
        <v>3.7215399999999997E-4</v>
      </c>
      <c r="Z500">
        <f>[1]Sheet1!AJ158</f>
        <v>3.2475400000000001E-4</v>
      </c>
      <c r="AA500" t="s">
        <v>99</v>
      </c>
      <c r="AB500">
        <v>1996</v>
      </c>
      <c r="AC500">
        <v>15</v>
      </c>
    </row>
    <row r="501" spans="1:29" x14ac:dyDescent="0.2">
      <c r="A501" s="3">
        <v>1997</v>
      </c>
      <c r="B501">
        <f>[1]Sheet1!L159</f>
        <v>2.2404646E-2</v>
      </c>
      <c r="C501">
        <f>[1]Sheet1!M159</f>
        <v>6.0051500000000008E-2</v>
      </c>
      <c r="D501">
        <f>[1]Sheet1!N159</f>
        <v>7.5354600000000008E-2</v>
      </c>
      <c r="E501">
        <f>[1]Sheet1!O159</f>
        <v>7.2623800000000002E-2</v>
      </c>
      <c r="F501">
        <f>[1]Sheet1!P159</f>
        <v>3.6880690000000001E-2</v>
      </c>
      <c r="G501">
        <f>[1]Sheet1!Q159</f>
        <v>1.2617799999999998E-2</v>
      </c>
      <c r="H501">
        <f>[1]Sheet1!R159</f>
        <v>3.055807E-2</v>
      </c>
      <c r="I501">
        <f>[1]Sheet1!S159</f>
        <v>6.5774100000000002E-2</v>
      </c>
      <c r="J501">
        <f>[1]Sheet1!T159</f>
        <v>6.0227700000000002E-2</v>
      </c>
      <c r="K501">
        <f>[1]Sheet1!U159</f>
        <v>4.7538999999999998E-2</v>
      </c>
      <c r="L501">
        <f>[1]Sheet1!V159</f>
        <v>4.2086199999999997E-2</v>
      </c>
      <c r="M501">
        <f>[1]Sheet1!W159</f>
        <v>4.7830600000000001E-2</v>
      </c>
      <c r="N501">
        <f>[1]Sheet1!X159</f>
        <v>9.5544099999999993E-2</v>
      </c>
      <c r="O501">
        <f>[1]Sheet1!Y159</f>
        <v>9.1959800000000008E-2</v>
      </c>
      <c r="P501">
        <f>[1]Sheet1!Z159</f>
        <v>8.7475899999999995E-2</v>
      </c>
      <c r="Q501">
        <f>[1]Sheet1!AA159</f>
        <v>6.1811400000000002E-2</v>
      </c>
      <c r="R501">
        <f>[1]Sheet1!AB159</f>
        <v>4.3778560000000001E-2</v>
      </c>
      <c r="S501">
        <f>[1]Sheet1!AC159</f>
        <v>2.1257099999999994E-2</v>
      </c>
      <c r="T501">
        <f>[1]Sheet1!AD159</f>
        <v>9.6277700000000008E-3</v>
      </c>
      <c r="U501">
        <f>[1]Sheet1!AE159</f>
        <v>6.6289769999999994E-3</v>
      </c>
      <c r="V501">
        <f>[1]Sheet1!AF159</f>
        <v>3.6374949999999997E-3</v>
      </c>
      <c r="W501">
        <f>[1]Sheet1!AG159</f>
        <v>2.8529319999999999E-3</v>
      </c>
      <c r="X501">
        <f>[1]Sheet1!AH159</f>
        <v>9.5331799999999998E-4</v>
      </c>
      <c r="Y501">
        <f>[1]Sheet1!AI159</f>
        <v>2.35725E-4</v>
      </c>
      <c r="Z501">
        <f>[1]Sheet1!AJ159</f>
        <v>2.8848200000000001E-4</v>
      </c>
      <c r="AA501" t="s">
        <v>99</v>
      </c>
      <c r="AB501">
        <v>1997</v>
      </c>
      <c r="AC501">
        <v>16</v>
      </c>
    </row>
    <row r="502" spans="1:29" x14ac:dyDescent="0.2">
      <c r="A502" s="3">
        <v>1998</v>
      </c>
      <c r="B502">
        <f>[1]Sheet1!L160</f>
        <v>8.5437839999999987E-3</v>
      </c>
      <c r="C502">
        <f>[1]Sheet1!M160</f>
        <v>3.1790200000000005E-2</v>
      </c>
      <c r="D502">
        <f>[1]Sheet1!N160</f>
        <v>2.838508E-2</v>
      </c>
      <c r="E502">
        <f>[1]Sheet1!O160</f>
        <v>3.4206709999999997E-3</v>
      </c>
      <c r="F502">
        <f>[1]Sheet1!P160</f>
        <v>1.046387E-2</v>
      </c>
      <c r="G502">
        <f>[1]Sheet1!Q160</f>
        <v>5.5484980000000003E-2</v>
      </c>
      <c r="H502">
        <f>[1]Sheet1!R160</f>
        <v>0.15357560000000001</v>
      </c>
      <c r="I502">
        <f>[1]Sheet1!S160</f>
        <v>0.18232470000000001</v>
      </c>
      <c r="J502">
        <f>[1]Sheet1!T160</f>
        <v>0.11880250000000001</v>
      </c>
      <c r="K502">
        <f>[1]Sheet1!U160</f>
        <v>5.6121200000000003E-2</v>
      </c>
      <c r="L502">
        <f>[1]Sheet1!V160</f>
        <v>3.7144700000000003E-2</v>
      </c>
      <c r="M502">
        <f>[1]Sheet1!W160</f>
        <v>3.9613499999999996E-2</v>
      </c>
      <c r="N502">
        <f>[1]Sheet1!X160</f>
        <v>6.8144800000000005E-2</v>
      </c>
      <c r="O502">
        <f>[1]Sheet1!Y160</f>
        <v>4.3876040000000005E-2</v>
      </c>
      <c r="P502">
        <f>[1]Sheet1!Z160</f>
        <v>3.9051740000000001E-2</v>
      </c>
      <c r="Q502">
        <f>[1]Sheet1!AA160</f>
        <v>4.0639250000000002E-2</v>
      </c>
      <c r="R502">
        <f>[1]Sheet1!AB160</f>
        <v>3.2748700000000006E-2</v>
      </c>
      <c r="S502">
        <f>[1]Sheet1!AC160</f>
        <v>2.395009E-2</v>
      </c>
      <c r="T502">
        <f>[1]Sheet1!AD160</f>
        <v>1.2004910000000001E-2</v>
      </c>
      <c r="U502">
        <f>[1]Sheet1!AE160</f>
        <v>6.2846499999999993E-3</v>
      </c>
      <c r="V502">
        <f>[1]Sheet1!AF160</f>
        <v>3.0611120000000004E-3</v>
      </c>
      <c r="W502">
        <f>[1]Sheet1!AG160</f>
        <v>2.7853869999999998E-3</v>
      </c>
      <c r="X502">
        <f>[1]Sheet1!AH160</f>
        <v>6.7212099999999992E-4</v>
      </c>
      <c r="Y502">
        <f>[1]Sheet1!AI160</f>
        <v>9.5867099999999992E-4</v>
      </c>
      <c r="Z502">
        <f>[1]Sheet1!AJ160</f>
        <v>1.518E-4</v>
      </c>
      <c r="AA502" t="s">
        <v>99</v>
      </c>
      <c r="AB502">
        <v>1998</v>
      </c>
      <c r="AC502">
        <v>17</v>
      </c>
    </row>
    <row r="503" spans="1:29" x14ac:dyDescent="0.2">
      <c r="A503" s="3">
        <v>1999</v>
      </c>
      <c r="B503">
        <f>[1]Sheet1!L161</f>
        <v>1.3805309999999999E-2</v>
      </c>
      <c r="C503">
        <f>[1]Sheet1!M161</f>
        <v>2.6461400000000003E-2</v>
      </c>
      <c r="D503">
        <f>[1]Sheet1!N161</f>
        <v>1.900015E-2</v>
      </c>
      <c r="E503">
        <f>[1]Sheet1!O161</f>
        <v>9.9666100000000007E-3</v>
      </c>
      <c r="F503">
        <f>[1]Sheet1!P161</f>
        <v>1.7416250000000001E-2</v>
      </c>
      <c r="G503">
        <f>[1]Sheet1!Q161</f>
        <v>4.4845280000000001E-2</v>
      </c>
      <c r="H503">
        <f>[1]Sheet1!R161</f>
        <v>6.62576E-2</v>
      </c>
      <c r="I503">
        <f>[1]Sheet1!S161</f>
        <v>6.9197900000000007E-2</v>
      </c>
      <c r="J503">
        <f>[1]Sheet1!T161</f>
        <v>5.3880499999999998E-2</v>
      </c>
      <c r="K503">
        <f>[1]Sheet1!U161</f>
        <v>7.8502199999999994E-2</v>
      </c>
      <c r="L503">
        <f>[1]Sheet1!V161</f>
        <v>0.12253070000000001</v>
      </c>
      <c r="M503">
        <f>[1]Sheet1!W161</f>
        <v>0.1431317</v>
      </c>
      <c r="N503">
        <f>[1]Sheet1!X161</f>
        <v>0.12957150000000001</v>
      </c>
      <c r="O503">
        <f>[1]Sheet1!Y161</f>
        <v>5.8473350000000007E-2</v>
      </c>
      <c r="P503">
        <f>[1]Sheet1!Z161</f>
        <v>3.7564109999999998E-2</v>
      </c>
      <c r="Q503">
        <f>[1]Sheet1!AA161</f>
        <v>3.9673109999999998E-2</v>
      </c>
      <c r="R503">
        <f>[1]Sheet1!AB161</f>
        <v>2.5763980000000002E-2</v>
      </c>
      <c r="S503">
        <f>[1]Sheet1!AC161</f>
        <v>1.7510520000000002E-2</v>
      </c>
      <c r="T503">
        <f>[1]Sheet1!AD161</f>
        <v>1.046704E-2</v>
      </c>
      <c r="U503">
        <f>[1]Sheet1!AE161</f>
        <v>6.2340400000000006E-3</v>
      </c>
      <c r="V503">
        <f>[1]Sheet1!AF161</f>
        <v>5.3741049999999997E-3</v>
      </c>
      <c r="W503">
        <f>[1]Sheet1!AG161</f>
        <v>1.945579E-3</v>
      </c>
      <c r="X503">
        <f>[1]Sheet1!AH161</f>
        <v>1.9355590000000001E-3</v>
      </c>
      <c r="Y503">
        <f>[1]Sheet1!AI161</f>
        <v>3.2807100000000004E-4</v>
      </c>
      <c r="Z503">
        <f>[1]Sheet1!AJ161</f>
        <v>1.63692E-4</v>
      </c>
      <c r="AA503" t="s">
        <v>99</v>
      </c>
      <c r="AB503">
        <v>1999</v>
      </c>
      <c r="AC503">
        <v>18</v>
      </c>
    </row>
    <row r="504" spans="1:29" x14ac:dyDescent="0.2">
      <c r="A504" s="3">
        <v>2000</v>
      </c>
      <c r="B504">
        <f>[1]Sheet1!L162</f>
        <v>2.5875955999999999E-2</v>
      </c>
      <c r="C504">
        <f>[1]Sheet1!M162</f>
        <v>0.10834389999999999</v>
      </c>
      <c r="D504">
        <f>[1]Sheet1!N162</f>
        <v>7.9246200000000003E-2</v>
      </c>
      <c r="E504">
        <f>[1]Sheet1!O162</f>
        <v>2.0874470000000003E-2</v>
      </c>
      <c r="F504">
        <f>[1]Sheet1!P162</f>
        <v>3.6453600000000003E-3</v>
      </c>
      <c r="G504">
        <f>[1]Sheet1!Q162</f>
        <v>1.87288E-2</v>
      </c>
      <c r="H504">
        <f>[1]Sheet1!R162</f>
        <v>4.6876600000000004E-2</v>
      </c>
      <c r="I504">
        <f>[1]Sheet1!S162</f>
        <v>6.2701699999999999E-2</v>
      </c>
      <c r="J504">
        <f>[1]Sheet1!T162</f>
        <v>4.5472100000000001E-2</v>
      </c>
      <c r="K504">
        <f>[1]Sheet1!U162</f>
        <v>4.7406900000000002E-2</v>
      </c>
      <c r="L504">
        <f>[1]Sheet1!V162</f>
        <v>6.5547300000000003E-2</v>
      </c>
      <c r="M504">
        <f>[1]Sheet1!W162</f>
        <v>7.6533400000000001E-2</v>
      </c>
      <c r="N504">
        <f>[1]Sheet1!X162</f>
        <v>0.14086280000000001</v>
      </c>
      <c r="O504">
        <f>[1]Sheet1!Y162</f>
        <v>0.1006961</v>
      </c>
      <c r="P504">
        <f>[1]Sheet1!Z162</f>
        <v>6.7662399999999998E-2</v>
      </c>
      <c r="Q504">
        <f>[1]Sheet1!AA162</f>
        <v>3.5075490000000001E-2</v>
      </c>
      <c r="R504">
        <f>[1]Sheet1!AB162</f>
        <v>2.06754E-2</v>
      </c>
      <c r="S504">
        <f>[1]Sheet1!AC162</f>
        <v>1.3128519999999999E-2</v>
      </c>
      <c r="T504">
        <f>[1]Sheet1!AD162</f>
        <v>7.2776030000000005E-3</v>
      </c>
      <c r="U504">
        <f>[1]Sheet1!AE162</f>
        <v>5.2978360000000002E-3</v>
      </c>
      <c r="V504">
        <f>[1]Sheet1!AF162</f>
        <v>4.3048850000000005E-3</v>
      </c>
      <c r="W504">
        <f>[1]Sheet1!AG162</f>
        <v>2.1733330000000004E-3</v>
      </c>
      <c r="X504">
        <f>[1]Sheet1!AH162</f>
        <v>1.3731210000000002E-3</v>
      </c>
      <c r="Y504">
        <f>[1]Sheet1!AI162</f>
        <v>2.1997E-4</v>
      </c>
      <c r="Z504">
        <f>[1]Sheet1!AJ162</f>
        <v>0</v>
      </c>
      <c r="AA504" t="s">
        <v>99</v>
      </c>
      <c r="AB504">
        <v>2000</v>
      </c>
      <c r="AC504">
        <v>19</v>
      </c>
    </row>
    <row r="505" spans="1:29" x14ac:dyDescent="0.2">
      <c r="A505" s="3">
        <v>2001</v>
      </c>
      <c r="B505">
        <f>[1]Sheet1!L163</f>
        <v>1.153202E-2</v>
      </c>
      <c r="C505">
        <f>[1]Sheet1!M163</f>
        <v>4.8844800000000001E-2</v>
      </c>
      <c r="D505">
        <f>[1]Sheet1!N163</f>
        <v>0.10780710000000002</v>
      </c>
      <c r="E505">
        <f>[1]Sheet1!O163</f>
        <v>8.991049999999999E-2</v>
      </c>
      <c r="F505">
        <f>[1]Sheet1!P163</f>
        <v>3.5794270000000003E-2</v>
      </c>
      <c r="G505">
        <f>[1]Sheet1!Q163</f>
        <v>2.5507830000000002E-2</v>
      </c>
      <c r="H505">
        <f>[1]Sheet1!R163</f>
        <v>6.0334700000000005E-2</v>
      </c>
      <c r="I505">
        <f>[1]Sheet1!S163</f>
        <v>0.11702</v>
      </c>
      <c r="J505">
        <f>[1]Sheet1!T163</f>
        <v>0.12249480000000001</v>
      </c>
      <c r="K505">
        <f>[1]Sheet1!U163</f>
        <v>6.1906299999999997E-2</v>
      </c>
      <c r="L505">
        <f>[1]Sheet1!V163</f>
        <v>2.952929E-2</v>
      </c>
      <c r="M505">
        <f>[1]Sheet1!W163</f>
        <v>2.506328E-2</v>
      </c>
      <c r="N505">
        <f>[1]Sheet1!X163</f>
        <v>6.3600299999999999E-2</v>
      </c>
      <c r="O505">
        <f>[1]Sheet1!Y163</f>
        <v>6.3806200000000007E-2</v>
      </c>
      <c r="P505">
        <f>[1]Sheet1!Z163</f>
        <v>5.2269130000000004E-2</v>
      </c>
      <c r="Q505">
        <f>[1]Sheet1!AA163</f>
        <v>3.9720180000000001E-2</v>
      </c>
      <c r="R505">
        <f>[1]Sheet1!AB163</f>
        <v>2.2116320000000002E-2</v>
      </c>
      <c r="S505">
        <f>[1]Sheet1!AC163</f>
        <v>1.0308309999999999E-2</v>
      </c>
      <c r="T505">
        <f>[1]Sheet1!AD163</f>
        <v>5.7650799999999997E-3</v>
      </c>
      <c r="U505">
        <f>[1]Sheet1!AE163</f>
        <v>2.9755630000000001E-3</v>
      </c>
      <c r="V505">
        <f>[1]Sheet1!AF163</f>
        <v>1.7801310000000001E-3</v>
      </c>
      <c r="W505">
        <f>[1]Sheet1!AG163</f>
        <v>1.035392E-3</v>
      </c>
      <c r="X505">
        <f>[1]Sheet1!AH163</f>
        <v>4.3785899999999997E-4</v>
      </c>
      <c r="Y505">
        <f>[1]Sheet1!AI163</f>
        <v>3.52042E-4</v>
      </c>
      <c r="Z505">
        <f>[1]Sheet1!AJ163</f>
        <v>8.8499999999999996E-5</v>
      </c>
      <c r="AA505" t="s">
        <v>99</v>
      </c>
      <c r="AB505">
        <v>2001</v>
      </c>
      <c r="AC505">
        <v>20</v>
      </c>
    </row>
    <row r="506" spans="1:29" x14ac:dyDescent="0.2">
      <c r="A506" s="3">
        <v>2002</v>
      </c>
      <c r="B506">
        <f>[1]Sheet1!L164</f>
        <v>6.0442710000000004E-3</v>
      </c>
      <c r="C506">
        <f>[1]Sheet1!M164</f>
        <v>2.0010780000000002E-2</v>
      </c>
      <c r="D506">
        <f>[1]Sheet1!N164</f>
        <v>3.5573809999999997E-2</v>
      </c>
      <c r="E506">
        <f>[1]Sheet1!O164</f>
        <v>1.9039880000000002E-2</v>
      </c>
      <c r="F506">
        <f>[1]Sheet1!P164</f>
        <v>7.7217899999999992E-3</v>
      </c>
      <c r="G506">
        <f>[1]Sheet1!Q164</f>
        <v>2.711189E-2</v>
      </c>
      <c r="H506">
        <f>[1]Sheet1!R164</f>
        <v>7.7034699999999998E-2</v>
      </c>
      <c r="I506">
        <f>[1]Sheet1!S164</f>
        <v>0.1288416</v>
      </c>
      <c r="J506">
        <f>[1]Sheet1!T164</f>
        <v>0.1059103</v>
      </c>
      <c r="K506">
        <f>[1]Sheet1!U164</f>
        <v>6.9687199999999991E-2</v>
      </c>
      <c r="L506">
        <f>[1]Sheet1!V164</f>
        <v>7.7938800000000003E-2</v>
      </c>
      <c r="M506">
        <f>[1]Sheet1!W164</f>
        <v>9.8272999999999999E-2</v>
      </c>
      <c r="N506">
        <f>[1]Sheet1!X164</f>
        <v>0.11546519999999999</v>
      </c>
      <c r="O506">
        <f>[1]Sheet1!Y164</f>
        <v>6.348390000000001E-2</v>
      </c>
      <c r="P506">
        <f>[1]Sheet1!Z164</f>
        <v>4.9427070000000004E-2</v>
      </c>
      <c r="Q506">
        <f>[1]Sheet1!AA164</f>
        <v>3.9281379999999998E-2</v>
      </c>
      <c r="R506">
        <f>[1]Sheet1!AB164</f>
        <v>3.0045559999999999E-2</v>
      </c>
      <c r="S506">
        <f>[1]Sheet1!AC164</f>
        <v>1.4276369999999998E-2</v>
      </c>
      <c r="T506">
        <f>[1]Sheet1!AD164</f>
        <v>7.9451290000000004E-3</v>
      </c>
      <c r="U506">
        <f>[1]Sheet1!AE164</f>
        <v>2.9304520000000001E-3</v>
      </c>
      <c r="V506">
        <f>[1]Sheet1!AF164</f>
        <v>1.130369E-3</v>
      </c>
      <c r="W506">
        <f>[1]Sheet1!AG164</f>
        <v>1.454611E-3</v>
      </c>
      <c r="X506">
        <f>[1]Sheet1!AH164</f>
        <v>1.0707150000000001E-3</v>
      </c>
      <c r="Y506">
        <f>[1]Sheet1!AI164</f>
        <v>2.5158400000000001E-4</v>
      </c>
      <c r="Z506">
        <f>[1]Sheet1!AJ164</f>
        <v>4.9499999999999997E-5</v>
      </c>
      <c r="AA506" t="s">
        <v>99</v>
      </c>
      <c r="AB506">
        <v>2002</v>
      </c>
      <c r="AC506">
        <v>21</v>
      </c>
    </row>
    <row r="507" spans="1:29" x14ac:dyDescent="0.2">
      <c r="A507" s="3">
        <v>2003</v>
      </c>
      <c r="B507">
        <f>[1]Sheet1!L165</f>
        <v>6.1914919999999998E-3</v>
      </c>
      <c r="C507">
        <f>[1]Sheet1!M165</f>
        <v>3.486326E-2</v>
      </c>
      <c r="D507">
        <f>[1]Sheet1!N165</f>
        <v>5.5071099999999998E-2</v>
      </c>
      <c r="E507">
        <f>[1]Sheet1!O165</f>
        <v>6.3069500000000001E-2</v>
      </c>
      <c r="F507">
        <f>[1]Sheet1!P165</f>
        <v>5.2448300000000003E-2</v>
      </c>
      <c r="G507">
        <f>[1]Sheet1!Q165</f>
        <v>2.7288649999999998E-2</v>
      </c>
      <c r="H507">
        <f>[1]Sheet1!R165</f>
        <v>1.5703420000000003E-2</v>
      </c>
      <c r="I507">
        <f>[1]Sheet1!S165</f>
        <v>2.5489940000000003E-2</v>
      </c>
      <c r="J507">
        <f>[1]Sheet1!T165</f>
        <v>6.7958999999999992E-2</v>
      </c>
      <c r="K507">
        <f>[1]Sheet1!U165</f>
        <v>6.4561000000000007E-2</v>
      </c>
      <c r="L507">
        <f>[1]Sheet1!V165</f>
        <v>8.2167599999999993E-2</v>
      </c>
      <c r="M507">
        <f>[1]Sheet1!W165</f>
        <v>0.1025784</v>
      </c>
      <c r="N507">
        <f>[1]Sheet1!X165</f>
        <v>0.14799440000000003</v>
      </c>
      <c r="O507">
        <f>[1]Sheet1!Y165</f>
        <v>9.2648800000000003E-2</v>
      </c>
      <c r="P507">
        <f>[1]Sheet1!Z165</f>
        <v>5.94441E-2</v>
      </c>
      <c r="Q507">
        <f>[1]Sheet1!AA165</f>
        <v>3.6315130000000001E-2</v>
      </c>
      <c r="R507">
        <f>[1]Sheet1!AB165</f>
        <v>2.8580599999999998E-2</v>
      </c>
      <c r="S507">
        <f>[1]Sheet1!AC165</f>
        <v>1.798493E-2</v>
      </c>
      <c r="T507">
        <f>[1]Sheet1!AD165</f>
        <v>1.004656E-2</v>
      </c>
      <c r="U507">
        <f>[1]Sheet1!AE165</f>
        <v>6.018232000000001E-3</v>
      </c>
      <c r="V507">
        <f>[1]Sheet1!AF165</f>
        <v>2.4798110000000002E-3</v>
      </c>
      <c r="W507">
        <f>[1]Sheet1!AG165</f>
        <v>8.3107400000000001E-4</v>
      </c>
      <c r="X507">
        <f>[1]Sheet1!AH165</f>
        <v>1.6579999999999999E-4</v>
      </c>
      <c r="Y507">
        <f>[1]Sheet1!AI165</f>
        <v>9.8799999999999989E-5</v>
      </c>
      <c r="Z507">
        <f>[1]Sheet1!AJ165</f>
        <v>0</v>
      </c>
      <c r="AA507" t="s">
        <v>99</v>
      </c>
      <c r="AB507">
        <v>2003</v>
      </c>
      <c r="AC507">
        <v>22</v>
      </c>
    </row>
    <row r="508" spans="1:29" x14ac:dyDescent="0.2">
      <c r="A508" s="3">
        <v>2004</v>
      </c>
      <c r="B508">
        <f>[1]Sheet1!L166</f>
        <v>6.5399289999999999E-3</v>
      </c>
      <c r="C508">
        <f>[1]Sheet1!M166</f>
        <v>3.1800109999999999E-2</v>
      </c>
      <c r="D508">
        <f>[1]Sheet1!N166</f>
        <v>5.51158E-2</v>
      </c>
      <c r="E508">
        <f>[1]Sheet1!O166</f>
        <v>4.5144900000000002E-2</v>
      </c>
      <c r="F508">
        <f>[1]Sheet1!P166</f>
        <v>2.1513310000000001E-2</v>
      </c>
      <c r="G508">
        <f>[1]Sheet1!Q166</f>
        <v>2.4952429999999998E-2</v>
      </c>
      <c r="H508">
        <f>[1]Sheet1!R166</f>
        <v>5.5500800000000003E-2</v>
      </c>
      <c r="I508">
        <f>[1]Sheet1!S166</f>
        <v>7.4764200000000003E-2</v>
      </c>
      <c r="J508">
        <f>[1]Sheet1!T166</f>
        <v>8.8640999999999998E-2</v>
      </c>
      <c r="K508">
        <f>[1]Sheet1!U166</f>
        <v>8.2172899999999993E-2</v>
      </c>
      <c r="L508">
        <f>[1]Sheet1!V166</f>
        <v>6.1195799999999995E-2</v>
      </c>
      <c r="M508">
        <f>[1]Sheet1!W166</f>
        <v>4.8313499999999995E-2</v>
      </c>
      <c r="N508">
        <f>[1]Sheet1!X166</f>
        <v>7.8501399999999999E-2</v>
      </c>
      <c r="O508">
        <f>[1]Sheet1!Y166</f>
        <v>8.3318900000000001E-2</v>
      </c>
      <c r="P508">
        <f>[1]Sheet1!Z166</f>
        <v>7.6570899999999997E-2</v>
      </c>
      <c r="Q508">
        <f>[1]Sheet1!AA166</f>
        <v>6.0510510000000003E-2</v>
      </c>
      <c r="R508">
        <f>[1]Sheet1!AB166</f>
        <v>4.0888519999999998E-2</v>
      </c>
      <c r="S508">
        <f>[1]Sheet1!AC166</f>
        <v>2.5705229999999996E-2</v>
      </c>
      <c r="T508">
        <f>[1]Sheet1!AD166</f>
        <v>1.778188E-2</v>
      </c>
      <c r="U508">
        <f>[1]Sheet1!AE166</f>
        <v>8.8827000000000003E-3</v>
      </c>
      <c r="V508">
        <f>[1]Sheet1!AF166</f>
        <v>7.8495500000000003E-3</v>
      </c>
      <c r="W508">
        <f>[1]Sheet1!AG166</f>
        <v>2.2892680000000001E-3</v>
      </c>
      <c r="X508">
        <f>[1]Sheet1!AH166</f>
        <v>1.1748660000000001E-3</v>
      </c>
      <c r="Y508">
        <f>[1]Sheet1!AI166</f>
        <v>6.3845099999999995E-4</v>
      </c>
      <c r="Z508">
        <f>[1]Sheet1!AJ166</f>
        <v>2.33522E-4</v>
      </c>
      <c r="AA508" t="s">
        <v>99</v>
      </c>
      <c r="AB508">
        <v>2004</v>
      </c>
      <c r="AC508">
        <v>23</v>
      </c>
    </row>
    <row r="509" spans="1:29" x14ac:dyDescent="0.2">
      <c r="A509" s="3">
        <v>2005</v>
      </c>
      <c r="B509">
        <f>[1]Sheet1!L167</f>
        <v>2.3955109999999999E-3</v>
      </c>
      <c r="C509">
        <f>[1]Sheet1!M167</f>
        <v>2.3571410000000001E-2</v>
      </c>
      <c r="D509">
        <f>[1]Sheet1!N167</f>
        <v>6.6118499999999997E-2</v>
      </c>
      <c r="E509">
        <f>[1]Sheet1!O167</f>
        <v>7.6775499999999997E-2</v>
      </c>
      <c r="F509">
        <f>[1]Sheet1!P167</f>
        <v>9.7609899999999999E-2</v>
      </c>
      <c r="G509">
        <f>[1]Sheet1!Q167</f>
        <v>7.6607299999999989E-2</v>
      </c>
      <c r="H509">
        <f>[1]Sheet1!R167</f>
        <v>3.65686E-2</v>
      </c>
      <c r="I509">
        <f>[1]Sheet1!S167</f>
        <v>3.9784600000000003E-2</v>
      </c>
      <c r="J509">
        <f>[1]Sheet1!T167</f>
        <v>5.2700300000000005E-2</v>
      </c>
      <c r="K509">
        <f>[1]Sheet1!U167</f>
        <v>6.7509100000000002E-2</v>
      </c>
      <c r="L509">
        <f>[1]Sheet1!V167</f>
        <v>5.3638399999999996E-2</v>
      </c>
      <c r="M509">
        <f>[1]Sheet1!W167</f>
        <v>5.2320800000000001E-2</v>
      </c>
      <c r="N509">
        <f>[1]Sheet1!X167</f>
        <v>7.7708200000000005E-2</v>
      </c>
      <c r="O509">
        <f>[1]Sheet1!Y167</f>
        <v>5.7653200000000002E-2</v>
      </c>
      <c r="P509">
        <f>[1]Sheet1!Z167</f>
        <v>4.6857120000000002E-2</v>
      </c>
      <c r="Q509">
        <f>[1]Sheet1!AA167</f>
        <v>4.6418180000000003E-2</v>
      </c>
      <c r="R509">
        <f>[1]Sheet1!AB167</f>
        <v>4.2999670000000004E-2</v>
      </c>
      <c r="S509">
        <f>[1]Sheet1!AC167</f>
        <v>2.9674880000000001E-2</v>
      </c>
      <c r="T509">
        <f>[1]Sheet1!AD167</f>
        <v>2.5362060000000002E-2</v>
      </c>
      <c r="U509">
        <f>[1]Sheet1!AE167</f>
        <v>1.3692269999999999E-2</v>
      </c>
      <c r="V509">
        <f>[1]Sheet1!AF167</f>
        <v>8.3883240000000008E-3</v>
      </c>
      <c r="W509">
        <f>[1]Sheet1!AG167</f>
        <v>3.9682449999999996E-3</v>
      </c>
      <c r="X509">
        <f>[1]Sheet1!AH167</f>
        <v>1.3584079999999998E-3</v>
      </c>
      <c r="Y509">
        <f>[1]Sheet1!AI167</f>
        <v>3.1936399999999999E-4</v>
      </c>
      <c r="Z509">
        <f>[1]Sheet1!AJ167</f>
        <v>0</v>
      </c>
      <c r="AA509" t="s">
        <v>99</v>
      </c>
      <c r="AB509">
        <v>2005</v>
      </c>
      <c r="AC509">
        <v>24</v>
      </c>
    </row>
    <row r="510" spans="1:29" x14ac:dyDescent="0.2">
      <c r="A510" s="3">
        <v>2006</v>
      </c>
      <c r="B510">
        <f>[1]Sheet1!L168</f>
        <v>7.2761679999999995E-2</v>
      </c>
      <c r="C510">
        <f>[1]Sheet1!M168</f>
        <v>0.10423770000000002</v>
      </c>
      <c r="D510">
        <f>[1]Sheet1!N168</f>
        <v>8.3843000000000001E-2</v>
      </c>
      <c r="E510">
        <f>[1]Sheet1!O168</f>
        <v>5.4501300000000003E-2</v>
      </c>
      <c r="F510">
        <f>[1]Sheet1!P168</f>
        <v>1.8334700000000002E-2</v>
      </c>
      <c r="G510">
        <f>[1]Sheet1!Q168</f>
        <v>1.4470190000000001E-2</v>
      </c>
      <c r="H510">
        <f>[1]Sheet1!R168</f>
        <v>3.0312319999999997E-2</v>
      </c>
      <c r="I510">
        <f>[1]Sheet1!S168</f>
        <v>5.5766100000000006E-2</v>
      </c>
      <c r="J510">
        <f>[1]Sheet1!T168</f>
        <v>6.7180500000000004E-2</v>
      </c>
      <c r="K510">
        <f>[1]Sheet1!U168</f>
        <v>6.7291900000000002E-2</v>
      </c>
      <c r="L510">
        <f>[1]Sheet1!V168</f>
        <v>5.3842500000000001E-2</v>
      </c>
      <c r="M510">
        <f>[1]Sheet1!W168</f>
        <v>3.9548299999999995E-2</v>
      </c>
      <c r="N510">
        <f>[1]Sheet1!X168</f>
        <v>6.5345E-2</v>
      </c>
      <c r="O510">
        <f>[1]Sheet1!Y168</f>
        <v>6.7481899999999997E-2</v>
      </c>
      <c r="P510">
        <f>[1]Sheet1!Z168</f>
        <v>4.9787409999999997E-2</v>
      </c>
      <c r="Q510">
        <f>[1]Sheet1!AA168</f>
        <v>4.0043369999999995E-2</v>
      </c>
      <c r="R510">
        <f>[1]Sheet1!AB168</f>
        <v>3.1224680000000001E-2</v>
      </c>
      <c r="S510">
        <f>[1]Sheet1!AC168</f>
        <v>2.5406190000000002E-2</v>
      </c>
      <c r="T510">
        <f>[1]Sheet1!AD168</f>
        <v>2.155903E-2</v>
      </c>
      <c r="U510">
        <f>[1]Sheet1!AE168</f>
        <v>1.8078799999999999E-2</v>
      </c>
      <c r="V510">
        <f>[1]Sheet1!AF168</f>
        <v>1.0439239999999999E-2</v>
      </c>
      <c r="W510">
        <f>[1]Sheet1!AG168</f>
        <v>4.8037409999999899E-3</v>
      </c>
      <c r="X510">
        <f>[1]Sheet1!AH168</f>
        <v>2.7467159999999997E-3</v>
      </c>
      <c r="Y510">
        <f>[1]Sheet1!AI168</f>
        <v>7.4000599999999998E-4</v>
      </c>
      <c r="Z510">
        <f>[1]Sheet1!AJ168</f>
        <v>2.5364499999999999E-4</v>
      </c>
      <c r="AA510" t="s">
        <v>99</v>
      </c>
      <c r="AB510">
        <v>2006</v>
      </c>
      <c r="AC510">
        <v>25</v>
      </c>
    </row>
    <row r="511" spans="1:29" x14ac:dyDescent="0.2">
      <c r="A511" s="3">
        <v>2007</v>
      </c>
      <c r="B511">
        <f>[1]Sheet1!L169</f>
        <v>0.13812950099999999</v>
      </c>
      <c r="C511">
        <f>[1]Sheet1!M169</f>
        <v>0.30687189999999998</v>
      </c>
      <c r="D511">
        <f>[1]Sheet1!N169</f>
        <v>0.15254129999999999</v>
      </c>
      <c r="E511">
        <f>[1]Sheet1!O169</f>
        <v>7.5494400000000003E-2</v>
      </c>
      <c r="F511">
        <f>[1]Sheet1!P169</f>
        <v>2.2254740000000002E-2</v>
      </c>
      <c r="G511">
        <f>[1]Sheet1!Q169</f>
        <v>1.562908E-2</v>
      </c>
      <c r="H511">
        <f>[1]Sheet1!R169</f>
        <v>3.0980019999999997E-2</v>
      </c>
      <c r="I511">
        <f>[1]Sheet1!S169</f>
        <v>3.1665239999999997E-2</v>
      </c>
      <c r="J511">
        <f>[1]Sheet1!T169</f>
        <v>2.560163E-2</v>
      </c>
      <c r="K511">
        <f>[1]Sheet1!U169</f>
        <v>1.783732E-2</v>
      </c>
      <c r="L511">
        <f>[1]Sheet1!V169</f>
        <v>1.772139E-2</v>
      </c>
      <c r="M511">
        <f>[1]Sheet1!W169</f>
        <v>1.7929460000000001E-2</v>
      </c>
      <c r="N511">
        <f>[1]Sheet1!X169</f>
        <v>2.9981279999999999E-2</v>
      </c>
      <c r="O511">
        <f>[1]Sheet1!Y169</f>
        <v>2.7919510000000002E-2</v>
      </c>
      <c r="P511">
        <f>[1]Sheet1!Z169</f>
        <v>2.1569250000000002E-2</v>
      </c>
      <c r="Q511">
        <f>[1]Sheet1!AA169</f>
        <v>2.03851E-2</v>
      </c>
      <c r="R511">
        <f>[1]Sheet1!AB169</f>
        <v>1.5177020000000001E-2</v>
      </c>
      <c r="S511">
        <f>[1]Sheet1!AC169</f>
        <v>1.076652E-2</v>
      </c>
      <c r="T511">
        <f>[1]Sheet1!AD169</f>
        <v>6.2148859999999993E-3</v>
      </c>
      <c r="U511">
        <f>[1]Sheet1!AE169</f>
        <v>5.765114E-3</v>
      </c>
      <c r="V511">
        <f>[1]Sheet1!AF169</f>
        <v>4.118666E-3</v>
      </c>
      <c r="W511">
        <f>[1]Sheet1!AG169</f>
        <v>2.8567879999999999E-3</v>
      </c>
      <c r="X511">
        <f>[1]Sheet1!AH169</f>
        <v>1.218008E-3</v>
      </c>
      <c r="Y511">
        <f>[1]Sheet1!AI169</f>
        <v>1.1042240000000002E-3</v>
      </c>
      <c r="Z511">
        <f>[1]Sheet1!AJ169</f>
        <v>2.6767399999999997E-4</v>
      </c>
      <c r="AA511" t="s">
        <v>99</v>
      </c>
      <c r="AB511">
        <v>2007</v>
      </c>
      <c r="AC511">
        <v>26</v>
      </c>
    </row>
    <row r="512" spans="1:29" x14ac:dyDescent="0.2">
      <c r="A512" s="3">
        <v>2008</v>
      </c>
      <c r="B512">
        <f>[1]Sheet1!L170</f>
        <v>4.4146077000000006E-2</v>
      </c>
      <c r="C512">
        <f>[1]Sheet1!M170</f>
        <v>8.5322599999999998E-2</v>
      </c>
      <c r="D512">
        <f>[1]Sheet1!N170</f>
        <v>5.2447300000000002E-2</v>
      </c>
      <c r="E512">
        <f>[1]Sheet1!O170</f>
        <v>1.0337289999999999E-2</v>
      </c>
      <c r="F512">
        <f>[1]Sheet1!P170</f>
        <v>2.103232E-2</v>
      </c>
      <c r="G512">
        <f>[1]Sheet1!Q170</f>
        <v>0.1020848</v>
      </c>
      <c r="H512">
        <f>[1]Sheet1!R170</f>
        <v>0.1670239</v>
      </c>
      <c r="I512">
        <f>[1]Sheet1!S170</f>
        <v>0.13115940000000001</v>
      </c>
      <c r="J512">
        <f>[1]Sheet1!T170</f>
        <v>6.3261999999999999E-2</v>
      </c>
      <c r="K512">
        <f>[1]Sheet1!U170</f>
        <v>3.4687799999999998E-2</v>
      </c>
      <c r="L512">
        <f>[1]Sheet1!V170</f>
        <v>3.021923E-2</v>
      </c>
      <c r="M512">
        <f>[1]Sheet1!W170</f>
        <v>3.128678E-2</v>
      </c>
      <c r="N512">
        <f>[1]Sheet1!X170</f>
        <v>4.8637879999999994E-2</v>
      </c>
      <c r="O512">
        <f>[1]Sheet1!Y170</f>
        <v>4.5331410000000003E-2</v>
      </c>
      <c r="P512">
        <f>[1]Sheet1!Z170</f>
        <v>4.1073020000000002E-2</v>
      </c>
      <c r="Q512">
        <f>[1]Sheet1!AA170</f>
        <v>3.1536710000000003E-2</v>
      </c>
      <c r="R512">
        <f>[1]Sheet1!AB170</f>
        <v>2.4221340000000001E-2</v>
      </c>
      <c r="S512">
        <f>[1]Sheet1!AC170</f>
        <v>1.248929E-2</v>
      </c>
      <c r="T512">
        <f>[1]Sheet1!AD170</f>
        <v>7.6238639999999993E-3</v>
      </c>
      <c r="U512">
        <f>[1]Sheet1!AE170</f>
        <v>4.9020820000000003E-3</v>
      </c>
      <c r="V512">
        <f>[1]Sheet1!AF170</f>
        <v>4.7492520000000007E-3</v>
      </c>
      <c r="W512">
        <f>[1]Sheet1!AG170</f>
        <v>3.3363309999999997E-3</v>
      </c>
      <c r="X512">
        <f>[1]Sheet1!AH170</f>
        <v>2.0330560000000001E-3</v>
      </c>
      <c r="Y512">
        <f>[1]Sheet1!AI170</f>
        <v>9.59165E-4</v>
      </c>
      <c r="Z512">
        <f>[1]Sheet1!AJ170</f>
        <v>9.7E-5</v>
      </c>
      <c r="AA512" t="s">
        <v>99</v>
      </c>
      <c r="AB512">
        <v>2008</v>
      </c>
      <c r="AC512">
        <v>27</v>
      </c>
    </row>
    <row r="513" spans="1:29" x14ac:dyDescent="0.2">
      <c r="A513" s="3">
        <v>2009</v>
      </c>
      <c r="B513">
        <f>[1]Sheet1!L171</f>
        <v>0.15482474899999998</v>
      </c>
      <c r="C513">
        <f>[1]Sheet1!M171</f>
        <v>0.1623445</v>
      </c>
      <c r="D513">
        <f>[1]Sheet1!N171</f>
        <v>9.5485600000000004E-2</v>
      </c>
      <c r="E513">
        <f>[1]Sheet1!O171</f>
        <v>3.9151760000000001E-2</v>
      </c>
      <c r="F513">
        <f>[1]Sheet1!P171</f>
        <v>5.7603300000000001E-3</v>
      </c>
      <c r="G513">
        <f>[1]Sheet1!Q171</f>
        <v>2.0907680000000001E-2</v>
      </c>
      <c r="H513">
        <f>[1]Sheet1!R171</f>
        <v>5.9168600000000002E-2</v>
      </c>
      <c r="I513">
        <f>[1]Sheet1!S171</f>
        <v>7.4498099999999998E-2</v>
      </c>
      <c r="J513">
        <f>[1]Sheet1!T171</f>
        <v>4.4324099999999998E-2</v>
      </c>
      <c r="K513">
        <f>[1]Sheet1!U171</f>
        <v>4.4370400000000004E-2</v>
      </c>
      <c r="L513">
        <f>[1]Sheet1!V171</f>
        <v>6.2592099999999998E-2</v>
      </c>
      <c r="M513">
        <f>[1]Sheet1!W171</f>
        <v>6.3499700000000006E-2</v>
      </c>
      <c r="N513">
        <f>[1]Sheet1!X171</f>
        <v>6.8353209999999998E-2</v>
      </c>
      <c r="O513">
        <f>[1]Sheet1!Y171</f>
        <v>3.2383019999999998E-2</v>
      </c>
      <c r="P513">
        <f>[1]Sheet1!Z171</f>
        <v>2.3856459999999999E-2</v>
      </c>
      <c r="Q513">
        <f>[1]Sheet1!AA171</f>
        <v>2.0951089999999999E-2</v>
      </c>
      <c r="R513">
        <f>[1]Sheet1!AB171</f>
        <v>1.2669130000000001E-2</v>
      </c>
      <c r="S513">
        <f>[1]Sheet1!AC171</f>
        <v>6.3248699999999998E-3</v>
      </c>
      <c r="T513">
        <f>[1]Sheet1!AD171</f>
        <v>3.748922E-3</v>
      </c>
      <c r="U513">
        <f>[1]Sheet1!AE171</f>
        <v>1.8089310000000002E-3</v>
      </c>
      <c r="V513">
        <f>[1]Sheet1!AF171</f>
        <v>1.4115359999999999E-3</v>
      </c>
      <c r="W513">
        <f>[1]Sheet1!AG171</f>
        <v>4.8337199999999998E-4</v>
      </c>
      <c r="X513">
        <f>[1]Sheet1!AH171</f>
        <v>7.51128E-4</v>
      </c>
      <c r="Y513">
        <f>[1]Sheet1!AI171</f>
        <v>2.89466E-4</v>
      </c>
      <c r="Z513">
        <f>[1]Sheet1!AJ171</f>
        <v>4.1199999999999999E-5</v>
      </c>
      <c r="AA513" t="s">
        <v>99</v>
      </c>
      <c r="AB513">
        <v>2009</v>
      </c>
      <c r="AC513">
        <v>28</v>
      </c>
    </row>
    <row r="514" spans="1:29" x14ac:dyDescent="0.2">
      <c r="A514" s="3">
        <v>2010</v>
      </c>
      <c r="B514">
        <f>[1]Sheet1!L172</f>
        <v>6.3693080000000006E-3</v>
      </c>
      <c r="C514">
        <f>[1]Sheet1!M172</f>
        <v>1.7649689999999999E-2</v>
      </c>
      <c r="D514">
        <f>[1]Sheet1!N172</f>
        <v>1.7668990000000002E-2</v>
      </c>
      <c r="E514">
        <f>[1]Sheet1!O172</f>
        <v>5.4665000000000009E-3</v>
      </c>
      <c r="F514">
        <f>[1]Sheet1!P172</f>
        <v>1.3982369999999999E-2</v>
      </c>
      <c r="G514">
        <f>[1]Sheet1!Q172</f>
        <v>7.3911699999999997E-2</v>
      </c>
      <c r="H514">
        <f>[1]Sheet1!R172</f>
        <v>0.158526</v>
      </c>
      <c r="I514">
        <f>[1]Sheet1!S172</f>
        <v>0.1460766</v>
      </c>
      <c r="J514">
        <f>[1]Sheet1!T172</f>
        <v>8.1507599999999999E-2</v>
      </c>
      <c r="K514">
        <f>[1]Sheet1!U172</f>
        <v>3.5214929999999998E-2</v>
      </c>
      <c r="L514">
        <f>[1]Sheet1!V172</f>
        <v>3.6481559999999996E-2</v>
      </c>
      <c r="M514">
        <f>[1]Sheet1!W172</f>
        <v>6.8044300000000002E-2</v>
      </c>
      <c r="N514">
        <f>[1]Sheet1!X172</f>
        <v>9.7375400000000001E-2</v>
      </c>
      <c r="O514">
        <f>[1]Sheet1!Y172</f>
        <v>8.8464399999999999E-2</v>
      </c>
      <c r="P514">
        <f>[1]Sheet1!Z172</f>
        <v>7.6928300000000005E-2</v>
      </c>
      <c r="Q514">
        <f>[1]Sheet1!AA172</f>
        <v>4.3228369999999995E-2</v>
      </c>
      <c r="R514">
        <f>[1]Sheet1!AB172</f>
        <v>1.7226129999999999E-2</v>
      </c>
      <c r="S514">
        <f>[1]Sheet1!AC172</f>
        <v>6.8750499999999989E-3</v>
      </c>
      <c r="T514">
        <f>[1]Sheet1!AD172</f>
        <v>3.8490059999999999E-3</v>
      </c>
      <c r="U514">
        <f>[1]Sheet1!AE172</f>
        <v>2.2156179999999999E-3</v>
      </c>
      <c r="V514">
        <f>[1]Sheet1!AF172</f>
        <v>1.41263E-3</v>
      </c>
      <c r="W514">
        <f>[1]Sheet1!AG172</f>
        <v>6.2868600000000005E-4</v>
      </c>
      <c r="X514">
        <f>[1]Sheet1!AH172</f>
        <v>7.4645699999999996E-4</v>
      </c>
      <c r="Y514">
        <f>[1]Sheet1!AI172</f>
        <v>6.41E-5</v>
      </c>
      <c r="Z514">
        <f>[1]Sheet1!AJ172</f>
        <v>8.6399999999999999E-5</v>
      </c>
      <c r="AA514" t="s">
        <v>99</v>
      </c>
      <c r="AB514">
        <v>2010</v>
      </c>
      <c r="AC514">
        <v>29</v>
      </c>
    </row>
    <row r="515" spans="1:29" x14ac:dyDescent="0.2">
      <c r="A515" s="3">
        <v>2011</v>
      </c>
      <c r="B515">
        <f>[1]Sheet1!L173</f>
        <v>1.1803917000000001E-2</v>
      </c>
      <c r="C515">
        <f>[1]Sheet1!M173</f>
        <v>4.5805800000000001E-2</v>
      </c>
      <c r="D515">
        <f>[1]Sheet1!N173</f>
        <v>7.8730099999999997E-2</v>
      </c>
      <c r="E515">
        <f>[1]Sheet1!O173</f>
        <v>0.12712309999999999</v>
      </c>
      <c r="F515">
        <f>[1]Sheet1!P173</f>
        <v>4.4823849999999998E-2</v>
      </c>
      <c r="G515">
        <f>[1]Sheet1!Q173</f>
        <v>6.2319699999999999E-3</v>
      </c>
      <c r="H515">
        <f>[1]Sheet1!R173</f>
        <v>8.5992699999999991E-3</v>
      </c>
      <c r="I515">
        <f>[1]Sheet1!S173</f>
        <v>2.1518309999999999E-2</v>
      </c>
      <c r="J515">
        <f>[1]Sheet1!T173</f>
        <v>3.009069E-2</v>
      </c>
      <c r="K515">
        <f>[1]Sheet1!U173</f>
        <v>4.6341800000000002E-2</v>
      </c>
      <c r="L515">
        <f>[1]Sheet1!V173</f>
        <v>9.29257E-2</v>
      </c>
      <c r="M515">
        <f>[1]Sheet1!W173</f>
        <v>0.12791329999999998</v>
      </c>
      <c r="N515">
        <f>[1]Sheet1!X173</f>
        <v>0.12676460000000001</v>
      </c>
      <c r="O515">
        <f>[1]Sheet1!Y173</f>
        <v>5.7077650000000001E-2</v>
      </c>
      <c r="P515">
        <f>[1]Sheet1!Z173</f>
        <v>6.1131619999999998E-2</v>
      </c>
      <c r="Q515">
        <f>[1]Sheet1!AA173</f>
        <v>5.4502870000000002E-2</v>
      </c>
      <c r="R515">
        <f>[1]Sheet1!AB173</f>
        <v>3.6599190000000004E-2</v>
      </c>
      <c r="S515">
        <f>[1]Sheet1!AC173</f>
        <v>1.296251E-2</v>
      </c>
      <c r="T515">
        <f>[1]Sheet1!AD173</f>
        <v>4.6469969999999999E-3</v>
      </c>
      <c r="U515">
        <f>[1]Sheet1!AE173</f>
        <v>2.0180530000000001E-3</v>
      </c>
      <c r="V515">
        <f>[1]Sheet1!AF173</f>
        <v>8.6696199999999998E-4</v>
      </c>
      <c r="W515">
        <f>[1]Sheet1!AG173</f>
        <v>1.073545E-3</v>
      </c>
      <c r="X515">
        <f>[1]Sheet1!AH173</f>
        <v>2.05088E-4</v>
      </c>
      <c r="Y515">
        <f>[1]Sheet1!AI173</f>
        <v>2.431E-4</v>
      </c>
      <c r="Z515">
        <f>[1]Sheet1!AJ173</f>
        <v>0</v>
      </c>
      <c r="AA515" t="s">
        <v>99</v>
      </c>
      <c r="AB515">
        <v>2011</v>
      </c>
      <c r="AC515">
        <v>30</v>
      </c>
    </row>
    <row r="516" spans="1:29" x14ac:dyDescent="0.2">
      <c r="A516" s="3">
        <v>2012</v>
      </c>
      <c r="B516">
        <f>[1]Sheet1!L174</f>
        <v>0.14394198</v>
      </c>
      <c r="C516">
        <f>[1]Sheet1!M174</f>
        <v>0.10747660000000001</v>
      </c>
      <c r="D516">
        <f>[1]Sheet1!N174</f>
        <v>8.5246200000000008E-2</v>
      </c>
      <c r="E516">
        <f>[1]Sheet1!O174</f>
        <v>2.933229E-2</v>
      </c>
      <c r="F516">
        <f>[1]Sheet1!P174</f>
        <v>5.3294759999999997E-3</v>
      </c>
      <c r="G516">
        <f>[1]Sheet1!Q174</f>
        <v>1.3819089999999999E-2</v>
      </c>
      <c r="H516">
        <f>[1]Sheet1!R174</f>
        <v>5.3883900000000005E-2</v>
      </c>
      <c r="I516">
        <f>[1]Sheet1!S174</f>
        <v>8.3877000000000007E-2</v>
      </c>
      <c r="J516">
        <f>[1]Sheet1!T174</f>
        <v>5.9496E-2</v>
      </c>
      <c r="K516">
        <f>[1]Sheet1!U174</f>
        <v>2.5702679999999999E-2</v>
      </c>
      <c r="L516">
        <f>[1]Sheet1!V174</f>
        <v>1.303729E-2</v>
      </c>
      <c r="M516">
        <f>[1]Sheet1!W174</f>
        <v>1.720563E-2</v>
      </c>
      <c r="N516">
        <f>[1]Sheet1!X174</f>
        <v>6.6121920000000001E-2</v>
      </c>
      <c r="O516">
        <f>[1]Sheet1!Y174</f>
        <v>0.130327</v>
      </c>
      <c r="P516">
        <f>[1]Sheet1!Z174</f>
        <v>8.1393499999999994E-2</v>
      </c>
      <c r="Q516">
        <f>[1]Sheet1!AA174</f>
        <v>3.6938730000000003E-2</v>
      </c>
      <c r="R516">
        <f>[1]Sheet1!AB174</f>
        <v>2.4906930000000001E-2</v>
      </c>
      <c r="S516">
        <f>[1]Sheet1!AC174</f>
        <v>1.2053309999999999E-2</v>
      </c>
      <c r="T516">
        <f>[1]Sheet1!AD174</f>
        <v>5.5556780000000005E-3</v>
      </c>
      <c r="U516">
        <f>[1]Sheet1!AE174</f>
        <v>2.1157710000000002E-3</v>
      </c>
      <c r="V516">
        <f>[1]Sheet1!AF174</f>
        <v>9.6107300000000011E-4</v>
      </c>
      <c r="W516">
        <f>[1]Sheet1!AG174</f>
        <v>7.7239499999999994E-4</v>
      </c>
      <c r="X516">
        <f>[1]Sheet1!AH174</f>
        <v>3.4957799999999997E-4</v>
      </c>
      <c r="Y516">
        <f>[1]Sheet1!AI174</f>
        <v>9.4600000000000009E-5</v>
      </c>
      <c r="Z516">
        <f>[1]Sheet1!AJ174</f>
        <v>6.1599999999999993E-5</v>
      </c>
      <c r="AA516" t="s">
        <v>99</v>
      </c>
      <c r="AB516">
        <v>2012</v>
      </c>
      <c r="AC516">
        <v>31</v>
      </c>
    </row>
    <row r="517" spans="1:29" x14ac:dyDescent="0.2">
      <c r="A517" s="3">
        <v>2013</v>
      </c>
      <c r="B517">
        <f>[1]Sheet1!L175</f>
        <v>1.7188887E-2</v>
      </c>
      <c r="C517">
        <f>[1]Sheet1!M175</f>
        <v>3.7986499999999999E-2</v>
      </c>
      <c r="D517">
        <f>[1]Sheet1!N175</f>
        <v>2.9133270000000003E-2</v>
      </c>
      <c r="E517">
        <f>[1]Sheet1!O175</f>
        <v>6.4151699999999996E-3</v>
      </c>
      <c r="F517">
        <f>[1]Sheet1!P175</f>
        <v>4.0138670000000001E-2</v>
      </c>
      <c r="G517">
        <f>[1]Sheet1!Q175</f>
        <v>0.1291687</v>
      </c>
      <c r="H517">
        <f>[1]Sheet1!R175</f>
        <v>0.15061350000000001</v>
      </c>
      <c r="I517">
        <f>[1]Sheet1!S175</f>
        <v>9.1852600000000006E-2</v>
      </c>
      <c r="J517">
        <f>[1]Sheet1!T175</f>
        <v>3.8882979999999998E-2</v>
      </c>
      <c r="K517">
        <f>[1]Sheet1!U175</f>
        <v>2.3626349999999997E-2</v>
      </c>
      <c r="L517">
        <f>[1]Sheet1!V175</f>
        <v>3.020904E-2</v>
      </c>
      <c r="M517">
        <f>[1]Sheet1!W175</f>
        <v>5.80834E-2</v>
      </c>
      <c r="N517">
        <f>[1]Sheet1!X175</f>
        <v>0.1068045</v>
      </c>
      <c r="O517">
        <f>[1]Sheet1!Y175</f>
        <v>5.6787230000000008E-2</v>
      </c>
      <c r="P517">
        <f>[1]Sheet1!Z175</f>
        <v>5.2536590000000001E-2</v>
      </c>
      <c r="Q517">
        <f>[1]Sheet1!AA175</f>
        <v>5.6852200000000006E-2</v>
      </c>
      <c r="R517">
        <f>[1]Sheet1!AB175</f>
        <v>3.9775640000000001E-2</v>
      </c>
      <c r="S517">
        <f>[1]Sheet1!AC175</f>
        <v>1.9047080000000001E-2</v>
      </c>
      <c r="T517">
        <f>[1]Sheet1!AD175</f>
        <v>7.6637680000000005E-3</v>
      </c>
      <c r="U517">
        <f>[1]Sheet1!AE175</f>
        <v>4.6900320000000002E-3</v>
      </c>
      <c r="V517">
        <f>[1]Sheet1!AF175</f>
        <v>1.4445349999999998E-3</v>
      </c>
      <c r="W517">
        <f>[1]Sheet1!AG175</f>
        <v>8.3738200000000001E-4</v>
      </c>
      <c r="X517">
        <f>[1]Sheet1!AH175</f>
        <v>2.2259999999999999E-4</v>
      </c>
      <c r="Y517">
        <f>[1]Sheet1!AI175</f>
        <v>3.9199999999999997E-5</v>
      </c>
      <c r="Z517">
        <f>[1]Sheet1!AJ175</f>
        <v>0</v>
      </c>
      <c r="AA517" t="s">
        <v>99</v>
      </c>
      <c r="AB517">
        <v>2013</v>
      </c>
      <c r="AC517">
        <v>32</v>
      </c>
    </row>
    <row r="518" spans="1:29" x14ac:dyDescent="0.2">
      <c r="A518" s="3">
        <v>2014</v>
      </c>
      <c r="B518">
        <f>[1]Sheet1!L176</f>
        <v>1.2155667000000002E-2</v>
      </c>
      <c r="C518">
        <f>[1]Sheet1!M176</f>
        <v>5.83399E-2</v>
      </c>
      <c r="D518">
        <f>[1]Sheet1!N176</f>
        <v>9.3303800000000006E-2</v>
      </c>
      <c r="E518">
        <f>[1]Sheet1!O176</f>
        <v>9.0195899999999996E-2</v>
      </c>
      <c r="F518">
        <f>[1]Sheet1!P176</f>
        <v>3.5517640000000003E-2</v>
      </c>
      <c r="G518">
        <f>[1]Sheet1!Q176</f>
        <v>1.4678200000000001E-2</v>
      </c>
      <c r="H518">
        <f>[1]Sheet1!R176</f>
        <v>3.1161190000000002E-2</v>
      </c>
      <c r="I518">
        <f>[1]Sheet1!S176</f>
        <v>6.8472600000000008E-2</v>
      </c>
      <c r="J518">
        <f>[1]Sheet1!T176</f>
        <v>7.2763800000000003E-2</v>
      </c>
      <c r="K518">
        <f>[1]Sheet1!U176</f>
        <v>3.81325E-2</v>
      </c>
      <c r="L518">
        <f>[1]Sheet1!V176</f>
        <v>3.5173010000000005E-2</v>
      </c>
      <c r="M518">
        <f>[1]Sheet1!W176</f>
        <v>8.6801500000000004E-2</v>
      </c>
      <c r="N518">
        <f>[1]Sheet1!X176</f>
        <v>0.15356380000000003</v>
      </c>
      <c r="O518">
        <f>[1]Sheet1!Y176</f>
        <v>6.0938200000000005E-2</v>
      </c>
      <c r="P518">
        <f>[1]Sheet1!Z176</f>
        <v>5.8901789999999996E-2</v>
      </c>
      <c r="Q518">
        <f>[1]Sheet1!AA176</f>
        <v>4.3484189999999999E-2</v>
      </c>
      <c r="R518">
        <f>[1]Sheet1!AB176</f>
        <v>1.94988E-2</v>
      </c>
      <c r="S518">
        <f>[1]Sheet1!AC176</f>
        <v>1.4886300000000002E-2</v>
      </c>
      <c r="T518">
        <f>[1]Sheet1!AD176</f>
        <v>7.4403910000000002E-3</v>
      </c>
      <c r="U518">
        <f>[1]Sheet1!AE176</f>
        <v>2.4685949999999996E-3</v>
      </c>
      <c r="V518">
        <f>[1]Sheet1!AF176</f>
        <v>1.1726410000000001E-3</v>
      </c>
      <c r="W518">
        <f>[1]Sheet1!AG176</f>
        <v>4.2349599999999999E-4</v>
      </c>
      <c r="X518">
        <f>[1]Sheet1!AH176</f>
        <v>4.1214499999999999E-4</v>
      </c>
      <c r="Y518">
        <f>[1]Sheet1!AI176</f>
        <v>8.7399999999999997E-5</v>
      </c>
      <c r="Z518">
        <f>[1]Sheet1!AJ176</f>
        <v>2.62E-5</v>
      </c>
      <c r="AA518" t="s">
        <v>99</v>
      </c>
      <c r="AB518">
        <v>2014</v>
      </c>
      <c r="AC518">
        <v>33</v>
      </c>
    </row>
    <row r="519" spans="1:29" x14ac:dyDescent="0.2">
      <c r="A519" s="3">
        <v>2015</v>
      </c>
      <c r="B519">
        <f>[1]Sheet1!L177</f>
        <v>4.9166360000000003E-3</v>
      </c>
      <c r="C519">
        <f>[1]Sheet1!M177</f>
        <v>1.1160990000000001E-2</v>
      </c>
      <c r="D519">
        <f>[1]Sheet1!N177</f>
        <v>8.38618E-3</v>
      </c>
      <c r="E519">
        <f>[1]Sheet1!O177</f>
        <v>1.1352879999999999E-2</v>
      </c>
      <c r="F519">
        <f>[1]Sheet1!P177</f>
        <v>1.1523819999999999E-2</v>
      </c>
      <c r="G519">
        <f>[1]Sheet1!Q177</f>
        <v>1.456526E-2</v>
      </c>
      <c r="H519">
        <f>[1]Sheet1!R177</f>
        <v>4.351145E-2</v>
      </c>
      <c r="I519">
        <f>[1]Sheet1!S177</f>
        <v>0.111403</v>
      </c>
      <c r="J519">
        <f>[1]Sheet1!T177</f>
        <v>0.16342229999999999</v>
      </c>
      <c r="K519">
        <f>[1]Sheet1!U177</f>
        <v>0.11812339999999999</v>
      </c>
      <c r="L519">
        <f>[1]Sheet1!V177</f>
        <v>5.4298800000000001E-2</v>
      </c>
      <c r="M519">
        <f>[1]Sheet1!W177</f>
        <v>4.9096600000000004E-2</v>
      </c>
      <c r="N519">
        <f>[1]Sheet1!X177</f>
        <v>0.12010319999999999</v>
      </c>
      <c r="O519">
        <f>[1]Sheet1!Y177</f>
        <v>8.6644599999999988E-2</v>
      </c>
      <c r="P519">
        <f>[1]Sheet1!Z177</f>
        <v>9.25874E-2</v>
      </c>
      <c r="Q519">
        <f>[1]Sheet1!AA177</f>
        <v>4.656014E-2</v>
      </c>
      <c r="R519">
        <f>[1]Sheet1!AB177</f>
        <v>2.399637E-2</v>
      </c>
      <c r="S519">
        <f>[1]Sheet1!AC177</f>
        <v>1.452868E-2</v>
      </c>
      <c r="T519">
        <f>[1]Sheet1!AD177</f>
        <v>7.6263900000000003E-3</v>
      </c>
      <c r="U519">
        <f>[1]Sheet1!AE177</f>
        <v>3.3614349999999999E-3</v>
      </c>
      <c r="V519">
        <f>[1]Sheet1!AF177</f>
        <v>2.0660079999999998E-3</v>
      </c>
      <c r="W519">
        <f>[1]Sheet1!AG177</f>
        <v>3.4659999999999997E-4</v>
      </c>
      <c r="X519">
        <f>[1]Sheet1!AH177</f>
        <v>3.1199999999999999E-4</v>
      </c>
      <c r="Y519">
        <f>[1]Sheet1!AI177</f>
        <v>1.061E-4</v>
      </c>
      <c r="Z519">
        <f>[1]Sheet1!AJ177</f>
        <v>0</v>
      </c>
      <c r="AA519" t="s">
        <v>99</v>
      </c>
      <c r="AB519">
        <v>2015</v>
      </c>
      <c r="AC519">
        <v>34</v>
      </c>
    </row>
    <row r="520" spans="1:29" x14ac:dyDescent="0.2">
      <c r="A520" s="3">
        <v>2016</v>
      </c>
      <c r="B520">
        <f>[1]Sheet1!L178</f>
        <v>2.8588340000000002E-3</v>
      </c>
      <c r="C520">
        <f>[1]Sheet1!M178</f>
        <v>8.99229E-3</v>
      </c>
      <c r="D520">
        <f>[1]Sheet1!N178</f>
        <v>8.137440000000001E-3</v>
      </c>
      <c r="E520">
        <f>[1]Sheet1!O178</f>
        <v>2.766996E-2</v>
      </c>
      <c r="F520">
        <f>[1]Sheet1!P178</f>
        <v>4.4263400000000001E-2</v>
      </c>
      <c r="G520">
        <f>[1]Sheet1!Q178</f>
        <v>1.8552699999999998E-2</v>
      </c>
      <c r="H520">
        <f>[1]Sheet1!R178</f>
        <v>8.2923900000000002E-3</v>
      </c>
      <c r="I520">
        <f>[1]Sheet1!S178</f>
        <v>1.8680200000000001E-2</v>
      </c>
      <c r="J520">
        <f>[1]Sheet1!T178</f>
        <v>3.3120520000000001E-2</v>
      </c>
      <c r="K520">
        <f>[1]Sheet1!U178</f>
        <v>4.8176399999999994E-2</v>
      </c>
      <c r="L520">
        <f>[1]Sheet1!V178</f>
        <v>6.8761299999999997E-2</v>
      </c>
      <c r="M520">
        <f>[1]Sheet1!W178</f>
        <v>0.1163372</v>
      </c>
      <c r="N520">
        <f>[1]Sheet1!X178</f>
        <v>0.23746340000000002</v>
      </c>
      <c r="O520">
        <f>[1]Sheet1!Y178</f>
        <v>0.1140799</v>
      </c>
      <c r="P520">
        <f>[1]Sheet1!Z178</f>
        <v>7.7063499999999993E-2</v>
      </c>
      <c r="Q520">
        <f>[1]Sheet1!AA178</f>
        <v>6.5999000000000002E-2</v>
      </c>
      <c r="R520">
        <f>[1]Sheet1!AB178</f>
        <v>5.5009160000000001E-2</v>
      </c>
      <c r="S520">
        <f>[1]Sheet1!AC178</f>
        <v>2.5554380000000002E-2</v>
      </c>
      <c r="T520">
        <f>[1]Sheet1!AD178</f>
        <v>1.042936E-2</v>
      </c>
      <c r="U520">
        <f>[1]Sheet1!AE178</f>
        <v>6.3026820000000004E-3</v>
      </c>
      <c r="V520">
        <f>[1]Sheet1!AF178</f>
        <v>2.295137E-3</v>
      </c>
      <c r="W520">
        <f>[1]Sheet1!AG178</f>
        <v>1.0871790000000002E-3</v>
      </c>
      <c r="X520">
        <f>[1]Sheet1!AH178</f>
        <v>4.4679999999999996E-4</v>
      </c>
      <c r="Y520">
        <f>[1]Sheet1!AI178</f>
        <v>4.2683199999999998E-4</v>
      </c>
      <c r="Z520">
        <f>[1]Sheet1!AJ178</f>
        <v>0</v>
      </c>
      <c r="AA520" t="s">
        <v>99</v>
      </c>
      <c r="AB520">
        <v>2016</v>
      </c>
      <c r="AC520">
        <v>35</v>
      </c>
    </row>
    <row r="521" spans="1:29" x14ac:dyDescent="0.2">
      <c r="A521" s="3">
        <v>2017</v>
      </c>
      <c r="B521">
        <f>[1]Sheet1!L179</f>
        <v>1.2509610000000001E-3</v>
      </c>
      <c r="C521">
        <f>[1]Sheet1!M179</f>
        <v>1.00459E-2</v>
      </c>
      <c r="D521">
        <f>[1]Sheet1!N179</f>
        <v>1.488769E-2</v>
      </c>
      <c r="E521">
        <f>[1]Sheet1!O179</f>
        <v>2.321923E-2</v>
      </c>
      <c r="F521">
        <f>[1]Sheet1!P179</f>
        <v>3.5771900000000002E-2</v>
      </c>
      <c r="G521">
        <f>[1]Sheet1!Q179</f>
        <v>3.8111899999999997E-2</v>
      </c>
      <c r="H521">
        <f>[1]Sheet1!R179</f>
        <v>2.7651480000000003E-2</v>
      </c>
      <c r="I521">
        <f>[1]Sheet1!S179</f>
        <v>3.2116610000000004E-2</v>
      </c>
      <c r="J521">
        <f>[1]Sheet1!T179</f>
        <v>3.2982499999999998E-2</v>
      </c>
      <c r="K521">
        <f>[1]Sheet1!U179</f>
        <v>3.6955599999999998E-2</v>
      </c>
      <c r="L521">
        <f>[1]Sheet1!V179</f>
        <v>4.0487599999999999E-2</v>
      </c>
      <c r="M521">
        <f>[1]Sheet1!W179</f>
        <v>5.0225800000000001E-2</v>
      </c>
      <c r="N521">
        <f>[1]Sheet1!X179</f>
        <v>0.1081049</v>
      </c>
      <c r="O521">
        <f>[1]Sheet1!Y179</f>
        <v>0.1540649</v>
      </c>
      <c r="P521">
        <f>[1]Sheet1!Z179</f>
        <v>0.1482957</v>
      </c>
      <c r="Q521">
        <f>[1]Sheet1!AA179</f>
        <v>9.5816800000000008E-2</v>
      </c>
      <c r="R521">
        <f>[1]Sheet1!AB179</f>
        <v>6.2321099999999997E-2</v>
      </c>
      <c r="S521">
        <f>[1]Sheet1!AC179</f>
        <v>4.1388630000000003E-2</v>
      </c>
      <c r="T521">
        <f>[1]Sheet1!AD179</f>
        <v>2.8851270000000002E-2</v>
      </c>
      <c r="U521">
        <f>[1]Sheet1!AE179</f>
        <v>1.0280234999999999E-2</v>
      </c>
      <c r="V521">
        <f>[1]Sheet1!AF179</f>
        <v>4.4123649999999997E-3</v>
      </c>
      <c r="W521">
        <f>[1]Sheet1!AG179</f>
        <v>2.2746200000000002E-3</v>
      </c>
      <c r="X521">
        <f>[1]Sheet1!AH179</f>
        <v>3.9943199999999991E-4</v>
      </c>
      <c r="Y521">
        <f>[1]Sheet1!AI179</f>
        <v>8.2899999999999996E-5</v>
      </c>
      <c r="Z521">
        <f>[1]Sheet1!AJ179</f>
        <v>0</v>
      </c>
      <c r="AA521" t="s">
        <v>99</v>
      </c>
      <c r="AB521">
        <v>2017</v>
      </c>
      <c r="AC521">
        <v>36</v>
      </c>
    </row>
    <row r="522" spans="1:29" x14ac:dyDescent="0.2">
      <c r="A522" s="3">
        <v>2018</v>
      </c>
      <c r="B522">
        <f>[1]Sheet1!L180</f>
        <v>3.1850500000000001E-4</v>
      </c>
      <c r="C522">
        <f>[1]Sheet1!M180</f>
        <v>3.3492019999999999E-3</v>
      </c>
      <c r="D522">
        <f>[1]Sheet1!N180</f>
        <v>1.042626E-2</v>
      </c>
      <c r="E522">
        <f>[1]Sheet1!O180</f>
        <v>1.7729500000000002E-2</v>
      </c>
      <c r="F522">
        <f>[1]Sheet1!P180</f>
        <v>3.7579299999999996E-2</v>
      </c>
      <c r="G522">
        <f>[1]Sheet1!Q180</f>
        <v>2.5881390000000001E-2</v>
      </c>
      <c r="H522">
        <f>[1]Sheet1!R180</f>
        <v>1.4330579999999999E-2</v>
      </c>
      <c r="I522">
        <f>[1]Sheet1!S180</f>
        <v>2.4325070000000001E-2</v>
      </c>
      <c r="J522">
        <f>[1]Sheet1!T180</f>
        <v>4.8589100000000003E-2</v>
      </c>
      <c r="K522">
        <f>[1]Sheet1!U180</f>
        <v>6.7888000000000004E-2</v>
      </c>
      <c r="L522">
        <f>[1]Sheet1!V180</f>
        <v>7.5244800000000001E-2</v>
      </c>
      <c r="M522">
        <f>[1]Sheet1!W180</f>
        <v>6.6922199999999987E-2</v>
      </c>
      <c r="N522">
        <f>[1]Sheet1!X180</f>
        <v>8.9841100000000007E-2</v>
      </c>
      <c r="O522">
        <f>[1]Sheet1!Y180</f>
        <v>0.1017936</v>
      </c>
      <c r="P522">
        <f>[1]Sheet1!Z180</f>
        <v>0.101852</v>
      </c>
      <c r="Q522">
        <f>[1]Sheet1!AA180</f>
        <v>0.1132954</v>
      </c>
      <c r="R522">
        <f>[1]Sheet1!AB180</f>
        <v>9.0298199999999995E-2</v>
      </c>
      <c r="S522">
        <f>[1]Sheet1!AC180</f>
        <v>4.8308149999999994E-2</v>
      </c>
      <c r="T522">
        <f>[1]Sheet1!AD180</f>
        <v>3.1746870000000003E-2</v>
      </c>
      <c r="U522">
        <f>[1]Sheet1!AE180</f>
        <v>1.702037E-2</v>
      </c>
      <c r="V522">
        <f>[1]Sheet1!AF180</f>
        <v>8.5990199999999989E-3</v>
      </c>
      <c r="W522">
        <f>[1]Sheet1!AG180</f>
        <v>2.6088869999999998E-3</v>
      </c>
      <c r="X522">
        <f>[1]Sheet1!AH180</f>
        <v>1.796284E-3</v>
      </c>
      <c r="Y522">
        <f>[1]Sheet1!AI180</f>
        <v>2.5597899999999998E-4</v>
      </c>
      <c r="Z522">
        <f>[1]Sheet1!AJ180</f>
        <v>0</v>
      </c>
      <c r="AA522" t="s">
        <v>99</v>
      </c>
      <c r="AB522">
        <v>2018</v>
      </c>
      <c r="AC522">
        <v>37</v>
      </c>
    </row>
    <row r="523" spans="1:29" x14ac:dyDescent="0.2">
      <c r="A523" s="3">
        <v>2019</v>
      </c>
      <c r="B523">
        <f>[1]Sheet1!L181</f>
        <v>3.0828349999999999E-3</v>
      </c>
      <c r="C523">
        <f>[1]Sheet1!M181</f>
        <v>3.5304089999999996E-2</v>
      </c>
      <c r="D523">
        <f>[1]Sheet1!N181</f>
        <v>0.111016</v>
      </c>
      <c r="E523">
        <f>[1]Sheet1!O181</f>
        <v>0.15408520000000001</v>
      </c>
      <c r="F523">
        <f>[1]Sheet1!P181</f>
        <v>0.1741134</v>
      </c>
      <c r="G523">
        <f>[1]Sheet1!Q181</f>
        <v>0.13585810000000001</v>
      </c>
      <c r="H523">
        <f>[1]Sheet1!R181</f>
        <v>3.555494E-2</v>
      </c>
      <c r="I523">
        <f>[1]Sheet1!S181</f>
        <v>6.8204300000000006E-3</v>
      </c>
      <c r="J523">
        <f>[1]Sheet1!T181</f>
        <v>6.1806599999999993E-3</v>
      </c>
      <c r="K523">
        <f>[1]Sheet1!U181</f>
        <v>9.13513E-3</v>
      </c>
      <c r="L523">
        <f>[1]Sheet1!V181</f>
        <v>1.663595E-2</v>
      </c>
      <c r="M523">
        <f>[1]Sheet1!W181</f>
        <v>2.214588E-2</v>
      </c>
      <c r="N523">
        <f>[1]Sheet1!X181</f>
        <v>3.8222460000000007E-2</v>
      </c>
      <c r="O523">
        <f>[1]Sheet1!Y181</f>
        <v>4.032728E-2</v>
      </c>
      <c r="P523">
        <f>[1]Sheet1!Z181</f>
        <v>4.4036320000000004E-2</v>
      </c>
      <c r="Q523">
        <f>[1]Sheet1!AA181</f>
        <v>4.262208E-2</v>
      </c>
      <c r="R523">
        <f>[1]Sheet1!AB181</f>
        <v>4.1353750000000002E-2</v>
      </c>
      <c r="S523">
        <f>[1]Sheet1!AC181</f>
        <v>3.71417E-2</v>
      </c>
      <c r="T523">
        <f>[1]Sheet1!AD181</f>
        <v>2.5283300000000002E-2</v>
      </c>
      <c r="U523">
        <f>[1]Sheet1!AE181</f>
        <v>1.0964149999999999E-2</v>
      </c>
      <c r="V523">
        <f>[1]Sheet1!AF181</f>
        <v>6.2546199999999998E-3</v>
      </c>
      <c r="W523">
        <f>[1]Sheet1!AG181</f>
        <v>2.4968640000000001E-3</v>
      </c>
      <c r="X523">
        <f>[1]Sheet1!AH181</f>
        <v>1.0529269999999999E-3</v>
      </c>
      <c r="Y523">
        <f>[1]Sheet1!AI181</f>
        <v>2.6410000000000002E-4</v>
      </c>
      <c r="Z523">
        <f>[1]Sheet1!AJ181</f>
        <v>4.8000000000000001E-5</v>
      </c>
      <c r="AA523" t="s">
        <v>99</v>
      </c>
      <c r="AB523">
        <v>2019</v>
      </c>
      <c r="AC523">
        <v>38</v>
      </c>
    </row>
    <row r="524" spans="1:29" x14ac:dyDescent="0.2">
      <c r="A524" s="3">
        <v>2021</v>
      </c>
      <c r="B524">
        <f>[1]Sheet1!L182</f>
        <v>7.6202920000000007E-3</v>
      </c>
      <c r="C524">
        <f>[1]Sheet1!M182</f>
        <v>1.1498900000000001E-2</v>
      </c>
      <c r="D524">
        <f>[1]Sheet1!N182</f>
        <v>2.9058470000000003E-2</v>
      </c>
      <c r="E524">
        <f>[1]Sheet1!O182</f>
        <v>7.18776E-2</v>
      </c>
      <c r="F524">
        <f>[1]Sheet1!P182</f>
        <v>8.1635399999999997E-2</v>
      </c>
      <c r="G524">
        <f>[1]Sheet1!Q182</f>
        <v>4.4595670000000004E-2</v>
      </c>
      <c r="H524">
        <f>[1]Sheet1!R182</f>
        <v>1.5956350000000001E-2</v>
      </c>
      <c r="I524">
        <f>[1]Sheet1!S182</f>
        <v>1.7757709999999999E-2</v>
      </c>
      <c r="J524">
        <f>[1]Sheet1!T182</f>
        <v>3.2429859999999998E-2</v>
      </c>
      <c r="K524">
        <f>[1]Sheet1!U182</f>
        <v>6.7494899999999997E-2</v>
      </c>
      <c r="L524">
        <f>[1]Sheet1!V182</f>
        <v>9.5782499999999993E-2</v>
      </c>
      <c r="M524">
        <f>[1]Sheet1!W182</f>
        <v>0.10325480000000001</v>
      </c>
      <c r="N524">
        <f>[1]Sheet1!X182</f>
        <v>0.1541313</v>
      </c>
      <c r="O524">
        <f>[1]Sheet1!Y182</f>
        <v>7.0309399999999994E-2</v>
      </c>
      <c r="P524">
        <f>[1]Sheet1!Z182</f>
        <v>3.5080100000000003E-2</v>
      </c>
      <c r="Q524">
        <f>[1]Sheet1!AA182</f>
        <v>2.87443E-2</v>
      </c>
      <c r="R524">
        <f>[1]Sheet1!AB182</f>
        <v>3.0099330000000001E-2</v>
      </c>
      <c r="S524">
        <f>[1]Sheet1!AC182</f>
        <v>3.1304569999999997E-2</v>
      </c>
      <c r="T524">
        <f>[1]Sheet1!AD182</f>
        <v>2.5083149999999999E-2</v>
      </c>
      <c r="U524">
        <f>[1]Sheet1!AE182</f>
        <v>2.160948E-2</v>
      </c>
      <c r="V524">
        <f>[1]Sheet1!AF182</f>
        <v>1.3662520000000001E-2</v>
      </c>
      <c r="W524">
        <f>[1]Sheet1!AG182</f>
        <v>6.0535599999999995E-3</v>
      </c>
      <c r="X524">
        <f>[1]Sheet1!AH182</f>
        <v>3.2176319999999998E-3</v>
      </c>
      <c r="Y524">
        <f>[1]Sheet1!AI182</f>
        <v>1.5466589999999999E-3</v>
      </c>
      <c r="Z524">
        <f>[1]Sheet1!AJ182</f>
        <v>1.9569999999999999E-4</v>
      </c>
      <c r="AA524" t="s">
        <v>99</v>
      </c>
      <c r="AB524">
        <v>2021</v>
      </c>
      <c r="AC524">
        <v>39</v>
      </c>
    </row>
    <row r="525" spans="1:29" x14ac:dyDescent="0.2">
      <c r="A525" s="3">
        <v>2022</v>
      </c>
      <c r="B525">
        <f>[1]Sheet1!L183</f>
        <v>4.8030039999999996E-3</v>
      </c>
      <c r="C525">
        <f>[1]Sheet1!M183</f>
        <v>4.1061480000000004E-2</v>
      </c>
      <c r="D525">
        <f>[1]Sheet1!N183</f>
        <v>6.2469999999999998E-2</v>
      </c>
      <c r="E525">
        <f>[1]Sheet1!O183</f>
        <v>7.3737700000000003E-2</v>
      </c>
      <c r="F525">
        <f>[1]Sheet1!P183</f>
        <v>4.1063229999999999E-2</v>
      </c>
      <c r="G525">
        <f>[1]Sheet1!Q183</f>
        <v>6.6442510000000003E-3</v>
      </c>
      <c r="H525">
        <f>[1]Sheet1!R183</f>
        <v>3.5110689999999999E-3</v>
      </c>
      <c r="I525">
        <f>[1]Sheet1!S183</f>
        <v>1.6564160000000001E-2</v>
      </c>
      <c r="J525">
        <f>[1]Sheet1!T183</f>
        <v>6.0779199999999999E-2</v>
      </c>
      <c r="K525">
        <f>[1]Sheet1!U183</f>
        <v>9.6184400000000003E-2</v>
      </c>
      <c r="L525">
        <f>[1]Sheet1!V183</f>
        <v>8.1574000000000008E-2</v>
      </c>
      <c r="M525">
        <f>[1]Sheet1!W183</f>
        <v>4.6055399999999996E-2</v>
      </c>
      <c r="N525">
        <f>[1]Sheet1!X183</f>
        <v>8.8438699999999995E-2</v>
      </c>
      <c r="O525">
        <f>[1]Sheet1!Y183</f>
        <v>0.12593219999999999</v>
      </c>
      <c r="P525">
        <f>[1]Sheet1!Z183</f>
        <v>8.925530000000001E-2</v>
      </c>
      <c r="Q525">
        <f>[1]Sheet1!AA183</f>
        <v>5.3349340000000002E-2</v>
      </c>
      <c r="R525">
        <f>[1]Sheet1!AB183</f>
        <v>2.8262810000000003E-2</v>
      </c>
      <c r="S525">
        <f>[1]Sheet1!AC183</f>
        <v>2.1047339999999998E-2</v>
      </c>
      <c r="T525">
        <f>[1]Sheet1!AD183</f>
        <v>1.694762E-2</v>
      </c>
      <c r="U525">
        <f>[1]Sheet1!AE183</f>
        <v>1.6256329999999999E-2</v>
      </c>
      <c r="V525">
        <f>[1]Sheet1!AF183</f>
        <v>1.3175799999999998E-2</v>
      </c>
      <c r="W525">
        <f>[1]Sheet1!AG183</f>
        <v>8.1550300000000006E-3</v>
      </c>
      <c r="X525">
        <f>[1]Sheet1!AH183</f>
        <v>3.5656289999999998E-3</v>
      </c>
      <c r="Y525">
        <f>[1]Sheet1!AI183</f>
        <v>8.6286699999999991E-4</v>
      </c>
      <c r="Z525">
        <f>[1]Sheet1!AJ183</f>
        <v>3.0294800000000004E-4</v>
      </c>
      <c r="AA525" t="s">
        <v>99</v>
      </c>
      <c r="AB525">
        <v>2022</v>
      </c>
      <c r="AC525">
        <v>40</v>
      </c>
    </row>
    <row r="526" spans="1:29" x14ac:dyDescent="0.2">
      <c r="A526" s="3">
        <v>2023</v>
      </c>
      <c r="B526">
        <f>[1]Sheet1!L184</f>
        <v>9.0679079999999995E-3</v>
      </c>
      <c r="C526">
        <f>[1]Sheet1!M184</f>
        <v>4.6842010000000003E-2</v>
      </c>
      <c r="D526">
        <f>[1]Sheet1!N184</f>
        <v>7.4966300000000013E-2</v>
      </c>
      <c r="E526">
        <f>[1]Sheet1!O184</f>
        <v>7.0716899999999999E-2</v>
      </c>
      <c r="F526">
        <f>[1]Sheet1!P184</f>
        <v>7.1764999999999995E-2</v>
      </c>
      <c r="G526">
        <f>[1]Sheet1!Q184</f>
        <v>3.7983610000000001E-2</v>
      </c>
      <c r="H526">
        <f>[1]Sheet1!R184</f>
        <v>2.4208189999999997E-2</v>
      </c>
      <c r="I526">
        <f>[1]Sheet1!S184</f>
        <v>4.0348599999999998E-2</v>
      </c>
      <c r="J526">
        <f>[1]Sheet1!T184</f>
        <v>8.6467699999999995E-2</v>
      </c>
      <c r="K526">
        <f>[1]Sheet1!U184</f>
        <v>9.7777200000000009E-2</v>
      </c>
      <c r="L526">
        <f>[1]Sheet1!V184</f>
        <v>5.76459E-2</v>
      </c>
      <c r="M526">
        <f>[1]Sheet1!W184</f>
        <v>2.6144359999999998E-2</v>
      </c>
      <c r="N526">
        <f>[1]Sheet1!X184</f>
        <v>6.9577360000000005E-2</v>
      </c>
      <c r="O526">
        <f>[1]Sheet1!Y184</f>
        <v>8.6941199999999996E-2</v>
      </c>
      <c r="P526">
        <f>[1]Sheet1!Z184</f>
        <v>6.01895E-2</v>
      </c>
      <c r="Q526">
        <f>[1]Sheet1!AA184</f>
        <v>4.5893849999999993E-2</v>
      </c>
      <c r="R526">
        <f>[1]Sheet1!AB184</f>
        <v>3.5416089999999997E-2</v>
      </c>
      <c r="S526">
        <f>[1]Sheet1!AC184</f>
        <v>2.0784480000000001E-2</v>
      </c>
      <c r="T526">
        <f>[1]Sheet1!AD184</f>
        <v>1.115004E-2</v>
      </c>
      <c r="U526">
        <f>[1]Sheet1!AE184</f>
        <v>8.6222499999999997E-3</v>
      </c>
      <c r="V526">
        <f>[1]Sheet1!AF184</f>
        <v>6.9692599999999997E-3</v>
      </c>
      <c r="W526">
        <f>[1]Sheet1!AG184</f>
        <v>6.1834900000000007E-3</v>
      </c>
      <c r="X526">
        <f>[1]Sheet1!AH184</f>
        <v>3.0220519999999999E-3</v>
      </c>
      <c r="Y526">
        <f>[1]Sheet1!AI184</f>
        <v>1.1505930000000001E-3</v>
      </c>
      <c r="Z526">
        <f>[1]Sheet1!AJ184</f>
        <v>1.661E-4</v>
      </c>
    </row>
    <row r="527" spans="1:29" s="2" customFormat="1" x14ac:dyDescent="0.2">
      <c r="A527" s="3">
        <v>2024</v>
      </c>
      <c r="B527" s="2">
        <f>[1]Sheet1!L185</f>
        <v>5.9286829999999997E-3</v>
      </c>
      <c r="C527" s="2">
        <f>[1]Sheet1!M185</f>
        <v>2.3436220000000001E-2</v>
      </c>
      <c r="D527" s="2">
        <f>[1]Sheet1!N185</f>
        <v>4.3230600000000001E-2</v>
      </c>
      <c r="E527" s="2">
        <f>[1]Sheet1!O185</f>
        <v>6.7855600000000002E-2</v>
      </c>
      <c r="F527" s="2">
        <f>[1]Sheet1!P185</f>
        <v>3.8687869999999999E-2</v>
      </c>
      <c r="G527" s="2">
        <f>[1]Sheet1!Q185</f>
        <v>1.554589E-2</v>
      </c>
      <c r="H527" s="2">
        <f>[1]Sheet1!R185</f>
        <v>3.63792E-2</v>
      </c>
      <c r="I527" s="2">
        <f>[1]Sheet1!S185</f>
        <v>5.5009500000000003E-2</v>
      </c>
      <c r="J527" s="2">
        <f>[1]Sheet1!T185</f>
        <v>7.9161899999999993E-2</v>
      </c>
      <c r="K527" s="2">
        <f>[1]Sheet1!U185</f>
        <v>7.6539499999999996E-2</v>
      </c>
      <c r="L527" s="2">
        <f>[1]Sheet1!V185</f>
        <v>5.9397800000000001E-2</v>
      </c>
      <c r="M527" s="2">
        <f>[1]Sheet1!W185</f>
        <v>5.25155E-2</v>
      </c>
      <c r="N527" s="2">
        <f>[1]Sheet1!X185</f>
        <v>0.1232451</v>
      </c>
      <c r="O527" s="2">
        <f>[1]Sheet1!Y185</f>
        <v>9.1596999999999998E-2</v>
      </c>
      <c r="P527" s="2">
        <f>[1]Sheet1!Z185</f>
        <v>5.9591099999999994E-2</v>
      </c>
      <c r="Q527" s="2">
        <f>[1]Sheet1!AA185</f>
        <v>5.9047300000000004E-2</v>
      </c>
      <c r="R527" s="2">
        <f>[1]Sheet1!AB185</f>
        <v>4.1641369999999997E-2</v>
      </c>
      <c r="S527" s="2">
        <f>[1]Sheet1!AC185</f>
        <v>2.9603989999999997E-2</v>
      </c>
      <c r="T527" s="2">
        <f>[1]Sheet1!AD185</f>
        <v>1.6688689999999999E-2</v>
      </c>
      <c r="U527" s="2">
        <f>[1]Sheet1!AE185</f>
        <v>9.5067699999999977E-3</v>
      </c>
      <c r="V527" s="2">
        <f>[1]Sheet1!AF185</f>
        <v>6.0342289999999995E-3</v>
      </c>
      <c r="W527" s="2">
        <f>[1]Sheet1!AG185</f>
        <v>5.3589930000000003E-3</v>
      </c>
      <c r="X527" s="2">
        <f>[1]Sheet1!AH185</f>
        <v>1.99227E-3</v>
      </c>
      <c r="Y527" s="2">
        <f>[1]Sheet1!AI185</f>
        <v>1.6460089999999999E-3</v>
      </c>
      <c r="Z527" s="2">
        <f>[1]Sheet1!AJ185</f>
        <v>3.5907999999999996E-4</v>
      </c>
    </row>
    <row r="528" spans="1:29" x14ac:dyDescent="0.2">
      <c r="B528" t="s">
        <v>99</v>
      </c>
      <c r="C528" t="s">
        <v>257</v>
      </c>
      <c r="D528" t="s">
        <v>258</v>
      </c>
      <c r="E528" t="s">
        <v>173</v>
      </c>
      <c r="F528" t="s">
        <v>145</v>
      </c>
      <c r="G528" t="s">
        <v>259</v>
      </c>
      <c r="H528" t="s">
        <v>258</v>
      </c>
      <c r="I528" t="s">
        <v>173</v>
      </c>
      <c r="J528" t="s">
        <v>260</v>
      </c>
      <c r="K528" t="s">
        <v>261</v>
      </c>
      <c r="L528" t="s">
        <v>143</v>
      </c>
      <c r="M528" t="s">
        <v>262</v>
      </c>
      <c r="N528" t="s">
        <v>119</v>
      </c>
      <c r="O528" t="s">
        <v>145</v>
      </c>
      <c r="P528" t="s">
        <v>109</v>
      </c>
      <c r="Q528" t="s">
        <v>263</v>
      </c>
      <c r="R528" t="s">
        <v>116</v>
      </c>
      <c r="S528" t="s">
        <v>253</v>
      </c>
      <c r="T528" t="s">
        <v>186</v>
      </c>
      <c r="U528" t="s">
        <v>264</v>
      </c>
      <c r="V528" t="s">
        <v>265</v>
      </c>
      <c r="W528" t="s">
        <v>266</v>
      </c>
      <c r="X528" t="s">
        <v>267</v>
      </c>
      <c r="Y528" t="s">
        <v>145</v>
      </c>
      <c r="Z528" t="s">
        <v>268</v>
      </c>
    </row>
    <row r="529" spans="1:29" x14ac:dyDescent="0.2">
      <c r="A529" s="3">
        <v>1982</v>
      </c>
      <c r="B529">
        <v>9536127</v>
      </c>
      <c r="C529">
        <v>4443111</v>
      </c>
      <c r="D529">
        <v>18220706</v>
      </c>
      <c r="E529">
        <v>30706700</v>
      </c>
      <c r="F529">
        <v>18612529</v>
      </c>
      <c r="G529">
        <v>10214682</v>
      </c>
      <c r="H529">
        <v>13477362</v>
      </c>
      <c r="I529">
        <v>12250229</v>
      </c>
      <c r="J529">
        <v>19119091</v>
      </c>
      <c r="K529">
        <v>16185304</v>
      </c>
      <c r="L529">
        <v>16248986</v>
      </c>
      <c r="M529">
        <v>16340130</v>
      </c>
      <c r="N529">
        <v>14111101</v>
      </c>
      <c r="O529">
        <v>14574012</v>
      </c>
      <c r="P529">
        <v>6583680</v>
      </c>
      <c r="Q529">
        <v>7503129</v>
      </c>
      <c r="R529">
        <v>4639951</v>
      </c>
      <c r="S529">
        <v>1395158</v>
      </c>
      <c r="T529">
        <v>511429</v>
      </c>
      <c r="U529">
        <v>413830</v>
      </c>
      <c r="V529">
        <v>49590</v>
      </c>
      <c r="W529">
        <v>96078</v>
      </c>
      <c r="X529">
        <v>0</v>
      </c>
      <c r="Y529">
        <v>0</v>
      </c>
      <c r="Z529">
        <v>0</v>
      </c>
      <c r="AA529" t="s">
        <v>99</v>
      </c>
      <c r="AB529">
        <v>1982</v>
      </c>
      <c r="AC529">
        <v>1</v>
      </c>
    </row>
    <row r="530" spans="1:29" x14ac:dyDescent="0.2">
      <c r="A530" s="3">
        <v>1983</v>
      </c>
      <c r="B530">
        <v>4212657</v>
      </c>
      <c r="C530">
        <v>25998940</v>
      </c>
      <c r="D530">
        <v>50648760</v>
      </c>
      <c r="E530">
        <v>73602417</v>
      </c>
      <c r="F530">
        <v>64221337</v>
      </c>
      <c r="G530">
        <v>26232167</v>
      </c>
      <c r="H530">
        <v>17009843</v>
      </c>
      <c r="I530">
        <v>28802263</v>
      </c>
      <c r="J530">
        <v>33850876</v>
      </c>
      <c r="K530">
        <v>23388890</v>
      </c>
      <c r="L530">
        <v>24542695</v>
      </c>
      <c r="M530">
        <v>26509015</v>
      </c>
      <c r="N530">
        <v>17345802</v>
      </c>
      <c r="O530">
        <v>15049022</v>
      </c>
      <c r="P530">
        <v>6063158</v>
      </c>
      <c r="Q530">
        <v>3672800</v>
      </c>
      <c r="R530">
        <v>2030998</v>
      </c>
      <c r="S530">
        <v>1316455</v>
      </c>
      <c r="T530">
        <v>1587254</v>
      </c>
      <c r="U530">
        <v>397318</v>
      </c>
      <c r="V530">
        <v>173939</v>
      </c>
      <c r="W530">
        <v>0</v>
      </c>
      <c r="X530">
        <v>0</v>
      </c>
      <c r="Y530">
        <v>0</v>
      </c>
      <c r="Z530">
        <v>0</v>
      </c>
      <c r="AA530" t="s">
        <v>99</v>
      </c>
      <c r="AB530">
        <v>1983</v>
      </c>
      <c r="AC530">
        <v>2</v>
      </c>
    </row>
    <row r="531" spans="1:29" x14ac:dyDescent="0.2">
      <c r="A531" s="3">
        <v>1984</v>
      </c>
      <c r="B531">
        <v>5127950</v>
      </c>
      <c r="C531">
        <v>15883870</v>
      </c>
      <c r="D531">
        <v>12194055</v>
      </c>
      <c r="E531">
        <v>6819157</v>
      </c>
      <c r="F531">
        <v>6196276</v>
      </c>
      <c r="G531">
        <v>15593255</v>
      </c>
      <c r="H531">
        <v>46610768</v>
      </c>
      <c r="I531">
        <v>80378884</v>
      </c>
      <c r="J531">
        <v>97946960</v>
      </c>
      <c r="K531">
        <v>60065665</v>
      </c>
      <c r="L531">
        <v>30617403</v>
      </c>
      <c r="M531">
        <v>21676821</v>
      </c>
      <c r="N531">
        <v>16529788</v>
      </c>
      <c r="O531">
        <v>23715821</v>
      </c>
      <c r="P531">
        <v>24183817</v>
      </c>
      <c r="Q531">
        <v>10785239</v>
      </c>
      <c r="R531">
        <v>3619248</v>
      </c>
      <c r="S531">
        <v>2737326</v>
      </c>
      <c r="T531">
        <v>1725986</v>
      </c>
      <c r="U531">
        <v>1725141</v>
      </c>
      <c r="V531">
        <v>1031019</v>
      </c>
      <c r="W531">
        <v>85443</v>
      </c>
      <c r="X531">
        <v>39243</v>
      </c>
      <c r="Y531">
        <v>0</v>
      </c>
      <c r="Z531">
        <v>0</v>
      </c>
      <c r="AA531" t="s">
        <v>99</v>
      </c>
      <c r="AB531">
        <v>1984</v>
      </c>
      <c r="AC531">
        <v>3</v>
      </c>
    </row>
    <row r="532" spans="1:29" x14ac:dyDescent="0.2">
      <c r="A532" s="3">
        <v>1985</v>
      </c>
      <c r="B532">
        <v>12446784</v>
      </c>
      <c r="C532">
        <v>3026645</v>
      </c>
      <c r="D532">
        <v>10304730</v>
      </c>
      <c r="E532">
        <v>13620301</v>
      </c>
      <c r="F532">
        <v>14114112</v>
      </c>
      <c r="G532">
        <v>17125300</v>
      </c>
      <c r="H532">
        <v>20492130</v>
      </c>
      <c r="I532">
        <v>14526731</v>
      </c>
      <c r="J532">
        <v>20676293</v>
      </c>
      <c r="K532">
        <v>43679704</v>
      </c>
      <c r="L532">
        <v>73363919</v>
      </c>
      <c r="M532">
        <v>61031422</v>
      </c>
      <c r="N532">
        <v>35742372</v>
      </c>
      <c r="O532">
        <v>25606782</v>
      </c>
      <c r="P532">
        <v>14623513</v>
      </c>
      <c r="Q532">
        <v>10498958</v>
      </c>
      <c r="R532">
        <v>6632659</v>
      </c>
      <c r="S532">
        <v>4579648</v>
      </c>
      <c r="T532">
        <v>1321999</v>
      </c>
      <c r="U532">
        <v>1691311</v>
      </c>
      <c r="V532">
        <v>780442</v>
      </c>
      <c r="W532">
        <v>419068</v>
      </c>
      <c r="X532">
        <v>129417</v>
      </c>
      <c r="Y532">
        <v>0</v>
      </c>
      <c r="Z532">
        <v>38886</v>
      </c>
      <c r="AA532" t="s">
        <v>99</v>
      </c>
      <c r="AB532">
        <v>1985</v>
      </c>
      <c r="AC532">
        <v>4</v>
      </c>
    </row>
    <row r="533" spans="1:29" x14ac:dyDescent="0.2">
      <c r="A533" s="3">
        <v>1986</v>
      </c>
      <c r="B533">
        <v>2772399</v>
      </c>
      <c r="C533">
        <v>19340079</v>
      </c>
      <c r="D533">
        <v>41041500</v>
      </c>
      <c r="E533">
        <v>46199515</v>
      </c>
      <c r="F533">
        <v>30937682</v>
      </c>
      <c r="G533">
        <v>12202163</v>
      </c>
      <c r="H533">
        <v>15515646</v>
      </c>
      <c r="I533">
        <v>22977791</v>
      </c>
      <c r="J533">
        <v>31059071</v>
      </c>
      <c r="K533">
        <v>31096059</v>
      </c>
      <c r="L533">
        <v>25771490</v>
      </c>
      <c r="M533">
        <v>35259223</v>
      </c>
      <c r="N533">
        <v>48444073</v>
      </c>
      <c r="O533">
        <v>77222171</v>
      </c>
      <c r="P533">
        <v>38471699</v>
      </c>
      <c r="Q533">
        <v>14744776</v>
      </c>
      <c r="R533">
        <v>10819354</v>
      </c>
      <c r="S533">
        <v>8181465</v>
      </c>
      <c r="T533">
        <v>6674014</v>
      </c>
      <c r="U533">
        <v>1543677</v>
      </c>
      <c r="V533">
        <v>691770</v>
      </c>
      <c r="W533">
        <v>343978</v>
      </c>
      <c r="X533">
        <v>0</v>
      </c>
      <c r="Y533">
        <v>0</v>
      </c>
      <c r="Z533">
        <v>0</v>
      </c>
      <c r="AA533" t="s">
        <v>99</v>
      </c>
      <c r="AB533">
        <v>1986</v>
      </c>
      <c r="AC533">
        <v>5</v>
      </c>
    </row>
    <row r="534" spans="1:29" x14ac:dyDescent="0.2">
      <c r="A534" s="3">
        <v>1987</v>
      </c>
      <c r="B534">
        <v>4347732</v>
      </c>
      <c r="C534">
        <v>8895007</v>
      </c>
      <c r="D534">
        <v>25457647</v>
      </c>
      <c r="E534">
        <v>22578462</v>
      </c>
      <c r="F534">
        <v>17131871</v>
      </c>
      <c r="G534">
        <v>33113340</v>
      </c>
      <c r="H534">
        <v>72226012</v>
      </c>
      <c r="I534">
        <v>76426484</v>
      </c>
      <c r="J534">
        <v>53488503</v>
      </c>
      <c r="K534">
        <v>32783730</v>
      </c>
      <c r="L534">
        <v>37741567</v>
      </c>
      <c r="M534">
        <v>36234013</v>
      </c>
      <c r="N534">
        <v>33224031</v>
      </c>
      <c r="O534">
        <v>50049337</v>
      </c>
      <c r="P534">
        <v>49778208</v>
      </c>
      <c r="Q534">
        <v>39135597</v>
      </c>
      <c r="R534">
        <v>20354674</v>
      </c>
      <c r="S534">
        <v>8613804</v>
      </c>
      <c r="T534">
        <v>5463972</v>
      </c>
      <c r="U534">
        <v>3898650</v>
      </c>
      <c r="V534">
        <v>1247593</v>
      </c>
      <c r="W534">
        <v>271409</v>
      </c>
      <c r="X534">
        <v>0</v>
      </c>
      <c r="Y534">
        <v>100049</v>
      </c>
      <c r="Z534">
        <v>0</v>
      </c>
      <c r="AA534" t="s">
        <v>99</v>
      </c>
      <c r="AB534">
        <v>1987</v>
      </c>
      <c r="AC534">
        <v>6</v>
      </c>
    </row>
    <row r="535" spans="1:29" x14ac:dyDescent="0.2">
      <c r="A535" s="3">
        <v>1988</v>
      </c>
      <c r="B535">
        <v>7889509</v>
      </c>
      <c r="C535">
        <v>26814757</v>
      </c>
      <c r="D535">
        <v>81267406</v>
      </c>
      <c r="E535">
        <v>57680107</v>
      </c>
      <c r="F535">
        <v>21741481</v>
      </c>
      <c r="G535">
        <v>15798618</v>
      </c>
      <c r="H535">
        <v>29907874</v>
      </c>
      <c r="I535">
        <v>37934192</v>
      </c>
      <c r="J535">
        <v>49583093</v>
      </c>
      <c r="K535">
        <v>64405525</v>
      </c>
      <c r="L535">
        <v>91956878</v>
      </c>
      <c r="M535">
        <v>84849040</v>
      </c>
      <c r="N535">
        <v>43774299</v>
      </c>
      <c r="O535">
        <v>50404653</v>
      </c>
      <c r="P535">
        <v>40510569</v>
      </c>
      <c r="Q535">
        <v>20929173</v>
      </c>
      <c r="R535">
        <v>21885040</v>
      </c>
      <c r="S535">
        <v>14202801</v>
      </c>
      <c r="T535">
        <v>4065203</v>
      </c>
      <c r="U535">
        <v>2594550</v>
      </c>
      <c r="V535">
        <v>1273025</v>
      </c>
      <c r="W535">
        <v>557826</v>
      </c>
      <c r="X535">
        <v>32962</v>
      </c>
      <c r="Y535">
        <v>44978</v>
      </c>
      <c r="Z535">
        <v>0</v>
      </c>
      <c r="AA535" t="s">
        <v>99</v>
      </c>
      <c r="AB535">
        <v>1988</v>
      </c>
      <c r="AC535">
        <v>7</v>
      </c>
    </row>
    <row r="536" spans="1:29" x14ac:dyDescent="0.2">
      <c r="A536" s="3">
        <v>1989</v>
      </c>
      <c r="B536">
        <v>8914352</v>
      </c>
      <c r="C536">
        <v>37305153</v>
      </c>
      <c r="D536">
        <v>72232809</v>
      </c>
      <c r="E536">
        <v>48994593</v>
      </c>
      <c r="F536">
        <v>42470310</v>
      </c>
      <c r="G536">
        <v>65080511</v>
      </c>
      <c r="H536">
        <v>75452479</v>
      </c>
      <c r="I536">
        <v>58999212</v>
      </c>
      <c r="J536">
        <v>40241482</v>
      </c>
      <c r="K536">
        <v>40593081</v>
      </c>
      <c r="L536">
        <v>57147374</v>
      </c>
      <c r="M536">
        <v>71730059</v>
      </c>
      <c r="N536">
        <v>73125312</v>
      </c>
      <c r="O536">
        <v>87167041</v>
      </c>
      <c r="P536">
        <v>44873642</v>
      </c>
      <c r="Q536">
        <v>26113759</v>
      </c>
      <c r="R536">
        <v>22654218</v>
      </c>
      <c r="S536">
        <v>18505254</v>
      </c>
      <c r="T536">
        <v>13280931</v>
      </c>
      <c r="U536">
        <v>6160487</v>
      </c>
      <c r="V536">
        <v>1630087</v>
      </c>
      <c r="W536">
        <v>78561</v>
      </c>
      <c r="X536">
        <v>225468</v>
      </c>
      <c r="Y536">
        <v>0</v>
      </c>
      <c r="Z536">
        <v>0</v>
      </c>
      <c r="AA536" t="s">
        <v>99</v>
      </c>
      <c r="AB536">
        <v>1989</v>
      </c>
      <c r="AC536">
        <v>8</v>
      </c>
    </row>
    <row r="537" spans="1:29" x14ac:dyDescent="0.2">
      <c r="A537" s="3">
        <v>1990</v>
      </c>
      <c r="B537">
        <v>9146700</v>
      </c>
      <c r="C537">
        <v>25651188</v>
      </c>
      <c r="D537">
        <v>24406146</v>
      </c>
      <c r="E537">
        <v>14500473</v>
      </c>
      <c r="F537">
        <v>10568687</v>
      </c>
      <c r="G537">
        <v>30106905</v>
      </c>
      <c r="H537">
        <v>62605537</v>
      </c>
      <c r="I537">
        <v>90019364</v>
      </c>
      <c r="J537">
        <v>78116407</v>
      </c>
      <c r="K537">
        <v>73383885</v>
      </c>
      <c r="L537">
        <v>72555071</v>
      </c>
      <c r="M537">
        <v>49228659</v>
      </c>
      <c r="N537">
        <v>37612198</v>
      </c>
      <c r="O537">
        <v>72238137</v>
      </c>
      <c r="P537">
        <v>70931634</v>
      </c>
      <c r="Q537">
        <v>39870203</v>
      </c>
      <c r="R537">
        <v>17798284</v>
      </c>
      <c r="S537">
        <v>11328964</v>
      </c>
      <c r="T537">
        <v>11808170</v>
      </c>
      <c r="U537">
        <v>9636656</v>
      </c>
      <c r="V537">
        <v>5934123</v>
      </c>
      <c r="W537">
        <v>1863762</v>
      </c>
      <c r="X537">
        <v>286931</v>
      </c>
      <c r="Y537">
        <v>75770</v>
      </c>
      <c r="Z537">
        <v>0</v>
      </c>
      <c r="AA537" t="s">
        <v>99</v>
      </c>
      <c r="AB537">
        <v>1990</v>
      </c>
      <c r="AC537">
        <v>9</v>
      </c>
    </row>
    <row r="538" spans="1:29" x14ac:dyDescent="0.2">
      <c r="A538" s="3">
        <v>1991</v>
      </c>
      <c r="B538">
        <v>2238458</v>
      </c>
      <c r="C538">
        <v>11551899</v>
      </c>
      <c r="D538">
        <v>12734300</v>
      </c>
      <c r="E538">
        <v>10959021</v>
      </c>
      <c r="F538">
        <v>13507081</v>
      </c>
      <c r="G538">
        <v>28636640</v>
      </c>
      <c r="H538">
        <v>35938182</v>
      </c>
      <c r="I538">
        <v>37941912</v>
      </c>
      <c r="J538">
        <v>31876034</v>
      </c>
      <c r="K538">
        <v>52754204</v>
      </c>
      <c r="L538">
        <v>77296748</v>
      </c>
      <c r="M538">
        <v>67074490</v>
      </c>
      <c r="N538">
        <v>44391131</v>
      </c>
      <c r="O538">
        <v>50843238</v>
      </c>
      <c r="P538">
        <v>27137745</v>
      </c>
      <c r="Q538">
        <v>24382025</v>
      </c>
      <c r="R538">
        <v>23329722</v>
      </c>
      <c r="S538">
        <v>10572016</v>
      </c>
      <c r="T538">
        <v>6463302</v>
      </c>
      <c r="U538">
        <v>5712710</v>
      </c>
      <c r="V538">
        <v>3542644</v>
      </c>
      <c r="W538">
        <v>3542029</v>
      </c>
      <c r="X538">
        <v>1909195</v>
      </c>
      <c r="Y538">
        <v>228452</v>
      </c>
      <c r="Z538">
        <v>171986</v>
      </c>
      <c r="AA538" t="s">
        <v>99</v>
      </c>
      <c r="AB538">
        <v>1991</v>
      </c>
      <c r="AC538">
        <v>10</v>
      </c>
    </row>
    <row r="539" spans="1:29" x14ac:dyDescent="0.2">
      <c r="A539" s="3">
        <v>1992</v>
      </c>
      <c r="B539">
        <v>8742417</v>
      </c>
      <c r="C539">
        <v>15610436</v>
      </c>
      <c r="D539">
        <v>12125569</v>
      </c>
      <c r="E539">
        <v>9400433</v>
      </c>
      <c r="F539">
        <v>12105931</v>
      </c>
      <c r="G539">
        <v>15063149</v>
      </c>
      <c r="H539">
        <v>19952462</v>
      </c>
      <c r="I539">
        <v>26140556</v>
      </c>
      <c r="J539">
        <v>34535638</v>
      </c>
      <c r="K539">
        <v>44240612</v>
      </c>
      <c r="L539">
        <v>48784864</v>
      </c>
      <c r="M539">
        <v>63451417</v>
      </c>
      <c r="N539">
        <v>59969157</v>
      </c>
      <c r="O539">
        <v>81606825</v>
      </c>
      <c r="P539">
        <v>54834043</v>
      </c>
      <c r="Q539">
        <v>34121385</v>
      </c>
      <c r="R539">
        <v>19787485</v>
      </c>
      <c r="S539">
        <v>18198505</v>
      </c>
      <c r="T539">
        <v>10302907</v>
      </c>
      <c r="U539">
        <v>4612910</v>
      </c>
      <c r="V539">
        <v>3830157</v>
      </c>
      <c r="W539">
        <v>3069326</v>
      </c>
      <c r="X539">
        <v>1152807</v>
      </c>
      <c r="Y539">
        <v>94171</v>
      </c>
      <c r="Z539">
        <v>0</v>
      </c>
      <c r="AA539" t="s">
        <v>99</v>
      </c>
      <c r="AB539">
        <v>1992</v>
      </c>
      <c r="AC539">
        <v>11</v>
      </c>
    </row>
    <row r="540" spans="1:29" x14ac:dyDescent="0.2">
      <c r="A540" s="3">
        <v>1993</v>
      </c>
      <c r="B540">
        <v>3825895</v>
      </c>
      <c r="C540">
        <v>13243839</v>
      </c>
      <c r="D540">
        <v>13576431</v>
      </c>
      <c r="E540">
        <v>15064411</v>
      </c>
      <c r="F540">
        <v>20761012</v>
      </c>
      <c r="G540">
        <v>17617037</v>
      </c>
      <c r="H540">
        <v>16273051</v>
      </c>
      <c r="I540">
        <v>25995133</v>
      </c>
      <c r="J540">
        <v>31034859</v>
      </c>
      <c r="K540">
        <v>37533284</v>
      </c>
      <c r="L540">
        <v>45856506</v>
      </c>
      <c r="M540">
        <v>55340644</v>
      </c>
      <c r="N540">
        <v>62484432</v>
      </c>
      <c r="O540">
        <v>88685235</v>
      </c>
      <c r="P540">
        <v>68176880</v>
      </c>
      <c r="Q540">
        <v>61660040</v>
      </c>
      <c r="R540">
        <v>42402077</v>
      </c>
      <c r="S540">
        <v>26611704</v>
      </c>
      <c r="T540">
        <v>21153218</v>
      </c>
      <c r="U540">
        <v>14812477</v>
      </c>
      <c r="V540">
        <v>5240362</v>
      </c>
      <c r="W540">
        <v>1686241</v>
      </c>
      <c r="X540">
        <v>1955510</v>
      </c>
      <c r="Y540">
        <v>612505</v>
      </c>
      <c r="Z540">
        <v>183030</v>
      </c>
      <c r="AA540" t="s">
        <v>99</v>
      </c>
      <c r="AB540">
        <v>1993</v>
      </c>
      <c r="AC540">
        <v>12</v>
      </c>
    </row>
    <row r="541" spans="1:29" x14ac:dyDescent="0.2">
      <c r="A541" s="3">
        <v>1994</v>
      </c>
      <c r="B541">
        <v>8090228</v>
      </c>
      <c r="C541">
        <v>28671276</v>
      </c>
      <c r="D541">
        <v>28162244</v>
      </c>
      <c r="E541">
        <v>18329936</v>
      </c>
      <c r="F541">
        <v>14571107</v>
      </c>
      <c r="G541">
        <v>28163564</v>
      </c>
      <c r="H541">
        <v>27349714</v>
      </c>
      <c r="I541">
        <v>29460838</v>
      </c>
      <c r="J541">
        <v>30210032</v>
      </c>
      <c r="K541">
        <v>34225943</v>
      </c>
      <c r="L541">
        <v>39356448</v>
      </c>
      <c r="M541">
        <v>46364030</v>
      </c>
      <c r="N541">
        <v>54911336</v>
      </c>
      <c r="O541">
        <v>101102667</v>
      </c>
      <c r="P541">
        <v>84652576</v>
      </c>
      <c r="Q541">
        <v>55080711</v>
      </c>
      <c r="R541">
        <v>41342172</v>
      </c>
      <c r="S541">
        <v>35359678</v>
      </c>
      <c r="T541">
        <v>19846846</v>
      </c>
      <c r="U541">
        <v>18366080</v>
      </c>
      <c r="V541">
        <v>7402442</v>
      </c>
      <c r="W541">
        <v>2052740</v>
      </c>
      <c r="X541">
        <v>1051728</v>
      </c>
      <c r="Y541">
        <v>256360</v>
      </c>
      <c r="Z541">
        <v>340947</v>
      </c>
      <c r="AA541" t="s">
        <v>99</v>
      </c>
      <c r="AB541">
        <v>1994</v>
      </c>
      <c r="AC541">
        <v>13</v>
      </c>
    </row>
    <row r="542" spans="1:29" x14ac:dyDescent="0.2">
      <c r="A542" s="3">
        <v>1995</v>
      </c>
      <c r="B542">
        <v>1733263</v>
      </c>
      <c r="C542">
        <v>8925841</v>
      </c>
      <c r="D542">
        <v>18824581</v>
      </c>
      <c r="E542">
        <v>14447560</v>
      </c>
      <c r="F542">
        <v>17918090</v>
      </c>
      <c r="G542">
        <v>28980885</v>
      </c>
      <c r="H542">
        <v>25055210</v>
      </c>
      <c r="I542">
        <v>24032028</v>
      </c>
      <c r="J542">
        <v>30455121</v>
      </c>
      <c r="K542">
        <v>51122001</v>
      </c>
      <c r="L542">
        <v>39947337</v>
      </c>
      <c r="M542">
        <v>39922344</v>
      </c>
      <c r="N542">
        <v>41158843</v>
      </c>
      <c r="O542">
        <v>78212023</v>
      </c>
      <c r="P542">
        <v>74696358</v>
      </c>
      <c r="Q542">
        <v>55975319</v>
      </c>
      <c r="R542">
        <v>44457867</v>
      </c>
      <c r="S542">
        <v>32985715</v>
      </c>
      <c r="T542">
        <v>25414640</v>
      </c>
      <c r="U542">
        <v>16918413</v>
      </c>
      <c r="V542">
        <v>12069352</v>
      </c>
      <c r="W542">
        <v>3975614</v>
      </c>
      <c r="X542">
        <v>1161570</v>
      </c>
      <c r="Y542">
        <v>616243</v>
      </c>
      <c r="Z542">
        <v>0</v>
      </c>
      <c r="AA542" t="s">
        <v>99</v>
      </c>
      <c r="AB542">
        <v>1995</v>
      </c>
      <c r="AC542">
        <v>14</v>
      </c>
    </row>
    <row r="543" spans="1:29" x14ac:dyDescent="0.2">
      <c r="A543" s="3">
        <v>1996</v>
      </c>
      <c r="B543">
        <v>8429379</v>
      </c>
      <c r="C543">
        <v>11397595</v>
      </c>
      <c r="D543">
        <v>9989897</v>
      </c>
      <c r="E543">
        <v>6545945</v>
      </c>
      <c r="F543">
        <v>6795391</v>
      </c>
      <c r="G543">
        <v>15372088</v>
      </c>
      <c r="H543">
        <v>24356207</v>
      </c>
      <c r="I543">
        <v>32522040</v>
      </c>
      <c r="J543">
        <v>33151290</v>
      </c>
      <c r="K543">
        <v>32251091</v>
      </c>
      <c r="L543">
        <v>35194637</v>
      </c>
      <c r="M543">
        <v>42996727</v>
      </c>
      <c r="N543">
        <v>44744151</v>
      </c>
      <c r="O543">
        <v>60409834</v>
      </c>
      <c r="P543">
        <v>58550016</v>
      </c>
      <c r="Q543">
        <v>49416182</v>
      </c>
      <c r="R543">
        <v>43837502</v>
      </c>
      <c r="S543">
        <v>36579497</v>
      </c>
      <c r="T543">
        <v>31476216</v>
      </c>
      <c r="U543">
        <v>26362028</v>
      </c>
      <c r="V543">
        <v>15252854</v>
      </c>
      <c r="W543">
        <v>9852219</v>
      </c>
      <c r="X543">
        <v>3354104</v>
      </c>
      <c r="Y543">
        <v>2032035</v>
      </c>
      <c r="Z543">
        <v>0</v>
      </c>
      <c r="AA543" t="s">
        <v>99</v>
      </c>
      <c r="AB543">
        <v>1996</v>
      </c>
      <c r="AC543">
        <v>15</v>
      </c>
    </row>
    <row r="544" spans="1:29" x14ac:dyDescent="0.2">
      <c r="A544" s="3">
        <v>1997</v>
      </c>
      <c r="B544">
        <v>7409958</v>
      </c>
      <c r="C544">
        <v>19064854</v>
      </c>
      <c r="D544">
        <v>20216978</v>
      </c>
      <c r="E544">
        <v>20108500</v>
      </c>
      <c r="F544">
        <v>19570010</v>
      </c>
      <c r="G544">
        <v>14673815</v>
      </c>
      <c r="H544">
        <v>17755307</v>
      </c>
      <c r="I544">
        <v>15092089</v>
      </c>
      <c r="J544">
        <v>17689732</v>
      </c>
      <c r="K544">
        <v>18600361</v>
      </c>
      <c r="L544">
        <v>25264089</v>
      </c>
      <c r="M544">
        <v>33075873</v>
      </c>
      <c r="N544">
        <v>37133955</v>
      </c>
      <c r="O544">
        <v>55319924</v>
      </c>
      <c r="P544">
        <v>55343564</v>
      </c>
      <c r="Q544">
        <v>42420782</v>
      </c>
      <c r="R544">
        <v>36282033</v>
      </c>
      <c r="S544">
        <v>34276156</v>
      </c>
      <c r="T544">
        <v>26974452</v>
      </c>
      <c r="U544">
        <v>14904266</v>
      </c>
      <c r="V544">
        <v>15781351</v>
      </c>
      <c r="W544">
        <v>9028863</v>
      </c>
      <c r="X544">
        <v>5554116</v>
      </c>
      <c r="Y544">
        <v>2081214</v>
      </c>
      <c r="Z544">
        <v>0</v>
      </c>
      <c r="AA544" t="s">
        <v>99</v>
      </c>
      <c r="AB544">
        <v>1997</v>
      </c>
      <c r="AC544">
        <v>16</v>
      </c>
    </row>
    <row r="545" spans="1:29" x14ac:dyDescent="0.2">
      <c r="A545" s="3">
        <v>1998</v>
      </c>
      <c r="B545">
        <v>9377666</v>
      </c>
      <c r="C545">
        <v>13787590</v>
      </c>
      <c r="D545">
        <v>14124542</v>
      </c>
      <c r="E545">
        <v>19683899</v>
      </c>
      <c r="F545">
        <v>23632637</v>
      </c>
      <c r="G545">
        <v>21841484</v>
      </c>
      <c r="H545">
        <v>26546706</v>
      </c>
      <c r="I545">
        <v>28254721</v>
      </c>
      <c r="J545">
        <v>31094774</v>
      </c>
      <c r="K545">
        <v>33358228</v>
      </c>
      <c r="L545">
        <v>26639232</v>
      </c>
      <c r="M545">
        <v>21613760</v>
      </c>
      <c r="N545">
        <v>26591474</v>
      </c>
      <c r="O545">
        <v>53241149</v>
      </c>
      <c r="P545">
        <v>43550563</v>
      </c>
      <c r="Q545">
        <v>27647458</v>
      </c>
      <c r="R545">
        <v>24070374</v>
      </c>
      <c r="S545">
        <v>21923970</v>
      </c>
      <c r="T545">
        <v>17100534</v>
      </c>
      <c r="U545">
        <v>11152029</v>
      </c>
      <c r="V545">
        <v>9312369</v>
      </c>
      <c r="W545">
        <v>8004498</v>
      </c>
      <c r="X545">
        <v>2949740</v>
      </c>
      <c r="Y545">
        <v>1974764</v>
      </c>
      <c r="Z545">
        <v>88113</v>
      </c>
      <c r="AA545" t="s">
        <v>99</v>
      </c>
      <c r="AB545">
        <v>1998</v>
      </c>
      <c r="AC545">
        <v>17</v>
      </c>
    </row>
    <row r="546" spans="1:29" x14ac:dyDescent="0.2">
      <c r="A546" s="3">
        <v>1999</v>
      </c>
      <c r="B546">
        <v>8236099</v>
      </c>
      <c r="C546">
        <v>15371857</v>
      </c>
      <c r="D546">
        <v>15287947</v>
      </c>
      <c r="E546">
        <v>15994744</v>
      </c>
      <c r="F546">
        <v>23596851</v>
      </c>
      <c r="G546">
        <v>26650815</v>
      </c>
      <c r="H546">
        <v>27634337</v>
      </c>
      <c r="I546">
        <v>28117035</v>
      </c>
      <c r="J546">
        <v>27629349</v>
      </c>
      <c r="K546">
        <v>27513945</v>
      </c>
      <c r="L546">
        <v>27051719</v>
      </c>
      <c r="M546">
        <v>27247634</v>
      </c>
      <c r="N546">
        <v>18170070</v>
      </c>
      <c r="O546">
        <v>21784577</v>
      </c>
      <c r="P546">
        <v>17467319</v>
      </c>
      <c r="Q546">
        <v>20124505</v>
      </c>
      <c r="R546">
        <v>13917656</v>
      </c>
      <c r="S546">
        <v>14843975</v>
      </c>
      <c r="T546">
        <v>13475606</v>
      </c>
      <c r="U546">
        <v>9334207</v>
      </c>
      <c r="V546">
        <v>6906425</v>
      </c>
      <c r="W546">
        <v>4572191</v>
      </c>
      <c r="X546">
        <v>4241274</v>
      </c>
      <c r="Y546">
        <v>1329801</v>
      </c>
      <c r="Z546">
        <v>223342</v>
      </c>
      <c r="AA546" t="s">
        <v>99</v>
      </c>
      <c r="AB546">
        <v>1999</v>
      </c>
      <c r="AC546">
        <v>18</v>
      </c>
    </row>
    <row r="547" spans="1:29" x14ac:dyDescent="0.2">
      <c r="A547" s="3">
        <v>2000</v>
      </c>
      <c r="B547">
        <v>15165494</v>
      </c>
      <c r="C547">
        <v>28698689</v>
      </c>
      <c r="D547">
        <v>27028071</v>
      </c>
      <c r="E547">
        <v>17898716</v>
      </c>
      <c r="F547">
        <v>22461080</v>
      </c>
      <c r="G547">
        <v>24279816</v>
      </c>
      <c r="H547">
        <v>25787875</v>
      </c>
      <c r="I547">
        <v>29798318</v>
      </c>
      <c r="J547">
        <v>39124412</v>
      </c>
      <c r="K547">
        <v>38717091</v>
      </c>
      <c r="L547">
        <v>36636770</v>
      </c>
      <c r="M547">
        <v>34653023</v>
      </c>
      <c r="N547">
        <v>38279722</v>
      </c>
      <c r="O547">
        <v>48011925</v>
      </c>
      <c r="P547">
        <v>30568756</v>
      </c>
      <c r="Q547">
        <v>27592315</v>
      </c>
      <c r="R547">
        <v>24529096</v>
      </c>
      <c r="S547">
        <v>26932544</v>
      </c>
      <c r="T547">
        <v>14874935</v>
      </c>
      <c r="U547">
        <v>8588798</v>
      </c>
      <c r="V547">
        <v>4745830</v>
      </c>
      <c r="W547">
        <v>4168636</v>
      </c>
      <c r="X547">
        <v>2268760</v>
      </c>
      <c r="Y547">
        <v>962129</v>
      </c>
      <c r="Z547">
        <v>366535</v>
      </c>
      <c r="AA547" t="s">
        <v>99</v>
      </c>
      <c r="AB547">
        <v>2000</v>
      </c>
      <c r="AC547">
        <v>19</v>
      </c>
    </row>
    <row r="548" spans="1:29" x14ac:dyDescent="0.2">
      <c r="A548" s="3">
        <v>2001</v>
      </c>
      <c r="B548">
        <v>6151051</v>
      </c>
      <c r="C548">
        <v>18274677</v>
      </c>
      <c r="D548">
        <v>36723564</v>
      </c>
      <c r="E548">
        <v>43083708</v>
      </c>
      <c r="F548">
        <v>39609246</v>
      </c>
      <c r="G548">
        <v>30156383</v>
      </c>
      <c r="H548">
        <v>38838633</v>
      </c>
      <c r="I548">
        <v>51808769</v>
      </c>
      <c r="J548">
        <v>53020044</v>
      </c>
      <c r="K548">
        <v>41576292</v>
      </c>
      <c r="L548">
        <v>40382204</v>
      </c>
      <c r="M548">
        <v>41531190</v>
      </c>
      <c r="N548">
        <v>39787077</v>
      </c>
      <c r="O548">
        <v>53129386</v>
      </c>
      <c r="P548">
        <v>49976693</v>
      </c>
      <c r="Q548">
        <v>35443976</v>
      </c>
      <c r="R548">
        <v>25258651</v>
      </c>
      <c r="S548">
        <v>18553660</v>
      </c>
      <c r="T548">
        <v>18734755</v>
      </c>
      <c r="U548">
        <v>10485798</v>
      </c>
      <c r="V548">
        <v>6984525</v>
      </c>
      <c r="W548">
        <v>3308810</v>
      </c>
      <c r="X548">
        <v>3263234</v>
      </c>
      <c r="Y548">
        <v>1644506</v>
      </c>
      <c r="Z548">
        <v>107902</v>
      </c>
      <c r="AA548" t="s">
        <v>99</v>
      </c>
      <c r="AB548">
        <v>2001</v>
      </c>
      <c r="AC548">
        <v>20</v>
      </c>
    </row>
    <row r="549" spans="1:29" x14ac:dyDescent="0.2">
      <c r="A549" s="3">
        <v>2002</v>
      </c>
      <c r="B549">
        <v>8270179</v>
      </c>
      <c r="C549">
        <v>12503904</v>
      </c>
      <c r="D549">
        <v>12727269</v>
      </c>
      <c r="E549">
        <v>14000241</v>
      </c>
      <c r="F549">
        <v>20595634</v>
      </c>
      <c r="G549">
        <v>36862622</v>
      </c>
      <c r="H549">
        <v>50189946</v>
      </c>
      <c r="I549">
        <v>58589826</v>
      </c>
      <c r="J549">
        <v>64339247</v>
      </c>
      <c r="K549">
        <v>53735049</v>
      </c>
      <c r="L549">
        <v>47976164</v>
      </c>
      <c r="M549">
        <v>42763100</v>
      </c>
      <c r="N549">
        <v>35479200</v>
      </c>
      <c r="O549">
        <v>41854664</v>
      </c>
      <c r="P549">
        <v>36086024</v>
      </c>
      <c r="Q549">
        <v>25532260</v>
      </c>
      <c r="R549">
        <v>17478338</v>
      </c>
      <c r="S549">
        <v>13102120</v>
      </c>
      <c r="T549">
        <v>10168514</v>
      </c>
      <c r="U549">
        <v>8611937</v>
      </c>
      <c r="V549">
        <v>6553387</v>
      </c>
      <c r="W549">
        <v>3644990</v>
      </c>
      <c r="X549">
        <v>1521745</v>
      </c>
      <c r="Y549">
        <v>1151941</v>
      </c>
      <c r="Z549">
        <v>363645</v>
      </c>
      <c r="AA549" t="s">
        <v>99</v>
      </c>
      <c r="AB549">
        <v>2002</v>
      </c>
      <c r="AC549">
        <v>21</v>
      </c>
    </row>
    <row r="550" spans="1:29" x14ac:dyDescent="0.2">
      <c r="A550" s="3">
        <v>2003</v>
      </c>
      <c r="B550">
        <v>11117879</v>
      </c>
      <c r="C550">
        <v>26849214</v>
      </c>
      <c r="D550">
        <v>59454510</v>
      </c>
      <c r="E550">
        <v>52362995</v>
      </c>
      <c r="F550">
        <v>46226864</v>
      </c>
      <c r="G550">
        <v>37531641</v>
      </c>
      <c r="H550">
        <v>34662299</v>
      </c>
      <c r="I550">
        <v>45363192</v>
      </c>
      <c r="J550">
        <v>56776877</v>
      </c>
      <c r="K550">
        <v>71274605</v>
      </c>
      <c r="L550">
        <v>72906256</v>
      </c>
      <c r="M550">
        <v>80219028</v>
      </c>
      <c r="N550">
        <v>67260561</v>
      </c>
      <c r="O550">
        <v>73882351</v>
      </c>
      <c r="P550">
        <v>50926983</v>
      </c>
      <c r="Q550">
        <v>37208815</v>
      </c>
      <c r="R550">
        <v>29574605</v>
      </c>
      <c r="S550">
        <v>23223820</v>
      </c>
      <c r="T550">
        <v>17172782</v>
      </c>
      <c r="U550">
        <v>12307971</v>
      </c>
      <c r="V550">
        <v>11522071</v>
      </c>
      <c r="W550">
        <v>6807086</v>
      </c>
      <c r="X550">
        <v>3023649</v>
      </c>
      <c r="Y550">
        <v>2947474</v>
      </c>
      <c r="Z550">
        <v>782000</v>
      </c>
      <c r="AA550" t="s">
        <v>99</v>
      </c>
      <c r="AB550">
        <v>2003</v>
      </c>
      <c r="AC550">
        <v>22</v>
      </c>
    </row>
    <row r="551" spans="1:29" x14ac:dyDescent="0.2">
      <c r="A551" s="3">
        <v>2004</v>
      </c>
      <c r="B551">
        <v>18705372</v>
      </c>
      <c r="C551">
        <v>39152294</v>
      </c>
      <c r="D551">
        <v>82637991</v>
      </c>
      <c r="E551">
        <v>69275035</v>
      </c>
      <c r="F551">
        <v>55534255</v>
      </c>
      <c r="G551">
        <v>73092655</v>
      </c>
      <c r="H551">
        <v>89509867</v>
      </c>
      <c r="I551">
        <v>82272001</v>
      </c>
      <c r="J551">
        <v>80422923</v>
      </c>
      <c r="K551">
        <v>65884920</v>
      </c>
      <c r="L551">
        <v>69217710</v>
      </c>
      <c r="M551">
        <v>73064635</v>
      </c>
      <c r="N551">
        <v>74181579</v>
      </c>
      <c r="O551">
        <v>102441329</v>
      </c>
      <c r="P551">
        <v>58454418</v>
      </c>
      <c r="Q551">
        <v>39606477</v>
      </c>
      <c r="R551">
        <v>26357920</v>
      </c>
      <c r="S551">
        <v>22712438</v>
      </c>
      <c r="T551">
        <v>18946917</v>
      </c>
      <c r="U551">
        <v>11950762</v>
      </c>
      <c r="V551">
        <v>7340199</v>
      </c>
      <c r="W551">
        <v>5307247</v>
      </c>
      <c r="X551">
        <v>3241003</v>
      </c>
      <c r="Y551">
        <v>2605729</v>
      </c>
      <c r="Z551">
        <v>752714</v>
      </c>
      <c r="AA551" t="s">
        <v>99</v>
      </c>
      <c r="AB551">
        <v>2004</v>
      </c>
      <c r="AC551">
        <v>23</v>
      </c>
    </row>
    <row r="552" spans="1:29" x14ac:dyDescent="0.2">
      <c r="A552" s="3">
        <v>2005</v>
      </c>
      <c r="B552">
        <v>14936525</v>
      </c>
      <c r="C552">
        <v>49837478</v>
      </c>
      <c r="D552">
        <v>112609997</v>
      </c>
      <c r="E552">
        <v>94646810</v>
      </c>
      <c r="F552">
        <v>64050478</v>
      </c>
      <c r="G552">
        <v>87348607</v>
      </c>
      <c r="H552">
        <v>93662330</v>
      </c>
      <c r="I552">
        <v>103548471</v>
      </c>
      <c r="J552">
        <v>99665589</v>
      </c>
      <c r="K552">
        <v>109451542</v>
      </c>
      <c r="L552">
        <v>117923881</v>
      </c>
      <c r="M552">
        <v>98705570</v>
      </c>
      <c r="N552">
        <v>81945137</v>
      </c>
      <c r="O552">
        <v>104366386</v>
      </c>
      <c r="P552">
        <v>81374590</v>
      </c>
      <c r="Q552">
        <v>61625823</v>
      </c>
      <c r="R552">
        <v>35152400</v>
      </c>
      <c r="S552">
        <v>24455986</v>
      </c>
      <c r="T552">
        <v>19185417</v>
      </c>
      <c r="U552">
        <v>16397800</v>
      </c>
      <c r="V552">
        <v>14299396</v>
      </c>
      <c r="W552">
        <v>6774974</v>
      </c>
      <c r="X552">
        <v>4056862</v>
      </c>
      <c r="Y552">
        <v>2189325</v>
      </c>
      <c r="Z552">
        <v>899213</v>
      </c>
      <c r="AA552" t="s">
        <v>99</v>
      </c>
      <c r="AB552">
        <v>2005</v>
      </c>
      <c r="AC552">
        <v>24</v>
      </c>
    </row>
    <row r="553" spans="1:29" x14ac:dyDescent="0.2">
      <c r="A553" s="3">
        <v>2006</v>
      </c>
      <c r="B553">
        <v>11390337</v>
      </c>
      <c r="C553">
        <v>19459880</v>
      </c>
      <c r="D553">
        <v>34194172</v>
      </c>
      <c r="E553">
        <v>43381914</v>
      </c>
      <c r="F553">
        <v>43834767</v>
      </c>
      <c r="G553">
        <v>64432240</v>
      </c>
      <c r="H553">
        <v>103592630</v>
      </c>
      <c r="I553">
        <v>148876969</v>
      </c>
      <c r="J553">
        <v>123635148</v>
      </c>
      <c r="K553">
        <v>91031164</v>
      </c>
      <c r="L553">
        <v>92440588</v>
      </c>
      <c r="M553">
        <v>91020588</v>
      </c>
      <c r="N553">
        <v>96076950</v>
      </c>
      <c r="O553">
        <v>117918838</v>
      </c>
      <c r="P553">
        <v>64194379</v>
      </c>
      <c r="Q553">
        <v>46950773</v>
      </c>
      <c r="R553">
        <v>39701971</v>
      </c>
      <c r="S553">
        <v>22221421</v>
      </c>
      <c r="T553">
        <v>13042326</v>
      </c>
      <c r="U553">
        <v>11015162</v>
      </c>
      <c r="V553">
        <v>7836959</v>
      </c>
      <c r="W553">
        <v>6509787</v>
      </c>
      <c r="X553">
        <v>3002872</v>
      </c>
      <c r="Y553">
        <v>2480287</v>
      </c>
      <c r="Z553">
        <v>841838</v>
      </c>
      <c r="AA553" t="s">
        <v>99</v>
      </c>
      <c r="AB553">
        <v>2006</v>
      </c>
      <c r="AC553">
        <v>25</v>
      </c>
    </row>
    <row r="554" spans="1:29" x14ac:dyDescent="0.2">
      <c r="A554" s="3">
        <v>2007</v>
      </c>
      <c r="B554">
        <v>36352152</v>
      </c>
      <c r="C554">
        <v>70025087</v>
      </c>
      <c r="D554">
        <v>53991771</v>
      </c>
      <c r="E554">
        <v>34790095</v>
      </c>
      <c r="F554">
        <v>30338501</v>
      </c>
      <c r="G554">
        <v>28026144</v>
      </c>
      <c r="H554">
        <v>32597629</v>
      </c>
      <c r="I554">
        <v>51543884</v>
      </c>
      <c r="J554">
        <v>67745458</v>
      </c>
      <c r="K554">
        <v>89483130</v>
      </c>
      <c r="L554">
        <v>101518383</v>
      </c>
      <c r="M554">
        <v>89449206</v>
      </c>
      <c r="N554">
        <v>75120512</v>
      </c>
      <c r="O554">
        <v>85585039</v>
      </c>
      <c r="P554">
        <v>61645192</v>
      </c>
      <c r="Q554">
        <v>43423592</v>
      </c>
      <c r="R554">
        <v>27478041</v>
      </c>
      <c r="S554">
        <v>19727676</v>
      </c>
      <c r="T554">
        <v>11055733</v>
      </c>
      <c r="U554">
        <v>7991914</v>
      </c>
      <c r="V554">
        <v>7090649</v>
      </c>
      <c r="W554">
        <v>5925488</v>
      </c>
      <c r="X554">
        <v>3311471</v>
      </c>
      <c r="Y554">
        <v>1588780</v>
      </c>
      <c r="Z554">
        <v>716322</v>
      </c>
      <c r="AA554" t="s">
        <v>99</v>
      </c>
      <c r="AB554">
        <v>2007</v>
      </c>
      <c r="AC554">
        <v>26</v>
      </c>
    </row>
    <row r="555" spans="1:29" x14ac:dyDescent="0.2">
      <c r="A555" s="3">
        <v>2008</v>
      </c>
      <c r="B555">
        <v>15826170</v>
      </c>
      <c r="C555">
        <v>37687711</v>
      </c>
      <c r="D555">
        <v>53555289</v>
      </c>
      <c r="E555">
        <v>54123370</v>
      </c>
      <c r="F555">
        <v>69194012</v>
      </c>
      <c r="G555">
        <v>64502710</v>
      </c>
      <c r="H555">
        <v>55865244</v>
      </c>
      <c r="I555">
        <v>52672159</v>
      </c>
      <c r="J555">
        <v>77729869</v>
      </c>
      <c r="K555">
        <v>89511537</v>
      </c>
      <c r="L555">
        <v>106264052</v>
      </c>
      <c r="M555">
        <v>116110695</v>
      </c>
      <c r="N555">
        <v>106300058</v>
      </c>
      <c r="O555">
        <v>115263187</v>
      </c>
      <c r="P555">
        <v>70913997</v>
      </c>
      <c r="Q555">
        <v>54303913</v>
      </c>
      <c r="R555">
        <v>30703583</v>
      </c>
      <c r="S555">
        <v>18468723</v>
      </c>
      <c r="T555">
        <v>9979726</v>
      </c>
      <c r="U555">
        <v>6773144</v>
      </c>
      <c r="V555">
        <v>5535736</v>
      </c>
      <c r="W555">
        <v>5083036</v>
      </c>
      <c r="X555">
        <v>1829257</v>
      </c>
      <c r="Y555">
        <v>2217949</v>
      </c>
      <c r="Z555">
        <v>1432081</v>
      </c>
      <c r="AA555" t="s">
        <v>99</v>
      </c>
      <c r="AB555">
        <v>2008</v>
      </c>
      <c r="AC555">
        <v>27</v>
      </c>
    </row>
    <row r="556" spans="1:29" x14ac:dyDescent="0.2">
      <c r="A556" s="3">
        <v>2009</v>
      </c>
      <c r="B556">
        <v>19454156</v>
      </c>
      <c r="C556">
        <v>36894431</v>
      </c>
      <c r="D556">
        <v>27323536</v>
      </c>
      <c r="E556">
        <v>18249511</v>
      </c>
      <c r="F556">
        <v>33558198</v>
      </c>
      <c r="G556">
        <v>49577941</v>
      </c>
      <c r="H556">
        <v>56205798</v>
      </c>
      <c r="I556">
        <v>57680768</v>
      </c>
      <c r="J556">
        <v>75401651</v>
      </c>
      <c r="K556">
        <v>58121727</v>
      </c>
      <c r="L556">
        <v>52660337</v>
      </c>
      <c r="M556">
        <v>57336700</v>
      </c>
      <c r="N556">
        <v>60659366</v>
      </c>
      <c r="O556">
        <v>93388189</v>
      </c>
      <c r="P556">
        <v>60812193</v>
      </c>
      <c r="Q556">
        <v>37998622</v>
      </c>
      <c r="R556">
        <v>24981496</v>
      </c>
      <c r="S556">
        <v>13714008</v>
      </c>
      <c r="T556">
        <v>6293070</v>
      </c>
      <c r="U556">
        <v>5650249</v>
      </c>
      <c r="V556">
        <v>4554438</v>
      </c>
      <c r="W556">
        <v>3293284</v>
      </c>
      <c r="X556">
        <v>3137936</v>
      </c>
      <c r="Y556">
        <v>2795174</v>
      </c>
      <c r="Z556">
        <v>265036</v>
      </c>
      <c r="AA556" t="s">
        <v>99</v>
      </c>
      <c r="AB556">
        <v>2009</v>
      </c>
      <c r="AC556">
        <v>28</v>
      </c>
    </row>
    <row r="557" spans="1:29" x14ac:dyDescent="0.2">
      <c r="A557" s="3">
        <v>2010</v>
      </c>
      <c r="B557">
        <v>24191742</v>
      </c>
      <c r="C557">
        <v>60119907</v>
      </c>
      <c r="D557">
        <v>40283063</v>
      </c>
      <c r="E557">
        <v>17137448</v>
      </c>
      <c r="F557">
        <v>34830247</v>
      </c>
      <c r="G557">
        <v>44683399</v>
      </c>
      <c r="H557">
        <v>34344445</v>
      </c>
      <c r="I557">
        <v>53127496</v>
      </c>
      <c r="J557">
        <v>79233804</v>
      </c>
      <c r="K557">
        <v>81749863</v>
      </c>
      <c r="L557">
        <v>91099078</v>
      </c>
      <c r="M557">
        <v>77920158</v>
      </c>
      <c r="N557">
        <v>68174621</v>
      </c>
      <c r="O557">
        <v>92422384</v>
      </c>
      <c r="P557">
        <v>82280107</v>
      </c>
      <c r="Q557">
        <v>68147523</v>
      </c>
      <c r="R557">
        <v>42981298</v>
      </c>
      <c r="S557">
        <v>29313388</v>
      </c>
      <c r="T557">
        <v>13365669</v>
      </c>
      <c r="U557">
        <v>7649222</v>
      </c>
      <c r="V557">
        <v>2607563</v>
      </c>
      <c r="W557">
        <v>2526007</v>
      </c>
      <c r="X557">
        <v>1503774</v>
      </c>
      <c r="Y557">
        <v>2332602</v>
      </c>
      <c r="Z557">
        <v>1141426</v>
      </c>
      <c r="AA557" t="s">
        <v>99</v>
      </c>
      <c r="AB557">
        <v>2010</v>
      </c>
      <c r="AC557">
        <v>29</v>
      </c>
    </row>
    <row r="558" spans="1:29" x14ac:dyDescent="0.2">
      <c r="A558" s="3">
        <v>2011</v>
      </c>
      <c r="B558">
        <v>14555668</v>
      </c>
      <c r="C558">
        <v>31714102</v>
      </c>
      <c r="D558">
        <v>29933584</v>
      </c>
      <c r="E558">
        <v>20745607</v>
      </c>
      <c r="F558">
        <v>36923987</v>
      </c>
      <c r="G558">
        <v>54675593</v>
      </c>
      <c r="H558">
        <v>42533068</v>
      </c>
      <c r="I558">
        <v>43426114</v>
      </c>
      <c r="J558">
        <v>60730194</v>
      </c>
      <c r="K558">
        <v>54766118</v>
      </c>
      <c r="L558">
        <v>73183481</v>
      </c>
      <c r="M558">
        <v>87237943</v>
      </c>
      <c r="N558">
        <v>76441102</v>
      </c>
      <c r="O558">
        <v>89547179</v>
      </c>
      <c r="P558">
        <v>73075991</v>
      </c>
      <c r="Q558">
        <v>60496375</v>
      </c>
      <c r="R558">
        <v>45228470</v>
      </c>
      <c r="S558">
        <v>35710317</v>
      </c>
      <c r="T558">
        <v>20671991</v>
      </c>
      <c r="U558">
        <v>9897444</v>
      </c>
      <c r="V558">
        <v>4227480</v>
      </c>
      <c r="W558">
        <v>1407054</v>
      </c>
      <c r="X558">
        <v>1167098</v>
      </c>
      <c r="Y558">
        <v>1561251</v>
      </c>
      <c r="Z558">
        <v>617653</v>
      </c>
      <c r="AA558" t="s">
        <v>99</v>
      </c>
      <c r="AB558">
        <v>2011</v>
      </c>
      <c r="AC558">
        <v>30</v>
      </c>
    </row>
    <row r="559" spans="1:29" x14ac:dyDescent="0.2">
      <c r="A559" s="3">
        <v>2012</v>
      </c>
      <c r="B559">
        <v>14364478</v>
      </c>
      <c r="C559">
        <v>21262017</v>
      </c>
      <c r="D559">
        <v>12362573</v>
      </c>
      <c r="E559">
        <v>21879028</v>
      </c>
      <c r="F559">
        <v>31942824</v>
      </c>
      <c r="G559">
        <v>33920076</v>
      </c>
      <c r="H559">
        <v>47620809</v>
      </c>
      <c r="I559">
        <v>57488293</v>
      </c>
      <c r="J559">
        <v>54273858</v>
      </c>
      <c r="K559">
        <v>55188903</v>
      </c>
      <c r="L559">
        <v>58395977</v>
      </c>
      <c r="M559">
        <v>58356736</v>
      </c>
      <c r="N559">
        <v>59269682</v>
      </c>
      <c r="O559">
        <v>84252786</v>
      </c>
      <c r="P559">
        <v>57036959</v>
      </c>
      <c r="Q559">
        <v>40920018</v>
      </c>
      <c r="R559">
        <v>35031446</v>
      </c>
      <c r="S559">
        <v>26470436</v>
      </c>
      <c r="T559">
        <v>12002895</v>
      </c>
      <c r="U559">
        <v>9755655</v>
      </c>
      <c r="V559">
        <v>3308654</v>
      </c>
      <c r="W559">
        <v>1524543</v>
      </c>
      <c r="X559">
        <v>975031</v>
      </c>
      <c r="Y559">
        <v>1306644</v>
      </c>
      <c r="Z559">
        <v>101113</v>
      </c>
      <c r="AA559" t="s">
        <v>99</v>
      </c>
      <c r="AB559">
        <v>2012</v>
      </c>
      <c r="AC559">
        <v>31</v>
      </c>
    </row>
    <row r="560" spans="1:29" x14ac:dyDescent="0.2">
      <c r="A560" s="3">
        <v>2013</v>
      </c>
      <c r="B560">
        <v>8095351</v>
      </c>
      <c r="C560">
        <v>16076032</v>
      </c>
      <c r="D560">
        <v>8766477</v>
      </c>
      <c r="E560">
        <v>9638370</v>
      </c>
      <c r="F560">
        <v>12541484</v>
      </c>
      <c r="G560">
        <v>14800124</v>
      </c>
      <c r="H560">
        <v>21642440</v>
      </c>
      <c r="I560">
        <v>25632830</v>
      </c>
      <c r="J560">
        <v>35068395</v>
      </c>
      <c r="K560">
        <v>47074322</v>
      </c>
      <c r="L560">
        <v>49496869</v>
      </c>
      <c r="M560">
        <v>53832879</v>
      </c>
      <c r="N560">
        <v>47259255</v>
      </c>
      <c r="O560">
        <v>65643973</v>
      </c>
      <c r="P560">
        <v>56885569</v>
      </c>
      <c r="Q560">
        <v>46431839</v>
      </c>
      <c r="R560">
        <v>28991735</v>
      </c>
      <c r="S560">
        <v>28228081</v>
      </c>
      <c r="T560">
        <v>20271665</v>
      </c>
      <c r="U560">
        <v>11036191</v>
      </c>
      <c r="V560">
        <v>4907737</v>
      </c>
      <c r="W560">
        <v>1369881</v>
      </c>
      <c r="X560">
        <v>1089632</v>
      </c>
      <c r="Y560">
        <v>603293</v>
      </c>
      <c r="Z560">
        <v>814019</v>
      </c>
      <c r="AA560" t="s">
        <v>99</v>
      </c>
      <c r="AB560">
        <v>2013</v>
      </c>
      <c r="AC560">
        <v>32</v>
      </c>
    </row>
    <row r="561" spans="1:31" x14ac:dyDescent="0.2">
      <c r="A561" s="3">
        <v>2014</v>
      </c>
      <c r="B561">
        <v>9992824</v>
      </c>
      <c r="C561">
        <v>24422444</v>
      </c>
      <c r="D561">
        <v>28714084</v>
      </c>
      <c r="E561">
        <v>18772727</v>
      </c>
      <c r="F561">
        <v>22158247</v>
      </c>
      <c r="G561">
        <v>33543789</v>
      </c>
      <c r="H561">
        <v>33035698</v>
      </c>
      <c r="I561">
        <v>28884338</v>
      </c>
      <c r="J561">
        <v>26337779</v>
      </c>
      <c r="K561">
        <v>29606903</v>
      </c>
      <c r="L561">
        <v>31605911</v>
      </c>
      <c r="M561">
        <v>32055700</v>
      </c>
      <c r="N561">
        <v>42446458</v>
      </c>
      <c r="O561">
        <v>72545888</v>
      </c>
      <c r="P561">
        <v>74442501</v>
      </c>
      <c r="Q561">
        <v>56284700</v>
      </c>
      <c r="R561">
        <v>44262160</v>
      </c>
      <c r="S561">
        <v>27371782</v>
      </c>
      <c r="T561">
        <v>21108134</v>
      </c>
      <c r="U561">
        <v>14503141</v>
      </c>
      <c r="V561">
        <v>9744475</v>
      </c>
      <c r="W561">
        <v>4950525</v>
      </c>
      <c r="X561">
        <v>1680293</v>
      </c>
      <c r="Y561">
        <v>1338566</v>
      </c>
      <c r="Z561">
        <v>477431</v>
      </c>
      <c r="AA561" t="s">
        <v>99</v>
      </c>
      <c r="AB561">
        <v>2014</v>
      </c>
      <c r="AC561">
        <v>33</v>
      </c>
    </row>
    <row r="562" spans="1:31" x14ac:dyDescent="0.2">
      <c r="A562" s="3">
        <v>2015</v>
      </c>
      <c r="B562">
        <v>4517282</v>
      </c>
      <c r="C562">
        <v>12059374</v>
      </c>
      <c r="D562">
        <v>19898286</v>
      </c>
      <c r="E562">
        <v>20048495</v>
      </c>
      <c r="F562">
        <v>17973935</v>
      </c>
      <c r="G562">
        <v>24869765</v>
      </c>
      <c r="H562">
        <v>35244451</v>
      </c>
      <c r="I562">
        <v>31849421</v>
      </c>
      <c r="J562">
        <v>31383456</v>
      </c>
      <c r="K562">
        <v>34024154</v>
      </c>
      <c r="L562">
        <v>41801663</v>
      </c>
      <c r="M562">
        <v>29621798</v>
      </c>
      <c r="N562">
        <v>30036645</v>
      </c>
      <c r="O562">
        <v>47790438</v>
      </c>
      <c r="P562">
        <v>56159799</v>
      </c>
      <c r="Q562">
        <v>54429122</v>
      </c>
      <c r="R562">
        <v>45047613</v>
      </c>
      <c r="S562">
        <v>31065884</v>
      </c>
      <c r="T562">
        <v>20509082</v>
      </c>
      <c r="U562">
        <v>11877140</v>
      </c>
      <c r="V562">
        <v>7897229</v>
      </c>
      <c r="W562">
        <v>3903929</v>
      </c>
      <c r="X562">
        <v>1564291</v>
      </c>
      <c r="Y562">
        <v>811451</v>
      </c>
      <c r="Z562">
        <v>661508</v>
      </c>
      <c r="AA562" t="s">
        <v>99</v>
      </c>
      <c r="AB562">
        <v>2015</v>
      </c>
      <c r="AC562">
        <v>34</v>
      </c>
    </row>
    <row r="563" spans="1:31" x14ac:dyDescent="0.2">
      <c r="A563" s="3">
        <v>2016</v>
      </c>
      <c r="B563">
        <v>5239433</v>
      </c>
      <c r="C563">
        <v>9959564</v>
      </c>
      <c r="D563">
        <v>17744110</v>
      </c>
      <c r="E563">
        <v>34215431</v>
      </c>
      <c r="F563">
        <v>38140052</v>
      </c>
      <c r="G563">
        <v>33503550</v>
      </c>
      <c r="H563">
        <v>40360906</v>
      </c>
      <c r="I563">
        <v>49263123</v>
      </c>
      <c r="J563">
        <v>67266828</v>
      </c>
      <c r="K563">
        <v>70982628</v>
      </c>
      <c r="L563">
        <v>70849602</v>
      </c>
      <c r="M563">
        <v>61667995</v>
      </c>
      <c r="N563">
        <v>52411102</v>
      </c>
      <c r="O563">
        <v>54907783</v>
      </c>
      <c r="P563">
        <v>45248562</v>
      </c>
      <c r="Q563">
        <v>40566094</v>
      </c>
      <c r="R563">
        <v>43158830</v>
      </c>
      <c r="S563">
        <v>39101354</v>
      </c>
      <c r="T563">
        <v>27722107</v>
      </c>
      <c r="U563">
        <v>15597803</v>
      </c>
      <c r="V563">
        <v>9134369</v>
      </c>
      <c r="W563">
        <v>4833765</v>
      </c>
      <c r="X563">
        <v>2344584</v>
      </c>
      <c r="Y563">
        <v>1150921</v>
      </c>
      <c r="Z563">
        <v>183702</v>
      </c>
      <c r="AA563" t="s">
        <v>99</v>
      </c>
      <c r="AB563">
        <v>2016</v>
      </c>
      <c r="AC563">
        <v>35</v>
      </c>
    </row>
    <row r="564" spans="1:31" x14ac:dyDescent="0.2">
      <c r="A564" s="3">
        <v>2017</v>
      </c>
      <c r="B564">
        <v>13021333</v>
      </c>
      <c r="C564">
        <v>25095981</v>
      </c>
      <c r="D564">
        <v>32980700</v>
      </c>
      <c r="E564">
        <v>23312734</v>
      </c>
      <c r="F564">
        <v>21735069</v>
      </c>
      <c r="G564">
        <v>22536599</v>
      </c>
      <c r="H564">
        <v>26471318</v>
      </c>
      <c r="I564">
        <v>36660378</v>
      </c>
      <c r="J564">
        <v>45040538</v>
      </c>
      <c r="K564">
        <v>53192211</v>
      </c>
      <c r="L564">
        <v>57039583</v>
      </c>
      <c r="M564">
        <v>63222031</v>
      </c>
      <c r="N564">
        <v>67252921</v>
      </c>
      <c r="O564">
        <v>70250251</v>
      </c>
      <c r="P564">
        <v>42748776</v>
      </c>
      <c r="Q564">
        <v>24576229</v>
      </c>
      <c r="R564">
        <v>21797212</v>
      </c>
      <c r="S564">
        <v>24113780</v>
      </c>
      <c r="T564">
        <v>25637895</v>
      </c>
      <c r="U564">
        <v>19706870</v>
      </c>
      <c r="V564">
        <v>11910078</v>
      </c>
      <c r="W564">
        <v>5792541</v>
      </c>
      <c r="X564">
        <v>2181141</v>
      </c>
      <c r="Y564">
        <v>998773</v>
      </c>
      <c r="Z564">
        <v>553023</v>
      </c>
      <c r="AA564" t="s">
        <v>99</v>
      </c>
      <c r="AB564">
        <v>2017</v>
      </c>
      <c r="AC564">
        <v>36</v>
      </c>
    </row>
    <row r="565" spans="1:31" x14ac:dyDescent="0.2">
      <c r="A565" s="3">
        <v>2018</v>
      </c>
      <c r="B565">
        <v>36017447</v>
      </c>
      <c r="C565">
        <v>101910055</v>
      </c>
      <c r="D565">
        <v>90288385</v>
      </c>
      <c r="E565">
        <v>43324552</v>
      </c>
      <c r="F565">
        <v>44503384</v>
      </c>
      <c r="G565">
        <v>55405525</v>
      </c>
      <c r="H565">
        <v>57342946</v>
      </c>
      <c r="I565">
        <v>42142905</v>
      </c>
      <c r="J565">
        <v>39590262</v>
      </c>
      <c r="K565">
        <v>47785928</v>
      </c>
      <c r="L565">
        <v>54721295</v>
      </c>
      <c r="M565">
        <v>64827329</v>
      </c>
      <c r="N565">
        <v>69385845</v>
      </c>
      <c r="O565">
        <v>100462259</v>
      </c>
      <c r="P565">
        <v>71718089</v>
      </c>
      <c r="Q565">
        <v>47790033</v>
      </c>
      <c r="R565">
        <v>24223488</v>
      </c>
      <c r="S565">
        <v>22129996</v>
      </c>
      <c r="T565">
        <v>22223657</v>
      </c>
      <c r="U565">
        <v>22209070</v>
      </c>
      <c r="V565">
        <v>14977103</v>
      </c>
      <c r="W565">
        <v>6781191</v>
      </c>
      <c r="X565">
        <v>3315497</v>
      </c>
      <c r="Y565">
        <v>366693</v>
      </c>
      <c r="Z565">
        <v>16625</v>
      </c>
      <c r="AA565" t="s">
        <v>99</v>
      </c>
      <c r="AB565">
        <v>2018</v>
      </c>
      <c r="AC565">
        <v>37</v>
      </c>
    </row>
    <row r="566" spans="1:31" x14ac:dyDescent="0.2">
      <c r="A566" s="3">
        <v>2019</v>
      </c>
      <c r="B566">
        <v>9323716</v>
      </c>
      <c r="C566">
        <v>9056083</v>
      </c>
      <c r="D566">
        <v>14673666</v>
      </c>
      <c r="E566">
        <v>21902006</v>
      </c>
      <c r="F566">
        <v>29153085</v>
      </c>
      <c r="G566">
        <v>36430011</v>
      </c>
      <c r="H566">
        <v>78797492</v>
      </c>
      <c r="I566">
        <v>135130988</v>
      </c>
      <c r="J566">
        <v>113716036</v>
      </c>
      <c r="K566">
        <v>67536881</v>
      </c>
      <c r="L566">
        <v>56472444</v>
      </c>
      <c r="M566">
        <v>56991406</v>
      </c>
      <c r="N566">
        <v>43186603</v>
      </c>
      <c r="O566">
        <v>72735215</v>
      </c>
      <c r="P566">
        <v>71287410</v>
      </c>
      <c r="Q566">
        <v>60964298</v>
      </c>
      <c r="R566">
        <v>44486852</v>
      </c>
      <c r="S566">
        <v>23180917</v>
      </c>
      <c r="T566">
        <v>16496770</v>
      </c>
      <c r="U566">
        <v>17483208</v>
      </c>
      <c r="V566">
        <v>14647689</v>
      </c>
      <c r="W566">
        <v>10525880</v>
      </c>
      <c r="X566">
        <v>3955718</v>
      </c>
      <c r="Y566">
        <v>1485524</v>
      </c>
      <c r="Z566">
        <v>288975</v>
      </c>
      <c r="AA566" t="s">
        <v>99</v>
      </c>
      <c r="AB566">
        <v>2019</v>
      </c>
      <c r="AC566">
        <v>38</v>
      </c>
    </row>
    <row r="567" spans="1:31" x14ac:dyDescent="0.2">
      <c r="A567" s="3">
        <v>2021</v>
      </c>
      <c r="B567">
        <v>4724583</v>
      </c>
      <c r="C567">
        <v>6825050</v>
      </c>
      <c r="D567">
        <v>15941016</v>
      </c>
      <c r="E567">
        <v>41387466</v>
      </c>
      <c r="F567">
        <v>60827032</v>
      </c>
      <c r="G567">
        <v>51527791</v>
      </c>
      <c r="H567">
        <v>51537271</v>
      </c>
      <c r="I567">
        <v>55570733</v>
      </c>
      <c r="J567">
        <v>54261746</v>
      </c>
      <c r="K567">
        <v>56025760</v>
      </c>
      <c r="L567">
        <v>58166476</v>
      </c>
      <c r="M567">
        <v>77903040</v>
      </c>
      <c r="N567">
        <v>92173573</v>
      </c>
      <c r="O567">
        <v>127800034</v>
      </c>
      <c r="P567">
        <v>70825720</v>
      </c>
      <c r="Q567">
        <v>33548020</v>
      </c>
      <c r="R567">
        <v>26140315</v>
      </c>
      <c r="S567">
        <v>19315825</v>
      </c>
      <c r="T567">
        <v>11122598</v>
      </c>
      <c r="U567">
        <v>5820069</v>
      </c>
      <c r="V567">
        <v>3877281</v>
      </c>
      <c r="W567">
        <v>5755012</v>
      </c>
      <c r="X567">
        <v>3349310</v>
      </c>
      <c r="Y567">
        <v>2182818</v>
      </c>
      <c r="Z567">
        <v>174652</v>
      </c>
      <c r="AA567" t="s">
        <v>99</v>
      </c>
      <c r="AB567">
        <v>2021</v>
      </c>
      <c r="AC567">
        <v>39</v>
      </c>
    </row>
    <row r="568" spans="1:31" x14ac:dyDescent="0.2">
      <c r="A568" s="3">
        <v>2022</v>
      </c>
      <c r="B568">
        <v>9415739</v>
      </c>
      <c r="C568">
        <v>23917759</v>
      </c>
      <c r="D568">
        <v>23936833</v>
      </c>
      <c r="E568">
        <v>16946858</v>
      </c>
      <c r="F568">
        <v>20207773</v>
      </c>
      <c r="G568">
        <v>23292269</v>
      </c>
      <c r="H568">
        <v>34930301</v>
      </c>
      <c r="I568">
        <v>61958604</v>
      </c>
      <c r="J568">
        <v>77433969</v>
      </c>
      <c r="K568">
        <v>85249170</v>
      </c>
      <c r="L568">
        <v>90739191</v>
      </c>
      <c r="M568">
        <v>74547932</v>
      </c>
      <c r="N568">
        <v>79114218</v>
      </c>
      <c r="O568">
        <v>125701083</v>
      </c>
      <c r="P568">
        <v>94424982</v>
      </c>
      <c r="Q568">
        <v>71232957</v>
      </c>
      <c r="R568">
        <v>36802381</v>
      </c>
      <c r="S568">
        <v>23311351</v>
      </c>
      <c r="T568">
        <v>13745465</v>
      </c>
      <c r="U568">
        <v>5196512</v>
      </c>
      <c r="V568">
        <v>3610598</v>
      </c>
      <c r="W568">
        <v>2241903</v>
      </c>
      <c r="X568">
        <v>1806436</v>
      </c>
      <c r="Y568">
        <v>1591006</v>
      </c>
      <c r="Z568">
        <v>170424</v>
      </c>
      <c r="AA568" t="s">
        <v>99</v>
      </c>
      <c r="AB568">
        <v>22</v>
      </c>
    </row>
    <row r="569" spans="1:31" x14ac:dyDescent="0.2">
      <c r="A569" s="3">
        <v>2023</v>
      </c>
      <c r="B569" s="2">
        <f>bsaiatf_data_2024!B103+bsaiatf_data_2024!B137</f>
        <v>6582331</v>
      </c>
      <c r="C569" s="2">
        <f>bsaiatf_data_2024!C103+bsaiatf_data_2024!C137</f>
        <v>10568121</v>
      </c>
      <c r="D569" s="2">
        <f>bsaiatf_data_2024!D103+bsaiatf_data_2024!D137</f>
        <v>10404957</v>
      </c>
      <c r="E569" s="2">
        <f>bsaiatf_data_2024!E103+bsaiatf_data_2024!E137</f>
        <v>17615207</v>
      </c>
      <c r="F569" s="2">
        <f>bsaiatf_data_2024!F103+bsaiatf_data_2024!F137</f>
        <v>29233312</v>
      </c>
      <c r="G569" s="2">
        <f>bsaiatf_data_2024!G103+bsaiatf_data_2024!G137</f>
        <v>32664623</v>
      </c>
      <c r="H569" s="2">
        <f>bsaiatf_data_2024!H103+bsaiatf_data_2024!H137</f>
        <v>30231486</v>
      </c>
      <c r="I569" s="2">
        <f>bsaiatf_data_2024!I103+bsaiatf_data_2024!I137</f>
        <v>36019346</v>
      </c>
      <c r="J569" s="2">
        <f>bsaiatf_data_2024!J103+bsaiatf_data_2024!J137</f>
        <v>44799935</v>
      </c>
      <c r="K569" s="2">
        <f>bsaiatf_data_2024!K103+bsaiatf_data_2024!K137</f>
        <v>62620621</v>
      </c>
      <c r="L569" s="2">
        <f>bsaiatf_data_2024!L103+bsaiatf_data_2024!L137</f>
        <v>84693297</v>
      </c>
      <c r="M569" s="2">
        <f>bsaiatf_data_2024!M103+bsaiatf_data_2024!M137</f>
        <v>89838106</v>
      </c>
      <c r="N569" s="2">
        <f>bsaiatf_data_2024!N103+bsaiatf_data_2024!N137</f>
        <v>84671272</v>
      </c>
      <c r="O569" s="2">
        <f>bsaiatf_data_2024!O103+bsaiatf_data_2024!O137</f>
        <v>106858142</v>
      </c>
      <c r="P569" s="2">
        <f>bsaiatf_data_2024!P103+bsaiatf_data_2024!P137</f>
        <v>63284567</v>
      </c>
      <c r="Q569" s="2">
        <f>bsaiatf_data_2024!Q103+bsaiatf_data_2024!Q137</f>
        <v>51186729</v>
      </c>
      <c r="R569" s="2">
        <f>bsaiatf_data_2024!R103+bsaiatf_data_2024!R137</f>
        <v>40735414</v>
      </c>
      <c r="S569" s="2">
        <f>bsaiatf_data_2024!S103+bsaiatf_data_2024!S137</f>
        <v>26197411</v>
      </c>
      <c r="T569" s="2">
        <f>bsaiatf_data_2024!T103+bsaiatf_data_2024!T137</f>
        <v>14157414</v>
      </c>
      <c r="U569" s="2">
        <f>bsaiatf_data_2024!U103+bsaiatf_data_2024!U137</f>
        <v>6137694</v>
      </c>
      <c r="V569" s="2">
        <f>bsaiatf_data_2024!V103+bsaiatf_data_2024!V137</f>
        <v>3048465</v>
      </c>
      <c r="W569" s="2">
        <f>bsaiatf_data_2024!W103+bsaiatf_data_2024!W137</f>
        <v>2066035</v>
      </c>
      <c r="X569" s="2">
        <f>bsaiatf_data_2024!X103+bsaiatf_data_2024!X137</f>
        <v>1576752</v>
      </c>
      <c r="Y569" s="2">
        <f>bsaiatf_data_2024!Y103+bsaiatf_data_2024!Y137</f>
        <v>1330230</v>
      </c>
      <c r="Z569" s="2">
        <f>bsaiatf_data_2024!Z103+bsaiatf_data_2024!Z137</f>
        <v>210718</v>
      </c>
      <c r="AA569" t="s">
        <v>99</v>
      </c>
      <c r="AB569" s="2">
        <v>23</v>
      </c>
    </row>
    <row r="570" spans="1:31" s="2" customFormat="1" x14ac:dyDescent="0.2">
      <c r="A570" s="3">
        <v>2024</v>
      </c>
      <c r="B570" s="2">
        <f>bsaiatf_data_2024!B104+bsaiatf_data_2024!B138</f>
        <v>3887010</v>
      </c>
      <c r="C570" s="2">
        <f>bsaiatf_data_2024!C104+bsaiatf_data_2024!C138</f>
        <v>11464459</v>
      </c>
      <c r="D570" s="2">
        <f>bsaiatf_data_2024!D104+bsaiatf_data_2024!D138</f>
        <v>18937755</v>
      </c>
      <c r="E570" s="2">
        <f>bsaiatf_data_2024!E104+bsaiatf_data_2024!E138</f>
        <v>24167628</v>
      </c>
      <c r="F570" s="2">
        <f>bsaiatf_data_2024!F104+bsaiatf_data_2024!F138</f>
        <v>24795484</v>
      </c>
      <c r="G570" s="2">
        <f>bsaiatf_data_2024!G104+bsaiatf_data_2024!G138</f>
        <v>28515972</v>
      </c>
      <c r="H570" s="2">
        <f>bsaiatf_data_2024!H104+bsaiatf_data_2024!H138</f>
        <v>29453772</v>
      </c>
      <c r="I570" s="2">
        <f>bsaiatf_data_2024!I104+bsaiatf_data_2024!I138</f>
        <v>28976979</v>
      </c>
      <c r="J570" s="2">
        <f>bsaiatf_data_2024!J104+bsaiatf_data_2024!J138</f>
        <v>37714873</v>
      </c>
      <c r="K570" s="2">
        <f>bsaiatf_data_2024!K104+bsaiatf_data_2024!K138</f>
        <v>46791812</v>
      </c>
      <c r="L570" s="2">
        <f>bsaiatf_data_2024!L104+bsaiatf_data_2024!L138</f>
        <v>51545578</v>
      </c>
      <c r="M570" s="2">
        <f>bsaiatf_data_2024!M104+bsaiatf_data_2024!M138</f>
        <v>71474114</v>
      </c>
      <c r="N570" s="2">
        <f>bsaiatf_data_2024!N104+bsaiatf_data_2024!N138</f>
        <v>81510676</v>
      </c>
      <c r="O570" s="2">
        <f>bsaiatf_data_2024!O104+bsaiatf_data_2024!O138</f>
        <v>154098994</v>
      </c>
      <c r="P570" s="2">
        <f>bsaiatf_data_2024!P104+bsaiatf_data_2024!P138</f>
        <v>113563212</v>
      </c>
      <c r="Q570" s="2">
        <f>bsaiatf_data_2024!Q104+bsaiatf_data_2024!Q138</f>
        <v>63387929</v>
      </c>
      <c r="R570" s="2">
        <f>bsaiatf_data_2024!R104+bsaiatf_data_2024!R138</f>
        <v>45669775</v>
      </c>
      <c r="S570" s="2">
        <f>bsaiatf_data_2024!S104+bsaiatf_data_2024!S138</f>
        <v>41576105</v>
      </c>
      <c r="T570" s="2">
        <f>bsaiatf_data_2024!T104+bsaiatf_data_2024!T138</f>
        <v>19116799</v>
      </c>
      <c r="U570" s="2">
        <f>bsaiatf_data_2024!U104+bsaiatf_data_2024!U138</f>
        <v>13044297</v>
      </c>
      <c r="V570" s="2">
        <f>bsaiatf_data_2024!V104+bsaiatf_data_2024!V138</f>
        <v>4901506</v>
      </c>
      <c r="W570" s="2">
        <f>bsaiatf_data_2024!W104+bsaiatf_data_2024!W138</f>
        <v>2078015</v>
      </c>
      <c r="X570" s="2">
        <f>bsaiatf_data_2024!X104+bsaiatf_data_2024!X138</f>
        <v>2556106</v>
      </c>
      <c r="Y570" s="2">
        <f>bsaiatf_data_2024!Y104+bsaiatf_data_2024!Y138</f>
        <v>1910041</v>
      </c>
      <c r="Z570" s="2">
        <f>bsaiatf_data_2024!Z104+bsaiatf_data_2024!Z138</f>
        <v>0</v>
      </c>
      <c r="AA570" t="s">
        <v>99</v>
      </c>
      <c r="AB570" s="2">
        <v>23</v>
      </c>
    </row>
    <row r="571" spans="1:31" x14ac:dyDescent="0.2">
      <c r="B571" t="s">
        <v>100</v>
      </c>
    </row>
    <row r="572" spans="1:31" x14ac:dyDescent="0.2">
      <c r="B572" t="s">
        <v>269</v>
      </c>
      <c r="C572" t="s">
        <v>106</v>
      </c>
      <c r="D572" t="s">
        <v>270</v>
      </c>
      <c r="E572" t="s">
        <v>104</v>
      </c>
      <c r="F572" t="s">
        <v>271</v>
      </c>
      <c r="G572" t="s">
        <v>109</v>
      </c>
      <c r="H572" t="s">
        <v>108</v>
      </c>
      <c r="I572" t="s">
        <v>272</v>
      </c>
      <c r="J572" t="s">
        <v>273</v>
      </c>
      <c r="K572" t="s">
        <v>261</v>
      </c>
    </row>
    <row r="573" spans="1:31" x14ac:dyDescent="0.2">
      <c r="B573" t="s">
        <v>100</v>
      </c>
    </row>
    <row r="574" spans="1:31" x14ac:dyDescent="0.2">
      <c r="B574" t="s">
        <v>99</v>
      </c>
      <c r="C574" t="s">
        <v>123</v>
      </c>
      <c r="D574" t="s">
        <v>124</v>
      </c>
      <c r="E574" t="s">
        <v>125</v>
      </c>
    </row>
    <row r="575" spans="1:31" x14ac:dyDescent="0.2">
      <c r="B575">
        <v>14</v>
      </c>
      <c r="C575">
        <v>24</v>
      </c>
      <c r="D575">
        <v>32</v>
      </c>
      <c r="E575">
        <v>39</v>
      </c>
      <c r="F575">
        <v>43</v>
      </c>
      <c r="G575">
        <v>48</v>
      </c>
      <c r="H575">
        <v>51</v>
      </c>
      <c r="I575">
        <v>54</v>
      </c>
      <c r="J575">
        <v>57</v>
      </c>
      <c r="K575">
        <v>59</v>
      </c>
      <c r="L575">
        <v>60</v>
      </c>
      <c r="M575">
        <v>61</v>
      </c>
      <c r="N575" t="s">
        <v>99</v>
      </c>
      <c r="O575" t="s">
        <v>145</v>
      </c>
      <c r="P575" t="s">
        <v>274</v>
      </c>
    </row>
    <row r="576" spans="1:31" x14ac:dyDescent="0.2">
      <c r="B576">
        <v>9</v>
      </c>
      <c r="C576">
        <v>12</v>
      </c>
      <c r="D576">
        <v>15</v>
      </c>
      <c r="E576">
        <v>18</v>
      </c>
      <c r="F576">
        <v>21</v>
      </c>
      <c r="G576">
        <v>24</v>
      </c>
      <c r="H576">
        <v>27</v>
      </c>
      <c r="I576">
        <v>30</v>
      </c>
      <c r="J576">
        <v>33</v>
      </c>
      <c r="K576">
        <v>36</v>
      </c>
      <c r="L576">
        <v>39</v>
      </c>
      <c r="M576">
        <v>42</v>
      </c>
      <c r="N576">
        <v>45</v>
      </c>
      <c r="O576">
        <v>50</v>
      </c>
      <c r="P576">
        <v>55</v>
      </c>
      <c r="Q576">
        <v>60</v>
      </c>
      <c r="R576">
        <v>65</v>
      </c>
      <c r="S576">
        <v>70</v>
      </c>
      <c r="T576">
        <v>75</v>
      </c>
      <c r="U576">
        <v>80</v>
      </c>
      <c r="V576">
        <v>85</v>
      </c>
      <c r="W576">
        <v>90</v>
      </c>
      <c r="X576">
        <v>95</v>
      </c>
      <c r="Y576">
        <v>100</v>
      </c>
      <c r="Z576">
        <v>105</v>
      </c>
      <c r="AA576" t="s">
        <v>99</v>
      </c>
      <c r="AB576" t="s">
        <v>275</v>
      </c>
      <c r="AC576" t="s">
        <v>145</v>
      </c>
      <c r="AD576" t="s">
        <v>276</v>
      </c>
      <c r="AE576" t="s">
        <v>172</v>
      </c>
    </row>
    <row r="577" spans="2:35" x14ac:dyDescent="0.2">
      <c r="B577">
        <v>10</v>
      </c>
      <c r="C577">
        <v>16</v>
      </c>
      <c r="D577">
        <v>18</v>
      </c>
      <c r="E577">
        <v>20</v>
      </c>
      <c r="F577">
        <v>22</v>
      </c>
      <c r="G577">
        <v>24</v>
      </c>
      <c r="H577">
        <v>26</v>
      </c>
      <c r="I577">
        <v>28</v>
      </c>
      <c r="J577">
        <v>30</v>
      </c>
      <c r="K577">
        <v>32</v>
      </c>
      <c r="L577">
        <v>34</v>
      </c>
      <c r="M577">
        <v>36</v>
      </c>
      <c r="N577">
        <v>38</v>
      </c>
      <c r="O577">
        <v>40</v>
      </c>
      <c r="P577">
        <v>43</v>
      </c>
      <c r="Q577">
        <v>46</v>
      </c>
      <c r="R577">
        <v>49</v>
      </c>
      <c r="S577">
        <v>52</v>
      </c>
      <c r="T577">
        <v>55</v>
      </c>
      <c r="U577">
        <v>58</v>
      </c>
      <c r="V577">
        <v>61</v>
      </c>
      <c r="W577">
        <v>64</v>
      </c>
      <c r="X577">
        <v>67</v>
      </c>
      <c r="Y577">
        <v>70</v>
      </c>
      <c r="Z577">
        <v>75</v>
      </c>
      <c r="AA577" t="s">
        <v>99</v>
      </c>
      <c r="AB577">
        <v>95</v>
      </c>
      <c r="AC577" t="s">
        <v>99</v>
      </c>
      <c r="AD577" t="s">
        <v>277</v>
      </c>
      <c r="AE577" t="s">
        <v>278</v>
      </c>
      <c r="AF577" t="s">
        <v>125</v>
      </c>
      <c r="AG577" t="s">
        <v>276</v>
      </c>
      <c r="AH577" t="s">
        <v>179</v>
      </c>
      <c r="AI577" t="s">
        <v>172</v>
      </c>
    </row>
    <row r="578" spans="2:35" x14ac:dyDescent="0.2">
      <c r="B578" t="s">
        <v>100</v>
      </c>
    </row>
    <row r="579" spans="2:35" x14ac:dyDescent="0.2">
      <c r="B579" t="s">
        <v>279</v>
      </c>
      <c r="C579" t="s">
        <v>106</v>
      </c>
      <c r="D579" t="s">
        <v>140</v>
      </c>
      <c r="E579" t="s">
        <v>280</v>
      </c>
      <c r="F579" t="s">
        <v>272</v>
      </c>
      <c r="G579" t="s">
        <v>273</v>
      </c>
      <c r="H579" t="s">
        <v>261</v>
      </c>
    </row>
    <row r="580" spans="2:35" x14ac:dyDescent="0.2">
      <c r="B580" t="s">
        <v>100</v>
      </c>
    </row>
    <row r="581" spans="2:35" x14ac:dyDescent="0.2">
      <c r="B581" t="s">
        <v>99</v>
      </c>
      <c r="C581" t="s">
        <v>281</v>
      </c>
      <c r="D581" t="s">
        <v>145</v>
      </c>
      <c r="E581" t="s">
        <v>282</v>
      </c>
      <c r="F581" t="s">
        <v>283</v>
      </c>
      <c r="G581" t="s">
        <v>160</v>
      </c>
      <c r="H581" t="s">
        <v>66</v>
      </c>
    </row>
    <row r="582" spans="2:35" x14ac:dyDescent="0.2">
      <c r="B582">
        <v>0.99939999999999996</v>
      </c>
      <c r="C582" s="1">
        <v>5.9999999999999995E-4</v>
      </c>
      <c r="D582">
        <v>0</v>
      </c>
      <c r="E582">
        <v>0</v>
      </c>
      <c r="F582">
        <v>0</v>
      </c>
      <c r="G582">
        <v>0</v>
      </c>
      <c r="H582">
        <v>0</v>
      </c>
      <c r="I582">
        <v>0</v>
      </c>
      <c r="J582">
        <v>0</v>
      </c>
      <c r="K582">
        <v>0</v>
      </c>
      <c r="L582">
        <v>0</v>
      </c>
      <c r="M582">
        <v>0</v>
      </c>
    </row>
    <row r="583" spans="2:35" x14ac:dyDescent="0.2">
      <c r="B583">
        <v>2.24E-2</v>
      </c>
      <c r="C583">
        <v>0.86750000000000005</v>
      </c>
      <c r="D583">
        <v>0.1096</v>
      </c>
      <c r="E583" s="1">
        <v>5.0000000000000001E-4</v>
      </c>
      <c r="F583">
        <v>0</v>
      </c>
      <c r="G583">
        <v>0</v>
      </c>
      <c r="H583">
        <v>0</v>
      </c>
      <c r="I583">
        <v>0</v>
      </c>
      <c r="J583">
        <v>0</v>
      </c>
      <c r="K583">
        <v>0</v>
      </c>
      <c r="L583">
        <v>0</v>
      </c>
      <c r="M583">
        <v>0</v>
      </c>
    </row>
    <row r="584" spans="2:35" x14ac:dyDescent="0.2">
      <c r="B584" s="1">
        <v>2.9999999999999997E-4</v>
      </c>
      <c r="C584">
        <v>0.14349999999999999</v>
      </c>
      <c r="D584">
        <v>0.6321</v>
      </c>
      <c r="E584">
        <v>0.1893</v>
      </c>
      <c r="F584">
        <v>3.3300000000000003E-2</v>
      </c>
      <c r="G584">
        <v>1.2999999999999999E-3</v>
      </c>
      <c r="H584" s="1">
        <v>1E-4</v>
      </c>
      <c r="I584">
        <v>0</v>
      </c>
      <c r="J584">
        <v>0</v>
      </c>
      <c r="K584">
        <v>0</v>
      </c>
      <c r="L584">
        <v>0</v>
      </c>
      <c r="M584">
        <v>0</v>
      </c>
    </row>
    <row r="585" spans="2:35" x14ac:dyDescent="0.2">
      <c r="B585">
        <v>0</v>
      </c>
      <c r="C585" s="1">
        <v>6.9999999999999999E-4</v>
      </c>
      <c r="D585">
        <v>0.13059999999999999</v>
      </c>
      <c r="E585">
        <v>0.51990000000000003</v>
      </c>
      <c r="F585">
        <v>0.30299999999999999</v>
      </c>
      <c r="G585">
        <v>3.9600000000000003E-2</v>
      </c>
      <c r="H585">
        <v>5.7000000000000002E-3</v>
      </c>
      <c r="I585" s="1">
        <v>5.0000000000000001E-4</v>
      </c>
      <c r="J585">
        <v>0</v>
      </c>
      <c r="K585">
        <v>0</v>
      </c>
      <c r="L585">
        <v>0</v>
      </c>
      <c r="M585">
        <v>0</v>
      </c>
    </row>
    <row r="586" spans="2:35" x14ac:dyDescent="0.2">
      <c r="B586">
        <v>0</v>
      </c>
      <c r="C586">
        <v>0</v>
      </c>
      <c r="D586">
        <v>1.35E-2</v>
      </c>
      <c r="E586">
        <v>0.24249999999999999</v>
      </c>
      <c r="F586">
        <v>0.39989999999999998</v>
      </c>
      <c r="G586">
        <v>0.23039999999999999</v>
      </c>
      <c r="H586">
        <v>8.8300000000000003E-2</v>
      </c>
      <c r="I586">
        <v>2.12E-2</v>
      </c>
      <c r="J586">
        <v>3.2000000000000002E-3</v>
      </c>
      <c r="K586" s="1">
        <v>6.9999999999999999E-4</v>
      </c>
      <c r="L586" s="1">
        <v>2.9999999999999997E-4</v>
      </c>
      <c r="M586" s="1">
        <v>1E-4</v>
      </c>
    </row>
    <row r="587" spans="2:35" x14ac:dyDescent="0.2">
      <c r="B587">
        <v>0</v>
      </c>
      <c r="C587">
        <v>0</v>
      </c>
      <c r="D587">
        <v>2.3999999999999998E-3</v>
      </c>
      <c r="E587">
        <v>6.9199999999999998E-2</v>
      </c>
      <c r="F587">
        <v>0.1946</v>
      </c>
      <c r="G587">
        <v>0.28970000000000001</v>
      </c>
      <c r="H587">
        <v>0.22819999999999999</v>
      </c>
      <c r="I587">
        <v>0.12570000000000001</v>
      </c>
      <c r="J587">
        <v>4.8399999999999999E-2</v>
      </c>
      <c r="K587">
        <v>2.1000000000000001E-2</v>
      </c>
      <c r="L587">
        <v>1.2999999999999999E-2</v>
      </c>
      <c r="M587">
        <v>7.7999999999999996E-3</v>
      </c>
    </row>
    <row r="588" spans="2:35" x14ac:dyDescent="0.2">
      <c r="B588">
        <v>0</v>
      </c>
      <c r="C588">
        <v>0</v>
      </c>
      <c r="D588" s="1">
        <v>5.9999999999999995E-4</v>
      </c>
      <c r="E588">
        <v>1.95E-2</v>
      </c>
      <c r="F588">
        <v>6.9900000000000004E-2</v>
      </c>
      <c r="G588">
        <v>0.1734</v>
      </c>
      <c r="H588">
        <v>0.2077</v>
      </c>
      <c r="I588">
        <v>0.189</v>
      </c>
      <c r="J588">
        <v>0.1308</v>
      </c>
      <c r="K588">
        <v>8.7900000000000006E-2</v>
      </c>
      <c r="L588">
        <v>6.88E-2</v>
      </c>
      <c r="M588">
        <v>5.2299999999999999E-2</v>
      </c>
    </row>
    <row r="589" spans="2:35" x14ac:dyDescent="0.2">
      <c r="B589">
        <v>0</v>
      </c>
      <c r="C589">
        <v>0</v>
      </c>
      <c r="D589" s="1">
        <v>2.0000000000000001E-4</v>
      </c>
      <c r="E589">
        <v>7.7000000000000002E-3</v>
      </c>
      <c r="F589">
        <v>3.2099999999999997E-2</v>
      </c>
      <c r="G589">
        <v>0.1052</v>
      </c>
      <c r="H589">
        <v>0.1555</v>
      </c>
      <c r="I589">
        <v>0.18060000000000001</v>
      </c>
      <c r="J589">
        <v>0.1648</v>
      </c>
      <c r="K589">
        <v>0.1356</v>
      </c>
      <c r="L589">
        <v>0.1181</v>
      </c>
      <c r="M589">
        <v>0.1002</v>
      </c>
    </row>
    <row r="590" spans="2:35" x14ac:dyDescent="0.2">
      <c r="B590">
        <v>0</v>
      </c>
      <c r="C590">
        <v>0</v>
      </c>
      <c r="D590" s="1">
        <v>1E-4</v>
      </c>
      <c r="E590">
        <v>3.0000000000000001E-3</v>
      </c>
      <c r="F590">
        <v>1.47E-2</v>
      </c>
      <c r="G590">
        <v>6.2100000000000002E-2</v>
      </c>
      <c r="H590">
        <v>0.10979999999999999</v>
      </c>
      <c r="I590">
        <v>0.1555</v>
      </c>
      <c r="J590">
        <v>0.1764</v>
      </c>
      <c r="K590">
        <v>0.16980000000000001</v>
      </c>
      <c r="L590">
        <v>0.1605</v>
      </c>
      <c r="M590">
        <v>0.14810000000000001</v>
      </c>
    </row>
    <row r="591" spans="2:35" x14ac:dyDescent="0.2">
      <c r="B591">
        <v>0</v>
      </c>
      <c r="C591">
        <v>0</v>
      </c>
      <c r="D591">
        <v>0</v>
      </c>
      <c r="E591">
        <v>1.1999999999999999E-3</v>
      </c>
      <c r="F591">
        <v>7.4999999999999997E-3</v>
      </c>
      <c r="G591">
        <v>4.2299999999999997E-2</v>
      </c>
      <c r="H591">
        <v>8.7099999999999997E-2</v>
      </c>
      <c r="I591">
        <v>0.14130000000000001</v>
      </c>
      <c r="J591">
        <v>0.18049999999999999</v>
      </c>
      <c r="K591">
        <v>0.18609999999999999</v>
      </c>
      <c r="L591">
        <v>0.18160000000000001</v>
      </c>
      <c r="M591">
        <v>0.17249999999999999</v>
      </c>
    </row>
    <row r="592" spans="2:35" x14ac:dyDescent="0.2">
      <c r="B592">
        <v>0</v>
      </c>
      <c r="C592">
        <v>0</v>
      </c>
      <c r="D592">
        <v>0</v>
      </c>
      <c r="E592" s="1">
        <v>5.9999999999999995E-4</v>
      </c>
      <c r="F592">
        <v>4.1999999999999997E-3</v>
      </c>
      <c r="G592">
        <v>2.8299999999999999E-2</v>
      </c>
      <c r="H592">
        <v>6.5500000000000003E-2</v>
      </c>
      <c r="I592">
        <v>0.1205</v>
      </c>
      <c r="J592">
        <v>0.17580000000000001</v>
      </c>
      <c r="K592">
        <v>0.1988</v>
      </c>
      <c r="L592">
        <v>0.20349999999999999</v>
      </c>
      <c r="M592">
        <v>0.20300000000000001</v>
      </c>
    </row>
    <row r="593" spans="1:26" x14ac:dyDescent="0.2">
      <c r="B593">
        <v>0</v>
      </c>
      <c r="C593">
        <v>0</v>
      </c>
      <c r="D593">
        <v>0</v>
      </c>
      <c r="E593" s="1">
        <v>8.9999999999999998E-4</v>
      </c>
      <c r="F593">
        <v>5.4000000000000003E-3</v>
      </c>
      <c r="G593">
        <v>3.0700000000000002E-2</v>
      </c>
      <c r="H593">
        <v>6.6799999999999998E-2</v>
      </c>
      <c r="I593">
        <v>0.11849999999999999</v>
      </c>
      <c r="J593">
        <v>0.17180000000000001</v>
      </c>
      <c r="K593">
        <v>0.19670000000000001</v>
      </c>
      <c r="L593">
        <v>0.2034</v>
      </c>
      <c r="M593">
        <v>0.20569999999999999</v>
      </c>
    </row>
    <row r="594" spans="1:26" x14ac:dyDescent="0.2">
      <c r="B594" t="s">
        <v>99</v>
      </c>
      <c r="C594" t="s">
        <v>178</v>
      </c>
    </row>
    <row r="595" spans="1:26" x14ac:dyDescent="0.2">
      <c r="A595" s="3">
        <f>COUNT(B595:BT595)</f>
        <v>25</v>
      </c>
      <c r="B595">
        <v>0.32100000000000001</v>
      </c>
      <c r="C595">
        <v>0.33700000000000002</v>
      </c>
      <c r="D595">
        <v>0.24099999999999999</v>
      </c>
      <c r="E595">
        <v>8.5000000000000006E-2</v>
      </c>
      <c r="F595">
        <v>1.4E-2</v>
      </c>
      <c r="G595">
        <v>1E-3</v>
      </c>
      <c r="H595">
        <v>0</v>
      </c>
      <c r="I595">
        <v>0</v>
      </c>
      <c r="J595">
        <v>0</v>
      </c>
      <c r="K595">
        <v>0</v>
      </c>
      <c r="L595">
        <v>0</v>
      </c>
      <c r="M595">
        <v>0</v>
      </c>
      <c r="N595">
        <v>0</v>
      </c>
      <c r="O595">
        <v>0</v>
      </c>
      <c r="P595">
        <v>0</v>
      </c>
      <c r="Q595">
        <v>0</v>
      </c>
      <c r="R595">
        <v>0</v>
      </c>
      <c r="S595">
        <v>0</v>
      </c>
      <c r="T595">
        <v>0</v>
      </c>
      <c r="U595">
        <v>0</v>
      </c>
      <c r="V595">
        <v>0</v>
      </c>
      <c r="W595">
        <v>0</v>
      </c>
      <c r="X595">
        <v>0</v>
      </c>
      <c r="Y595">
        <v>0</v>
      </c>
      <c r="Z595">
        <v>0</v>
      </c>
    </row>
    <row r="596" spans="1:26" x14ac:dyDescent="0.2">
      <c r="B596">
        <v>0</v>
      </c>
      <c r="C596">
        <v>2E-3</v>
      </c>
      <c r="D596">
        <v>1.0999999999999999E-2</v>
      </c>
      <c r="E596">
        <v>4.8000000000000001E-2</v>
      </c>
      <c r="F596">
        <v>0.13500000000000001</v>
      </c>
      <c r="G596">
        <v>0.24</v>
      </c>
      <c r="H596">
        <v>0.26700000000000002</v>
      </c>
      <c r="I596">
        <v>0.187</v>
      </c>
      <c r="J596">
        <v>8.2000000000000003E-2</v>
      </c>
      <c r="K596">
        <v>2.3E-2</v>
      </c>
      <c r="L596">
        <v>4.0000000000000001E-3</v>
      </c>
      <c r="M596">
        <v>0</v>
      </c>
      <c r="N596">
        <v>0</v>
      </c>
      <c r="O596">
        <v>0</v>
      </c>
      <c r="P596">
        <v>0</v>
      </c>
      <c r="Q596">
        <v>0</v>
      </c>
      <c r="R596">
        <v>0</v>
      </c>
      <c r="S596">
        <v>0</v>
      </c>
      <c r="T596">
        <v>0</v>
      </c>
      <c r="U596">
        <v>0</v>
      </c>
      <c r="V596">
        <v>0</v>
      </c>
      <c r="W596">
        <v>0</v>
      </c>
      <c r="X596">
        <v>0</v>
      </c>
      <c r="Y596">
        <v>0</v>
      </c>
      <c r="Z596">
        <v>0</v>
      </c>
    </row>
    <row r="597" spans="1:26" x14ac:dyDescent="0.2">
      <c r="B597">
        <v>0</v>
      </c>
      <c r="C597">
        <v>0</v>
      </c>
      <c r="D597">
        <v>0</v>
      </c>
      <c r="E597">
        <v>0</v>
      </c>
      <c r="F597">
        <v>1E-3</v>
      </c>
      <c r="G597">
        <v>5.0000000000000001E-3</v>
      </c>
      <c r="H597">
        <v>2.1000000000000001E-2</v>
      </c>
      <c r="I597">
        <v>6.4000000000000001E-2</v>
      </c>
      <c r="J597">
        <v>0.13800000000000001</v>
      </c>
      <c r="K597">
        <v>0.21199999999999999</v>
      </c>
      <c r="L597">
        <v>0.23100000000000001</v>
      </c>
      <c r="M597">
        <v>0.17899999999999999</v>
      </c>
      <c r="N597">
        <v>0.128</v>
      </c>
      <c r="O597">
        <v>0.02</v>
      </c>
      <c r="P597">
        <v>1E-3</v>
      </c>
      <c r="Q597">
        <v>0</v>
      </c>
      <c r="R597">
        <v>0</v>
      </c>
      <c r="S597">
        <v>0</v>
      </c>
      <c r="T597">
        <v>0</v>
      </c>
      <c r="U597">
        <v>0</v>
      </c>
      <c r="V597">
        <v>0</v>
      </c>
      <c r="W597">
        <v>0</v>
      </c>
      <c r="X597">
        <v>0</v>
      </c>
      <c r="Y597">
        <v>0</v>
      </c>
      <c r="Z597">
        <v>0</v>
      </c>
    </row>
    <row r="598" spans="1:26" x14ac:dyDescent="0.2">
      <c r="B598">
        <v>0</v>
      </c>
      <c r="C598">
        <v>0</v>
      </c>
      <c r="D598">
        <v>0</v>
      </c>
      <c r="E598">
        <v>0</v>
      </c>
      <c r="F598">
        <v>0</v>
      </c>
      <c r="G598">
        <v>0</v>
      </c>
      <c r="H598">
        <v>0</v>
      </c>
      <c r="I598">
        <v>1E-3</v>
      </c>
      <c r="J598">
        <v>6.0000000000000001E-3</v>
      </c>
      <c r="K598">
        <v>0.02</v>
      </c>
      <c r="L598">
        <v>5.2999999999999999E-2</v>
      </c>
      <c r="M598">
        <v>0.109</v>
      </c>
      <c r="N598">
        <v>0.308</v>
      </c>
      <c r="O598">
        <v>0.31</v>
      </c>
      <c r="P598">
        <v>0.152</v>
      </c>
      <c r="Q598">
        <v>3.5999999999999997E-2</v>
      </c>
      <c r="R598">
        <v>4.0000000000000001E-3</v>
      </c>
      <c r="S598">
        <v>0</v>
      </c>
      <c r="T598">
        <v>0</v>
      </c>
      <c r="U598">
        <v>0</v>
      </c>
      <c r="V598">
        <v>0</v>
      </c>
      <c r="W598">
        <v>0</v>
      </c>
      <c r="X598">
        <v>0</v>
      </c>
      <c r="Y598">
        <v>0</v>
      </c>
      <c r="Z598">
        <v>0</v>
      </c>
    </row>
    <row r="599" spans="1:26" x14ac:dyDescent="0.2">
      <c r="B599">
        <v>0</v>
      </c>
      <c r="C599">
        <v>0</v>
      </c>
      <c r="D599">
        <v>0</v>
      </c>
      <c r="E599">
        <v>0</v>
      </c>
      <c r="F599">
        <v>0</v>
      </c>
      <c r="G599">
        <v>0</v>
      </c>
      <c r="H599">
        <v>0</v>
      </c>
      <c r="I599">
        <v>0</v>
      </c>
      <c r="J599">
        <v>0</v>
      </c>
      <c r="K599">
        <v>1E-3</v>
      </c>
      <c r="L599">
        <v>3.0000000000000001E-3</v>
      </c>
      <c r="M599">
        <v>0.01</v>
      </c>
      <c r="N599">
        <v>6.5000000000000002E-2</v>
      </c>
      <c r="O599">
        <v>0.191</v>
      </c>
      <c r="P599">
        <v>0.30399999999999999</v>
      </c>
      <c r="Q599">
        <v>0.26400000000000001</v>
      </c>
      <c r="R599">
        <v>0.125</v>
      </c>
      <c r="S599">
        <v>3.3000000000000002E-2</v>
      </c>
      <c r="T599">
        <v>5.0000000000000001E-3</v>
      </c>
      <c r="U599">
        <v>0</v>
      </c>
      <c r="V599">
        <v>0</v>
      </c>
      <c r="W599">
        <v>0</v>
      </c>
      <c r="X599">
        <v>0</v>
      </c>
      <c r="Y599">
        <v>0</v>
      </c>
      <c r="Z599">
        <v>0</v>
      </c>
    </row>
    <row r="600" spans="1:26" x14ac:dyDescent="0.2">
      <c r="B600">
        <v>0</v>
      </c>
      <c r="C600">
        <v>0</v>
      </c>
      <c r="D600">
        <v>0</v>
      </c>
      <c r="E600">
        <v>0</v>
      </c>
      <c r="F600">
        <v>0</v>
      </c>
      <c r="G600">
        <v>0</v>
      </c>
      <c r="H600">
        <v>0</v>
      </c>
      <c r="I600">
        <v>0</v>
      </c>
      <c r="J600">
        <v>0</v>
      </c>
      <c r="K600">
        <v>0</v>
      </c>
      <c r="L600">
        <v>0</v>
      </c>
      <c r="M600">
        <v>1E-3</v>
      </c>
      <c r="N600">
        <v>7.0000000000000001E-3</v>
      </c>
      <c r="O600">
        <v>3.7999999999999999E-2</v>
      </c>
      <c r="P600">
        <v>0.126</v>
      </c>
      <c r="Q600">
        <v>0.247</v>
      </c>
      <c r="R600">
        <v>0.28599999999999998</v>
      </c>
      <c r="S600">
        <v>0.19500000000000001</v>
      </c>
      <c r="T600">
        <v>7.9000000000000001E-2</v>
      </c>
      <c r="U600">
        <v>1.9E-2</v>
      </c>
      <c r="V600">
        <v>3.0000000000000001E-3</v>
      </c>
      <c r="W600">
        <v>0</v>
      </c>
      <c r="X600">
        <v>0</v>
      </c>
      <c r="Y600">
        <v>0</v>
      </c>
      <c r="Z600">
        <v>0</v>
      </c>
    </row>
    <row r="601" spans="1:26" x14ac:dyDescent="0.2">
      <c r="B601">
        <v>0</v>
      </c>
      <c r="C601">
        <v>0</v>
      </c>
      <c r="D601">
        <v>0</v>
      </c>
      <c r="E601">
        <v>0</v>
      </c>
      <c r="F601">
        <v>0</v>
      </c>
      <c r="G601">
        <v>0</v>
      </c>
      <c r="H601">
        <v>0</v>
      </c>
      <c r="I601">
        <v>0</v>
      </c>
      <c r="J601">
        <v>0</v>
      </c>
      <c r="K601">
        <v>0</v>
      </c>
      <c r="L601">
        <v>0</v>
      </c>
      <c r="M601">
        <v>0</v>
      </c>
      <c r="N601">
        <v>1E-3</v>
      </c>
      <c r="O601">
        <v>6.0000000000000001E-3</v>
      </c>
      <c r="P601">
        <v>0.03</v>
      </c>
      <c r="Q601">
        <v>0.10100000000000001</v>
      </c>
      <c r="R601">
        <v>0.21</v>
      </c>
      <c r="S601">
        <v>0.27400000000000002</v>
      </c>
      <c r="T601">
        <v>0.222</v>
      </c>
      <c r="U601">
        <v>0.113</v>
      </c>
      <c r="V601">
        <v>3.5999999999999997E-2</v>
      </c>
      <c r="W601">
        <v>7.0000000000000001E-3</v>
      </c>
      <c r="X601">
        <v>1E-3</v>
      </c>
      <c r="Y601">
        <v>0</v>
      </c>
      <c r="Z601">
        <v>0</v>
      </c>
    </row>
    <row r="602" spans="1:26" x14ac:dyDescent="0.2">
      <c r="B602">
        <v>0</v>
      </c>
      <c r="C602">
        <v>0</v>
      </c>
      <c r="D602">
        <v>0</v>
      </c>
      <c r="E602">
        <v>0</v>
      </c>
      <c r="F602">
        <v>0</v>
      </c>
      <c r="G602">
        <v>0</v>
      </c>
      <c r="H602">
        <v>0</v>
      </c>
      <c r="I602">
        <v>0</v>
      </c>
      <c r="J602">
        <v>0</v>
      </c>
      <c r="K602">
        <v>0</v>
      </c>
      <c r="L602">
        <v>0</v>
      </c>
      <c r="M602">
        <v>0</v>
      </c>
      <c r="N602">
        <v>0</v>
      </c>
      <c r="O602">
        <v>1E-3</v>
      </c>
      <c r="P602">
        <v>6.0000000000000001E-3</v>
      </c>
      <c r="Q602">
        <v>0.03</v>
      </c>
      <c r="R602">
        <v>9.6000000000000002E-2</v>
      </c>
      <c r="S602">
        <v>0.19600000000000001</v>
      </c>
      <c r="T602">
        <v>0.26100000000000001</v>
      </c>
      <c r="U602">
        <v>0.22500000000000001</v>
      </c>
      <c r="V602">
        <v>0.126</v>
      </c>
      <c r="W602">
        <v>4.5999999999999999E-2</v>
      </c>
      <c r="X602">
        <v>1.0999999999999999E-2</v>
      </c>
      <c r="Y602">
        <v>2E-3</v>
      </c>
      <c r="Z602">
        <v>0</v>
      </c>
    </row>
    <row r="603" spans="1:26" x14ac:dyDescent="0.2">
      <c r="B603">
        <v>0</v>
      </c>
      <c r="C603">
        <v>0</v>
      </c>
      <c r="D603">
        <v>0</v>
      </c>
      <c r="E603">
        <v>0</v>
      </c>
      <c r="F603">
        <v>0</v>
      </c>
      <c r="G603">
        <v>0</v>
      </c>
      <c r="H603">
        <v>0</v>
      </c>
      <c r="I603">
        <v>0</v>
      </c>
      <c r="J603">
        <v>0</v>
      </c>
      <c r="K603">
        <v>0</v>
      </c>
      <c r="L603">
        <v>0</v>
      </c>
      <c r="M603">
        <v>0</v>
      </c>
      <c r="N603">
        <v>0</v>
      </c>
      <c r="O603">
        <v>0</v>
      </c>
      <c r="P603">
        <v>1E-3</v>
      </c>
      <c r="Q603">
        <v>8.9999999999999993E-3</v>
      </c>
      <c r="R603">
        <v>3.6999999999999998E-2</v>
      </c>
      <c r="S603">
        <v>0.104</v>
      </c>
      <c r="T603">
        <v>0.19800000000000001</v>
      </c>
      <c r="U603">
        <v>0.252</v>
      </c>
      <c r="V603">
        <v>0.215</v>
      </c>
      <c r="W603">
        <v>0.123</v>
      </c>
      <c r="X603">
        <v>4.7E-2</v>
      </c>
      <c r="Y603">
        <v>1.2E-2</v>
      </c>
      <c r="Z603">
        <v>2E-3</v>
      </c>
    </row>
    <row r="604" spans="1:26" x14ac:dyDescent="0.2">
      <c r="B604">
        <v>0</v>
      </c>
      <c r="C604">
        <v>0</v>
      </c>
      <c r="D604">
        <v>0</v>
      </c>
      <c r="E604">
        <v>0</v>
      </c>
      <c r="F604">
        <v>0</v>
      </c>
      <c r="G604">
        <v>0</v>
      </c>
      <c r="H604">
        <v>0</v>
      </c>
      <c r="I604">
        <v>0</v>
      </c>
      <c r="J604">
        <v>0</v>
      </c>
      <c r="K604">
        <v>0</v>
      </c>
      <c r="L604">
        <v>0</v>
      </c>
      <c r="M604">
        <v>0</v>
      </c>
      <c r="N604">
        <v>0</v>
      </c>
      <c r="O604">
        <v>0</v>
      </c>
      <c r="P604">
        <v>0</v>
      </c>
      <c r="Q604">
        <v>3.0000000000000001E-3</v>
      </c>
      <c r="R604">
        <v>1.4E-2</v>
      </c>
      <c r="S604">
        <v>0.05</v>
      </c>
      <c r="T604">
        <v>0.124</v>
      </c>
      <c r="U604">
        <v>0.21</v>
      </c>
      <c r="V604">
        <v>0.245</v>
      </c>
      <c r="W604">
        <v>0.19500000000000001</v>
      </c>
      <c r="X604">
        <v>0.107</v>
      </c>
      <c r="Y604">
        <v>0.04</v>
      </c>
      <c r="Z604">
        <v>1.2999999999999999E-2</v>
      </c>
    </row>
    <row r="605" spans="1:26" x14ac:dyDescent="0.2">
      <c r="B605">
        <v>0</v>
      </c>
      <c r="C605">
        <v>0</v>
      </c>
      <c r="D605">
        <v>0</v>
      </c>
      <c r="E605">
        <v>0</v>
      </c>
      <c r="F605">
        <v>0</v>
      </c>
      <c r="G605">
        <v>0</v>
      </c>
      <c r="H605">
        <v>0</v>
      </c>
      <c r="I605">
        <v>0</v>
      </c>
      <c r="J605">
        <v>0</v>
      </c>
      <c r="K605">
        <v>0</v>
      </c>
      <c r="L605">
        <v>0</v>
      </c>
      <c r="M605">
        <v>0</v>
      </c>
      <c r="N605">
        <v>0</v>
      </c>
      <c r="O605">
        <v>0</v>
      </c>
      <c r="P605">
        <v>0</v>
      </c>
      <c r="Q605">
        <v>1E-3</v>
      </c>
      <c r="R605">
        <v>6.0000000000000001E-3</v>
      </c>
      <c r="S605">
        <v>2.4E-2</v>
      </c>
      <c r="T605">
        <v>7.1999999999999995E-2</v>
      </c>
      <c r="U605">
        <v>0.152</v>
      </c>
      <c r="V605">
        <v>0.224</v>
      </c>
      <c r="W605">
        <v>0.23200000000000001</v>
      </c>
      <c r="X605">
        <v>0.16700000000000001</v>
      </c>
      <c r="Y605">
        <v>8.5000000000000006E-2</v>
      </c>
      <c r="Z605">
        <v>3.9E-2</v>
      </c>
    </row>
    <row r="606" spans="1:26" x14ac:dyDescent="0.2">
      <c r="B606">
        <v>0</v>
      </c>
      <c r="C606">
        <v>0</v>
      </c>
      <c r="D606">
        <v>0</v>
      </c>
      <c r="E606">
        <v>0</v>
      </c>
      <c r="F606">
        <v>0</v>
      </c>
      <c r="G606">
        <v>0</v>
      </c>
      <c r="H606">
        <v>0</v>
      </c>
      <c r="I606">
        <v>0</v>
      </c>
      <c r="J606">
        <v>0</v>
      </c>
      <c r="K606">
        <v>0</v>
      </c>
      <c r="L606">
        <v>0</v>
      </c>
      <c r="M606">
        <v>0</v>
      </c>
      <c r="N606">
        <v>0</v>
      </c>
      <c r="O606">
        <v>0</v>
      </c>
      <c r="P606">
        <v>0</v>
      </c>
      <c r="Q606">
        <v>1E-3</v>
      </c>
      <c r="R606">
        <v>3.0000000000000001E-3</v>
      </c>
      <c r="S606">
        <v>1.0999999999999999E-2</v>
      </c>
      <c r="T606">
        <v>3.1E-2</v>
      </c>
      <c r="U606">
        <v>6.7000000000000004E-2</v>
      </c>
      <c r="V606">
        <v>0.11899999999999999</v>
      </c>
      <c r="W606">
        <v>0.16800000000000001</v>
      </c>
      <c r="X606">
        <v>0.189</v>
      </c>
      <c r="Y606">
        <v>0.17</v>
      </c>
      <c r="Z606">
        <v>0.24099999999999999</v>
      </c>
    </row>
    <row r="607" spans="1:26" x14ac:dyDescent="0.2">
      <c r="B607" t="s">
        <v>99</v>
      </c>
      <c r="C607" t="s">
        <v>257</v>
      </c>
      <c r="D607" t="s">
        <v>284</v>
      </c>
    </row>
    <row r="608" spans="1:26" x14ac:dyDescent="0.2">
      <c r="B608">
        <v>0.99991160000000001</v>
      </c>
      <c r="C608" s="1">
        <v>8.8399999999999994E-5</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row>
    <row r="609" spans="2:26" x14ac:dyDescent="0.2">
      <c r="B609">
        <v>2.5052249999999998E-3</v>
      </c>
      <c r="C609">
        <v>0.53428723899999997</v>
      </c>
      <c r="D609">
        <v>0.399923215</v>
      </c>
      <c r="E609">
        <v>6.1739832000000001E-2</v>
      </c>
      <c r="F609">
        <v>1.5388019999999999E-3</v>
      </c>
      <c r="G609" s="1">
        <v>5.6799999999999998E-6</v>
      </c>
      <c r="H609" s="1">
        <v>2.9100000000000001E-9</v>
      </c>
      <c r="I609" s="1">
        <v>1.9699999999999999E-13</v>
      </c>
      <c r="J609">
        <v>0</v>
      </c>
      <c r="K609">
        <v>0</v>
      </c>
      <c r="L609">
        <v>0</v>
      </c>
      <c r="M609">
        <v>0</v>
      </c>
      <c r="N609">
        <v>0</v>
      </c>
      <c r="O609">
        <v>0</v>
      </c>
      <c r="P609">
        <v>0</v>
      </c>
      <c r="Q609">
        <v>0</v>
      </c>
      <c r="R609">
        <v>0</v>
      </c>
      <c r="S609">
        <v>0</v>
      </c>
      <c r="T609">
        <v>0</v>
      </c>
      <c r="U609">
        <v>0</v>
      </c>
      <c r="V609">
        <v>0</v>
      </c>
      <c r="W609">
        <v>0</v>
      </c>
      <c r="X609">
        <v>0</v>
      </c>
      <c r="Y609">
        <v>0</v>
      </c>
      <c r="Z609">
        <v>0</v>
      </c>
    </row>
    <row r="610" spans="2:26" x14ac:dyDescent="0.2">
      <c r="B610" s="1">
        <v>7.3599999999999997E-8</v>
      </c>
      <c r="C610">
        <v>8.2582599999999999E-4</v>
      </c>
      <c r="D610">
        <v>1.6545727E-2</v>
      </c>
      <c r="E610">
        <v>0.120766263</v>
      </c>
      <c r="F610">
        <v>0.33113489400000001</v>
      </c>
      <c r="G610">
        <v>0.35422009300000001</v>
      </c>
      <c r="H610">
        <v>0.15004187699999999</v>
      </c>
      <c r="I610">
        <v>2.4863824E-2</v>
      </c>
      <c r="J610">
        <v>1.564913E-3</v>
      </c>
      <c r="K610" s="1">
        <v>3.6199999999999999E-5</v>
      </c>
      <c r="L610" s="1">
        <v>3.0100000000000001E-7</v>
      </c>
      <c r="M610" s="1">
        <v>8.7699999999999997E-10</v>
      </c>
      <c r="N610" s="1">
        <v>8.9600000000000002E-13</v>
      </c>
      <c r="O610">
        <v>0</v>
      </c>
      <c r="P610">
        <v>0</v>
      </c>
      <c r="Q610">
        <v>0</v>
      </c>
      <c r="R610">
        <v>0</v>
      </c>
      <c r="S610">
        <v>0</v>
      </c>
      <c r="T610">
        <v>0</v>
      </c>
      <c r="U610">
        <v>0</v>
      </c>
      <c r="V610">
        <v>0</v>
      </c>
      <c r="W610">
        <v>0</v>
      </c>
      <c r="X610">
        <v>0</v>
      </c>
      <c r="Y610">
        <v>0</v>
      </c>
      <c r="Z610">
        <v>0</v>
      </c>
    </row>
    <row r="611" spans="2:26" x14ac:dyDescent="0.2">
      <c r="B611" s="1">
        <v>4.3599999999999997E-11</v>
      </c>
      <c r="C611" s="1">
        <v>8.2699999999999998E-7</v>
      </c>
      <c r="D611" s="1">
        <v>3.6699999999999998E-5</v>
      </c>
      <c r="E611">
        <v>8.1250699999999996E-4</v>
      </c>
      <c r="F611">
        <v>9.0564170000000006E-3</v>
      </c>
      <c r="G611">
        <v>5.2400189E-2</v>
      </c>
      <c r="H611">
        <v>0.163307487</v>
      </c>
      <c r="I611">
        <v>0.28368353899999998</v>
      </c>
      <c r="J611">
        <v>0.27943508099999997</v>
      </c>
      <c r="K611">
        <v>0.15513316299999999</v>
      </c>
      <c r="L611">
        <v>4.7544266000000002E-2</v>
      </c>
      <c r="M611">
        <v>7.8664029999999992E-3</v>
      </c>
      <c r="N611">
        <v>6.9086199999999999E-4</v>
      </c>
      <c r="O611" s="1">
        <v>3.2299999999999999E-5</v>
      </c>
      <c r="P611" s="1">
        <v>2.7399999999999999E-7</v>
      </c>
      <c r="Q611" s="1">
        <v>2.3000000000000001E-10</v>
      </c>
      <c r="R611" s="1">
        <v>4.3900000000000001E-14</v>
      </c>
      <c r="S611">
        <v>0</v>
      </c>
      <c r="T611">
        <v>0</v>
      </c>
      <c r="U611">
        <v>0</v>
      </c>
      <c r="V611">
        <v>0</v>
      </c>
      <c r="W611">
        <v>0</v>
      </c>
      <c r="X611">
        <v>0</v>
      </c>
      <c r="Y611">
        <v>0</v>
      </c>
      <c r="Z611">
        <v>0</v>
      </c>
    </row>
    <row r="612" spans="2:26" x14ac:dyDescent="0.2">
      <c r="B612" s="1">
        <v>3.07E-13</v>
      </c>
      <c r="C612" s="1">
        <v>4.2599999999999998E-9</v>
      </c>
      <c r="D612" s="1">
        <v>2.16E-7</v>
      </c>
      <c r="E612" s="1">
        <v>6.55E-6</v>
      </c>
      <c r="F612">
        <v>1.18811E-4</v>
      </c>
      <c r="G612">
        <v>1.296239E-3</v>
      </c>
      <c r="H612">
        <v>8.6954379999999998E-3</v>
      </c>
      <c r="I612">
        <v>3.6896696999999999E-2</v>
      </c>
      <c r="J612">
        <v>0.102568596</v>
      </c>
      <c r="K612">
        <v>0.19288670699999999</v>
      </c>
      <c r="L612">
        <v>0.24890990199999999</v>
      </c>
      <c r="M612">
        <v>0.218476057</v>
      </c>
      <c r="N612">
        <v>0.127656989</v>
      </c>
      <c r="O612">
        <v>5.3535570999999997E-2</v>
      </c>
      <c r="P612">
        <v>8.58831E-3</v>
      </c>
      <c r="Q612">
        <v>3.5840999999999998E-4</v>
      </c>
      <c r="R612" s="1">
        <v>5.4700000000000001E-6</v>
      </c>
      <c r="S612" s="1">
        <v>3.0099999999999998E-8</v>
      </c>
      <c r="T612" s="1">
        <v>5.92E-11</v>
      </c>
      <c r="U612" s="1">
        <v>4.1399999999999999E-14</v>
      </c>
      <c r="V612">
        <v>0</v>
      </c>
      <c r="W612">
        <v>0</v>
      </c>
      <c r="X612">
        <v>0</v>
      </c>
      <c r="Y612">
        <v>0</v>
      </c>
      <c r="Z612">
        <v>0</v>
      </c>
    </row>
    <row r="613" spans="2:26" x14ac:dyDescent="0.2">
      <c r="B613" s="1">
        <v>1.1200000000000001E-14</v>
      </c>
      <c r="C613" s="1">
        <v>9.4199999999999995E-11</v>
      </c>
      <c r="D613" s="1">
        <v>4.42E-9</v>
      </c>
      <c r="E613" s="1">
        <v>1.4000000000000001E-7</v>
      </c>
      <c r="F613" s="1">
        <v>2.9100000000000001E-6</v>
      </c>
      <c r="G613" s="1">
        <v>4.07E-5</v>
      </c>
      <c r="H613">
        <v>3.8161599999999999E-4</v>
      </c>
      <c r="I613">
        <v>2.4404090000000002E-3</v>
      </c>
      <c r="J613">
        <v>1.0850744000000001E-2</v>
      </c>
      <c r="K613">
        <v>3.4547330000000001E-2</v>
      </c>
      <c r="L613">
        <v>8.1562906000000004E-2</v>
      </c>
      <c r="M613">
        <v>0.146875019</v>
      </c>
      <c r="N613">
        <v>0.20323131999999999</v>
      </c>
      <c r="O613">
        <v>0.260234558</v>
      </c>
      <c r="P613">
        <v>0.19272434099999999</v>
      </c>
      <c r="Q613">
        <v>5.8124310999999998E-2</v>
      </c>
      <c r="R613">
        <v>8.3931960000000003E-3</v>
      </c>
      <c r="S613">
        <v>5.7202999999999996E-4</v>
      </c>
      <c r="T613" s="1">
        <v>1.8199999999999999E-5</v>
      </c>
      <c r="U613" s="1">
        <v>2.7000000000000001E-7</v>
      </c>
      <c r="V613" s="1">
        <v>1.9000000000000001E-9</v>
      </c>
      <c r="W613">
        <v>0</v>
      </c>
      <c r="X613">
        <v>0</v>
      </c>
      <c r="Y613">
        <v>0</v>
      </c>
      <c r="Z613">
        <v>0</v>
      </c>
    </row>
    <row r="614" spans="2:26" x14ac:dyDescent="0.2">
      <c r="B614" s="1">
        <v>1.19E-15</v>
      </c>
      <c r="C614" s="1">
        <v>6.1299999999999999E-12</v>
      </c>
      <c r="D614" s="1">
        <v>2.4900000000000002E-10</v>
      </c>
      <c r="E614" s="1">
        <v>7.3300000000000001E-9</v>
      </c>
      <c r="F614" s="1">
        <v>1.54E-7</v>
      </c>
      <c r="G614" s="1">
        <v>2.3099999999999999E-6</v>
      </c>
      <c r="H614" s="1">
        <v>2.4899999999999999E-5</v>
      </c>
      <c r="I614">
        <v>1.94666E-4</v>
      </c>
      <c r="J614">
        <v>1.107713E-3</v>
      </c>
      <c r="K614">
        <v>4.6676230000000001E-3</v>
      </c>
      <c r="L614">
        <v>1.4910713000000001E-2</v>
      </c>
      <c r="M614">
        <v>3.7291510999999999E-2</v>
      </c>
      <c r="N614">
        <v>7.5513136999999994E-2</v>
      </c>
      <c r="O614">
        <v>0.16620433500000001</v>
      </c>
      <c r="P614">
        <v>0.27927927899999999</v>
      </c>
      <c r="Q614">
        <v>0.24938904100000001</v>
      </c>
      <c r="R614">
        <v>0.12816127399999999</v>
      </c>
      <c r="S614">
        <v>3.6858009999999997E-2</v>
      </c>
      <c r="T614">
        <v>5.8585879999999996E-3</v>
      </c>
      <c r="U614">
        <v>5.1172999999999995E-4</v>
      </c>
      <c r="V614" s="1">
        <v>2.5000000000000001E-5</v>
      </c>
      <c r="W614" s="1">
        <v>1.8700000000000001E-11</v>
      </c>
      <c r="X614" s="1">
        <v>3.5000000000000002E-14</v>
      </c>
      <c r="Y614">
        <v>0</v>
      </c>
      <c r="Z614">
        <v>0</v>
      </c>
    </row>
    <row r="615" spans="2:26" x14ac:dyDescent="0.2">
      <c r="B615" s="1">
        <v>2.7100000000000002E-16</v>
      </c>
      <c r="C615" s="1">
        <v>8.7400000000000001E-13</v>
      </c>
      <c r="D615" s="1">
        <v>3E-11</v>
      </c>
      <c r="E615" s="1">
        <v>7.9199999999999995E-10</v>
      </c>
      <c r="F615" s="1">
        <v>1.5700000000000002E-8</v>
      </c>
      <c r="G615" s="1">
        <v>2.35E-7</v>
      </c>
      <c r="H615" s="1">
        <v>2.6400000000000001E-6</v>
      </c>
      <c r="I615" s="1">
        <v>2.2500000000000001E-5</v>
      </c>
      <c r="J615">
        <v>1.4589E-4</v>
      </c>
      <c r="K615">
        <v>7.2251300000000004E-4</v>
      </c>
      <c r="L615">
        <v>2.770738E-3</v>
      </c>
      <c r="M615">
        <v>8.3903220000000004E-3</v>
      </c>
      <c r="N615">
        <v>2.0644401999999999E-2</v>
      </c>
      <c r="O615">
        <v>5.8544250999999999E-2</v>
      </c>
      <c r="P615">
        <v>0.146928956</v>
      </c>
      <c r="Q615">
        <v>0.23516876</v>
      </c>
      <c r="R615">
        <v>0.25362597999999997</v>
      </c>
      <c r="S615">
        <v>0.174960068</v>
      </c>
      <c r="T615">
        <v>7.5041928999999993E-2</v>
      </c>
      <c r="U615">
        <v>1.9781021999999999E-2</v>
      </c>
      <c r="V615">
        <v>3.2496489999999999E-3</v>
      </c>
      <c r="W615" s="1">
        <v>8.5199999999999995E-8</v>
      </c>
      <c r="X615" s="1">
        <v>8.2099999999999996E-10</v>
      </c>
      <c r="Y615" s="1">
        <v>4.2300000000000004E-12</v>
      </c>
      <c r="Z615">
        <v>0</v>
      </c>
    </row>
    <row r="616" spans="2:26" x14ac:dyDescent="0.2">
      <c r="B616" s="1">
        <v>1.09E-16</v>
      </c>
      <c r="C616" s="1">
        <v>2.2099999999999999E-13</v>
      </c>
      <c r="D616" s="1">
        <v>6.4799999999999999E-12</v>
      </c>
      <c r="E616" s="1">
        <v>1.5199999999999999E-10</v>
      </c>
      <c r="F616" s="1">
        <v>2.7700000000000002E-9</v>
      </c>
      <c r="G616" s="1">
        <v>3.9699999999999998E-8</v>
      </c>
      <c r="H616" s="1">
        <v>4.4200000000000001E-7</v>
      </c>
      <c r="I616" s="1">
        <v>3.8700000000000002E-6</v>
      </c>
      <c r="J616" s="1">
        <v>2.6599999999999999E-5</v>
      </c>
      <c r="K616">
        <v>1.4379E-4</v>
      </c>
      <c r="L616">
        <v>6.1676500000000002E-4</v>
      </c>
      <c r="M616">
        <v>2.119279E-3</v>
      </c>
      <c r="N616">
        <v>5.9327529999999998E-3</v>
      </c>
      <c r="O616">
        <v>1.9500586E-2</v>
      </c>
      <c r="P616">
        <v>5.9394347E-2</v>
      </c>
      <c r="Q616">
        <v>0.125971312</v>
      </c>
      <c r="R616">
        <v>0.204754511</v>
      </c>
      <c r="S616">
        <v>0.24118636900000001</v>
      </c>
      <c r="T616">
        <v>0.19543743999999999</v>
      </c>
      <c r="U616">
        <v>0.106051772</v>
      </c>
      <c r="V616">
        <v>3.8845033000000001E-2</v>
      </c>
      <c r="W616" s="1">
        <v>1.47E-5</v>
      </c>
      <c r="X616" s="1">
        <v>4.34E-7</v>
      </c>
      <c r="Y616" s="1">
        <v>7.4999999999999993E-9</v>
      </c>
      <c r="Z616" s="1">
        <v>1.42E-11</v>
      </c>
    </row>
    <row r="617" spans="2:26" x14ac:dyDescent="0.2">
      <c r="B617" s="1">
        <v>5.8200000000000002E-17</v>
      </c>
      <c r="C617" s="1">
        <v>9.0199999999999997E-14</v>
      </c>
      <c r="D617" s="1">
        <v>2.2699999999999998E-12</v>
      </c>
      <c r="E617" s="1">
        <v>4.7099999999999998E-11</v>
      </c>
      <c r="F617" s="1">
        <v>7.8899999999999996E-10</v>
      </c>
      <c r="G617" s="1">
        <v>1.0600000000000001E-8</v>
      </c>
      <c r="H617" s="1">
        <v>1.14E-7</v>
      </c>
      <c r="I617" s="1">
        <v>9.8599999999999996E-7</v>
      </c>
      <c r="J617" s="1">
        <v>6.9099999999999999E-6</v>
      </c>
      <c r="K617" s="1">
        <v>3.8999999999999999E-5</v>
      </c>
      <c r="L617">
        <v>1.7848300000000001E-4</v>
      </c>
      <c r="M617">
        <v>6.6536299999999998E-4</v>
      </c>
      <c r="N617">
        <v>2.0401339999999999E-3</v>
      </c>
      <c r="O617">
        <v>7.471086E-3</v>
      </c>
      <c r="P617">
        <v>2.5668481E-2</v>
      </c>
      <c r="Q617">
        <v>6.2054837000000002E-2</v>
      </c>
      <c r="R617">
        <v>0.122843401</v>
      </c>
      <c r="S617">
        <v>0.19650889299999999</v>
      </c>
      <c r="T617">
        <v>0.238902166</v>
      </c>
      <c r="U617">
        <v>0.210158663</v>
      </c>
      <c r="V617">
        <v>0.133032704</v>
      </c>
      <c r="W617">
        <v>4.01548E-4</v>
      </c>
      <c r="X617" s="1">
        <v>2.6100000000000001E-5</v>
      </c>
      <c r="Y617" s="1">
        <v>1.08E-6</v>
      </c>
      <c r="Z617" s="1">
        <v>7.0699999999999998E-9</v>
      </c>
    </row>
    <row r="618" spans="2:26" x14ac:dyDescent="0.2">
      <c r="B618" s="1">
        <v>6.8599999999999996E-17</v>
      </c>
      <c r="C618" s="1">
        <v>5.58E-14</v>
      </c>
      <c r="D618" s="1">
        <v>1.2200000000000001E-12</v>
      </c>
      <c r="E618" s="1">
        <v>2.2600000000000001E-11</v>
      </c>
      <c r="F618" s="1">
        <v>3.45E-10</v>
      </c>
      <c r="G618" s="1">
        <v>4.32E-9</v>
      </c>
      <c r="H618" s="1">
        <v>4.4400000000000001E-8</v>
      </c>
      <c r="I618" s="1">
        <v>3.7300000000000002E-7</v>
      </c>
      <c r="J618" s="1">
        <v>2.6000000000000001E-6</v>
      </c>
      <c r="K618" s="1">
        <v>1.49E-5</v>
      </c>
      <c r="L618" s="1">
        <v>7.0199999999999999E-5</v>
      </c>
      <c r="M618">
        <v>2.7496200000000001E-4</v>
      </c>
      <c r="N618">
        <v>8.9633599999999996E-4</v>
      </c>
      <c r="O618">
        <v>3.5587459999999998E-3</v>
      </c>
      <c r="P618">
        <v>1.3436721E-2</v>
      </c>
      <c r="Q618">
        <v>3.5171442999999997E-2</v>
      </c>
      <c r="R618">
        <v>7.5684301999999995E-2</v>
      </c>
      <c r="S618">
        <v>0.14053121299999999</v>
      </c>
      <c r="T618">
        <v>0.21773793899999999</v>
      </c>
      <c r="U618">
        <v>0.26406226300000002</v>
      </c>
      <c r="V618">
        <v>0.24422033000000001</v>
      </c>
      <c r="W618">
        <v>3.8537039999999999E-3</v>
      </c>
      <c r="X618">
        <v>4.4822200000000002E-4</v>
      </c>
      <c r="Y618" s="1">
        <v>3.5099999999999999E-5</v>
      </c>
      <c r="Z618" s="1">
        <v>5.7700000000000004E-7</v>
      </c>
    </row>
    <row r="619" spans="2:26" x14ac:dyDescent="0.2">
      <c r="B619" s="1">
        <v>8.8400000000000004E-17</v>
      </c>
      <c r="C619" s="1">
        <v>4.7999999999999997E-14</v>
      </c>
      <c r="D619" s="1">
        <v>9.2100000000000001E-13</v>
      </c>
      <c r="E619" s="1">
        <v>1.54E-11</v>
      </c>
      <c r="F619" s="1">
        <v>2.1400000000000001E-10</v>
      </c>
      <c r="G619" s="1">
        <v>2.4899999999999999E-9</v>
      </c>
      <c r="H619" s="1">
        <v>2.4200000000000002E-8</v>
      </c>
      <c r="I619" s="1">
        <v>1.97E-7</v>
      </c>
      <c r="J619" s="1">
        <v>1.3400000000000001E-6</v>
      </c>
      <c r="K619" s="1">
        <v>7.6299999999999998E-6</v>
      </c>
      <c r="L619" s="1">
        <v>3.65E-5</v>
      </c>
      <c r="M619">
        <v>1.46448E-4</v>
      </c>
      <c r="N619">
        <v>4.95971E-4</v>
      </c>
      <c r="O619">
        <v>2.0844990000000001E-3</v>
      </c>
      <c r="P619">
        <v>8.4851979999999994E-3</v>
      </c>
      <c r="Q619">
        <v>2.3715825999999999E-2</v>
      </c>
      <c r="R619">
        <v>5.3255123000000001E-2</v>
      </c>
      <c r="S619">
        <v>0.104629979</v>
      </c>
      <c r="T619">
        <v>0.18355708700000001</v>
      </c>
      <c r="U619">
        <v>0.27264300400000002</v>
      </c>
      <c r="V619">
        <v>0.32722282600000002</v>
      </c>
      <c r="W619">
        <v>1.9707504000000001E-2</v>
      </c>
      <c r="X619">
        <v>3.5414190000000001E-3</v>
      </c>
      <c r="Y619">
        <v>4.5447700000000001E-4</v>
      </c>
      <c r="Z619" s="1">
        <v>1.5E-5</v>
      </c>
    </row>
    <row r="620" spans="2:26" x14ac:dyDescent="0.2">
      <c r="B620" s="1">
        <v>1.1600000000000001E-16</v>
      </c>
      <c r="C620" s="1">
        <v>5.0700000000000001E-14</v>
      </c>
      <c r="D620" s="1">
        <v>8.6600000000000005E-13</v>
      </c>
      <c r="E620" s="1">
        <v>1.31E-11</v>
      </c>
      <c r="F620" s="1">
        <v>1.6699999999999999E-10</v>
      </c>
      <c r="G620" s="1">
        <v>1.81E-9</v>
      </c>
      <c r="H620" s="1">
        <v>1.66E-8</v>
      </c>
      <c r="I620" s="1">
        <v>1.3E-7</v>
      </c>
      <c r="J620" s="1">
        <v>8.5300000000000003E-7</v>
      </c>
      <c r="K620" s="1">
        <v>4.7999999999999998E-6</v>
      </c>
      <c r="L620" s="1">
        <v>2.2900000000000001E-5</v>
      </c>
      <c r="M620" s="1">
        <v>9.2600000000000001E-5</v>
      </c>
      <c r="N620">
        <v>3.2028299999999998E-4</v>
      </c>
      <c r="O620">
        <v>1.397353E-3</v>
      </c>
      <c r="P620">
        <v>6.018542E-3</v>
      </c>
      <c r="Q620">
        <v>1.7806674000000002E-2</v>
      </c>
      <c r="R620">
        <v>4.1414035000000002E-2</v>
      </c>
      <c r="S620">
        <v>8.2790938999999994E-2</v>
      </c>
      <c r="T620">
        <v>0.15212819599999999</v>
      </c>
      <c r="U620">
        <v>0.25308022099999999</v>
      </c>
      <c r="V620">
        <v>0.360409176</v>
      </c>
      <c r="W620">
        <v>6.4976313999999993E-2</v>
      </c>
      <c r="X620">
        <v>1.6294321E-2</v>
      </c>
      <c r="Y620">
        <v>3.068618E-3</v>
      </c>
      <c r="Z620">
        <v>1.74036E-4</v>
      </c>
    </row>
    <row r="621" spans="2:26" x14ac:dyDescent="0.2">
      <c r="B621" s="1">
        <v>1.4499999999999999E-16</v>
      </c>
      <c r="C621" s="1">
        <v>5.8199999999999994E-14</v>
      </c>
      <c r="D621" s="1">
        <v>8.9300000000000003E-13</v>
      </c>
      <c r="E621" s="1">
        <v>1.23E-11</v>
      </c>
      <c r="F621" s="1">
        <v>1.4499999999999999E-10</v>
      </c>
      <c r="G621" s="1">
        <v>1.4700000000000001E-9</v>
      </c>
      <c r="H621" s="1">
        <v>1.27E-8</v>
      </c>
      <c r="I621" s="1">
        <v>9.4899999999999996E-8</v>
      </c>
      <c r="J621" s="1">
        <v>6.0299999999999999E-7</v>
      </c>
      <c r="K621" s="1">
        <v>3.3100000000000001E-6</v>
      </c>
      <c r="L621" s="1">
        <v>1.56E-5</v>
      </c>
      <c r="M621" s="1">
        <v>6.3E-5</v>
      </c>
      <c r="N621">
        <v>2.19607E-4</v>
      </c>
      <c r="O621">
        <v>9.7921100000000001E-4</v>
      </c>
      <c r="P621">
        <v>4.3880630000000002E-3</v>
      </c>
      <c r="Q621">
        <v>1.3600209E-2</v>
      </c>
      <c r="R621">
        <v>3.2737971999999997E-2</v>
      </c>
      <c r="S621">
        <v>6.6053133E-2</v>
      </c>
      <c r="T621">
        <v>0.12204182600000001</v>
      </c>
      <c r="U621">
        <v>0.21315298099999999</v>
      </c>
      <c r="V621">
        <v>0.33552382600000002</v>
      </c>
      <c r="W621">
        <v>0.14923299600000001</v>
      </c>
      <c r="X621">
        <v>4.8517341999999998E-2</v>
      </c>
      <c r="Y621">
        <v>1.2385901E-2</v>
      </c>
      <c r="Z621">
        <v>1.0843820000000001E-3</v>
      </c>
    </row>
    <row r="622" spans="2:26" x14ac:dyDescent="0.2">
      <c r="B622" s="1">
        <v>1.61E-16</v>
      </c>
      <c r="C622" s="1">
        <v>6.7099999999999999E-14</v>
      </c>
      <c r="D622" s="1">
        <v>9.3000000000000008E-13</v>
      </c>
      <c r="E622" s="1">
        <v>1.1700000000000001E-11</v>
      </c>
      <c r="F622" s="1">
        <v>1.2899999999999999E-10</v>
      </c>
      <c r="G622" s="1">
        <v>1.2199999999999999E-9</v>
      </c>
      <c r="H622" s="1">
        <v>9.9800000000000007E-9</v>
      </c>
      <c r="I622" s="1">
        <v>7.0799999999999999E-8</v>
      </c>
      <c r="J622" s="1">
        <v>4.3500000000000002E-7</v>
      </c>
      <c r="K622" s="1">
        <v>2.3199999999999998E-6</v>
      </c>
      <c r="L622" s="1">
        <v>1.0699999999999999E-5</v>
      </c>
      <c r="M622" s="1">
        <v>4.3000000000000002E-5</v>
      </c>
      <c r="N622">
        <v>1.4974199999999999E-4</v>
      </c>
      <c r="O622">
        <v>6.7463799999999997E-4</v>
      </c>
      <c r="P622">
        <v>3.1000279999999999E-3</v>
      </c>
      <c r="Q622">
        <v>9.9529839999999998E-3</v>
      </c>
      <c r="R622">
        <v>2.4732098000000001E-2</v>
      </c>
      <c r="S622">
        <v>5.0485441999999998E-2</v>
      </c>
      <c r="T622">
        <v>9.2503063999999996E-2</v>
      </c>
      <c r="U622">
        <v>0.162799267</v>
      </c>
      <c r="V622">
        <v>0.26775729999999998</v>
      </c>
      <c r="W622">
        <v>0.25092414200000002</v>
      </c>
      <c r="X622">
        <v>0.10014638100000001</v>
      </c>
      <c r="Y622">
        <v>3.2648451000000002E-2</v>
      </c>
      <c r="Z622">
        <v>4.0699610000000004E-3</v>
      </c>
    </row>
    <row r="623" spans="2:26" x14ac:dyDescent="0.2">
      <c r="B623" s="1">
        <v>3.2300000000000002E-16</v>
      </c>
      <c r="C623" s="1">
        <v>7.5899999999999997E-14</v>
      </c>
      <c r="D623" s="1">
        <v>9.5900000000000005E-13</v>
      </c>
      <c r="E623" s="1">
        <v>1.1200000000000001E-11</v>
      </c>
      <c r="F623" s="1">
        <v>1.1399999999999999E-10</v>
      </c>
      <c r="G623" s="1">
        <v>1.02E-9</v>
      </c>
      <c r="H623" s="1">
        <v>7.8700000000000003E-9</v>
      </c>
      <c r="I623" s="1">
        <v>5.3300000000000001E-8</v>
      </c>
      <c r="J623" s="1">
        <v>3.15E-7</v>
      </c>
      <c r="K623" s="1">
        <v>1.6300000000000001E-6</v>
      </c>
      <c r="L623" s="1">
        <v>7.3699999999999997E-6</v>
      </c>
      <c r="M623" s="1">
        <v>2.9099999999999999E-5</v>
      </c>
      <c r="N623">
        <v>1.00803E-4</v>
      </c>
      <c r="O623">
        <v>4.5477000000000001E-4</v>
      </c>
      <c r="P623">
        <v>2.1194040000000001E-3</v>
      </c>
      <c r="Q623">
        <v>6.9747259999999997E-3</v>
      </c>
      <c r="R623">
        <v>1.7801753E-2</v>
      </c>
      <c r="S623">
        <v>3.6867265000000003E-2</v>
      </c>
      <c r="T623">
        <v>6.6992301000000004E-2</v>
      </c>
      <c r="U623">
        <v>0.11637323099999999</v>
      </c>
      <c r="V623">
        <v>0.191698127</v>
      </c>
      <c r="W623">
        <v>0.33202110299999998</v>
      </c>
      <c r="X623">
        <v>0.15610960800000001</v>
      </c>
      <c r="Y623">
        <v>6.2078413999999998E-2</v>
      </c>
      <c r="Z623">
        <v>1.0370015999999999E-2</v>
      </c>
    </row>
    <row r="624" spans="2:26" x14ac:dyDescent="0.2">
      <c r="B624" s="1">
        <v>3.0400000000000001E-16</v>
      </c>
      <c r="C624" s="1">
        <v>8.6499999999999997E-14</v>
      </c>
      <c r="D624" s="1">
        <v>9.9999999999999998E-13</v>
      </c>
      <c r="E624" s="1">
        <v>1.0899999999999999E-11</v>
      </c>
      <c r="F624" s="1">
        <v>1.04E-10</v>
      </c>
      <c r="G624" s="1">
        <v>8.67E-10</v>
      </c>
      <c r="H624" s="1">
        <v>6.3799999999999999E-9</v>
      </c>
      <c r="I624" s="1">
        <v>4.1299999999999999E-8</v>
      </c>
      <c r="J624" s="1">
        <v>2.35E-7</v>
      </c>
      <c r="K624" s="1">
        <v>1.17E-6</v>
      </c>
      <c r="L624" s="1">
        <v>5.2100000000000001E-6</v>
      </c>
      <c r="M624" s="1">
        <v>2.0100000000000001E-5</v>
      </c>
      <c r="N624" s="1">
        <v>6.8899999999999994E-5</v>
      </c>
      <c r="O624">
        <v>3.0947599999999999E-4</v>
      </c>
      <c r="P624">
        <v>1.4497570000000001E-3</v>
      </c>
      <c r="Q624">
        <v>4.8464299999999997E-3</v>
      </c>
      <c r="R624">
        <v>1.2628723E-2</v>
      </c>
      <c r="S624">
        <v>2.6546414000000001E-2</v>
      </c>
      <c r="T624">
        <v>4.8046040999999998E-2</v>
      </c>
      <c r="U624">
        <v>8.1842153000000001E-2</v>
      </c>
      <c r="V624">
        <v>0.131223121</v>
      </c>
      <c r="W624">
        <v>0.37633534800000001</v>
      </c>
      <c r="X624">
        <v>0.2019657</v>
      </c>
      <c r="Y624">
        <v>9.45217E-2</v>
      </c>
      <c r="Z624">
        <v>2.0189400999999999E-2</v>
      </c>
    </row>
    <row r="625" spans="2:26" x14ac:dyDescent="0.2">
      <c r="B625" s="1">
        <v>4.2000000000000002E-16</v>
      </c>
      <c r="C625" s="1">
        <v>1.01E-13</v>
      </c>
      <c r="D625" s="1">
        <v>1.08E-12</v>
      </c>
      <c r="E625" s="1">
        <v>1.0899999999999999E-11</v>
      </c>
      <c r="F625" s="1">
        <v>9.8299999999999999E-11</v>
      </c>
      <c r="G625" s="1">
        <v>7.7600000000000001E-10</v>
      </c>
      <c r="H625" s="1">
        <v>5.4299999999999997E-9</v>
      </c>
      <c r="I625" s="1">
        <v>3.3600000000000003E-8</v>
      </c>
      <c r="J625" s="1">
        <v>1.8400000000000001E-7</v>
      </c>
      <c r="K625" s="1">
        <v>8.9199999999999999E-7</v>
      </c>
      <c r="L625" s="1">
        <v>3.8399999999999997E-6</v>
      </c>
      <c r="M625" s="1">
        <v>1.4600000000000001E-5</v>
      </c>
      <c r="N625" s="1">
        <v>4.9200000000000003E-5</v>
      </c>
      <c r="O625">
        <v>2.1875099999999999E-4</v>
      </c>
      <c r="P625">
        <v>1.0230899999999999E-3</v>
      </c>
      <c r="Q625">
        <v>3.448521E-3</v>
      </c>
      <c r="R625">
        <v>9.1188280000000007E-3</v>
      </c>
      <c r="S625">
        <v>1.9425617999999999E-2</v>
      </c>
      <c r="T625">
        <v>3.5157332999999999E-2</v>
      </c>
      <c r="U625">
        <v>5.8785450000000003E-2</v>
      </c>
      <c r="V625">
        <v>9.0268917000000004E-2</v>
      </c>
      <c r="W625">
        <v>0.39087331600000003</v>
      </c>
      <c r="X625">
        <v>0.23360726000000001</v>
      </c>
      <c r="Y625">
        <v>0.12508218199999999</v>
      </c>
      <c r="Z625">
        <v>3.2921987999999999E-2</v>
      </c>
    </row>
    <row r="626" spans="2:26" x14ac:dyDescent="0.2">
      <c r="B626" s="1">
        <v>6.4400000000000001E-16</v>
      </c>
      <c r="C626" s="1">
        <v>1.2300000000000001E-13</v>
      </c>
      <c r="D626" s="1">
        <v>1.2200000000000001E-12</v>
      </c>
      <c r="E626" s="1">
        <v>1.1600000000000001E-11</v>
      </c>
      <c r="F626" s="1">
        <v>9.7800000000000001E-11</v>
      </c>
      <c r="G626" s="1">
        <v>7.3400000000000005E-10</v>
      </c>
      <c r="H626" s="1">
        <v>4.9E-9</v>
      </c>
      <c r="I626" s="1">
        <v>2.9000000000000002E-8</v>
      </c>
      <c r="J626" s="1">
        <v>1.5300000000000001E-7</v>
      </c>
      <c r="K626" s="1">
        <v>7.1800000000000005E-7</v>
      </c>
      <c r="L626" s="1">
        <v>3.01E-6</v>
      </c>
      <c r="M626" s="1">
        <v>1.1199999999999999E-5</v>
      </c>
      <c r="N626" s="1">
        <v>3.7100000000000001E-5</v>
      </c>
      <c r="O626">
        <v>1.6276999999999999E-4</v>
      </c>
      <c r="P626">
        <v>7.5607199999999999E-4</v>
      </c>
      <c r="Q626">
        <v>2.5539289999999999E-3</v>
      </c>
      <c r="R626">
        <v>6.8159170000000003E-3</v>
      </c>
      <c r="S626">
        <v>1.4675336000000001E-2</v>
      </c>
      <c r="T626">
        <v>2.6620558999999999E-2</v>
      </c>
      <c r="U626">
        <v>4.3858688999999999E-2</v>
      </c>
      <c r="V626">
        <v>6.4081199000000005E-2</v>
      </c>
      <c r="W626">
        <v>0.3878605</v>
      </c>
      <c r="X626">
        <v>0.25319079300000003</v>
      </c>
      <c r="Y626">
        <v>0.151631719</v>
      </c>
      <c r="Z626">
        <v>4.7740349000000001E-2</v>
      </c>
    </row>
    <row r="627" spans="2:26" x14ac:dyDescent="0.2">
      <c r="B627" s="1">
        <v>9.5499999999999994E-16</v>
      </c>
      <c r="C627" s="1">
        <v>1.5599999999999999E-13</v>
      </c>
      <c r="D627" s="1">
        <v>1.4399999999999999E-12</v>
      </c>
      <c r="E627" s="1">
        <v>1.29E-11</v>
      </c>
      <c r="F627" s="1">
        <v>1.0300000000000001E-10</v>
      </c>
      <c r="G627" s="1">
        <v>7.3700000000000004E-10</v>
      </c>
      <c r="H627" s="1">
        <v>4.6699999999999998E-9</v>
      </c>
      <c r="I627" s="1">
        <v>2.66E-8</v>
      </c>
      <c r="J627" s="1">
        <v>1.35E-7</v>
      </c>
      <c r="K627" s="1">
        <v>6.1600000000000001E-7</v>
      </c>
      <c r="L627" s="1">
        <v>2.4899999999999999E-6</v>
      </c>
      <c r="M627" s="1">
        <v>9.0699999999999996E-6</v>
      </c>
      <c r="N627" s="1">
        <v>2.9600000000000001E-5</v>
      </c>
      <c r="O627">
        <v>1.2769300000000001E-4</v>
      </c>
      <c r="P627">
        <v>5.8675999999999997E-4</v>
      </c>
      <c r="Q627">
        <v>1.976911E-3</v>
      </c>
      <c r="R627">
        <v>5.3000770000000003E-3</v>
      </c>
      <c r="S627">
        <v>1.1498489000000001E-2</v>
      </c>
      <c r="T627">
        <v>2.0920992999999999E-2</v>
      </c>
      <c r="U627">
        <v>3.4098761999999998E-2</v>
      </c>
      <c r="V627">
        <v>4.7404615999999997E-2</v>
      </c>
      <c r="W627">
        <v>0.37626103</v>
      </c>
      <c r="X627">
        <v>0.26416279300000001</v>
      </c>
      <c r="Y627">
        <v>0.17374879100000001</v>
      </c>
      <c r="Z627">
        <v>6.3871179E-2</v>
      </c>
    </row>
    <row r="628" spans="2:26" x14ac:dyDescent="0.2">
      <c r="B628" s="1">
        <v>1.4500000000000001E-15</v>
      </c>
      <c r="C628" s="1">
        <v>2.0500000000000001E-13</v>
      </c>
      <c r="D628" s="1">
        <v>1.76E-12</v>
      </c>
      <c r="E628" s="1">
        <v>1.4900000000000002E-11</v>
      </c>
      <c r="F628" s="1">
        <v>1.13E-10</v>
      </c>
      <c r="G628" s="1">
        <v>7.6700000000000004E-10</v>
      </c>
      <c r="H628" s="1">
        <v>4.6699999999999998E-9</v>
      </c>
      <c r="I628" s="1">
        <v>2.5600000000000001E-8</v>
      </c>
      <c r="J628" s="1">
        <v>1.2499999999999999E-7</v>
      </c>
      <c r="K628" s="1">
        <v>5.51E-7</v>
      </c>
      <c r="L628" s="1">
        <v>2.1799999999999999E-6</v>
      </c>
      <c r="M628" s="1">
        <v>7.7700000000000001E-6</v>
      </c>
      <c r="N628" s="1">
        <v>2.48E-5</v>
      </c>
      <c r="O628">
        <v>1.0521799999999999E-4</v>
      </c>
      <c r="P628">
        <v>4.7692900000000001E-4</v>
      </c>
      <c r="Q628">
        <v>1.5966699999999999E-3</v>
      </c>
      <c r="R628">
        <v>4.2828179999999999E-3</v>
      </c>
      <c r="S628">
        <v>9.3339189999999995E-3</v>
      </c>
      <c r="T628">
        <v>1.7028656E-2</v>
      </c>
      <c r="U628">
        <v>2.7544157999999999E-2</v>
      </c>
      <c r="V628">
        <v>3.6570206000000001E-2</v>
      </c>
      <c r="W628">
        <v>0.36123620000000001</v>
      </c>
      <c r="X628">
        <v>0.26939291300000001</v>
      </c>
      <c r="Y628">
        <v>0.19173338600000001</v>
      </c>
      <c r="Z628">
        <v>8.0663495000000002E-2</v>
      </c>
    </row>
    <row r="629" spans="2:26" x14ac:dyDescent="0.2">
      <c r="B629" t="s">
        <v>99</v>
      </c>
    </row>
    <row r="630" spans="2:26" x14ac:dyDescent="0.2">
      <c r="B630" t="s">
        <v>99</v>
      </c>
    </row>
    <row r="631" spans="2:26" x14ac:dyDescent="0.2">
      <c r="B631" t="s">
        <v>101</v>
      </c>
    </row>
    <row r="632" spans="2:26" x14ac:dyDescent="0.2">
      <c r="B632" t="s">
        <v>101</v>
      </c>
    </row>
    <row r="633" spans="2:26" x14ac:dyDescent="0.2">
      <c r="B633" t="s">
        <v>112</v>
      </c>
      <c r="C633" t="s">
        <v>285</v>
      </c>
      <c r="D633" t="s">
        <v>286</v>
      </c>
      <c r="E633" t="s">
        <v>102</v>
      </c>
      <c r="F633" t="s">
        <v>114</v>
      </c>
    </row>
    <row r="634" spans="2:26" x14ac:dyDescent="0.2">
      <c r="B634" t="s">
        <v>101</v>
      </c>
    </row>
    <row r="635" spans="2:26" x14ac:dyDescent="0.2">
      <c r="B635" t="s">
        <v>101</v>
      </c>
    </row>
    <row r="636" spans="2:26" x14ac:dyDescent="0.2">
      <c r="B636" t="s">
        <v>99</v>
      </c>
    </row>
    <row r="637" spans="2:26" x14ac:dyDescent="0.2">
      <c r="B637" t="s">
        <v>99</v>
      </c>
    </row>
    <row r="638" spans="2:26" x14ac:dyDescent="0.2">
      <c r="B638" t="s">
        <v>100</v>
      </c>
    </row>
    <row r="639" spans="2:26" x14ac:dyDescent="0.2">
      <c r="B639" t="s">
        <v>287</v>
      </c>
      <c r="C639" t="s">
        <v>106</v>
      </c>
      <c r="D639" t="s">
        <v>288</v>
      </c>
      <c r="E639" t="s">
        <v>289</v>
      </c>
    </row>
    <row r="640" spans="2:26" x14ac:dyDescent="0.2">
      <c r="B640" t="s">
        <v>100</v>
      </c>
    </row>
    <row r="641" spans="1:20" x14ac:dyDescent="0.2">
      <c r="B641">
        <v>19</v>
      </c>
    </row>
    <row r="642" spans="1:20" x14ac:dyDescent="0.2">
      <c r="B642" t="s">
        <v>100</v>
      </c>
    </row>
    <row r="643" spans="1:20" x14ac:dyDescent="0.2">
      <c r="B643" t="s">
        <v>290</v>
      </c>
      <c r="C643" t="s">
        <v>106</v>
      </c>
      <c r="D643" t="s">
        <v>288</v>
      </c>
      <c r="E643" t="s">
        <v>229</v>
      </c>
    </row>
    <row r="644" spans="1:20" x14ac:dyDescent="0.2">
      <c r="B644" t="s">
        <v>100</v>
      </c>
    </row>
    <row r="645" spans="1:20" x14ac:dyDescent="0.2">
      <c r="A645" s="3">
        <f>COUNT(B645:BT645)</f>
        <v>19</v>
      </c>
      <c r="B645">
        <v>1994</v>
      </c>
      <c r="C645">
        <v>1996</v>
      </c>
      <c r="D645">
        <v>1997</v>
      </c>
      <c r="E645">
        <v>1999</v>
      </c>
      <c r="F645">
        <v>2000</v>
      </c>
      <c r="G645">
        <v>2002</v>
      </c>
      <c r="H645">
        <v>2004</v>
      </c>
      <c r="I645">
        <v>2006</v>
      </c>
      <c r="J645">
        <v>2007</v>
      </c>
      <c r="K645">
        <v>2008</v>
      </c>
      <c r="L645">
        <v>2009</v>
      </c>
      <c r="M645">
        <v>2010</v>
      </c>
      <c r="N645">
        <v>2012</v>
      </c>
      <c r="O645">
        <v>2014</v>
      </c>
      <c r="P645">
        <v>2016</v>
      </c>
      <c r="Q645">
        <v>2018</v>
      </c>
      <c r="R645">
        <v>2020</v>
      </c>
      <c r="S645">
        <v>2022</v>
      </c>
      <c r="T645">
        <v>2024</v>
      </c>
    </row>
    <row r="646" spans="1:20" x14ac:dyDescent="0.2">
      <c r="B646" t="s">
        <v>100</v>
      </c>
    </row>
    <row r="647" spans="1:20" x14ac:dyDescent="0.2">
      <c r="B647" t="s">
        <v>291</v>
      </c>
      <c r="C647" t="s">
        <v>292</v>
      </c>
      <c r="D647" t="s">
        <v>293</v>
      </c>
    </row>
    <row r="648" spans="1:20" x14ac:dyDescent="0.2">
      <c r="B648" t="s">
        <v>100</v>
      </c>
    </row>
    <row r="649" spans="1:20" x14ac:dyDescent="0.2">
      <c r="A649" s="3">
        <f>COUNT(B649:BT649)</f>
        <v>19</v>
      </c>
      <c r="B649">
        <f>'pm_24.dat '!B385</f>
        <v>3628.9292999999998</v>
      </c>
      <c r="C649">
        <f>'pm_24.dat '!C385</f>
        <v>2944.77187</v>
      </c>
      <c r="D649">
        <f>'pm_24.dat '!D385</f>
        <v>3590.8405400000001</v>
      </c>
      <c r="E649">
        <f>'pm_24.dat '!E385</f>
        <v>4141.37057</v>
      </c>
      <c r="F649">
        <f>'pm_24.dat '!F385</f>
        <v>3625.86364</v>
      </c>
      <c r="G649">
        <f>'pm_24.dat '!G385</f>
        <v>4305.86229</v>
      </c>
      <c r="H649">
        <f>'pm_24.dat '!H385</f>
        <v>4009.9370399999998</v>
      </c>
      <c r="I649">
        <f>'pm_24.dat '!I385</f>
        <v>1872.8632700000001</v>
      </c>
      <c r="J649">
        <f>'pm_24.dat '!J385</f>
        <v>2277.944</v>
      </c>
      <c r="K649">
        <f>'pm_24.dat '!K385</f>
        <v>1405.59025</v>
      </c>
      <c r="L649">
        <f>'pm_24.dat '!L385</f>
        <v>1324.7813699999999</v>
      </c>
      <c r="M649">
        <f>'pm_24.dat '!M385</f>
        <v>2642.6749</v>
      </c>
      <c r="N649">
        <f>'pm_24.dat '!N385</f>
        <v>2295.9518499999999</v>
      </c>
      <c r="O649">
        <f>'pm_24.dat '!O385</f>
        <v>4729.8277200000002</v>
      </c>
      <c r="P649">
        <f>'pm_24.dat '!P385</f>
        <v>4828.7934800000003</v>
      </c>
      <c r="Q649">
        <f>'pm_24.dat '!Q385</f>
        <v>2499.4010600000001</v>
      </c>
      <c r="R649">
        <f>'pm_24.dat '!R385</f>
        <v>3617</v>
      </c>
      <c r="S649">
        <f>'pm_24.dat '!S385</f>
        <v>3834.0425100000002</v>
      </c>
      <c r="T649">
        <f>'pm_24.dat '!T385</f>
        <v>2870.6369945798874</v>
      </c>
    </row>
    <row r="650" spans="1:20" x14ac:dyDescent="0.2">
      <c r="B650" t="s">
        <v>294</v>
      </c>
      <c r="C650" t="s">
        <v>106</v>
      </c>
      <c r="D650" t="s">
        <v>107</v>
      </c>
      <c r="E650" t="s">
        <v>108</v>
      </c>
      <c r="F650" t="s">
        <v>288</v>
      </c>
      <c r="G650" t="s">
        <v>295</v>
      </c>
      <c r="H650">
        <v>2</v>
      </c>
    </row>
    <row r="651" spans="1:20" x14ac:dyDescent="0.2">
      <c r="A651" s="3">
        <f>COUNT(B651:BT651)</f>
        <v>19</v>
      </c>
      <c r="B651">
        <f>'pm_24.dat '!B202</f>
        <v>43</v>
      </c>
      <c r="C651">
        <f>'pm_24.dat '!C202</f>
        <v>32</v>
      </c>
      <c r="D651">
        <f>'pm_24.dat '!D202</f>
        <v>49</v>
      </c>
      <c r="E651">
        <f>'pm_24.dat '!E202</f>
        <v>67</v>
      </c>
      <c r="F651">
        <f>'pm_24.dat '!F202</f>
        <v>70</v>
      </c>
      <c r="G651">
        <f>'pm_24.dat '!G202</f>
        <v>72</v>
      </c>
      <c r="H651">
        <f>'pm_24.dat '!H202</f>
        <v>51</v>
      </c>
      <c r="I651">
        <f>'pm_24.dat '!I202</f>
        <v>47</v>
      </c>
      <c r="J651">
        <f>'pm_24.dat '!J202</f>
        <v>39</v>
      </c>
      <c r="K651">
        <f>'pm_24.dat '!K202</f>
        <v>35</v>
      </c>
      <c r="L651">
        <f>'pm_24.dat '!L202</f>
        <v>26</v>
      </c>
      <c r="M651">
        <f>'pm_24.dat '!M202</f>
        <v>34</v>
      </c>
      <c r="N651">
        <f>'pm_24.dat '!N202</f>
        <v>44</v>
      </c>
      <c r="O651">
        <f>'pm_24.dat '!O202</f>
        <v>79</v>
      </c>
      <c r="P651">
        <f>'pm_24.dat '!P202</f>
        <v>61</v>
      </c>
      <c r="Q651">
        <f>'pm_24.dat '!Q202</f>
        <v>50</v>
      </c>
      <c r="R651">
        <f>'pm_24.dat '!R202</f>
        <v>1</v>
      </c>
      <c r="S651">
        <f>'pm_24.dat '!S202</f>
        <v>52</v>
      </c>
      <c r="T651">
        <f>'pm_24.dat '!T202</f>
        <v>79</v>
      </c>
    </row>
    <row r="652" spans="1:20" x14ac:dyDescent="0.2">
      <c r="B652" t="s">
        <v>100</v>
      </c>
    </row>
    <row r="653" spans="1:20" x14ac:dyDescent="0.2">
      <c r="B653" t="s">
        <v>296</v>
      </c>
      <c r="C653" t="s">
        <v>297</v>
      </c>
      <c r="D653" t="s">
        <v>252</v>
      </c>
      <c r="E653" t="s">
        <v>66</v>
      </c>
    </row>
    <row r="654" spans="1:20" x14ac:dyDescent="0.2">
      <c r="B654" t="s">
        <v>100</v>
      </c>
    </row>
    <row r="655" spans="1:20" x14ac:dyDescent="0.2">
      <c r="A655" s="3">
        <v>1994</v>
      </c>
      <c r="B655">
        <f>'pm_24.dat '!B365</f>
        <v>1140.0851399999999</v>
      </c>
      <c r="C655">
        <f>'pm_24.dat '!C365</f>
        <v>4969.0522559999999</v>
      </c>
      <c r="D655">
        <f>'pm_24.dat '!D365</f>
        <v>1424.4732690000001</v>
      </c>
      <c r="E655">
        <f>'pm_24.dat '!E365</f>
        <v>1818.5809260000001</v>
      </c>
      <c r="F655">
        <f>'pm_24.dat '!F365</f>
        <v>2251.768172</v>
      </c>
      <c r="G655">
        <f>'pm_24.dat '!G365</f>
        <v>389.1130852</v>
      </c>
      <c r="H655">
        <f>'pm_24.dat '!H365</f>
        <v>108.5917858</v>
      </c>
      <c r="I655">
        <f>'pm_24.dat '!I365</f>
        <v>95.88827757</v>
      </c>
      <c r="J655">
        <f>'pm_24.dat '!J365</f>
        <v>56.201938560000002</v>
      </c>
      <c r="K655">
        <f>'pm_24.dat '!K365</f>
        <v>67.125239690000001</v>
      </c>
      <c r="L655">
        <f>'pm_24.dat '!L365</f>
        <v>30.325586779999998</v>
      </c>
      <c r="M655">
        <f>SUM('pm_24.dat '!M365:P365)</f>
        <v>123.75471121000001</v>
      </c>
      <c r="N655" t="s">
        <v>99</v>
      </c>
      <c r="O655">
        <v>1994</v>
      </c>
    </row>
    <row r="656" spans="1:20" x14ac:dyDescent="0.2">
      <c r="A656" s="3">
        <v>1996</v>
      </c>
      <c r="B656">
        <f>'pm_24.dat '!B366</f>
        <v>1800.2540550000001</v>
      </c>
      <c r="C656">
        <f>'pm_24.dat '!C366</f>
        <v>566.66512890000001</v>
      </c>
      <c r="D656">
        <f>'pm_24.dat '!D366</f>
        <v>552.1605677</v>
      </c>
      <c r="E656">
        <f>'pm_24.dat '!E366</f>
        <v>2741.05969</v>
      </c>
      <c r="F656">
        <f>'pm_24.dat '!F366</f>
        <v>914.96275760000003</v>
      </c>
      <c r="G656">
        <f>'pm_24.dat '!G366</f>
        <v>633.53149229999997</v>
      </c>
      <c r="H656">
        <f>'pm_24.dat '!H366</f>
        <v>585.04104989999996</v>
      </c>
      <c r="I656">
        <f>'pm_24.dat '!I366</f>
        <v>141.69026349999999</v>
      </c>
      <c r="J656">
        <f>'pm_24.dat '!J366</f>
        <v>38.61581297</v>
      </c>
      <c r="K656">
        <f>'pm_24.dat '!K366</f>
        <v>28.170044690000001</v>
      </c>
      <c r="L656">
        <f>'pm_24.dat '!L366</f>
        <v>22.42098893</v>
      </c>
      <c r="M656">
        <f>SUM('pm_24.dat '!M366:P366)</f>
        <v>113.97740783</v>
      </c>
      <c r="N656" t="s">
        <v>99</v>
      </c>
      <c r="O656">
        <v>1996</v>
      </c>
    </row>
    <row r="657" spans="1:15" x14ac:dyDescent="0.2">
      <c r="A657" s="3">
        <v>1997</v>
      </c>
      <c r="B657">
        <f>'pm_24.dat '!B367</f>
        <v>13226.7894</v>
      </c>
      <c r="C657">
        <f>'pm_24.dat '!C367</f>
        <v>2881.0381910000001</v>
      </c>
      <c r="D657">
        <f>'pm_24.dat '!D367</f>
        <v>440.49410610000001</v>
      </c>
      <c r="E657">
        <f>'pm_24.dat '!E367</f>
        <v>535.64101100000005</v>
      </c>
      <c r="F657">
        <f>'pm_24.dat '!F367</f>
        <v>2330.3172880000002</v>
      </c>
      <c r="G657">
        <f>'pm_24.dat '!G367</f>
        <v>546.44430469999998</v>
      </c>
      <c r="H657">
        <f>'pm_24.dat '!H367</f>
        <v>313.01169629999998</v>
      </c>
      <c r="I657">
        <f>'pm_24.dat '!I367</f>
        <v>290.36236860000002</v>
      </c>
      <c r="J657">
        <f>'pm_24.dat '!J367</f>
        <v>75.110043140000002</v>
      </c>
      <c r="K657">
        <f>'pm_24.dat '!K367</f>
        <v>27.829137540000001</v>
      </c>
      <c r="L657">
        <f>'pm_24.dat '!L367</f>
        <v>30.8666707</v>
      </c>
      <c r="M657">
        <f>SUM('pm_24.dat '!M367:P367)</f>
        <v>161.70928806999999</v>
      </c>
      <c r="N657" t="s">
        <v>99</v>
      </c>
      <c r="O657">
        <v>1997</v>
      </c>
    </row>
    <row r="658" spans="1:15" x14ac:dyDescent="0.2">
      <c r="A658" s="3">
        <v>1999</v>
      </c>
      <c r="B658">
        <f>'pm_24.dat '!B368</f>
        <v>607.20365200000003</v>
      </c>
      <c r="C658">
        <f>'pm_24.dat '!C368</f>
        <v>1779.9949570000001</v>
      </c>
      <c r="D658">
        <f>'pm_24.dat '!D368</f>
        <v>3717.060555</v>
      </c>
      <c r="E658">
        <f>'pm_24.dat '!E368</f>
        <v>1809.6749420000001</v>
      </c>
      <c r="F658">
        <f>'pm_24.dat '!F368</f>
        <v>651.86233589999995</v>
      </c>
      <c r="G658">
        <f>'pm_24.dat '!G368</f>
        <v>397.52067219999998</v>
      </c>
      <c r="H658">
        <f>'pm_24.dat '!H368</f>
        <v>1548.0324539999999</v>
      </c>
      <c r="I658">
        <f>'pm_24.dat '!I368</f>
        <v>526.25221790000001</v>
      </c>
      <c r="J658">
        <f>'pm_24.dat '!J368</f>
        <v>180.02083870000001</v>
      </c>
      <c r="K658">
        <f>'pm_24.dat '!K368</f>
        <v>141.64589910000001</v>
      </c>
      <c r="L658">
        <f>'pm_24.dat '!L368</f>
        <v>48.242948499999997</v>
      </c>
      <c r="M658">
        <f>SUM('pm_24.dat '!M368:P368)</f>
        <v>58.649859864999996</v>
      </c>
      <c r="N658" t="s">
        <v>99</v>
      </c>
      <c r="O658">
        <v>1999</v>
      </c>
    </row>
    <row r="659" spans="1:15" x14ac:dyDescent="0.2">
      <c r="A659" s="3">
        <v>2000</v>
      </c>
      <c r="B659">
        <f>'pm_24.dat '!B369</f>
        <v>460.36640310000001</v>
      </c>
      <c r="C659">
        <f>'pm_24.dat '!C369</f>
        <v>1322.0302790000001</v>
      </c>
      <c r="D659">
        <f>'pm_24.dat '!D369</f>
        <v>1230.0548590000001</v>
      </c>
      <c r="E659">
        <f>'pm_24.dat '!E369</f>
        <v>2588.0272890000001</v>
      </c>
      <c r="F659">
        <f>'pm_24.dat '!F369</f>
        <v>1011.827791</v>
      </c>
      <c r="G659">
        <f>'pm_24.dat '!G369</f>
        <v>326.61534289999997</v>
      </c>
      <c r="H659">
        <f>'pm_24.dat '!H369</f>
        <v>308.36422210000001</v>
      </c>
      <c r="I659">
        <f>'pm_24.dat '!I369</f>
        <v>949.55203489999997</v>
      </c>
      <c r="J659">
        <f>'pm_24.dat '!J369</f>
        <v>277.58517160000002</v>
      </c>
      <c r="K659">
        <f>'pm_24.dat '!K369</f>
        <v>134.09810970000001</v>
      </c>
      <c r="L659">
        <f>'pm_24.dat '!L369</f>
        <v>60.258588899999999</v>
      </c>
      <c r="M659">
        <f>SUM('pm_24.dat '!M369:P369)</f>
        <v>57.352563822999997</v>
      </c>
      <c r="N659" t="s">
        <v>99</v>
      </c>
      <c r="O659">
        <v>2000</v>
      </c>
    </row>
    <row r="660" spans="1:15" x14ac:dyDescent="0.2">
      <c r="A660" s="3">
        <v>2002</v>
      </c>
      <c r="B660">
        <f>'pm_24.dat '!B370</f>
        <v>796.39685029999998</v>
      </c>
      <c r="C660">
        <f>'pm_24.dat '!C370</f>
        <v>4943.941366</v>
      </c>
      <c r="D660">
        <f>'pm_24.dat '!D370</f>
        <v>3385.1004800000001</v>
      </c>
      <c r="E660">
        <f>'pm_24.dat '!E370</f>
        <v>1294.9325980000001</v>
      </c>
      <c r="F660">
        <f>'pm_24.dat '!F370</f>
        <v>660.61841949999996</v>
      </c>
      <c r="G660">
        <f>'pm_24.dat '!G370</f>
        <v>935.29347289999998</v>
      </c>
      <c r="H660">
        <f>'pm_24.dat '!H370</f>
        <v>538.44206770000005</v>
      </c>
      <c r="I660">
        <f>'pm_24.dat '!I370</f>
        <v>140.35786479999999</v>
      </c>
      <c r="J660">
        <f>'pm_24.dat '!J370</f>
        <v>162.4464571</v>
      </c>
      <c r="K660">
        <f>'pm_24.dat '!K370</f>
        <v>304.46125019999999</v>
      </c>
      <c r="L660">
        <f>'pm_24.dat '!L370</f>
        <v>103.61153</v>
      </c>
      <c r="M660">
        <f>SUM('pm_24.dat '!M370:P370)</f>
        <v>85.028193872000003</v>
      </c>
      <c r="N660" t="s">
        <v>99</v>
      </c>
      <c r="O660">
        <v>2002</v>
      </c>
    </row>
    <row r="661" spans="1:15" x14ac:dyDescent="0.2">
      <c r="A661" s="3">
        <v>2004</v>
      </c>
      <c r="B661">
        <f>'pm_24.dat '!B371</f>
        <v>83.054497420000004</v>
      </c>
      <c r="C661">
        <f>'pm_24.dat '!C371</f>
        <v>313.46852799999999</v>
      </c>
      <c r="D661">
        <f>'pm_24.dat '!D371</f>
        <v>1216.887645</v>
      </c>
      <c r="E661">
        <f>'pm_24.dat '!E371</f>
        <v>3122.587708</v>
      </c>
      <c r="F661">
        <f>'pm_24.dat '!F371</f>
        <v>1634.3134190000001</v>
      </c>
      <c r="G661">
        <f>'pm_24.dat '!G371</f>
        <v>567.11590469999999</v>
      </c>
      <c r="H661">
        <f>'pm_24.dat '!H371</f>
        <v>287.70947890000002</v>
      </c>
      <c r="I661">
        <f>'pm_24.dat '!I371</f>
        <v>282.71122029999998</v>
      </c>
      <c r="J661">
        <f>'pm_24.dat '!J371</f>
        <v>120.9099574</v>
      </c>
      <c r="K661">
        <f>'pm_24.dat '!K371</f>
        <v>68.490474460000001</v>
      </c>
      <c r="L661">
        <f>'pm_24.dat '!L371</f>
        <v>58.851892059999997</v>
      </c>
      <c r="M661">
        <f>SUM('pm_24.dat '!M371:P371)</f>
        <v>137.59128121000001</v>
      </c>
      <c r="N661" t="s">
        <v>99</v>
      </c>
      <c r="O661">
        <v>2004</v>
      </c>
    </row>
    <row r="662" spans="1:15" x14ac:dyDescent="0.2">
      <c r="A662" s="3">
        <v>2006</v>
      </c>
      <c r="B662">
        <f>'pm_24.dat '!B372</f>
        <v>524.71095969999999</v>
      </c>
      <c r="C662">
        <f>'pm_24.dat '!C372</f>
        <v>216.99598520000001</v>
      </c>
      <c r="D662">
        <f>'pm_24.dat '!D372</f>
        <v>291.2456803</v>
      </c>
      <c r="E662">
        <f>'pm_24.dat '!E372</f>
        <v>654.09685420000005</v>
      </c>
      <c r="F662">
        <f>'pm_24.dat '!F372</f>
        <v>783.37609299999997</v>
      </c>
      <c r="G662">
        <f>'pm_24.dat '!G372</f>
        <v>658.55630099999996</v>
      </c>
      <c r="H662">
        <f>'pm_24.dat '!H372</f>
        <v>390.20024899999999</v>
      </c>
      <c r="I662">
        <f>'pm_24.dat '!I372</f>
        <v>144.88895460000001</v>
      </c>
      <c r="J662">
        <f>'pm_24.dat '!J372</f>
        <v>74.79552563</v>
      </c>
      <c r="K662">
        <f>'pm_24.dat '!K372</f>
        <v>58.553903579999997</v>
      </c>
      <c r="L662">
        <f>'pm_24.dat '!L372</f>
        <v>32.824918349999997</v>
      </c>
      <c r="M662">
        <f>SUM('pm_24.dat '!M372:P372)</f>
        <v>80.051260939999992</v>
      </c>
      <c r="N662" t="s">
        <v>99</v>
      </c>
      <c r="O662">
        <v>2006</v>
      </c>
    </row>
    <row r="663" spans="1:15" x14ac:dyDescent="0.2">
      <c r="A663" s="3">
        <v>2007</v>
      </c>
      <c r="B663">
        <f>'pm_24.dat '!B373</f>
        <v>5775.2941449999998</v>
      </c>
      <c r="C663">
        <f>'pm_24.dat '!C373</f>
        <v>1040.5871460000001</v>
      </c>
      <c r="D663">
        <f>'pm_24.dat '!D373</f>
        <v>345.09752650000001</v>
      </c>
      <c r="E663">
        <f>'pm_24.dat '!E373</f>
        <v>477.80343290000002</v>
      </c>
      <c r="F663">
        <f>'pm_24.dat '!F373</f>
        <v>793.68820619999997</v>
      </c>
      <c r="G663">
        <f>'pm_24.dat '!G373</f>
        <v>729.4436647</v>
      </c>
      <c r="H663">
        <f>'pm_24.dat '!H373</f>
        <v>406.88807780000002</v>
      </c>
      <c r="I663">
        <f>'pm_24.dat '!I373</f>
        <v>240.79008139999999</v>
      </c>
      <c r="J663">
        <f>'pm_24.dat '!J373</f>
        <v>97.686941759999996</v>
      </c>
      <c r="K663">
        <f>'pm_24.dat '!K373</f>
        <v>39.261616619999998</v>
      </c>
      <c r="L663">
        <f>'pm_24.dat '!L373</f>
        <v>37.240400149999999</v>
      </c>
      <c r="M663">
        <f>SUM('pm_24.dat '!M373:P373)</f>
        <v>58.588134662000002</v>
      </c>
      <c r="N663" t="s">
        <v>99</v>
      </c>
      <c r="O663">
        <v>2007</v>
      </c>
    </row>
    <row r="664" spans="1:15" x14ac:dyDescent="0.2">
      <c r="A664" s="3">
        <v>2008</v>
      </c>
      <c r="B664">
        <f>'pm_24.dat '!B374</f>
        <v>70.869874030000005</v>
      </c>
      <c r="C664">
        <f>'pm_24.dat '!C374</f>
        <v>2914.7813299999998</v>
      </c>
      <c r="D664">
        <f>'pm_24.dat '!D374</f>
        <v>1046.982702</v>
      </c>
      <c r="E664">
        <f>'pm_24.dat '!E374</f>
        <v>166.03642120000001</v>
      </c>
      <c r="F664">
        <f>'pm_24.dat '!F374</f>
        <v>160.8390551</v>
      </c>
      <c r="G664">
        <f>'pm_24.dat '!G374</f>
        <v>287.56999400000001</v>
      </c>
      <c r="H664">
        <f>'pm_24.dat '!H374</f>
        <v>234.90743119999999</v>
      </c>
      <c r="I664">
        <f>'pm_24.dat '!I374</f>
        <v>136.08854969999999</v>
      </c>
      <c r="J664">
        <f>'pm_24.dat '!J374</f>
        <v>101.8481235</v>
      </c>
      <c r="K664">
        <f>'pm_24.dat '!K374</f>
        <v>31.995840619999999</v>
      </c>
      <c r="L664">
        <f>'pm_24.dat '!L374</f>
        <v>30.135659059999998</v>
      </c>
      <c r="M664">
        <f>SUM('pm_24.dat '!M374:P374)</f>
        <v>57.967296183999999</v>
      </c>
      <c r="N664" t="s">
        <v>99</v>
      </c>
      <c r="O664">
        <v>2008</v>
      </c>
    </row>
    <row r="665" spans="1:15" x14ac:dyDescent="0.2">
      <c r="A665" s="3">
        <v>2009</v>
      </c>
      <c r="B665">
        <f>'pm_24.dat '!B375</f>
        <v>5196.7862720000003</v>
      </c>
      <c r="C665">
        <f>'pm_24.dat '!C375</f>
        <v>815.82891099999995</v>
      </c>
      <c r="D665">
        <f>'pm_24.dat '!D375</f>
        <v>1734.132089</v>
      </c>
      <c r="E665">
        <f>'pm_24.dat '!E375</f>
        <v>281.2670693</v>
      </c>
      <c r="F665">
        <f>'pm_24.dat '!F375</f>
        <v>76.694509479999994</v>
      </c>
      <c r="G665">
        <f>'pm_24.dat '!G375</f>
        <v>94.104663790000004</v>
      </c>
      <c r="H665">
        <f>'pm_24.dat '!H375</f>
        <v>128.87727380000001</v>
      </c>
      <c r="I665">
        <f>'pm_24.dat '!I375</f>
        <v>110.7631581</v>
      </c>
      <c r="J665">
        <f>'pm_24.dat '!J375</f>
        <v>76.720420290000007</v>
      </c>
      <c r="K665">
        <f>'pm_24.dat '!K375</f>
        <v>44.225916609999999</v>
      </c>
      <c r="L665">
        <f>'pm_24.dat '!L375</f>
        <v>25.174215019999998</v>
      </c>
      <c r="M665">
        <f>SUM('pm_24.dat '!M375:P375)</f>
        <v>45.034639093999999</v>
      </c>
      <c r="N665" t="s">
        <v>99</v>
      </c>
      <c r="O665">
        <v>2009</v>
      </c>
    </row>
    <row r="666" spans="1:15" x14ac:dyDescent="0.2">
      <c r="A666" s="3">
        <v>2010</v>
      </c>
      <c r="B666">
        <f>'pm_24.dat '!B376</f>
        <v>2567.932041</v>
      </c>
      <c r="C666">
        <f>'pm_24.dat '!C376</f>
        <v>6404.1275569999998</v>
      </c>
      <c r="D666">
        <f>'pm_24.dat '!D376</f>
        <v>983.55517599999996</v>
      </c>
      <c r="E666">
        <f>'pm_24.dat '!E376</f>
        <v>2294.894996</v>
      </c>
      <c r="F666">
        <f>'pm_24.dat '!F376</f>
        <v>445.87511439999997</v>
      </c>
      <c r="G666">
        <f>'pm_24.dat '!G376</f>
        <v>73.082948389999999</v>
      </c>
      <c r="H666">
        <f>'pm_24.dat '!H376</f>
        <v>33.246447269999997</v>
      </c>
      <c r="I666">
        <f>'pm_24.dat '!I376</f>
        <v>36.887298229999999</v>
      </c>
      <c r="J666">
        <f>'pm_24.dat '!J376</f>
        <v>37.752843140000003</v>
      </c>
      <c r="K666">
        <f>'pm_24.dat '!K376</f>
        <v>28.93219886</v>
      </c>
      <c r="L666">
        <f>'pm_24.dat '!L376</f>
        <v>25.956083540000002</v>
      </c>
      <c r="M666">
        <f>SUM('pm_24.dat '!M376:P376)</f>
        <v>35.832180996999995</v>
      </c>
      <c r="N666" t="s">
        <v>99</v>
      </c>
      <c r="O666">
        <v>2010</v>
      </c>
    </row>
    <row r="667" spans="1:15" x14ac:dyDescent="0.2">
      <c r="A667" s="3">
        <v>2012</v>
      </c>
      <c r="B667">
        <f>'pm_24.dat '!B377</f>
        <v>177.3461428</v>
      </c>
      <c r="C667">
        <f>'pm_24.dat '!C377</f>
        <v>1988.6601330000001</v>
      </c>
      <c r="D667">
        <f>'pm_24.dat '!D377</f>
        <v>1692.89158</v>
      </c>
      <c r="E667">
        <f>'pm_24.dat '!E377</f>
        <v>2710.228204</v>
      </c>
      <c r="F667">
        <f>'pm_24.dat '!F377</f>
        <v>279.68625370000001</v>
      </c>
      <c r="G667">
        <f>'pm_24.dat '!G377</f>
        <v>366.66840280000002</v>
      </c>
      <c r="H667">
        <f>'pm_24.dat '!H377</f>
        <v>113.14035490000001</v>
      </c>
      <c r="I667">
        <f>'pm_24.dat '!I377</f>
        <v>35.687332980000001</v>
      </c>
      <c r="J667">
        <f>'pm_24.dat '!J377</f>
        <v>24.894591999999999</v>
      </c>
      <c r="K667">
        <f>'pm_24.dat '!K377</f>
        <v>28.74222129</v>
      </c>
      <c r="L667">
        <f>'pm_24.dat '!L377</f>
        <v>25.056611</v>
      </c>
      <c r="M667">
        <f>SUM('pm_24.dat '!M377:P377)</f>
        <v>49.044900728999991</v>
      </c>
      <c r="N667" t="s">
        <v>99</v>
      </c>
      <c r="O667">
        <v>2012</v>
      </c>
    </row>
    <row r="668" spans="1:15" x14ac:dyDescent="0.2">
      <c r="A668" s="3">
        <v>2014</v>
      </c>
      <c r="B668">
        <f>'pm_24.dat '!B378</f>
        <v>4750.826376</v>
      </c>
      <c r="C668">
        <f>'pm_24.dat '!C378</f>
        <v>8655.1263670000008</v>
      </c>
      <c r="D668">
        <f>'pm_24.dat '!D378</f>
        <v>969.46123390000002</v>
      </c>
      <c r="E668">
        <f>'pm_24.dat '!E378</f>
        <v>1161.049534</v>
      </c>
      <c r="F668">
        <f>'pm_24.dat '!F378</f>
        <v>1118.694291</v>
      </c>
      <c r="G668">
        <f>'pm_24.dat '!G378</f>
        <v>1769.616489</v>
      </c>
      <c r="H668">
        <f>'pm_24.dat '!H378</f>
        <v>740.11967319999997</v>
      </c>
      <c r="I668">
        <f>'pm_24.dat '!I378</f>
        <v>170.14623449999999</v>
      </c>
      <c r="J668">
        <f>'pm_24.dat '!J378</f>
        <v>78.810030260000005</v>
      </c>
      <c r="K668">
        <f>'pm_24.dat '!K378</f>
        <v>31.519963990000001</v>
      </c>
      <c r="L668">
        <f>'pm_24.dat '!L378</f>
        <v>12.57992471</v>
      </c>
      <c r="M668">
        <f>SUM('pm_24.dat '!M378:P378)</f>
        <v>54.703672458999996</v>
      </c>
      <c r="N668" t="s">
        <v>99</v>
      </c>
      <c r="O668">
        <v>2014</v>
      </c>
    </row>
    <row r="669" spans="1:15" x14ac:dyDescent="0.2">
      <c r="A669" s="3">
        <v>2016</v>
      </c>
      <c r="B669">
        <f>'pm_24.dat '!B379</f>
        <v>173.75231439999999</v>
      </c>
      <c r="C669">
        <f>'pm_24.dat '!C379</f>
        <v>1037.867561</v>
      </c>
      <c r="D669">
        <f>'pm_24.dat '!D379</f>
        <v>4496.0586929999999</v>
      </c>
      <c r="E669">
        <f>'pm_24.dat '!E379</f>
        <v>4476.3974740000003</v>
      </c>
      <c r="F669">
        <f>'pm_24.dat '!F379</f>
        <v>715.46514920000004</v>
      </c>
      <c r="G669">
        <f>'pm_24.dat '!G379</f>
        <v>348.09875110000002</v>
      </c>
      <c r="H669">
        <f>'pm_24.dat '!H379</f>
        <v>392.19569949999999</v>
      </c>
      <c r="I669">
        <f>'pm_24.dat '!I379</f>
        <v>420.28668090000002</v>
      </c>
      <c r="J669">
        <f>'pm_24.dat '!J379</f>
        <v>95.667050090000004</v>
      </c>
      <c r="K669">
        <f>'pm_24.dat '!K379</f>
        <v>30.74347277</v>
      </c>
      <c r="L669">
        <f>'pm_24.dat '!L379</f>
        <v>17.982651109999999</v>
      </c>
      <c r="M669">
        <f>SUM('pm_24.dat '!M379:P379)</f>
        <v>15.109149910000001</v>
      </c>
      <c r="N669" t="s">
        <v>99</v>
      </c>
      <c r="O669">
        <v>2016</v>
      </c>
    </row>
    <row r="670" spans="1:15" x14ac:dyDescent="0.2">
      <c r="A670" s="3">
        <v>2018</v>
      </c>
      <c r="B670">
        <f>'pm_24.dat '!B380</f>
        <v>449.9560697</v>
      </c>
      <c r="C670">
        <f>'pm_24.dat '!C380</f>
        <v>516.60935610000001</v>
      </c>
      <c r="D670">
        <f>'pm_24.dat '!D380</f>
        <v>248.6421369</v>
      </c>
      <c r="E670">
        <f>'pm_24.dat '!E380</f>
        <v>621.18175280000003</v>
      </c>
      <c r="F670">
        <f>'pm_24.dat '!F380</f>
        <v>2267.541471</v>
      </c>
      <c r="G670">
        <f>'pm_24.dat '!G380</f>
        <v>944.10345310000002</v>
      </c>
      <c r="H670">
        <f>'pm_24.dat '!H380</f>
        <v>198.37848009999999</v>
      </c>
      <c r="I670">
        <f>'pm_24.dat '!I380</f>
        <v>111.75346140000001</v>
      </c>
      <c r="J670">
        <f>'pm_24.dat '!J380</f>
        <v>107.3072124</v>
      </c>
      <c r="K670">
        <f>'pm_24.dat '!K380</f>
        <v>74.910888819999997</v>
      </c>
      <c r="L670">
        <f>'pm_24.dat '!L380</f>
        <v>19.72410485</v>
      </c>
      <c r="M670">
        <f>SUM('pm_24.dat '!M380:P380)</f>
        <v>9.7399446259999998</v>
      </c>
      <c r="N670" t="s">
        <v>99</v>
      </c>
      <c r="O670">
        <v>2018</v>
      </c>
    </row>
    <row r="671" spans="1:15" x14ac:dyDescent="0.2">
      <c r="A671" s="3">
        <v>2020</v>
      </c>
      <c r="B671">
        <f>'pm_24.dat '!B381</f>
        <v>350</v>
      </c>
      <c r="C671">
        <f>'pm_24.dat '!C381</f>
        <v>1180</v>
      </c>
      <c r="D671">
        <f>'pm_24.dat '!D381</f>
        <v>4550</v>
      </c>
      <c r="E671">
        <f>'pm_24.dat '!E381</f>
        <v>4440</v>
      </c>
      <c r="F671">
        <f>'pm_24.dat '!F381</f>
        <v>1190</v>
      </c>
      <c r="G671">
        <f>'pm_24.dat '!G381</f>
        <v>490</v>
      </c>
      <c r="H671">
        <f>'pm_24.dat '!H381</f>
        <v>560</v>
      </c>
      <c r="I671">
        <f>'pm_24.dat '!I381</f>
        <v>650</v>
      </c>
      <c r="J671">
        <f>'pm_24.dat '!J381</f>
        <v>130</v>
      </c>
      <c r="K671">
        <f>'pm_24.dat '!K381</f>
        <v>60</v>
      </c>
      <c r="L671">
        <f>'pm_24.dat '!L381</f>
        <v>30</v>
      </c>
      <c r="M671">
        <f>SUM('pm_24.dat '!M381:P381)</f>
        <v>30</v>
      </c>
      <c r="N671" t="s">
        <v>99</v>
      </c>
      <c r="O671">
        <v>2020</v>
      </c>
    </row>
    <row r="672" spans="1:15" x14ac:dyDescent="0.2">
      <c r="A672" s="3">
        <v>2022</v>
      </c>
      <c r="B672">
        <f>'pm_24.dat '!B382</f>
        <v>141.55993710000001</v>
      </c>
      <c r="C672">
        <f>'pm_24.dat '!C382</f>
        <v>332.3180686</v>
      </c>
      <c r="D672">
        <f>'pm_24.dat '!D382</f>
        <v>975.2239558</v>
      </c>
      <c r="E672">
        <f>'pm_24.dat '!E382</f>
        <v>6577.7283360000001</v>
      </c>
      <c r="F672">
        <f>'pm_24.dat '!F382</f>
        <v>819.42248919999997</v>
      </c>
      <c r="G672">
        <f>'pm_24.dat '!G382</f>
        <v>211.0354178</v>
      </c>
      <c r="H672">
        <f>'pm_24.dat '!H382</f>
        <v>132.9748998</v>
      </c>
      <c r="I672">
        <f>'pm_24.dat '!I382</f>
        <v>239.12243620000001</v>
      </c>
      <c r="J672">
        <f>'pm_24.dat '!J382</f>
        <v>166.25072309999999</v>
      </c>
      <c r="K672">
        <f>'pm_24.dat '!K382</f>
        <v>33.859152139999999</v>
      </c>
      <c r="L672">
        <f>'pm_24.dat '!L382</f>
        <v>16.726261139999998</v>
      </c>
      <c r="M672">
        <f>SUM('pm_24.dat '!M382:P382)</f>
        <v>28.180094958000002</v>
      </c>
      <c r="N672" t="s">
        <v>99</v>
      </c>
      <c r="O672">
        <v>2022</v>
      </c>
    </row>
    <row r="673" spans="1:47" x14ac:dyDescent="0.2">
      <c r="A673" s="3">
        <v>2024</v>
      </c>
      <c r="B673">
        <f>'pm_24.dat '!B383</f>
        <v>5074.8172258820614</v>
      </c>
      <c r="C673">
        <f>'pm_24.dat '!C383</f>
        <v>1146.363794175641</v>
      </c>
      <c r="D673">
        <f>'pm_24.dat '!D383</f>
        <v>680.58221017369851</v>
      </c>
      <c r="E673">
        <f>'pm_24.dat '!E383</f>
        <v>379.34652255278274</v>
      </c>
      <c r="F673">
        <f>'pm_24.dat '!F383</f>
        <v>820.12204516353449</v>
      </c>
      <c r="G673">
        <f>'pm_24.dat '!G383</f>
        <v>2485.0123600608745</v>
      </c>
      <c r="H673">
        <f>'pm_24.dat '!H383</f>
        <v>449.9546161300982</v>
      </c>
      <c r="I673">
        <f>'pm_24.dat '!I383</f>
        <v>109.80323691178894</v>
      </c>
      <c r="J673">
        <f>'pm_24.dat '!J383</f>
        <v>86.062392800342309</v>
      </c>
      <c r="K673">
        <f>'pm_24.dat '!K383</f>
        <v>69.71616604296392</v>
      </c>
      <c r="L673">
        <f>'pm_24.dat '!L383</f>
        <v>37.761125577487412</v>
      </c>
      <c r="M673">
        <f>SUM('pm_24.dat '!M383:P383)</f>
        <v>19.087503075492211</v>
      </c>
    </row>
    <row r="674" spans="1:47" x14ac:dyDescent="0.2">
      <c r="B674" t="s">
        <v>100</v>
      </c>
    </row>
    <row r="675" spans="1:47" x14ac:dyDescent="0.2">
      <c r="B675" t="s">
        <v>298</v>
      </c>
      <c r="C675" t="s">
        <v>106</v>
      </c>
    </row>
    <row r="676" spans="1:47" x14ac:dyDescent="0.2">
      <c r="B676" t="s">
        <v>100</v>
      </c>
    </row>
    <row r="677" spans="1:47" x14ac:dyDescent="0.2">
      <c r="B677">
        <v>46</v>
      </c>
    </row>
    <row r="678" spans="1:47" x14ac:dyDescent="0.2">
      <c r="B678" t="s">
        <v>100</v>
      </c>
    </row>
    <row r="679" spans="1:47" x14ac:dyDescent="0.2">
      <c r="B679" t="s">
        <v>299</v>
      </c>
      <c r="C679" t="s">
        <v>106</v>
      </c>
    </row>
    <row r="680" spans="1:47" x14ac:dyDescent="0.2">
      <c r="B680" t="s">
        <v>100</v>
      </c>
    </row>
    <row r="681" spans="1:47" x14ac:dyDescent="0.2">
      <c r="B681">
        <v>1979</v>
      </c>
      <c r="C681">
        <v>1980</v>
      </c>
      <c r="D681">
        <v>1981</v>
      </c>
      <c r="E681">
        <v>1982</v>
      </c>
      <c r="F681">
        <v>1983</v>
      </c>
      <c r="G681">
        <v>1984</v>
      </c>
      <c r="H681">
        <v>1985</v>
      </c>
      <c r="I681">
        <v>1986</v>
      </c>
      <c r="J681">
        <v>1987</v>
      </c>
      <c r="K681">
        <v>1988</v>
      </c>
      <c r="L681">
        <v>1989</v>
      </c>
      <c r="M681">
        <v>1990</v>
      </c>
      <c r="N681">
        <v>1991</v>
      </c>
      <c r="O681">
        <v>1992</v>
      </c>
      <c r="P681">
        <v>1993</v>
      </c>
      <c r="Q681">
        <v>1994</v>
      </c>
      <c r="R681">
        <v>1995</v>
      </c>
      <c r="S681">
        <v>1996</v>
      </c>
      <c r="T681">
        <v>1997</v>
      </c>
      <c r="U681">
        <v>1998</v>
      </c>
      <c r="V681">
        <v>1999</v>
      </c>
      <c r="W681">
        <v>2000</v>
      </c>
      <c r="X681">
        <v>2001</v>
      </c>
      <c r="Y681">
        <v>2002</v>
      </c>
      <c r="Z681">
        <v>2003</v>
      </c>
      <c r="AA681">
        <v>2004</v>
      </c>
      <c r="AB681">
        <v>2005</v>
      </c>
      <c r="AC681">
        <v>2006</v>
      </c>
      <c r="AD681">
        <v>2007</v>
      </c>
      <c r="AE681">
        <v>2008</v>
      </c>
      <c r="AF681">
        <v>2009</v>
      </c>
      <c r="AG681">
        <v>2010</v>
      </c>
      <c r="AH681">
        <v>2011</v>
      </c>
      <c r="AI681">
        <v>2012</v>
      </c>
      <c r="AJ681">
        <v>2013</v>
      </c>
      <c r="AK681">
        <v>2014</v>
      </c>
      <c r="AL681">
        <v>2015</v>
      </c>
      <c r="AM681">
        <v>2016</v>
      </c>
      <c r="AN681">
        <v>2017</v>
      </c>
      <c r="AO681">
        <v>2018</v>
      </c>
      <c r="AP681">
        <v>2019</v>
      </c>
      <c r="AQ681">
        <v>2020</v>
      </c>
      <c r="AR681">
        <v>2021</v>
      </c>
      <c r="AS681">
        <v>2022</v>
      </c>
      <c r="AT681">
        <v>2023</v>
      </c>
      <c r="AU681">
        <v>2024</v>
      </c>
    </row>
    <row r="682" spans="1:47" x14ac:dyDescent="0.2">
      <c r="B682" t="s">
        <v>100</v>
      </c>
    </row>
    <row r="683" spans="1:47" x14ac:dyDescent="0.2">
      <c r="B683" t="s">
        <v>300</v>
      </c>
      <c r="C683" t="s">
        <v>106</v>
      </c>
      <c r="D683" t="s">
        <v>288</v>
      </c>
      <c r="E683" t="s">
        <v>301</v>
      </c>
    </row>
    <row r="684" spans="1:47" x14ac:dyDescent="0.2">
      <c r="B684" t="s">
        <v>100</v>
      </c>
    </row>
    <row r="685" spans="1:47" x14ac:dyDescent="0.2">
      <c r="A685" s="3">
        <v>1979</v>
      </c>
      <c r="B685">
        <v>0.86900500000000003</v>
      </c>
      <c r="C685">
        <v>0.63020799999999999</v>
      </c>
      <c r="D685">
        <v>0.71022200000000002</v>
      </c>
      <c r="E685">
        <v>0.84298099999999998</v>
      </c>
      <c r="F685">
        <v>0.89535200000000004</v>
      </c>
      <c r="G685">
        <v>0.95418499999999995</v>
      </c>
      <c r="H685">
        <v>1.06009</v>
      </c>
      <c r="I685">
        <v>1.12974</v>
      </c>
      <c r="J685">
        <v>1.12974</v>
      </c>
      <c r="K685">
        <v>1.12974</v>
      </c>
      <c r="L685">
        <v>1.12974</v>
      </c>
      <c r="M685">
        <v>1.12974</v>
      </c>
      <c r="N685" t="s">
        <v>99</v>
      </c>
    </row>
    <row r="686" spans="1:47" x14ac:dyDescent="0.2">
      <c r="A686" s="3">
        <f t="shared" ref="A686:A730" si="0">A685+1</f>
        <v>1980</v>
      </c>
      <c r="B686">
        <v>0.86900500000000003</v>
      </c>
      <c r="C686">
        <v>0.63020799999999999</v>
      </c>
      <c r="D686">
        <v>0.71022200000000002</v>
      </c>
      <c r="E686">
        <v>0.84298099999999998</v>
      </c>
      <c r="F686">
        <v>0.89535200000000004</v>
      </c>
      <c r="G686">
        <v>0.95418499999999995</v>
      </c>
      <c r="H686">
        <v>1.06009</v>
      </c>
      <c r="I686">
        <v>1.12974</v>
      </c>
      <c r="J686">
        <v>1.12974</v>
      </c>
      <c r="K686">
        <v>1.12974</v>
      </c>
      <c r="L686">
        <v>1.12974</v>
      </c>
      <c r="M686">
        <v>1.12974</v>
      </c>
      <c r="N686" t="s">
        <v>99</v>
      </c>
    </row>
    <row r="687" spans="1:47" x14ac:dyDescent="0.2">
      <c r="A687" s="3">
        <f t="shared" si="0"/>
        <v>1981</v>
      </c>
      <c r="B687">
        <v>0.86900500000000003</v>
      </c>
      <c r="C687">
        <v>0.63020799999999999</v>
      </c>
      <c r="D687">
        <v>0.71022200000000002</v>
      </c>
      <c r="E687">
        <v>0.84298099999999998</v>
      </c>
      <c r="F687">
        <v>0.89535200000000004</v>
      </c>
      <c r="G687">
        <v>0.95418499999999995</v>
      </c>
      <c r="H687">
        <v>1.06009</v>
      </c>
      <c r="I687">
        <v>1.12974</v>
      </c>
      <c r="J687">
        <v>1.12974</v>
      </c>
      <c r="K687">
        <v>1.12974</v>
      </c>
      <c r="L687">
        <v>1.12974</v>
      </c>
      <c r="M687">
        <v>1.12974</v>
      </c>
      <c r="N687" t="s">
        <v>99</v>
      </c>
      <c r="O687">
        <v>1981</v>
      </c>
      <c r="P687">
        <v>3</v>
      </c>
    </row>
    <row r="688" spans="1:47" x14ac:dyDescent="0.2">
      <c r="A688" s="3">
        <f t="shared" si="0"/>
        <v>1982</v>
      </c>
      <c r="B688">
        <v>0.86900500000000003</v>
      </c>
      <c r="C688">
        <v>0.63020799999999999</v>
      </c>
      <c r="D688">
        <v>0.71022200000000002</v>
      </c>
      <c r="E688">
        <v>0.84298099999999998</v>
      </c>
      <c r="F688">
        <v>0.89535200000000004</v>
      </c>
      <c r="G688">
        <v>0.95418499999999995</v>
      </c>
      <c r="H688">
        <v>1.06009</v>
      </c>
      <c r="I688">
        <v>1.12974</v>
      </c>
      <c r="J688">
        <v>1.12974</v>
      </c>
      <c r="K688">
        <v>1.12974</v>
      </c>
      <c r="L688">
        <v>1.12974</v>
      </c>
      <c r="M688">
        <v>1.12974</v>
      </c>
      <c r="N688" t="s">
        <v>99</v>
      </c>
      <c r="O688">
        <v>1982</v>
      </c>
      <c r="P688">
        <v>4</v>
      </c>
    </row>
    <row r="689" spans="1:31" x14ac:dyDescent="0.2">
      <c r="A689" s="3">
        <f t="shared" si="0"/>
        <v>1983</v>
      </c>
      <c r="B689">
        <v>0.86900500000000003</v>
      </c>
      <c r="C689">
        <v>0.63020799999999999</v>
      </c>
      <c r="D689">
        <v>0.71022200000000002</v>
      </c>
      <c r="E689">
        <v>0.84298099999999998</v>
      </c>
      <c r="F689">
        <v>0.89535200000000004</v>
      </c>
      <c r="G689">
        <v>0.95418499999999995</v>
      </c>
      <c r="H689">
        <v>1.06009</v>
      </c>
      <c r="I689">
        <v>1.12974</v>
      </c>
      <c r="J689">
        <v>1.12974</v>
      </c>
      <c r="K689">
        <v>1.12974</v>
      </c>
      <c r="L689">
        <v>1.12974</v>
      </c>
      <c r="M689">
        <v>1.12974</v>
      </c>
      <c r="N689" t="s">
        <v>99</v>
      </c>
      <c r="O689">
        <v>1983</v>
      </c>
      <c r="P689">
        <v>5</v>
      </c>
    </row>
    <row r="690" spans="1:31" x14ac:dyDescent="0.2">
      <c r="A690" s="3">
        <f t="shared" si="0"/>
        <v>1984</v>
      </c>
      <c r="B690">
        <v>0.86900500000000003</v>
      </c>
      <c r="C690">
        <v>0.63020799999999999</v>
      </c>
      <c r="D690">
        <v>0.71022200000000002</v>
      </c>
      <c r="E690">
        <v>0.84298099999999998</v>
      </c>
      <c r="F690">
        <v>0.89535200000000004</v>
      </c>
      <c r="G690">
        <v>0.95418499999999995</v>
      </c>
      <c r="H690">
        <v>1.06009</v>
      </c>
      <c r="I690">
        <v>1.12974</v>
      </c>
      <c r="J690">
        <v>1.12974</v>
      </c>
      <c r="K690">
        <v>1.12974</v>
      </c>
      <c r="L690">
        <v>1.12974</v>
      </c>
      <c r="M690">
        <v>1.12974</v>
      </c>
      <c r="N690" t="s">
        <v>99</v>
      </c>
      <c r="O690">
        <v>1984</v>
      </c>
      <c r="P690">
        <v>6</v>
      </c>
    </row>
    <row r="691" spans="1:31" x14ac:dyDescent="0.2">
      <c r="A691" s="3">
        <f t="shared" si="0"/>
        <v>1985</v>
      </c>
      <c r="B691">
        <v>0.86900500000000003</v>
      </c>
      <c r="C691">
        <v>0.63020799999999999</v>
      </c>
      <c r="D691">
        <v>0.71022200000000002</v>
      </c>
      <c r="E691">
        <v>0.84298099999999998</v>
      </c>
      <c r="F691">
        <v>0.89535200000000004</v>
      </c>
      <c r="G691">
        <v>0.95418499999999995</v>
      </c>
      <c r="H691">
        <v>1.06009</v>
      </c>
      <c r="I691">
        <v>1.12974</v>
      </c>
      <c r="J691">
        <v>1.12974</v>
      </c>
      <c r="K691">
        <v>1.12974</v>
      </c>
      <c r="L691">
        <v>1.12974</v>
      </c>
      <c r="M691">
        <v>1.12974</v>
      </c>
      <c r="N691" t="s">
        <v>99</v>
      </c>
      <c r="O691">
        <v>1985</v>
      </c>
      <c r="P691">
        <v>7</v>
      </c>
    </row>
    <row r="692" spans="1:31" x14ac:dyDescent="0.2">
      <c r="A692" s="3">
        <f t="shared" si="0"/>
        <v>1986</v>
      </c>
      <c r="B692">
        <v>0.86900500000000003</v>
      </c>
      <c r="C692">
        <v>0.63020799999999999</v>
      </c>
      <c r="D692">
        <v>0.71022200000000002</v>
      </c>
      <c r="E692">
        <v>0.84298099999999998</v>
      </c>
      <c r="F692">
        <v>0.89535200000000004</v>
      </c>
      <c r="G692">
        <v>0.95418499999999995</v>
      </c>
      <c r="H692">
        <v>1.06009</v>
      </c>
      <c r="I692">
        <v>1.12974</v>
      </c>
      <c r="J692">
        <v>1.12974</v>
      </c>
      <c r="K692">
        <v>1.12974</v>
      </c>
      <c r="L692">
        <v>1.12974</v>
      </c>
      <c r="M692">
        <v>1.12974</v>
      </c>
      <c r="N692" t="s">
        <v>99</v>
      </c>
      <c r="O692">
        <v>1986</v>
      </c>
      <c r="P692">
        <v>8</v>
      </c>
    </row>
    <row r="693" spans="1:31" x14ac:dyDescent="0.2">
      <c r="A693" s="3">
        <f t="shared" si="0"/>
        <v>1987</v>
      </c>
      <c r="B693">
        <v>0.86900500000000003</v>
      </c>
      <c r="C693">
        <v>0.63020799999999999</v>
      </c>
      <c r="D693">
        <v>0.71022200000000002</v>
      </c>
      <c r="E693">
        <v>0.84298099999999998</v>
      </c>
      <c r="F693">
        <v>0.89535200000000004</v>
      </c>
      <c r="G693">
        <v>0.95418499999999995</v>
      </c>
      <c r="H693">
        <v>1.06009</v>
      </c>
      <c r="I693">
        <v>1.12974</v>
      </c>
      <c r="J693">
        <v>1.12974</v>
      </c>
      <c r="K693">
        <v>1.12974</v>
      </c>
      <c r="L693">
        <v>1.12974</v>
      </c>
      <c r="M693">
        <v>1.12974</v>
      </c>
      <c r="N693" t="s">
        <v>99</v>
      </c>
      <c r="O693">
        <v>1987</v>
      </c>
      <c r="P693">
        <v>9</v>
      </c>
    </row>
    <row r="694" spans="1:31" x14ac:dyDescent="0.2">
      <c r="A694" s="3">
        <f t="shared" si="0"/>
        <v>1988</v>
      </c>
      <c r="B694">
        <v>0.86900500000000003</v>
      </c>
      <c r="C694">
        <v>0.63020799999999999</v>
      </c>
      <c r="D694">
        <v>0.71022200000000002</v>
      </c>
      <c r="E694">
        <v>0.84298099999999998</v>
      </c>
      <c r="F694">
        <v>0.89535200000000004</v>
      </c>
      <c r="G694">
        <v>0.95418499999999995</v>
      </c>
      <c r="H694">
        <v>1.06009</v>
      </c>
      <c r="I694">
        <v>1.12974</v>
      </c>
      <c r="J694">
        <v>1.12974</v>
      </c>
      <c r="K694">
        <v>1.12974</v>
      </c>
      <c r="L694">
        <v>1.12974</v>
      </c>
      <c r="M694">
        <v>1.12974</v>
      </c>
      <c r="N694" t="s">
        <v>99</v>
      </c>
      <c r="O694">
        <v>1988</v>
      </c>
      <c r="P694">
        <v>10</v>
      </c>
    </row>
    <row r="695" spans="1:31" x14ac:dyDescent="0.2">
      <c r="A695" s="3">
        <f t="shared" si="0"/>
        <v>1989</v>
      </c>
      <c r="B695">
        <v>0.86900500000000003</v>
      </c>
      <c r="C695">
        <v>0.63020799999999999</v>
      </c>
      <c r="D695">
        <v>0.71022200000000002</v>
      </c>
      <c r="E695">
        <v>0.84298099999999998</v>
      </c>
      <c r="F695">
        <v>0.89535200000000004</v>
      </c>
      <c r="G695">
        <v>0.95418499999999995</v>
      </c>
      <c r="H695">
        <v>1.06009</v>
      </c>
      <c r="I695">
        <v>1.12974</v>
      </c>
      <c r="J695">
        <v>1.12974</v>
      </c>
      <c r="K695">
        <v>1.12974</v>
      </c>
      <c r="L695">
        <v>1.12974</v>
      </c>
      <c r="M695">
        <v>1.12974</v>
      </c>
      <c r="N695" t="s">
        <v>99</v>
      </c>
      <c r="O695">
        <v>1989</v>
      </c>
      <c r="P695">
        <v>11</v>
      </c>
    </row>
    <row r="696" spans="1:31" x14ac:dyDescent="0.2">
      <c r="A696" s="3">
        <f t="shared" si="0"/>
        <v>1990</v>
      </c>
      <c r="B696">
        <v>0.86900500000000003</v>
      </c>
      <c r="C696">
        <v>0.63020799999999999</v>
      </c>
      <c r="D696">
        <v>0.71022200000000002</v>
      </c>
      <c r="E696">
        <v>0.84298099999999998</v>
      </c>
      <c r="F696">
        <v>0.89535200000000004</v>
      </c>
      <c r="G696">
        <v>0.95418499999999995</v>
      </c>
      <c r="H696">
        <v>1.06009</v>
      </c>
      <c r="I696">
        <v>1.12974</v>
      </c>
      <c r="J696">
        <v>1.12974</v>
      </c>
      <c r="K696">
        <v>1.12974</v>
      </c>
      <c r="L696">
        <v>1.12974</v>
      </c>
      <c r="M696">
        <v>1.12974</v>
      </c>
      <c r="N696" t="s">
        <v>99</v>
      </c>
      <c r="O696">
        <v>1990</v>
      </c>
      <c r="P696">
        <v>12</v>
      </c>
    </row>
    <row r="697" spans="1:31" x14ac:dyDescent="0.2">
      <c r="A697" s="3">
        <f t="shared" si="0"/>
        <v>1991</v>
      </c>
      <c r="B697">
        <v>0.86900500000000003</v>
      </c>
      <c r="C697">
        <v>0.63020799999999999</v>
      </c>
      <c r="D697">
        <v>0.71022200000000002</v>
      </c>
      <c r="E697">
        <v>0.84298099999999998</v>
      </c>
      <c r="F697">
        <v>0.89535200000000004</v>
      </c>
      <c r="G697">
        <v>0.95418499999999995</v>
      </c>
      <c r="H697">
        <v>1.06009</v>
      </c>
      <c r="I697">
        <v>1.12974</v>
      </c>
      <c r="J697">
        <v>1.12974</v>
      </c>
      <c r="K697">
        <v>1.12974</v>
      </c>
      <c r="L697">
        <v>1.12974</v>
      </c>
      <c r="M697">
        <v>1.12974</v>
      </c>
      <c r="N697" t="s">
        <v>99</v>
      </c>
      <c r="O697">
        <v>1991</v>
      </c>
      <c r="P697">
        <v>13</v>
      </c>
    </row>
    <row r="698" spans="1:31" x14ac:dyDescent="0.2">
      <c r="A698" s="3">
        <f t="shared" si="0"/>
        <v>1992</v>
      </c>
      <c r="B698">
        <v>0.86900500000000003</v>
      </c>
      <c r="C698">
        <v>0.63020799999999999</v>
      </c>
      <c r="D698">
        <v>0.71022200000000002</v>
      </c>
      <c r="E698">
        <v>0.84298099999999998</v>
      </c>
      <c r="F698">
        <v>0.89535200000000004</v>
      </c>
      <c r="G698">
        <v>0.95418499999999995</v>
      </c>
      <c r="H698">
        <v>1.06009</v>
      </c>
      <c r="I698">
        <v>1.12974</v>
      </c>
      <c r="J698">
        <v>1.12974</v>
      </c>
      <c r="K698">
        <v>1.12974</v>
      </c>
      <c r="L698">
        <v>1.12974</v>
      </c>
      <c r="M698">
        <v>1.12974</v>
      </c>
      <c r="N698" t="s">
        <v>99</v>
      </c>
      <c r="O698">
        <v>1992</v>
      </c>
      <c r="P698">
        <v>14</v>
      </c>
    </row>
    <row r="699" spans="1:31" x14ac:dyDescent="0.2">
      <c r="A699" s="3">
        <f t="shared" si="0"/>
        <v>1993</v>
      </c>
      <c r="B699">
        <v>0.86900500000000003</v>
      </c>
      <c r="C699">
        <v>0.63020799999999999</v>
      </c>
      <c r="D699">
        <v>0.71022200000000002</v>
      </c>
      <c r="E699">
        <v>0.84298099999999998</v>
      </c>
      <c r="F699">
        <v>0.89535200000000004</v>
      </c>
      <c r="G699">
        <v>0.95418499999999995</v>
      </c>
      <c r="H699">
        <v>1.06009</v>
      </c>
      <c r="I699">
        <v>1.12974</v>
      </c>
      <c r="J699">
        <v>1.12974</v>
      </c>
      <c r="K699">
        <v>1.12974</v>
      </c>
      <c r="L699">
        <v>1.12974</v>
      </c>
      <c r="M699">
        <v>1.12974</v>
      </c>
      <c r="N699" t="s">
        <v>99</v>
      </c>
      <c r="O699">
        <v>1993</v>
      </c>
      <c r="P699">
        <v>15</v>
      </c>
    </row>
    <row r="700" spans="1:31" x14ac:dyDescent="0.2">
      <c r="A700" s="3">
        <f t="shared" si="0"/>
        <v>1994</v>
      </c>
      <c r="B700">
        <v>0.76131599999999999</v>
      </c>
      <c r="C700">
        <v>0.64307000000000003</v>
      </c>
      <c r="D700">
        <v>0.65088500000000005</v>
      </c>
      <c r="E700">
        <v>0.77990300000000001</v>
      </c>
      <c r="F700">
        <v>0.88745600000000002</v>
      </c>
      <c r="G700">
        <v>0.92792200000000002</v>
      </c>
      <c r="H700">
        <v>1.02352</v>
      </c>
      <c r="I700">
        <v>1.16574</v>
      </c>
      <c r="J700">
        <v>1.16574</v>
      </c>
      <c r="K700">
        <v>1.16574</v>
      </c>
      <c r="L700">
        <v>1.16574</v>
      </c>
      <c r="M700">
        <v>1.16574</v>
      </c>
      <c r="N700" t="s">
        <v>99</v>
      </c>
      <c r="O700">
        <v>1994</v>
      </c>
      <c r="P700">
        <v>16</v>
      </c>
      <c r="Q700">
        <v>0.74640200000000001</v>
      </c>
      <c r="R700">
        <v>0.62467099999999998</v>
      </c>
      <c r="S700">
        <v>0.63057799999999997</v>
      </c>
      <c r="T700">
        <v>0.74808699999999995</v>
      </c>
      <c r="U700">
        <v>0.85128800000000004</v>
      </c>
      <c r="V700">
        <v>0.89592899999999998</v>
      </c>
      <c r="W700">
        <v>1.0105200000000001</v>
      </c>
      <c r="X700">
        <v>1.1865699999999999</v>
      </c>
      <c r="Y700">
        <v>1.1865699999999999</v>
      </c>
      <c r="Z700">
        <v>1.1865699999999999</v>
      </c>
      <c r="AA700">
        <v>1.1865699999999999</v>
      </c>
      <c r="AB700">
        <v>1.1865699999999999</v>
      </c>
      <c r="AC700">
        <v>1.1865699999999999</v>
      </c>
      <c r="AD700">
        <v>1.1865699999999999</v>
      </c>
      <c r="AE700">
        <v>1.1865699999999999</v>
      </c>
    </row>
    <row r="701" spans="1:31" x14ac:dyDescent="0.2">
      <c r="A701" s="3">
        <f t="shared" si="0"/>
        <v>1995</v>
      </c>
      <c r="B701">
        <v>0.72409800000000002</v>
      </c>
      <c r="C701">
        <v>0.64948600000000001</v>
      </c>
      <c r="D701">
        <v>0.66015199999999996</v>
      </c>
      <c r="E701">
        <v>0.77225600000000005</v>
      </c>
      <c r="F701">
        <v>0.87459699999999996</v>
      </c>
      <c r="G701">
        <v>0.93091400000000002</v>
      </c>
      <c r="H701">
        <v>1.0318700000000001</v>
      </c>
      <c r="I701">
        <v>1.1695800000000001</v>
      </c>
      <c r="J701">
        <v>1.1695800000000001</v>
      </c>
      <c r="K701">
        <v>1.1695800000000001</v>
      </c>
      <c r="L701">
        <v>1.1695800000000001</v>
      </c>
      <c r="M701">
        <v>1.1695800000000001</v>
      </c>
      <c r="N701" t="s">
        <v>99</v>
      </c>
      <c r="O701">
        <v>1995</v>
      </c>
      <c r="P701">
        <v>17</v>
      </c>
      <c r="Q701">
        <v>0.71042799999999995</v>
      </c>
      <c r="R701">
        <v>0.63249599999999995</v>
      </c>
      <c r="S701">
        <v>0.63983500000000004</v>
      </c>
      <c r="T701">
        <v>0.73839999999999995</v>
      </c>
      <c r="U701">
        <v>0.83388200000000001</v>
      </c>
      <c r="V701">
        <v>0.89690800000000004</v>
      </c>
      <c r="W701">
        <v>1.0183599999999999</v>
      </c>
      <c r="X701">
        <v>1.1912100000000001</v>
      </c>
      <c r="Y701">
        <v>1.1912100000000001</v>
      </c>
      <c r="Z701">
        <v>1.1912100000000001</v>
      </c>
      <c r="AA701">
        <v>1.1912100000000001</v>
      </c>
      <c r="AB701">
        <v>1.1912100000000001</v>
      </c>
      <c r="AC701">
        <v>1.1912100000000001</v>
      </c>
      <c r="AD701">
        <v>1.1912100000000001</v>
      </c>
      <c r="AE701">
        <v>1.1912100000000001</v>
      </c>
    </row>
    <row r="702" spans="1:31" x14ac:dyDescent="0.2">
      <c r="A702" s="3">
        <f t="shared" si="0"/>
        <v>1996</v>
      </c>
      <c r="B702">
        <v>0.69178499999999998</v>
      </c>
      <c r="C702">
        <v>0.65265899999999999</v>
      </c>
      <c r="D702">
        <v>0.66103800000000001</v>
      </c>
      <c r="E702">
        <v>0.76958000000000004</v>
      </c>
      <c r="F702">
        <v>0.86802000000000001</v>
      </c>
      <c r="G702">
        <v>0.92784199999999994</v>
      </c>
      <c r="H702">
        <v>1.0338799999999999</v>
      </c>
      <c r="I702">
        <v>1.1744000000000001</v>
      </c>
      <c r="J702">
        <v>1.1744000000000001</v>
      </c>
      <c r="K702">
        <v>1.1744000000000001</v>
      </c>
      <c r="L702">
        <v>1.1744000000000001</v>
      </c>
      <c r="M702">
        <v>1.1744000000000001</v>
      </c>
      <c r="N702" t="s">
        <v>99</v>
      </c>
      <c r="O702">
        <v>1996</v>
      </c>
      <c r="P702">
        <v>18</v>
      </c>
      <c r="Q702">
        <v>0.67926500000000001</v>
      </c>
      <c r="R702">
        <v>0.63694300000000004</v>
      </c>
      <c r="S702">
        <v>0.64192899999999997</v>
      </c>
      <c r="T702">
        <v>0.732711</v>
      </c>
      <c r="U702">
        <v>0.82209500000000002</v>
      </c>
      <c r="V702">
        <v>0.89134000000000002</v>
      </c>
      <c r="W702">
        <v>1.01831</v>
      </c>
      <c r="X702">
        <v>1.1971799999999999</v>
      </c>
      <c r="Y702">
        <v>1.1971799999999999</v>
      </c>
      <c r="Z702">
        <v>1.1971799999999999</v>
      </c>
      <c r="AA702">
        <v>1.1971799999999999</v>
      </c>
      <c r="AB702">
        <v>1.1971799999999999</v>
      </c>
      <c r="AC702">
        <v>1.1971799999999999</v>
      </c>
      <c r="AD702">
        <v>1.1971799999999999</v>
      </c>
      <c r="AE702">
        <v>1.1971799999999999</v>
      </c>
    </row>
    <row r="703" spans="1:31" x14ac:dyDescent="0.2">
      <c r="A703" s="3">
        <f t="shared" si="0"/>
        <v>1997</v>
      </c>
      <c r="B703">
        <v>0.66487499999999999</v>
      </c>
      <c r="C703">
        <v>0.67630199999999996</v>
      </c>
      <c r="D703">
        <v>0.67966400000000005</v>
      </c>
      <c r="E703">
        <v>0.76796500000000001</v>
      </c>
      <c r="F703">
        <v>0.87595199999999995</v>
      </c>
      <c r="G703">
        <v>0.92846300000000004</v>
      </c>
      <c r="H703">
        <v>1.0401400000000001</v>
      </c>
      <c r="I703">
        <v>1.17083</v>
      </c>
      <c r="J703">
        <v>1.17083</v>
      </c>
      <c r="K703">
        <v>1.17083</v>
      </c>
      <c r="L703">
        <v>1.17083</v>
      </c>
      <c r="M703">
        <v>1.17083</v>
      </c>
      <c r="N703" t="s">
        <v>99</v>
      </c>
      <c r="O703">
        <v>1997</v>
      </c>
      <c r="P703">
        <v>19</v>
      </c>
      <c r="Q703">
        <v>0.65449199999999996</v>
      </c>
      <c r="R703">
        <v>0.66133600000000003</v>
      </c>
      <c r="S703">
        <v>0.66392600000000002</v>
      </c>
      <c r="T703">
        <v>0.73830700000000005</v>
      </c>
      <c r="U703">
        <v>0.82877800000000001</v>
      </c>
      <c r="V703">
        <v>0.89507000000000003</v>
      </c>
      <c r="W703">
        <v>1.0281199999999999</v>
      </c>
      <c r="X703">
        <v>1.1912499999999999</v>
      </c>
      <c r="Y703">
        <v>1.1912499999999999</v>
      </c>
      <c r="Z703">
        <v>1.1912499999999999</v>
      </c>
      <c r="AA703">
        <v>1.1912499999999999</v>
      </c>
      <c r="AB703">
        <v>1.1912499999999999</v>
      </c>
      <c r="AC703">
        <v>1.1912499999999999</v>
      </c>
      <c r="AD703">
        <v>1.1912499999999999</v>
      </c>
      <c r="AE703">
        <v>1.1912499999999999</v>
      </c>
    </row>
    <row r="704" spans="1:31" x14ac:dyDescent="0.2">
      <c r="A704" s="3">
        <f t="shared" si="0"/>
        <v>1998</v>
      </c>
      <c r="B704">
        <v>0.63924300000000001</v>
      </c>
      <c r="C704">
        <v>0.65710400000000002</v>
      </c>
      <c r="D704">
        <v>0.71465599999999996</v>
      </c>
      <c r="E704">
        <v>0.80069999999999997</v>
      </c>
      <c r="F704">
        <v>0.88021499999999997</v>
      </c>
      <c r="G704">
        <v>0.93790099999999998</v>
      </c>
      <c r="H704">
        <v>1.05792</v>
      </c>
      <c r="I704">
        <v>1.1640299999999999</v>
      </c>
      <c r="J704">
        <v>1.1640299999999999</v>
      </c>
      <c r="K704">
        <v>1.1640299999999999</v>
      </c>
      <c r="L704">
        <v>1.1640299999999999</v>
      </c>
      <c r="M704">
        <v>1.1640299999999999</v>
      </c>
      <c r="N704" t="s">
        <v>99</v>
      </c>
      <c r="O704">
        <v>1998</v>
      </c>
      <c r="P704">
        <v>20</v>
      </c>
      <c r="Q704">
        <v>0.63266500000000003</v>
      </c>
      <c r="R704">
        <v>0.64795800000000003</v>
      </c>
      <c r="S704">
        <v>0.70513599999999999</v>
      </c>
      <c r="T704">
        <v>0.77996699999999997</v>
      </c>
      <c r="U704">
        <v>0.84719599999999995</v>
      </c>
      <c r="V704">
        <v>0.91582799999999998</v>
      </c>
      <c r="W704">
        <v>1.0540400000000001</v>
      </c>
      <c r="X704">
        <v>1.1771499999999999</v>
      </c>
      <c r="Y704">
        <v>1.1771499999999999</v>
      </c>
      <c r="Z704">
        <v>1.1771499999999999</v>
      </c>
      <c r="AA704">
        <v>1.1771499999999999</v>
      </c>
      <c r="AB704">
        <v>1.1771499999999999</v>
      </c>
      <c r="AC704">
        <v>1.1771499999999999</v>
      </c>
      <c r="AD704">
        <v>1.1771499999999999</v>
      </c>
      <c r="AE704">
        <v>1.1771499999999999</v>
      </c>
    </row>
    <row r="705" spans="1:31" x14ac:dyDescent="0.2">
      <c r="A705" s="3">
        <f t="shared" si="0"/>
        <v>1999</v>
      </c>
      <c r="B705">
        <v>0.61571699999999996</v>
      </c>
      <c r="C705">
        <v>0.63418399999999997</v>
      </c>
      <c r="D705">
        <v>0.74968900000000005</v>
      </c>
      <c r="E705">
        <v>0.83624900000000002</v>
      </c>
      <c r="F705">
        <v>0.88853400000000005</v>
      </c>
      <c r="G705">
        <v>0.93882699999999997</v>
      </c>
      <c r="H705">
        <v>1.0768800000000001</v>
      </c>
      <c r="I705">
        <v>1.1574899999999999</v>
      </c>
      <c r="J705">
        <v>1.1574899999999999</v>
      </c>
      <c r="K705">
        <v>1.1574899999999999</v>
      </c>
      <c r="L705">
        <v>1.1574899999999999</v>
      </c>
      <c r="M705">
        <v>1.1574899999999999</v>
      </c>
      <c r="N705" t="s">
        <v>99</v>
      </c>
      <c r="O705">
        <v>1999</v>
      </c>
      <c r="P705">
        <v>21</v>
      </c>
      <c r="Q705">
        <v>0.61269099999999999</v>
      </c>
      <c r="R705">
        <v>0.62997499999999995</v>
      </c>
      <c r="S705">
        <v>0.74832600000000005</v>
      </c>
      <c r="T705">
        <v>0.825569</v>
      </c>
      <c r="U705">
        <v>0.86741299999999999</v>
      </c>
      <c r="V705">
        <v>0.92850900000000003</v>
      </c>
      <c r="W705">
        <v>1.08152</v>
      </c>
      <c r="X705">
        <v>1.1632499999999999</v>
      </c>
      <c r="Y705">
        <v>1.1632499999999999</v>
      </c>
      <c r="Z705">
        <v>1.1632499999999999</v>
      </c>
      <c r="AA705">
        <v>1.1632499999999999</v>
      </c>
      <c r="AB705">
        <v>1.1632499999999999</v>
      </c>
      <c r="AC705">
        <v>1.1632499999999999</v>
      </c>
      <c r="AD705">
        <v>1.1632499999999999</v>
      </c>
      <c r="AE705">
        <v>1.1632499999999999</v>
      </c>
    </row>
    <row r="706" spans="1:31" x14ac:dyDescent="0.2">
      <c r="A706" s="3">
        <f t="shared" si="0"/>
        <v>2000</v>
      </c>
      <c r="B706">
        <v>0.59648299999999999</v>
      </c>
      <c r="C706">
        <v>0.61673800000000001</v>
      </c>
      <c r="D706">
        <v>0.745309</v>
      </c>
      <c r="E706">
        <v>0.87667399999999995</v>
      </c>
      <c r="F706">
        <v>0.89858300000000002</v>
      </c>
      <c r="G706">
        <v>0.95596000000000003</v>
      </c>
      <c r="H706">
        <v>1.06698</v>
      </c>
      <c r="I706">
        <v>1.15541</v>
      </c>
      <c r="J706">
        <v>1.15541</v>
      </c>
      <c r="K706">
        <v>1.15541</v>
      </c>
      <c r="L706">
        <v>1.15541</v>
      </c>
      <c r="M706">
        <v>1.15541</v>
      </c>
      <c r="N706" t="s">
        <v>99</v>
      </c>
      <c r="O706">
        <v>2000</v>
      </c>
      <c r="P706">
        <v>22</v>
      </c>
      <c r="Q706">
        <v>0.59710700000000005</v>
      </c>
      <c r="R706">
        <v>0.615568</v>
      </c>
      <c r="S706">
        <v>0.74443700000000002</v>
      </c>
      <c r="T706">
        <v>0.86548800000000004</v>
      </c>
      <c r="U706">
        <v>0.88376699999999997</v>
      </c>
      <c r="V706">
        <v>0.952102</v>
      </c>
      <c r="W706">
        <v>1.07125</v>
      </c>
      <c r="X706">
        <v>1.1587799999999999</v>
      </c>
      <c r="Y706">
        <v>1.1587799999999999</v>
      </c>
      <c r="Z706">
        <v>1.1587799999999999</v>
      </c>
      <c r="AA706">
        <v>1.1587799999999999</v>
      </c>
      <c r="AB706">
        <v>1.1587799999999999</v>
      </c>
      <c r="AC706">
        <v>1.1587799999999999</v>
      </c>
      <c r="AD706">
        <v>1.1587799999999999</v>
      </c>
      <c r="AE706">
        <v>1.1587799999999999</v>
      </c>
    </row>
    <row r="707" spans="1:31" x14ac:dyDescent="0.2">
      <c r="A707" s="3">
        <f t="shared" si="0"/>
        <v>2001</v>
      </c>
      <c r="B707">
        <v>0.58165100000000003</v>
      </c>
      <c r="C707">
        <v>0.62747600000000003</v>
      </c>
      <c r="D707">
        <v>0.75420600000000004</v>
      </c>
      <c r="E707">
        <v>0.87245099999999998</v>
      </c>
      <c r="F707">
        <v>0.91715599999999997</v>
      </c>
      <c r="G707">
        <v>0.97903899999999999</v>
      </c>
      <c r="H707">
        <v>1.0750500000000001</v>
      </c>
      <c r="I707">
        <v>1.1491199999999999</v>
      </c>
      <c r="J707">
        <v>1.1491199999999999</v>
      </c>
      <c r="K707">
        <v>1.1491199999999999</v>
      </c>
      <c r="L707">
        <v>1.1491199999999999</v>
      </c>
      <c r="M707">
        <v>1.1491199999999999</v>
      </c>
      <c r="N707" t="s">
        <v>99</v>
      </c>
      <c r="O707">
        <v>2001</v>
      </c>
      <c r="P707">
        <v>23</v>
      </c>
      <c r="Q707">
        <v>0.58635199999999998</v>
      </c>
      <c r="R707">
        <v>0.63256100000000004</v>
      </c>
      <c r="S707">
        <v>0.75847699999999996</v>
      </c>
      <c r="T707">
        <v>0.87033799999999995</v>
      </c>
      <c r="U707">
        <v>0.91339800000000004</v>
      </c>
      <c r="V707">
        <v>0.983178</v>
      </c>
      <c r="W707">
        <v>1.0801099999999999</v>
      </c>
      <c r="X707">
        <v>1.1469499999999999</v>
      </c>
      <c r="Y707">
        <v>1.1469499999999999</v>
      </c>
      <c r="Z707">
        <v>1.1469499999999999</v>
      </c>
      <c r="AA707">
        <v>1.1469499999999999</v>
      </c>
      <c r="AB707">
        <v>1.1469499999999999</v>
      </c>
      <c r="AC707">
        <v>1.1469499999999999</v>
      </c>
      <c r="AD707">
        <v>1.1469499999999999</v>
      </c>
      <c r="AE707">
        <v>1.1469499999999999</v>
      </c>
    </row>
    <row r="708" spans="1:31" x14ac:dyDescent="0.2">
      <c r="A708" s="3">
        <f t="shared" si="0"/>
        <v>2002</v>
      </c>
      <c r="B708">
        <v>0.56942400000000004</v>
      </c>
      <c r="C708">
        <v>0.62770300000000001</v>
      </c>
      <c r="D708">
        <v>0.76673999999999998</v>
      </c>
      <c r="E708">
        <v>0.87678400000000001</v>
      </c>
      <c r="F708">
        <v>0.93181099999999994</v>
      </c>
      <c r="G708">
        <v>0.998695</v>
      </c>
      <c r="H708">
        <v>1.08457</v>
      </c>
      <c r="I708">
        <v>1.14303</v>
      </c>
      <c r="J708">
        <v>1.14303</v>
      </c>
      <c r="K708">
        <v>1.14303</v>
      </c>
      <c r="L708">
        <v>1.14303</v>
      </c>
      <c r="M708">
        <v>1.14303</v>
      </c>
      <c r="N708" t="s">
        <v>99</v>
      </c>
      <c r="O708">
        <v>2002</v>
      </c>
      <c r="P708">
        <v>24</v>
      </c>
      <c r="Q708">
        <v>0.57796599999999998</v>
      </c>
      <c r="R708">
        <v>0.63912100000000005</v>
      </c>
      <c r="S708">
        <v>0.77690300000000001</v>
      </c>
      <c r="T708">
        <v>0.88322900000000004</v>
      </c>
      <c r="U708">
        <v>0.93845599999999996</v>
      </c>
      <c r="V708">
        <v>1.01214</v>
      </c>
      <c r="W708">
        <v>1.09111</v>
      </c>
      <c r="X708">
        <v>1.13513</v>
      </c>
      <c r="Y708">
        <v>1.13513</v>
      </c>
      <c r="Z708">
        <v>1.13513</v>
      </c>
      <c r="AA708">
        <v>1.13513</v>
      </c>
      <c r="AB708">
        <v>1.13513</v>
      </c>
      <c r="AC708">
        <v>1.13513</v>
      </c>
      <c r="AD708">
        <v>1.13513</v>
      </c>
      <c r="AE708">
        <v>1.13513</v>
      </c>
    </row>
    <row r="709" spans="1:31" x14ac:dyDescent="0.2">
      <c r="A709" s="3">
        <f t="shared" si="0"/>
        <v>2003</v>
      </c>
      <c r="B709">
        <v>0.55832899999999996</v>
      </c>
      <c r="C709">
        <v>0.59519900000000003</v>
      </c>
      <c r="D709">
        <v>0.725935</v>
      </c>
      <c r="E709">
        <v>0.89097800000000005</v>
      </c>
      <c r="F709">
        <v>0.961314</v>
      </c>
      <c r="G709">
        <v>1.0143899999999999</v>
      </c>
      <c r="H709">
        <v>1.0885899999999999</v>
      </c>
      <c r="I709">
        <v>1.1456599999999999</v>
      </c>
      <c r="J709">
        <v>1.1456599999999999</v>
      </c>
      <c r="K709">
        <v>1.1456599999999999</v>
      </c>
      <c r="L709">
        <v>1.1456599999999999</v>
      </c>
      <c r="M709">
        <v>1.1456599999999999</v>
      </c>
      <c r="N709" t="s">
        <v>99</v>
      </c>
      <c r="O709">
        <v>2003</v>
      </c>
      <c r="P709">
        <v>25</v>
      </c>
      <c r="Q709">
        <v>0.57009799999999999</v>
      </c>
      <c r="R709">
        <v>0.605765</v>
      </c>
      <c r="S709">
        <v>0.735815</v>
      </c>
      <c r="T709">
        <v>0.90012000000000003</v>
      </c>
      <c r="U709">
        <v>0.97194100000000005</v>
      </c>
      <c r="V709">
        <v>1.0282899999999999</v>
      </c>
      <c r="W709">
        <v>1.0939000000000001</v>
      </c>
      <c r="X709">
        <v>1.13676</v>
      </c>
      <c r="Y709">
        <v>1.13676</v>
      </c>
      <c r="Z709">
        <v>1.13676</v>
      </c>
      <c r="AA709">
        <v>1.13676</v>
      </c>
      <c r="AB709">
        <v>1.13676</v>
      </c>
      <c r="AC709">
        <v>1.13676</v>
      </c>
      <c r="AD709">
        <v>1.13676</v>
      </c>
      <c r="AE709">
        <v>1.13676</v>
      </c>
    </row>
    <row r="710" spans="1:31" x14ac:dyDescent="0.2">
      <c r="A710" s="3">
        <f t="shared" si="0"/>
        <v>2004</v>
      </c>
      <c r="B710">
        <v>0.55006100000000002</v>
      </c>
      <c r="C710">
        <v>0.55432599999999999</v>
      </c>
      <c r="D710">
        <v>0.68662800000000002</v>
      </c>
      <c r="E710">
        <v>0.917736</v>
      </c>
      <c r="F710">
        <v>0.98941199999999996</v>
      </c>
      <c r="G710">
        <v>1.0260199999999999</v>
      </c>
      <c r="H710">
        <v>1.0928599999999999</v>
      </c>
      <c r="I710">
        <v>1.1478699999999999</v>
      </c>
      <c r="J710">
        <v>1.1478699999999999</v>
      </c>
      <c r="K710">
        <v>1.1478699999999999</v>
      </c>
      <c r="L710">
        <v>1.1478699999999999</v>
      </c>
      <c r="M710">
        <v>1.1478699999999999</v>
      </c>
      <c r="N710" t="s">
        <v>99</v>
      </c>
      <c r="O710">
        <v>2004</v>
      </c>
      <c r="P710">
        <v>26</v>
      </c>
      <c r="Q710">
        <v>0.564994</v>
      </c>
      <c r="R710">
        <v>0.56405499999999997</v>
      </c>
      <c r="S710">
        <v>0.69623500000000005</v>
      </c>
      <c r="T710">
        <v>0.92947500000000005</v>
      </c>
      <c r="U710">
        <v>1.0037400000000001</v>
      </c>
      <c r="V710">
        <v>1.04159</v>
      </c>
      <c r="W710">
        <v>1.0974600000000001</v>
      </c>
      <c r="X710">
        <v>1.13781</v>
      </c>
      <c r="Y710">
        <v>1.13781</v>
      </c>
      <c r="Z710">
        <v>1.13781</v>
      </c>
      <c r="AA710">
        <v>1.13781</v>
      </c>
      <c r="AB710">
        <v>1.13781</v>
      </c>
      <c r="AC710">
        <v>1.13781</v>
      </c>
      <c r="AD710">
        <v>1.13781</v>
      </c>
      <c r="AE710">
        <v>1.13781</v>
      </c>
    </row>
    <row r="711" spans="1:31" x14ac:dyDescent="0.2">
      <c r="A711" s="3">
        <f t="shared" si="0"/>
        <v>2005</v>
      </c>
      <c r="B711">
        <v>0.54841399999999996</v>
      </c>
      <c r="C711">
        <v>0.57020800000000005</v>
      </c>
      <c r="D711">
        <v>0.68357900000000005</v>
      </c>
      <c r="E711">
        <v>0.85931400000000002</v>
      </c>
      <c r="F711">
        <v>0.95533000000000001</v>
      </c>
      <c r="G711">
        <v>1.0203500000000001</v>
      </c>
      <c r="H711">
        <v>1.0967</v>
      </c>
      <c r="I711">
        <v>1.1582600000000001</v>
      </c>
      <c r="J711">
        <v>1.1582600000000001</v>
      </c>
      <c r="K711">
        <v>1.1582600000000001</v>
      </c>
      <c r="L711">
        <v>1.1582600000000001</v>
      </c>
      <c r="M711">
        <v>1.1582600000000001</v>
      </c>
      <c r="N711" t="s">
        <v>99</v>
      </c>
      <c r="O711">
        <v>2005</v>
      </c>
      <c r="P711">
        <v>27</v>
      </c>
      <c r="Q711">
        <v>0.56639600000000001</v>
      </c>
      <c r="R711">
        <v>0.58068699999999995</v>
      </c>
      <c r="S711">
        <v>0.69511500000000004</v>
      </c>
      <c r="T711">
        <v>0.87821700000000003</v>
      </c>
      <c r="U711">
        <v>0.97980800000000001</v>
      </c>
      <c r="V711">
        <v>1.04121</v>
      </c>
      <c r="W711">
        <v>1.1004700000000001</v>
      </c>
      <c r="X711">
        <v>1.14476</v>
      </c>
      <c r="Y711">
        <v>1.14476</v>
      </c>
      <c r="Z711">
        <v>1.14476</v>
      </c>
      <c r="AA711">
        <v>1.14476</v>
      </c>
      <c r="AB711">
        <v>1.14476</v>
      </c>
      <c r="AC711">
        <v>1.14476</v>
      </c>
      <c r="AD711">
        <v>1.14476</v>
      </c>
      <c r="AE711">
        <v>1.14476</v>
      </c>
    </row>
    <row r="712" spans="1:31" x14ac:dyDescent="0.2">
      <c r="A712" s="3">
        <f t="shared" si="0"/>
        <v>2006</v>
      </c>
      <c r="B712">
        <v>0.54955799999999999</v>
      </c>
      <c r="C712">
        <v>0.57706400000000002</v>
      </c>
      <c r="D712">
        <v>0.67708100000000004</v>
      </c>
      <c r="E712">
        <v>0.81578399999999995</v>
      </c>
      <c r="F712">
        <v>0.92200599999999999</v>
      </c>
      <c r="G712">
        <v>1.0111300000000001</v>
      </c>
      <c r="H712">
        <v>1.09998</v>
      </c>
      <c r="I712">
        <v>1.16842</v>
      </c>
      <c r="J712">
        <v>1.16842</v>
      </c>
      <c r="K712">
        <v>1.16842</v>
      </c>
      <c r="L712">
        <v>1.16842</v>
      </c>
      <c r="M712">
        <v>1.16842</v>
      </c>
      <c r="N712" t="s">
        <v>99</v>
      </c>
      <c r="O712">
        <v>2006</v>
      </c>
      <c r="P712">
        <v>28</v>
      </c>
      <c r="Q712">
        <v>0.57099900000000003</v>
      </c>
      <c r="R712">
        <v>0.58779499999999996</v>
      </c>
      <c r="S712">
        <v>0.69029499999999999</v>
      </c>
      <c r="T712">
        <v>0.84145599999999998</v>
      </c>
      <c r="U712">
        <v>0.95656300000000005</v>
      </c>
      <c r="V712">
        <v>1.03837</v>
      </c>
      <c r="W712">
        <v>1.1029899999999999</v>
      </c>
      <c r="X712">
        <v>1.15144</v>
      </c>
      <c r="Y712">
        <v>1.15144</v>
      </c>
      <c r="Z712">
        <v>1.15144</v>
      </c>
      <c r="AA712">
        <v>1.15144</v>
      </c>
      <c r="AB712">
        <v>1.15144</v>
      </c>
      <c r="AC712">
        <v>1.15144</v>
      </c>
      <c r="AD712">
        <v>1.15144</v>
      </c>
      <c r="AE712">
        <v>1.15144</v>
      </c>
    </row>
    <row r="713" spans="1:31" x14ac:dyDescent="0.2">
      <c r="A713" s="3">
        <f t="shared" si="0"/>
        <v>2007</v>
      </c>
      <c r="B713">
        <v>0.55190600000000001</v>
      </c>
      <c r="C713">
        <v>0.59292199999999995</v>
      </c>
      <c r="D713">
        <v>0.68587200000000004</v>
      </c>
      <c r="E713">
        <v>0.80118900000000004</v>
      </c>
      <c r="F713">
        <v>0.91793199999999997</v>
      </c>
      <c r="G713">
        <v>1.0157</v>
      </c>
      <c r="H713">
        <v>1.09335</v>
      </c>
      <c r="I713">
        <v>1.16764</v>
      </c>
      <c r="J713">
        <v>1.16764</v>
      </c>
      <c r="K713">
        <v>1.16764</v>
      </c>
      <c r="L713">
        <v>1.16764</v>
      </c>
      <c r="M713">
        <v>1.16764</v>
      </c>
      <c r="N713" t="s">
        <v>99</v>
      </c>
      <c r="O713">
        <v>2007</v>
      </c>
      <c r="P713">
        <v>29</v>
      </c>
      <c r="Q713">
        <v>0.57833100000000004</v>
      </c>
      <c r="R713">
        <v>0.60372199999999998</v>
      </c>
      <c r="S713">
        <v>0.69948999999999995</v>
      </c>
      <c r="T713">
        <v>0.82585900000000001</v>
      </c>
      <c r="U713">
        <v>0.94418500000000005</v>
      </c>
      <c r="V713">
        <v>1.0279</v>
      </c>
      <c r="W713">
        <v>1.0859700000000001</v>
      </c>
      <c r="X713">
        <v>1.15432</v>
      </c>
      <c r="Y713">
        <v>1.15432</v>
      </c>
      <c r="Z713">
        <v>1.15432</v>
      </c>
      <c r="AA713">
        <v>1.15432</v>
      </c>
      <c r="AB713">
        <v>1.15432</v>
      </c>
      <c r="AC713">
        <v>1.15432</v>
      </c>
      <c r="AD713">
        <v>1.15432</v>
      </c>
      <c r="AE713">
        <v>1.15432</v>
      </c>
    </row>
    <row r="714" spans="1:31" x14ac:dyDescent="0.2">
      <c r="A714" s="3">
        <f t="shared" si="0"/>
        <v>2008</v>
      </c>
      <c r="B714">
        <v>0.55536099999999999</v>
      </c>
      <c r="C714">
        <v>0.62397499999999995</v>
      </c>
      <c r="D714">
        <v>0.69966200000000001</v>
      </c>
      <c r="E714">
        <v>0.77793199999999996</v>
      </c>
      <c r="F714">
        <v>0.88422400000000001</v>
      </c>
      <c r="G714">
        <v>0.99017599999999995</v>
      </c>
      <c r="H714">
        <v>1.0819300000000001</v>
      </c>
      <c r="I714">
        <v>1.17334</v>
      </c>
      <c r="J714">
        <v>1.17334</v>
      </c>
      <c r="K714">
        <v>1.17334</v>
      </c>
      <c r="L714">
        <v>1.17334</v>
      </c>
      <c r="M714">
        <v>1.17334</v>
      </c>
      <c r="N714" t="s">
        <v>99</v>
      </c>
      <c r="O714">
        <v>2008</v>
      </c>
      <c r="P714">
        <v>30</v>
      </c>
      <c r="Q714">
        <v>0.58757999999999999</v>
      </c>
      <c r="R714">
        <v>0.63435299999999994</v>
      </c>
      <c r="S714">
        <v>0.71362899999999996</v>
      </c>
      <c r="T714">
        <v>0.80388000000000004</v>
      </c>
      <c r="U714">
        <v>0.90554500000000004</v>
      </c>
      <c r="V714">
        <v>0.98820399999999997</v>
      </c>
      <c r="W714">
        <v>1.06206</v>
      </c>
      <c r="X714">
        <v>1.16309</v>
      </c>
      <c r="Y714">
        <v>1.16309</v>
      </c>
      <c r="Z714">
        <v>1.16309</v>
      </c>
      <c r="AA714">
        <v>1.16309</v>
      </c>
      <c r="AB714">
        <v>1.16309</v>
      </c>
      <c r="AC714">
        <v>1.16309</v>
      </c>
      <c r="AD714">
        <v>1.16309</v>
      </c>
      <c r="AE714">
        <v>1.16309</v>
      </c>
    </row>
    <row r="715" spans="1:31" x14ac:dyDescent="0.2">
      <c r="A715" s="3">
        <f t="shared" si="0"/>
        <v>2009</v>
      </c>
      <c r="B715">
        <v>0.55858200000000002</v>
      </c>
      <c r="C715">
        <v>0.63483199999999995</v>
      </c>
      <c r="D715">
        <v>0.709318</v>
      </c>
      <c r="E715">
        <v>0.76406200000000002</v>
      </c>
      <c r="F715">
        <v>0.86685500000000004</v>
      </c>
      <c r="G715">
        <v>0.98131199999999996</v>
      </c>
      <c r="H715">
        <v>1.08412</v>
      </c>
      <c r="I715">
        <v>1.1751199999999999</v>
      </c>
      <c r="J715">
        <v>1.1751199999999999</v>
      </c>
      <c r="K715">
        <v>1.1751199999999999</v>
      </c>
      <c r="L715">
        <v>1.1751199999999999</v>
      </c>
      <c r="M715">
        <v>1.1751199999999999</v>
      </c>
      <c r="N715" t="s">
        <v>99</v>
      </c>
      <c r="O715">
        <v>2009</v>
      </c>
      <c r="P715">
        <v>31</v>
      </c>
      <c r="Q715">
        <v>0.59834500000000002</v>
      </c>
      <c r="R715">
        <v>0.65752100000000002</v>
      </c>
      <c r="S715">
        <v>0.73743199999999998</v>
      </c>
      <c r="T715">
        <v>0.79657599999999995</v>
      </c>
      <c r="U715">
        <v>0.89488900000000005</v>
      </c>
      <c r="V715">
        <v>0.99128000000000005</v>
      </c>
      <c r="W715">
        <v>1.07403</v>
      </c>
      <c r="X715">
        <v>1.1562399999999999</v>
      </c>
      <c r="Y715">
        <v>1.1562399999999999</v>
      </c>
      <c r="Z715">
        <v>1.1562399999999999</v>
      </c>
      <c r="AA715">
        <v>1.1562399999999999</v>
      </c>
      <c r="AB715">
        <v>1.1562399999999999</v>
      </c>
      <c r="AC715">
        <v>1.1562399999999999</v>
      </c>
      <c r="AD715">
        <v>1.1562399999999999</v>
      </c>
      <c r="AE715">
        <v>1.1562399999999999</v>
      </c>
    </row>
    <row r="716" spans="1:31" x14ac:dyDescent="0.2">
      <c r="A716" s="3">
        <f t="shared" si="0"/>
        <v>2010</v>
      </c>
      <c r="B716">
        <v>0.57006000000000001</v>
      </c>
      <c r="C716">
        <v>0.66375899999999999</v>
      </c>
      <c r="D716">
        <v>0.71201199999999998</v>
      </c>
      <c r="E716">
        <v>0.78113900000000003</v>
      </c>
      <c r="F716">
        <v>0.85980299999999998</v>
      </c>
      <c r="G716">
        <v>0.97789000000000004</v>
      </c>
      <c r="H716">
        <v>1.08894</v>
      </c>
      <c r="I716">
        <v>1.1682999999999999</v>
      </c>
      <c r="J716">
        <v>1.1682999999999999</v>
      </c>
      <c r="K716">
        <v>1.1682999999999999</v>
      </c>
      <c r="L716">
        <v>1.1682999999999999</v>
      </c>
      <c r="M716">
        <v>1.1682999999999999</v>
      </c>
      <c r="N716" t="s">
        <v>99</v>
      </c>
      <c r="O716">
        <v>2010</v>
      </c>
      <c r="P716">
        <v>32</v>
      </c>
      <c r="Q716">
        <v>0.61486099999999999</v>
      </c>
      <c r="R716">
        <v>0.69308800000000004</v>
      </c>
      <c r="S716">
        <v>0.74290500000000004</v>
      </c>
      <c r="T716">
        <v>0.81597299999999995</v>
      </c>
      <c r="U716">
        <v>0.894123</v>
      </c>
      <c r="V716">
        <v>0.99835600000000002</v>
      </c>
      <c r="W716">
        <v>1.0841099999999999</v>
      </c>
      <c r="X716">
        <v>1.1445700000000001</v>
      </c>
      <c r="Y716">
        <v>1.1445700000000001</v>
      </c>
      <c r="Z716">
        <v>1.1445700000000001</v>
      </c>
      <c r="AA716">
        <v>1.1445700000000001</v>
      </c>
      <c r="AB716">
        <v>1.1445700000000001</v>
      </c>
      <c r="AC716">
        <v>1.1445700000000001</v>
      </c>
      <c r="AD716">
        <v>1.1445700000000001</v>
      </c>
      <c r="AE716">
        <v>1.1445700000000001</v>
      </c>
    </row>
    <row r="717" spans="1:31" x14ac:dyDescent="0.2">
      <c r="A717" s="3">
        <f t="shared" si="0"/>
        <v>2011</v>
      </c>
      <c r="B717">
        <v>0.57947700000000002</v>
      </c>
      <c r="C717">
        <v>0.69048399999999999</v>
      </c>
      <c r="D717">
        <v>0.72191799999999995</v>
      </c>
      <c r="E717">
        <v>0.76822100000000004</v>
      </c>
      <c r="F717">
        <v>0.85404400000000003</v>
      </c>
      <c r="G717">
        <v>0.98056900000000002</v>
      </c>
      <c r="H717">
        <v>1.0987100000000001</v>
      </c>
      <c r="I717">
        <v>1.1633199999999999</v>
      </c>
      <c r="J717">
        <v>1.1633199999999999</v>
      </c>
      <c r="K717">
        <v>1.1633199999999999</v>
      </c>
      <c r="L717">
        <v>1.1633199999999999</v>
      </c>
      <c r="M717">
        <v>1.1633199999999999</v>
      </c>
      <c r="N717" t="s">
        <v>99</v>
      </c>
      <c r="O717">
        <v>2011</v>
      </c>
      <c r="P717">
        <v>33</v>
      </c>
      <c r="Q717">
        <v>0.63036499999999995</v>
      </c>
      <c r="R717">
        <v>0.72789000000000004</v>
      </c>
      <c r="S717">
        <v>0.75680700000000001</v>
      </c>
      <c r="T717">
        <v>0.80958300000000005</v>
      </c>
      <c r="U717">
        <v>0.89768099999999995</v>
      </c>
      <c r="V717">
        <v>1.01187</v>
      </c>
      <c r="W717">
        <v>1.0977300000000001</v>
      </c>
      <c r="X717">
        <v>1.13351</v>
      </c>
      <c r="Y717">
        <v>1.13351</v>
      </c>
      <c r="Z717">
        <v>1.13351</v>
      </c>
      <c r="AA717">
        <v>1.13351</v>
      </c>
      <c r="AB717">
        <v>1.13351</v>
      </c>
      <c r="AC717">
        <v>1.13351</v>
      </c>
      <c r="AD717">
        <v>1.13351</v>
      </c>
      <c r="AE717">
        <v>1.13351</v>
      </c>
    </row>
    <row r="718" spans="1:31" x14ac:dyDescent="0.2">
      <c r="A718" s="3">
        <f t="shared" si="0"/>
        <v>2012</v>
      </c>
      <c r="B718">
        <v>0.58606199999999997</v>
      </c>
      <c r="C718">
        <v>0.72546500000000003</v>
      </c>
      <c r="D718">
        <v>0.73146999999999995</v>
      </c>
      <c r="E718">
        <v>0.75416000000000005</v>
      </c>
      <c r="F718">
        <v>0.84822399999999998</v>
      </c>
      <c r="G718">
        <v>0.98550300000000002</v>
      </c>
      <c r="H718">
        <v>1.1113</v>
      </c>
      <c r="I718">
        <v>1.15723</v>
      </c>
      <c r="J718">
        <v>1.15723</v>
      </c>
      <c r="K718">
        <v>1.15723</v>
      </c>
      <c r="L718">
        <v>1.15723</v>
      </c>
      <c r="M718">
        <v>1.15723</v>
      </c>
      <c r="N718" t="s">
        <v>99</v>
      </c>
      <c r="O718">
        <v>2012</v>
      </c>
      <c r="P718">
        <v>34</v>
      </c>
      <c r="Q718">
        <v>0.64355200000000001</v>
      </c>
      <c r="R718">
        <v>0.77129599999999998</v>
      </c>
      <c r="S718">
        <v>0.77123200000000003</v>
      </c>
      <c r="T718">
        <v>0.80264199999999997</v>
      </c>
      <c r="U718">
        <v>0.90293400000000001</v>
      </c>
      <c r="V718">
        <v>1.0293000000000001</v>
      </c>
      <c r="W718">
        <v>1.1133500000000001</v>
      </c>
      <c r="X718">
        <v>1.1207100000000001</v>
      </c>
      <c r="Y718">
        <v>1.1207100000000001</v>
      </c>
      <c r="Z718">
        <v>1.1207100000000001</v>
      </c>
      <c r="AA718">
        <v>1.1207100000000001</v>
      </c>
      <c r="AB718">
        <v>1.1207100000000001</v>
      </c>
      <c r="AC718">
        <v>1.1207100000000001</v>
      </c>
      <c r="AD718">
        <v>1.1207100000000001</v>
      </c>
      <c r="AE718">
        <v>1.1207100000000001</v>
      </c>
    </row>
    <row r="719" spans="1:31" x14ac:dyDescent="0.2">
      <c r="A719" s="3">
        <f t="shared" si="0"/>
        <v>2013</v>
      </c>
      <c r="B719">
        <v>0.58693200000000001</v>
      </c>
      <c r="C719">
        <v>0.73552600000000001</v>
      </c>
      <c r="D719">
        <v>0.75251400000000002</v>
      </c>
      <c r="E719">
        <v>0.79962699999999998</v>
      </c>
      <c r="F719">
        <v>0.88471999999999995</v>
      </c>
      <c r="G719">
        <v>1.02033</v>
      </c>
      <c r="H719">
        <v>1.13253</v>
      </c>
      <c r="I719">
        <v>1.13598</v>
      </c>
      <c r="J719">
        <v>1.13598</v>
      </c>
      <c r="K719">
        <v>1.13598</v>
      </c>
      <c r="L719">
        <v>1.13598</v>
      </c>
      <c r="M719">
        <v>1.13598</v>
      </c>
      <c r="N719" t="s">
        <v>99</v>
      </c>
      <c r="O719">
        <v>2013</v>
      </c>
      <c r="P719">
        <v>35</v>
      </c>
      <c r="Q719">
        <v>0.65049699999999999</v>
      </c>
      <c r="R719">
        <v>0.78964199999999996</v>
      </c>
      <c r="S719">
        <v>0.79666099999999995</v>
      </c>
      <c r="T719">
        <v>0.85377899999999995</v>
      </c>
      <c r="U719">
        <v>0.95128699999999999</v>
      </c>
      <c r="V719">
        <v>1.07717</v>
      </c>
      <c r="W719">
        <v>1.13513</v>
      </c>
      <c r="X719">
        <v>1.0932299999999999</v>
      </c>
      <c r="Y719">
        <v>1.0932299999999999</v>
      </c>
      <c r="Z719">
        <v>1.0932299999999999</v>
      </c>
      <c r="AA719">
        <v>1.0932299999999999</v>
      </c>
      <c r="AB719">
        <v>1.0932299999999999</v>
      </c>
      <c r="AC719">
        <v>1.0932299999999999</v>
      </c>
      <c r="AD719">
        <v>1.0932299999999999</v>
      </c>
      <c r="AE719">
        <v>1.0932299999999999</v>
      </c>
    </row>
    <row r="720" spans="1:31" x14ac:dyDescent="0.2">
      <c r="A720" s="3">
        <f t="shared" si="0"/>
        <v>2014</v>
      </c>
      <c r="B720">
        <v>0.58335999999999999</v>
      </c>
      <c r="C720">
        <v>0.75732699999999997</v>
      </c>
      <c r="D720">
        <v>0.765764</v>
      </c>
      <c r="E720">
        <v>0.847024</v>
      </c>
      <c r="F720">
        <v>0.92096699999999998</v>
      </c>
      <c r="G720">
        <v>1.0581799999999999</v>
      </c>
      <c r="H720">
        <v>1.1648499999999999</v>
      </c>
      <c r="I720">
        <v>1.1128199999999999</v>
      </c>
      <c r="J720">
        <v>1.1128199999999999</v>
      </c>
      <c r="K720">
        <v>1.1128199999999999</v>
      </c>
      <c r="L720">
        <v>1.1128199999999999</v>
      </c>
      <c r="M720">
        <v>1.1128199999999999</v>
      </c>
      <c r="N720" t="s">
        <v>99</v>
      </c>
      <c r="O720">
        <v>2014</v>
      </c>
      <c r="P720">
        <v>36</v>
      </c>
      <c r="Q720">
        <v>0.65206799999999998</v>
      </c>
      <c r="R720">
        <v>0.82072699999999998</v>
      </c>
      <c r="S720">
        <v>0.81181499999999995</v>
      </c>
      <c r="T720">
        <v>0.90495300000000001</v>
      </c>
      <c r="U720">
        <v>0.99542299999999995</v>
      </c>
      <c r="V720">
        <v>1.1315599999999999</v>
      </c>
      <c r="W720">
        <v>1.16442</v>
      </c>
      <c r="X720">
        <v>1.06488</v>
      </c>
      <c r="Y720">
        <v>1.06488</v>
      </c>
      <c r="Z720">
        <v>1.06488</v>
      </c>
      <c r="AA720">
        <v>1.06488</v>
      </c>
      <c r="AB720">
        <v>1.06488</v>
      </c>
      <c r="AC720">
        <v>1.06488</v>
      </c>
      <c r="AD720">
        <v>1.06488</v>
      </c>
      <c r="AE720">
        <v>1.06488</v>
      </c>
    </row>
    <row r="721" spans="1:31" x14ac:dyDescent="0.2">
      <c r="A721" s="3">
        <f t="shared" si="0"/>
        <v>2015</v>
      </c>
      <c r="B721">
        <v>0.56878300000000004</v>
      </c>
      <c r="C721">
        <v>0.69605499999999998</v>
      </c>
      <c r="D721">
        <v>0.79678199999999999</v>
      </c>
      <c r="E721">
        <v>0.90240399999999998</v>
      </c>
      <c r="F721">
        <v>0.95776499999999998</v>
      </c>
      <c r="G721">
        <v>1.07308</v>
      </c>
      <c r="H721">
        <v>1.17746</v>
      </c>
      <c r="I721">
        <v>1.1034600000000001</v>
      </c>
      <c r="J721">
        <v>1.1034600000000001</v>
      </c>
      <c r="K721">
        <v>1.1034600000000001</v>
      </c>
      <c r="L721">
        <v>1.1034600000000001</v>
      </c>
      <c r="M721">
        <v>1.1034600000000001</v>
      </c>
      <c r="N721" t="s">
        <v>99</v>
      </c>
      <c r="O721">
        <v>2015</v>
      </c>
      <c r="P721">
        <v>37</v>
      </c>
      <c r="Q721">
        <v>0.63911300000000004</v>
      </c>
      <c r="R721">
        <v>0.754525</v>
      </c>
      <c r="S721">
        <v>0.84149799999999997</v>
      </c>
      <c r="T721">
        <v>0.96044399999999996</v>
      </c>
      <c r="U721">
        <v>1.02959</v>
      </c>
      <c r="V721">
        <v>1.1313200000000001</v>
      </c>
      <c r="W721">
        <v>1.1694199999999999</v>
      </c>
      <c r="X721">
        <v>1.0592600000000001</v>
      </c>
      <c r="Y721">
        <v>1.0592600000000001</v>
      </c>
      <c r="Z721">
        <v>1.0592600000000001</v>
      </c>
      <c r="AA721">
        <v>1.0592600000000001</v>
      </c>
      <c r="AB721">
        <v>1.0592600000000001</v>
      </c>
      <c r="AC721">
        <v>1.0592600000000001</v>
      </c>
      <c r="AD721">
        <v>1.0592600000000001</v>
      </c>
      <c r="AE721">
        <v>1.0592600000000001</v>
      </c>
    </row>
    <row r="722" spans="1:31" x14ac:dyDescent="0.2">
      <c r="A722" s="3">
        <f t="shared" si="0"/>
        <v>2016</v>
      </c>
      <c r="B722">
        <v>0.55326399999999998</v>
      </c>
      <c r="C722">
        <v>0.62200800000000001</v>
      </c>
      <c r="D722">
        <v>0.78125999999999995</v>
      </c>
      <c r="E722">
        <v>0.95825800000000005</v>
      </c>
      <c r="F722">
        <v>0.96975999999999996</v>
      </c>
      <c r="G722">
        <v>1.0616300000000001</v>
      </c>
      <c r="H722">
        <v>1.1502699999999999</v>
      </c>
      <c r="I722">
        <v>1.11294</v>
      </c>
      <c r="J722">
        <v>1.11294</v>
      </c>
      <c r="K722">
        <v>1.11294</v>
      </c>
      <c r="L722">
        <v>1.11294</v>
      </c>
      <c r="M722">
        <v>1.11294</v>
      </c>
      <c r="N722" t="s">
        <v>99</v>
      </c>
      <c r="O722">
        <v>2016</v>
      </c>
      <c r="P722">
        <v>38</v>
      </c>
      <c r="Q722">
        <v>0.62583500000000003</v>
      </c>
      <c r="R722">
        <v>0.67887299999999995</v>
      </c>
      <c r="S722">
        <v>0.82797600000000005</v>
      </c>
      <c r="T722">
        <v>1.01925</v>
      </c>
      <c r="U722">
        <v>1.04264</v>
      </c>
      <c r="V722">
        <v>1.1142000000000001</v>
      </c>
      <c r="W722">
        <v>1.1471199999999999</v>
      </c>
      <c r="X722">
        <v>1.0680099999999999</v>
      </c>
      <c r="Y722">
        <v>1.0680099999999999</v>
      </c>
      <c r="Z722">
        <v>1.0680099999999999</v>
      </c>
      <c r="AA722">
        <v>1.0680099999999999</v>
      </c>
      <c r="AB722">
        <v>1.0680099999999999</v>
      </c>
      <c r="AC722">
        <v>1.0680099999999999</v>
      </c>
      <c r="AD722">
        <v>1.0680099999999999</v>
      </c>
      <c r="AE722">
        <v>1.0680099999999999</v>
      </c>
    </row>
    <row r="723" spans="1:31" x14ac:dyDescent="0.2">
      <c r="A723" s="3">
        <f t="shared" si="0"/>
        <v>2017</v>
      </c>
      <c r="B723">
        <v>0.543157</v>
      </c>
      <c r="C723">
        <v>0.61588699999999996</v>
      </c>
      <c r="D723">
        <v>0.73517699999999997</v>
      </c>
      <c r="E723">
        <v>0.85917100000000002</v>
      </c>
      <c r="F723">
        <v>0.95336900000000002</v>
      </c>
      <c r="G723">
        <v>1.06236</v>
      </c>
      <c r="H723">
        <v>1.14415</v>
      </c>
      <c r="I723">
        <v>1.13584</v>
      </c>
      <c r="J723">
        <v>1.13584</v>
      </c>
      <c r="K723">
        <v>1.13584</v>
      </c>
      <c r="L723">
        <v>1.13584</v>
      </c>
      <c r="M723">
        <v>1.13584</v>
      </c>
      <c r="N723" t="s">
        <v>99</v>
      </c>
      <c r="O723">
        <v>2017</v>
      </c>
      <c r="P723">
        <v>39</v>
      </c>
      <c r="Q723">
        <v>0.61853000000000002</v>
      </c>
      <c r="R723">
        <v>0.67864500000000005</v>
      </c>
      <c r="S723">
        <v>0.79737000000000002</v>
      </c>
      <c r="T723">
        <v>0.93407200000000001</v>
      </c>
      <c r="U723">
        <v>1.0318499999999999</v>
      </c>
      <c r="V723">
        <v>1.11436</v>
      </c>
      <c r="W723">
        <v>1.1419999999999999</v>
      </c>
      <c r="X723">
        <v>1.0853999999999999</v>
      </c>
      <c r="Y723">
        <v>1.0853999999999999</v>
      </c>
      <c r="Z723">
        <v>1.0853999999999999</v>
      </c>
      <c r="AA723">
        <v>1.0853999999999999</v>
      </c>
      <c r="AB723">
        <v>1.0853999999999999</v>
      </c>
      <c r="AC723">
        <v>1.0853999999999999</v>
      </c>
      <c r="AD723">
        <v>1.0853999999999999</v>
      </c>
      <c r="AE723">
        <v>1.0853999999999999</v>
      </c>
    </row>
    <row r="724" spans="1:31" x14ac:dyDescent="0.2">
      <c r="A724" s="3">
        <f t="shared" si="0"/>
        <v>2018</v>
      </c>
      <c r="B724">
        <v>0.53300999999999998</v>
      </c>
      <c r="C724">
        <v>0.60179499999999997</v>
      </c>
      <c r="D724">
        <v>0.695824</v>
      </c>
      <c r="E724">
        <v>0.79436899999999999</v>
      </c>
      <c r="F724">
        <v>0.94887600000000005</v>
      </c>
      <c r="G724">
        <v>1.06311</v>
      </c>
      <c r="H724">
        <v>1.1446099999999999</v>
      </c>
      <c r="I724">
        <v>1.1523000000000001</v>
      </c>
      <c r="J724">
        <v>1.1523000000000001</v>
      </c>
      <c r="K724">
        <v>1.1523000000000001</v>
      </c>
      <c r="L724">
        <v>1.1523000000000001</v>
      </c>
      <c r="M724">
        <v>1.1523000000000001</v>
      </c>
      <c r="N724" t="s">
        <v>99</v>
      </c>
      <c r="O724">
        <v>2018</v>
      </c>
      <c r="P724">
        <v>40</v>
      </c>
      <c r="Q724">
        <v>0.61194999999999999</v>
      </c>
      <c r="R724">
        <v>0.66975499999999999</v>
      </c>
      <c r="S724">
        <v>0.76922699999999999</v>
      </c>
      <c r="T724">
        <v>0.87129999999999996</v>
      </c>
      <c r="U724">
        <v>1.02691</v>
      </c>
      <c r="V724">
        <v>1.11582</v>
      </c>
      <c r="W724">
        <v>1.14253</v>
      </c>
      <c r="X724">
        <v>1.0990599999999999</v>
      </c>
      <c r="Y724">
        <v>1.0990599999999999</v>
      </c>
      <c r="Z724">
        <v>1.0990599999999999</v>
      </c>
      <c r="AA724">
        <v>1.0990599999999999</v>
      </c>
      <c r="AB724">
        <v>1.0990599999999999</v>
      </c>
      <c r="AC724">
        <v>1.0990599999999999</v>
      </c>
      <c r="AD724">
        <v>1.0990599999999999</v>
      </c>
      <c r="AE724">
        <v>1.0990599999999999</v>
      </c>
    </row>
    <row r="725" spans="1:31" x14ac:dyDescent="0.2">
      <c r="A725" s="3">
        <f t="shared" si="0"/>
        <v>2019</v>
      </c>
      <c r="B725">
        <v>0.52336000000000005</v>
      </c>
      <c r="C725">
        <v>0.58984300000000001</v>
      </c>
      <c r="D725">
        <v>0.69211500000000004</v>
      </c>
      <c r="E725">
        <v>0.82084299999999999</v>
      </c>
      <c r="F725">
        <v>0.96008300000000002</v>
      </c>
      <c r="G725">
        <v>1.0704800000000001</v>
      </c>
      <c r="H725">
        <v>1.13896</v>
      </c>
      <c r="I725">
        <v>1.1505399999999999</v>
      </c>
      <c r="J725">
        <v>1.1505399999999999</v>
      </c>
      <c r="K725">
        <v>1.1505399999999999</v>
      </c>
      <c r="L725">
        <v>1.1505399999999999</v>
      </c>
      <c r="M725">
        <v>1.1505399999999999</v>
      </c>
      <c r="N725" t="s">
        <v>99</v>
      </c>
      <c r="O725">
        <v>2019</v>
      </c>
      <c r="P725">
        <v>41</v>
      </c>
      <c r="Q725">
        <v>0.60512699999999997</v>
      </c>
      <c r="R725">
        <v>0.66703000000000001</v>
      </c>
      <c r="S725">
        <v>0.77376299999999998</v>
      </c>
      <c r="T725">
        <v>0.90042299999999997</v>
      </c>
      <c r="U725">
        <v>1.0347500000000001</v>
      </c>
      <c r="V725">
        <v>1.11615</v>
      </c>
      <c r="W725">
        <v>1.1326799999999999</v>
      </c>
      <c r="X725">
        <v>1.09626</v>
      </c>
      <c r="Y725">
        <v>1.09626</v>
      </c>
      <c r="Z725">
        <v>1.09626</v>
      </c>
      <c r="AA725">
        <v>1.09626</v>
      </c>
      <c r="AB725">
        <v>1.09626</v>
      </c>
      <c r="AC725">
        <v>1.09626</v>
      </c>
      <c r="AD725">
        <v>1.09626</v>
      </c>
      <c r="AE725">
        <v>1.09626</v>
      </c>
    </row>
    <row r="726" spans="1:31" x14ac:dyDescent="0.2">
      <c r="A726" s="3">
        <f t="shared" si="0"/>
        <v>2020</v>
      </c>
      <c r="B726">
        <v>0.51113799999999998</v>
      </c>
      <c r="C726">
        <v>0.57233800000000001</v>
      </c>
      <c r="D726">
        <v>0.68803899999999996</v>
      </c>
      <c r="E726">
        <v>0.84743500000000005</v>
      </c>
      <c r="F726">
        <v>0.96767700000000001</v>
      </c>
      <c r="G726">
        <v>1.0656099999999999</v>
      </c>
      <c r="H726">
        <v>1.1331800000000001</v>
      </c>
      <c r="I726">
        <v>1.1518200000000001</v>
      </c>
      <c r="J726">
        <v>1.1518200000000001</v>
      </c>
      <c r="K726">
        <v>1.1518200000000001</v>
      </c>
      <c r="L726">
        <v>1.1518200000000001</v>
      </c>
      <c r="M726">
        <v>1.1518200000000001</v>
      </c>
      <c r="N726" t="s">
        <v>99</v>
      </c>
      <c r="O726">
        <v>2020</v>
      </c>
      <c r="P726">
        <v>42</v>
      </c>
      <c r="Q726">
        <v>0.595696</v>
      </c>
      <c r="R726">
        <v>0.65758899999999998</v>
      </c>
      <c r="S726">
        <v>0.77905100000000005</v>
      </c>
      <c r="T726">
        <v>0.92935400000000001</v>
      </c>
      <c r="U726">
        <v>1.0411999999999999</v>
      </c>
      <c r="V726">
        <v>1.1068199999999999</v>
      </c>
      <c r="W726">
        <v>1.12296</v>
      </c>
      <c r="X726">
        <v>1.09592</v>
      </c>
      <c r="Y726">
        <v>1.09592</v>
      </c>
      <c r="Z726">
        <v>1.09592</v>
      </c>
      <c r="AA726">
        <v>1.09592</v>
      </c>
      <c r="AB726">
        <v>1.09592</v>
      </c>
      <c r="AC726">
        <v>1.09592</v>
      </c>
      <c r="AD726">
        <v>1.09592</v>
      </c>
      <c r="AE726">
        <v>1.09592</v>
      </c>
    </row>
    <row r="727" spans="1:31" x14ac:dyDescent="0.2">
      <c r="A727" s="3">
        <f t="shared" si="0"/>
        <v>2021</v>
      </c>
      <c r="B727">
        <v>0.50047900000000001</v>
      </c>
      <c r="C727">
        <v>0.55319099999999999</v>
      </c>
      <c r="D727">
        <v>0.67838799999999999</v>
      </c>
      <c r="E727">
        <v>0.87697700000000001</v>
      </c>
      <c r="F727">
        <v>0.97391799999999995</v>
      </c>
      <c r="G727">
        <v>1.06101</v>
      </c>
      <c r="H727">
        <v>1.1299999999999999</v>
      </c>
      <c r="I727">
        <v>1.1532500000000001</v>
      </c>
      <c r="J727">
        <v>1.1532500000000001</v>
      </c>
      <c r="K727">
        <v>1.1532500000000001</v>
      </c>
      <c r="L727">
        <v>1.1532500000000001</v>
      </c>
      <c r="M727">
        <v>1.1532500000000001</v>
      </c>
      <c r="N727" t="s">
        <v>99</v>
      </c>
      <c r="O727">
        <v>2021</v>
      </c>
      <c r="P727">
        <v>43</v>
      </c>
      <c r="Q727">
        <v>0.58793399999999996</v>
      </c>
      <c r="R727">
        <v>0.64662699999999995</v>
      </c>
      <c r="S727">
        <v>0.78006600000000004</v>
      </c>
      <c r="T727">
        <v>0.95905300000000004</v>
      </c>
      <c r="U727">
        <v>1.04834</v>
      </c>
      <c r="V727">
        <v>1.09938</v>
      </c>
      <c r="W727">
        <v>1.1158300000000001</v>
      </c>
      <c r="X727">
        <v>1.09535</v>
      </c>
      <c r="Y727">
        <v>1.09535</v>
      </c>
      <c r="Z727">
        <v>1.09535</v>
      </c>
      <c r="AA727">
        <v>1.09535</v>
      </c>
      <c r="AB727">
        <v>1.09535</v>
      </c>
      <c r="AC727">
        <v>1.09535</v>
      </c>
      <c r="AD727">
        <v>1.09535</v>
      </c>
      <c r="AE727">
        <v>1.09535</v>
      </c>
    </row>
    <row r="728" spans="1:31" x14ac:dyDescent="0.2">
      <c r="A728" s="3">
        <f t="shared" si="0"/>
        <v>2022</v>
      </c>
      <c r="B728">
        <v>0.49211899999999997</v>
      </c>
      <c r="C728">
        <v>0.52671500000000004</v>
      </c>
      <c r="D728">
        <v>0.65497799999999995</v>
      </c>
      <c r="E728">
        <v>0.92141300000000004</v>
      </c>
      <c r="F728">
        <v>0.97499000000000002</v>
      </c>
      <c r="G728">
        <v>1.056</v>
      </c>
      <c r="H728">
        <v>1.12784</v>
      </c>
      <c r="I728">
        <v>1.15574</v>
      </c>
      <c r="J728">
        <v>1.15574</v>
      </c>
      <c r="K728">
        <v>1.15574</v>
      </c>
      <c r="L728">
        <v>1.15574</v>
      </c>
      <c r="M728">
        <v>1.15574</v>
      </c>
      <c r="N728" t="s">
        <v>99</v>
      </c>
      <c r="O728">
        <v>2022</v>
      </c>
      <c r="P728">
        <v>44</v>
      </c>
      <c r="Q728">
        <v>0.58242899999999997</v>
      </c>
      <c r="R728">
        <v>0.62645899999999999</v>
      </c>
      <c r="S728">
        <v>0.76819099999999996</v>
      </c>
      <c r="T728">
        <v>0.99952200000000002</v>
      </c>
      <c r="U728">
        <v>1.05386</v>
      </c>
      <c r="V728">
        <v>1.0929899999999999</v>
      </c>
      <c r="W728">
        <v>1.10991</v>
      </c>
      <c r="X728">
        <v>1.0958300000000001</v>
      </c>
      <c r="Y728">
        <v>1.0958300000000001</v>
      </c>
      <c r="Z728">
        <v>1.0958300000000001</v>
      </c>
      <c r="AA728">
        <v>1.0958300000000001</v>
      </c>
      <c r="AB728">
        <v>1.0958300000000001</v>
      </c>
      <c r="AC728">
        <v>1.0958300000000001</v>
      </c>
      <c r="AD728">
        <v>1.0958300000000001</v>
      </c>
      <c r="AE728">
        <v>1.0958300000000001</v>
      </c>
    </row>
    <row r="729" spans="1:31" x14ac:dyDescent="0.2">
      <c r="A729" s="3">
        <f t="shared" si="0"/>
        <v>2023</v>
      </c>
      <c r="B729">
        <v>0.48757499999999998</v>
      </c>
      <c r="C729">
        <v>0.52512899999999996</v>
      </c>
      <c r="D729">
        <v>0.64730299999999996</v>
      </c>
      <c r="E729">
        <v>0.850935</v>
      </c>
      <c r="F729">
        <v>0.96164300000000003</v>
      </c>
      <c r="G729">
        <v>1.0622499999999999</v>
      </c>
      <c r="H729">
        <v>1.1402099999999999</v>
      </c>
      <c r="I729">
        <v>1.1656200000000001</v>
      </c>
      <c r="J729">
        <v>1.1656200000000001</v>
      </c>
      <c r="K729">
        <v>1.1656200000000001</v>
      </c>
      <c r="L729">
        <v>1.1656200000000001</v>
      </c>
      <c r="M729">
        <v>1.1656200000000001</v>
      </c>
      <c r="N729" t="s">
        <v>99</v>
      </c>
      <c r="O729">
        <v>2023</v>
      </c>
      <c r="P729">
        <v>45</v>
      </c>
      <c r="Q729">
        <v>0.58035999999999999</v>
      </c>
      <c r="R729">
        <v>0.63477300000000003</v>
      </c>
      <c r="S729">
        <v>0.77260200000000001</v>
      </c>
      <c r="T729">
        <v>0.97801700000000003</v>
      </c>
      <c r="U729">
        <v>1.0468</v>
      </c>
      <c r="V729">
        <v>1.09195</v>
      </c>
      <c r="W729">
        <v>1.10927</v>
      </c>
      <c r="X729">
        <v>1.0982799999999999</v>
      </c>
      <c r="Y729">
        <v>1.0982799999999999</v>
      </c>
      <c r="Z729">
        <v>1.0982799999999999</v>
      </c>
      <c r="AA729">
        <v>1.0982799999999999</v>
      </c>
      <c r="AB729">
        <v>1.0982799999999999</v>
      </c>
      <c r="AC729">
        <v>1.0982799999999999</v>
      </c>
      <c r="AD729">
        <v>1.0982799999999999</v>
      </c>
      <c r="AE729">
        <v>1.0982799999999999</v>
      </c>
    </row>
    <row r="730" spans="1:31" x14ac:dyDescent="0.2">
      <c r="A730" s="3">
        <f t="shared" si="0"/>
        <v>2024</v>
      </c>
      <c r="B730">
        <v>0.48538900000000001</v>
      </c>
      <c r="C730">
        <v>0.51516399999999996</v>
      </c>
      <c r="D730">
        <v>0.63436899999999996</v>
      </c>
      <c r="E730">
        <v>0.80044400000000004</v>
      </c>
      <c r="F730">
        <v>0.94455199999999995</v>
      </c>
      <c r="G730">
        <v>1.0683800000000001</v>
      </c>
      <c r="H730">
        <v>1.15594</v>
      </c>
      <c r="I730">
        <v>1.1744699999999999</v>
      </c>
      <c r="J730">
        <v>1.1744699999999999</v>
      </c>
      <c r="K730">
        <v>1.1744699999999999</v>
      </c>
      <c r="L730">
        <v>1.1744699999999999</v>
      </c>
      <c r="M730">
        <v>1.1744699999999999</v>
      </c>
    </row>
    <row r="731" spans="1:31" x14ac:dyDescent="0.2">
      <c r="B731" t="s">
        <v>99</v>
      </c>
    </row>
    <row r="732" spans="1:31" x14ac:dyDescent="0.2">
      <c r="B732" t="s">
        <v>101</v>
      </c>
    </row>
    <row r="733" spans="1:31" x14ac:dyDescent="0.2">
      <c r="B733" t="s">
        <v>101</v>
      </c>
    </row>
    <row r="734" spans="1:31" x14ac:dyDescent="0.2">
      <c r="B734" t="s">
        <v>112</v>
      </c>
      <c r="C734" t="s">
        <v>302</v>
      </c>
      <c r="D734" t="s">
        <v>303</v>
      </c>
      <c r="E734" t="s">
        <v>186</v>
      </c>
      <c r="F734" t="s">
        <v>304</v>
      </c>
      <c r="G734" t="s">
        <v>102</v>
      </c>
      <c r="H734" t="s">
        <v>114</v>
      </c>
    </row>
    <row r="735" spans="1:31" x14ac:dyDescent="0.2">
      <c r="B735" t="s">
        <v>101</v>
      </c>
    </row>
    <row r="736" spans="1:31" x14ac:dyDescent="0.2">
      <c r="B736" t="s">
        <v>101</v>
      </c>
    </row>
    <row r="737" spans="2:22" x14ac:dyDescent="0.2">
      <c r="B737" t="s">
        <v>99</v>
      </c>
    </row>
    <row r="738" spans="2:22" x14ac:dyDescent="0.2">
      <c r="B738" t="s">
        <v>99</v>
      </c>
    </row>
    <row r="739" spans="2:22" x14ac:dyDescent="0.2">
      <c r="B739" t="s">
        <v>305</v>
      </c>
    </row>
    <row r="740" spans="2:22" x14ac:dyDescent="0.2">
      <c r="B740" t="s">
        <v>306</v>
      </c>
      <c r="C740" t="s">
        <v>108</v>
      </c>
      <c r="D740" t="s">
        <v>307</v>
      </c>
      <c r="E740" t="s">
        <v>199</v>
      </c>
      <c r="F740" t="s">
        <v>252</v>
      </c>
      <c r="G740" t="s">
        <v>308</v>
      </c>
      <c r="H740" t="s">
        <v>104</v>
      </c>
      <c r="I740" t="s">
        <v>271</v>
      </c>
      <c r="J740" t="s">
        <v>309</v>
      </c>
      <c r="K740" t="s">
        <v>310</v>
      </c>
      <c r="L740">
        <v>2013</v>
      </c>
      <c r="M740" t="s">
        <v>106</v>
      </c>
    </row>
    <row r="741" spans="2:22" x14ac:dyDescent="0.2">
      <c r="B741" t="s">
        <v>99</v>
      </c>
      <c r="C741" t="s">
        <v>311</v>
      </c>
      <c r="D741" t="s">
        <v>106</v>
      </c>
      <c r="E741">
        <v>1</v>
      </c>
      <c r="F741" t="s">
        <v>238</v>
      </c>
      <c r="G741" t="s">
        <v>277</v>
      </c>
      <c r="H741" t="s">
        <v>104</v>
      </c>
      <c r="I741" t="s">
        <v>312</v>
      </c>
      <c r="J741">
        <v>2</v>
      </c>
      <c r="K741" t="s">
        <v>238</v>
      </c>
      <c r="L741" t="s">
        <v>313</v>
      </c>
      <c r="M741" t="s">
        <v>203</v>
      </c>
      <c r="N741" t="s">
        <v>199</v>
      </c>
      <c r="O741" t="s">
        <v>109</v>
      </c>
      <c r="P741" t="s">
        <v>104</v>
      </c>
      <c r="Q741" t="s">
        <v>271</v>
      </c>
      <c r="R741" t="s">
        <v>314</v>
      </c>
    </row>
    <row r="742" spans="2:22" x14ac:dyDescent="0.2">
      <c r="B742">
        <v>1</v>
      </c>
      <c r="C742">
        <v>1</v>
      </c>
      <c r="D742">
        <v>2</v>
      </c>
    </row>
    <row r="743" spans="2:22" x14ac:dyDescent="0.2">
      <c r="B743" t="s">
        <v>99</v>
      </c>
      <c r="C743" t="s">
        <v>315</v>
      </c>
      <c r="D743" t="s">
        <v>106</v>
      </c>
      <c r="E743" t="s">
        <v>316</v>
      </c>
      <c r="F743" t="s">
        <v>317</v>
      </c>
      <c r="G743" t="s">
        <v>318</v>
      </c>
      <c r="H743" t="s">
        <v>319</v>
      </c>
      <c r="I743" t="s">
        <v>280</v>
      </c>
      <c r="J743" t="s">
        <v>320</v>
      </c>
      <c r="K743" t="s">
        <v>321</v>
      </c>
      <c r="L743" t="s">
        <v>322</v>
      </c>
    </row>
    <row r="744" spans="2:22" x14ac:dyDescent="0.2">
      <c r="B744" t="s">
        <v>323</v>
      </c>
      <c r="C744">
        <v>0.49658530000000001</v>
      </c>
      <c r="D744">
        <v>0.34993770000000002</v>
      </c>
      <c r="E744">
        <v>0.24659700000000001</v>
      </c>
      <c r="F744">
        <v>0.17377390000000001</v>
      </c>
      <c r="G744">
        <v>0.12245640000000001</v>
      </c>
      <c r="H744">
        <v>8.6293590000000003E-2</v>
      </c>
      <c r="I744">
        <v>6.0810059999999999E-2</v>
      </c>
      <c r="J744">
        <v>4.2852130000000002E-2</v>
      </c>
      <c r="K744">
        <v>3.0197379999999999E-2</v>
      </c>
      <c r="L744">
        <v>2.1279739999999998E-2</v>
      </c>
      <c r="M744">
        <v>1.499558E-2</v>
      </c>
    </row>
    <row r="745" spans="2:22" x14ac:dyDescent="0.2">
      <c r="B745" t="s">
        <v>323</v>
      </c>
      <c r="C745">
        <v>0.49658530000000001</v>
      </c>
      <c r="D745">
        <v>0.34993770000000002</v>
      </c>
      <c r="E745">
        <v>0.24659700000000001</v>
      </c>
      <c r="F745">
        <v>0.17377390000000001</v>
      </c>
      <c r="G745">
        <v>0.12245640000000001</v>
      </c>
      <c r="H745">
        <v>8.6293590000000003E-2</v>
      </c>
      <c r="I745">
        <v>6.0810059999999999E-2</v>
      </c>
      <c r="J745">
        <v>4.2852130000000002E-2</v>
      </c>
      <c r="K745">
        <v>3.0197379999999999E-2</v>
      </c>
      <c r="L745">
        <v>2.1279739999999998E-2</v>
      </c>
      <c r="M745">
        <v>1.499558E-2</v>
      </c>
    </row>
    <row r="746" spans="2:22" x14ac:dyDescent="0.2">
      <c r="B746" t="s">
        <v>323</v>
      </c>
      <c r="C746">
        <v>0.49658530000000001</v>
      </c>
      <c r="D746">
        <v>0.34993770000000002</v>
      </c>
      <c r="E746">
        <v>0.24659700000000001</v>
      </c>
      <c r="F746">
        <v>0.17377390000000001</v>
      </c>
      <c r="G746">
        <v>0.12245640000000001</v>
      </c>
      <c r="H746">
        <v>8.6293590000000003E-2</v>
      </c>
      <c r="I746">
        <v>6.0810059999999999E-2</v>
      </c>
      <c r="J746">
        <v>4.2852130000000002E-2</v>
      </c>
      <c r="K746">
        <v>3.0197379999999999E-2</v>
      </c>
      <c r="L746">
        <v>2.1279739999999998E-2</v>
      </c>
      <c r="M746">
        <v>1.499558E-2</v>
      </c>
      <c r="N746">
        <v>1.0567200000000001E-2</v>
      </c>
      <c r="O746">
        <v>7.4465829999999997E-3</v>
      </c>
      <c r="P746">
        <v>5.2475179999999996E-3</v>
      </c>
      <c r="Q746">
        <v>3.6978639999999999E-3</v>
      </c>
      <c r="R746">
        <v>2.6058409999999998E-3</v>
      </c>
      <c r="S746">
        <v>1.8363050000000001E-3</v>
      </c>
      <c r="T746">
        <v>1.2940219999999999E-3</v>
      </c>
      <c r="U746">
        <v>9.1188200000000004E-4</v>
      </c>
      <c r="V746">
        <v>6.4259199999999999E-4</v>
      </c>
    </row>
    <row r="747" spans="2:22" x14ac:dyDescent="0.2">
      <c r="B747" t="s">
        <v>324</v>
      </c>
      <c r="C747">
        <v>0.67032000000000003</v>
      </c>
      <c r="D747">
        <v>0.54881159999999996</v>
      </c>
      <c r="E747">
        <v>0.44932899999999998</v>
      </c>
      <c r="F747">
        <v>0.36787940000000002</v>
      </c>
      <c r="G747">
        <v>0.30119420000000002</v>
      </c>
      <c r="H747">
        <v>0.24659700000000001</v>
      </c>
      <c r="I747">
        <v>0.20189650000000001</v>
      </c>
      <c r="J747">
        <v>0.1652989</v>
      </c>
      <c r="K747">
        <v>0.13533529999999999</v>
      </c>
      <c r="L747">
        <v>0.1108032</v>
      </c>
      <c r="M747">
        <v>9.0717950000000006E-2</v>
      </c>
      <c r="N747">
        <v>7.4273580000000006E-2</v>
      </c>
      <c r="O747">
        <v>6.0810059999999999E-2</v>
      </c>
      <c r="P747">
        <v>4.9787070000000003E-2</v>
      </c>
      <c r="Q747">
        <v>4.0762199999999998E-2</v>
      </c>
      <c r="R747">
        <v>3.3373269999999997E-2</v>
      </c>
      <c r="S747">
        <v>2.7323719999999999E-2</v>
      </c>
      <c r="T747">
        <v>2.2370770000000002E-2</v>
      </c>
      <c r="U747">
        <v>1.8315640000000001E-2</v>
      </c>
      <c r="V747">
        <v>1.499558E-2</v>
      </c>
    </row>
    <row r="748" spans="2:22" x14ac:dyDescent="0.2">
      <c r="B748">
        <v>0.5</v>
      </c>
      <c r="C748">
        <v>0.5</v>
      </c>
      <c r="D748">
        <v>0.5</v>
      </c>
      <c r="E748">
        <v>0.5</v>
      </c>
      <c r="F748">
        <v>0.5</v>
      </c>
      <c r="G748">
        <v>0.5</v>
      </c>
      <c r="H748">
        <v>0.5</v>
      </c>
      <c r="I748">
        <v>0.5</v>
      </c>
      <c r="J748">
        <v>0.5</v>
      </c>
      <c r="K748">
        <v>0.5</v>
      </c>
      <c r="L748">
        <v>0.5</v>
      </c>
      <c r="M748">
        <v>0.5</v>
      </c>
    </row>
    <row r="749" spans="2:22" x14ac:dyDescent="0.2">
      <c r="B749">
        <v>0.5</v>
      </c>
      <c r="C749">
        <v>0.5</v>
      </c>
      <c r="D749">
        <v>0.5</v>
      </c>
      <c r="E749">
        <v>0.5</v>
      </c>
      <c r="F749">
        <v>0.5</v>
      </c>
      <c r="G749">
        <v>0.5</v>
      </c>
      <c r="H749">
        <v>0.5</v>
      </c>
      <c r="I749">
        <v>0.5</v>
      </c>
      <c r="J749">
        <v>0.5</v>
      </c>
      <c r="K749">
        <v>0.5</v>
      </c>
      <c r="L749">
        <v>0.5</v>
      </c>
      <c r="M749">
        <v>0.5</v>
      </c>
    </row>
    <row r="750" spans="2:22" x14ac:dyDescent="0.2">
      <c r="B750">
        <v>0.5</v>
      </c>
      <c r="C750">
        <v>0.46256999999999998</v>
      </c>
      <c r="D750">
        <v>0.42555999999999999</v>
      </c>
      <c r="E750">
        <v>0.38935999999999998</v>
      </c>
      <c r="F750">
        <v>0.35433999999999999</v>
      </c>
      <c r="G750">
        <v>0.32081999999999999</v>
      </c>
      <c r="H750">
        <v>0.28904999999999997</v>
      </c>
      <c r="I750">
        <v>0.25923000000000002</v>
      </c>
      <c r="J750">
        <v>0.23147999999999999</v>
      </c>
      <c r="K750">
        <v>0.20587</v>
      </c>
      <c r="L750">
        <v>0.18243000000000001</v>
      </c>
      <c r="M750">
        <v>0.16111</v>
      </c>
      <c r="N750">
        <v>0.14185</v>
      </c>
      <c r="O750">
        <v>0.12454999999999999</v>
      </c>
      <c r="P750">
        <v>0.1091</v>
      </c>
      <c r="Q750">
        <v>9.5350000000000004E-2</v>
      </c>
      <c r="R750">
        <v>8.3169999999999994E-2</v>
      </c>
      <c r="S750">
        <v>7.2429999999999994E-2</v>
      </c>
      <c r="T750">
        <v>6.2969999999999998E-2</v>
      </c>
      <c r="U750">
        <v>5.4679999999999999E-2</v>
      </c>
      <c r="V750">
        <v>4.743E-2</v>
      </c>
    </row>
    <row r="751" spans="2:22" x14ac:dyDescent="0.2">
      <c r="B751">
        <v>0.5</v>
      </c>
      <c r="C751">
        <v>0.53742999999999996</v>
      </c>
      <c r="D751">
        <v>0.57443999999999995</v>
      </c>
      <c r="E751">
        <v>0.61063999999999996</v>
      </c>
      <c r="F751">
        <v>0.64566000000000001</v>
      </c>
      <c r="G751">
        <v>0.67918000000000001</v>
      </c>
      <c r="H751">
        <v>0.71094999999999997</v>
      </c>
      <c r="I751">
        <v>0.74077000000000004</v>
      </c>
      <c r="J751">
        <v>0.76851999999999998</v>
      </c>
      <c r="K751">
        <v>0.79413</v>
      </c>
      <c r="L751">
        <v>0.81757000000000002</v>
      </c>
      <c r="M751">
        <v>0.83889000000000002</v>
      </c>
      <c r="N751">
        <v>0.85814999999999997</v>
      </c>
      <c r="O751">
        <v>0.87544999999999995</v>
      </c>
      <c r="P751">
        <v>0.89090000000000003</v>
      </c>
      <c r="Q751">
        <v>0.90464999999999995</v>
      </c>
      <c r="R751">
        <v>0.91683000000000003</v>
      </c>
      <c r="S751">
        <v>0.92757000000000001</v>
      </c>
      <c r="T751">
        <v>0.93703000000000003</v>
      </c>
      <c r="U751">
        <v>0.94532000000000005</v>
      </c>
      <c r="V751">
        <v>0.95257000000000003</v>
      </c>
    </row>
    <row r="752" spans="2:22" x14ac:dyDescent="0.2">
      <c r="B752" t="s">
        <v>99</v>
      </c>
      <c r="C752" t="s">
        <v>325</v>
      </c>
    </row>
    <row r="753" spans="2:3" x14ac:dyDescent="0.2">
      <c r="B753">
        <v>0.52663000000000004</v>
      </c>
    </row>
    <row r="754" spans="2:3" x14ac:dyDescent="0.2">
      <c r="B754">
        <v>-0.15670999999999999</v>
      </c>
    </row>
    <row r="755" spans="2:3" x14ac:dyDescent="0.2">
      <c r="B755">
        <v>-0.99990000000000001</v>
      </c>
    </row>
    <row r="756" spans="2:3" x14ac:dyDescent="0.2">
      <c r="B756">
        <v>-0.27489999999999998</v>
      </c>
    </row>
    <row r="757" spans="2:3" x14ac:dyDescent="0.2">
      <c r="B757" t="s">
        <v>99</v>
      </c>
      <c r="C757" t="s">
        <v>326</v>
      </c>
    </row>
    <row r="758" spans="2:3" x14ac:dyDescent="0.2">
      <c r="B758">
        <v>-0.81657999999999997</v>
      </c>
    </row>
    <row r="759" spans="2:3" x14ac:dyDescent="0.2">
      <c r="B759">
        <v>-0.37476999999999999</v>
      </c>
    </row>
    <row r="760" spans="2:3" x14ac:dyDescent="0.2">
      <c r="B760">
        <v>-0.21296000000000001</v>
      </c>
    </row>
    <row r="761" spans="2:3" x14ac:dyDescent="0.2">
      <c r="B761">
        <v>-0.34043000000000001</v>
      </c>
    </row>
    <row r="762" spans="2:3" x14ac:dyDescent="0.2">
      <c r="B762" t="s">
        <v>99</v>
      </c>
      <c r="C762" t="s">
        <v>327</v>
      </c>
    </row>
    <row r="763" spans="2:3" x14ac:dyDescent="0.2">
      <c r="B763">
        <v>-1.4982</v>
      </c>
    </row>
    <row r="764" spans="2:3" x14ac:dyDescent="0.2">
      <c r="B764">
        <v>-0.79596999999999996</v>
      </c>
    </row>
    <row r="765" spans="2:3" x14ac:dyDescent="0.2">
      <c r="B765">
        <v>8.0853999999999995E-2</v>
      </c>
    </row>
    <row r="766" spans="2:3" x14ac:dyDescent="0.2">
      <c r="B766">
        <v>-0.97404999999999997</v>
      </c>
    </row>
    <row r="767" spans="2:3" x14ac:dyDescent="0.2">
      <c r="B767" t="s">
        <v>99</v>
      </c>
      <c r="C767" t="s">
        <v>328</v>
      </c>
    </row>
    <row r="768" spans="2:3" x14ac:dyDescent="0.2">
      <c r="B768">
        <v>2.7934999999999999</v>
      </c>
    </row>
    <row r="769" spans="2:6" x14ac:dyDescent="0.2">
      <c r="B769">
        <v>2.2302</v>
      </c>
    </row>
    <row r="770" spans="2:6" x14ac:dyDescent="0.2">
      <c r="B770">
        <v>1.6460999999999999</v>
      </c>
    </row>
    <row r="771" spans="2:6" x14ac:dyDescent="0.2">
      <c r="B771">
        <v>1.7837000000000001</v>
      </c>
    </row>
    <row r="772" spans="2:6" x14ac:dyDescent="0.2">
      <c r="B772" t="s">
        <v>99</v>
      </c>
      <c r="C772" t="s">
        <v>329</v>
      </c>
    </row>
    <row r="773" spans="2:6" x14ac:dyDescent="0.2">
      <c r="B773">
        <v>9.6582999999999999E-3</v>
      </c>
      <c r="C773">
        <v>4.5243999999999996E-3</v>
      </c>
      <c r="D773">
        <v>-5.7238000000000002E-3</v>
      </c>
      <c r="E773">
        <v>-1.1493E-2</v>
      </c>
    </row>
    <row r="774" spans="2:6" x14ac:dyDescent="0.2">
      <c r="B774" t="s">
        <v>99</v>
      </c>
      <c r="C774" t="s">
        <v>330</v>
      </c>
    </row>
    <row r="775" spans="2:6" x14ac:dyDescent="0.2">
      <c r="B775">
        <v>0</v>
      </c>
      <c r="C775">
        <v>0</v>
      </c>
      <c r="D775">
        <v>0</v>
      </c>
      <c r="E775">
        <v>0</v>
      </c>
    </row>
    <row r="776" spans="2:6" x14ac:dyDescent="0.2">
      <c r="B776" t="s">
        <v>100</v>
      </c>
    </row>
    <row r="777" spans="2:6" x14ac:dyDescent="0.2">
      <c r="B777" t="s">
        <v>331</v>
      </c>
      <c r="C777" t="s">
        <v>106</v>
      </c>
      <c r="D777" t="s">
        <v>332</v>
      </c>
      <c r="E777" t="s">
        <v>333</v>
      </c>
      <c r="F777" t="s">
        <v>107</v>
      </c>
    </row>
    <row r="778" spans="2:6" x14ac:dyDescent="0.2">
      <c r="B778" t="s">
        <v>100</v>
      </c>
    </row>
    <row r="779" spans="2:6" x14ac:dyDescent="0.2">
      <c r="B779">
        <v>12345</v>
      </c>
    </row>
  </sheetData>
  <conditionalFormatting sqref="B74:B106">
    <cfRule type="colorScale" priority="62">
      <colorScale>
        <cfvo type="min"/>
        <cfvo type="max"/>
        <color rgb="FFFCFCFF"/>
        <color rgb="FFF8696B"/>
      </colorScale>
    </cfRule>
  </conditionalFormatting>
  <conditionalFormatting sqref="B109:B154">
    <cfRule type="colorScale" priority="1">
      <colorScale>
        <cfvo type="min"/>
        <cfvo type="max"/>
        <color rgb="FFFCFCFF"/>
        <color rgb="FFF8696B"/>
      </colorScale>
    </cfRule>
  </conditionalFormatting>
  <conditionalFormatting sqref="B443:B484">
    <cfRule type="colorScale" priority="26">
      <colorScale>
        <cfvo type="min"/>
        <cfvo type="max"/>
        <color rgb="FFFCFCFF"/>
        <color rgb="FFF8696B"/>
      </colorScale>
    </cfRule>
  </conditionalFormatting>
  <conditionalFormatting sqref="C74:C106">
    <cfRule type="colorScale" priority="61">
      <colorScale>
        <cfvo type="min"/>
        <cfvo type="max"/>
        <color rgb="FFFCFCFF"/>
        <color rgb="FFF8696B"/>
      </colorScale>
    </cfRule>
  </conditionalFormatting>
  <conditionalFormatting sqref="C109:C154">
    <cfRule type="colorScale" priority="2">
      <colorScale>
        <cfvo type="min"/>
        <cfvo type="max"/>
        <color rgb="FFFCFCFF"/>
        <color rgb="FFF8696B"/>
      </colorScale>
    </cfRule>
  </conditionalFormatting>
  <conditionalFormatting sqref="C443:C484">
    <cfRule type="colorScale" priority="27">
      <colorScale>
        <cfvo type="min"/>
        <cfvo type="max"/>
        <color rgb="FFFCFCFF"/>
        <color rgb="FFF8696B"/>
      </colorScale>
    </cfRule>
  </conditionalFormatting>
  <conditionalFormatting sqref="D74:D106">
    <cfRule type="colorScale" priority="60">
      <colorScale>
        <cfvo type="min"/>
        <cfvo type="max"/>
        <color rgb="FFFCFCFF"/>
        <color rgb="FFF8696B"/>
      </colorScale>
    </cfRule>
  </conditionalFormatting>
  <conditionalFormatting sqref="D109:D154">
    <cfRule type="colorScale" priority="3">
      <colorScale>
        <cfvo type="min"/>
        <cfvo type="max"/>
        <color rgb="FFFCFCFF"/>
        <color rgb="FFF8696B"/>
      </colorScale>
    </cfRule>
  </conditionalFormatting>
  <conditionalFormatting sqref="D443:D484">
    <cfRule type="colorScale" priority="28">
      <colorScale>
        <cfvo type="min"/>
        <cfvo type="max"/>
        <color rgb="FFFCFCFF"/>
        <color rgb="FFF8696B"/>
      </colorScale>
    </cfRule>
  </conditionalFormatting>
  <conditionalFormatting sqref="E74:E106">
    <cfRule type="colorScale" priority="59">
      <colorScale>
        <cfvo type="min"/>
        <cfvo type="max"/>
        <color rgb="FFFCFCFF"/>
        <color rgb="FFF8696B"/>
      </colorScale>
    </cfRule>
  </conditionalFormatting>
  <conditionalFormatting sqref="E109:E154">
    <cfRule type="colorScale" priority="4">
      <colorScale>
        <cfvo type="min"/>
        <cfvo type="max"/>
        <color rgb="FFFCFCFF"/>
        <color rgb="FFF8696B"/>
      </colorScale>
    </cfRule>
  </conditionalFormatting>
  <conditionalFormatting sqref="E443:E484">
    <cfRule type="colorScale" priority="29">
      <colorScale>
        <cfvo type="min"/>
        <cfvo type="max"/>
        <color rgb="FFFCFCFF"/>
        <color rgb="FFF8696B"/>
      </colorScale>
    </cfRule>
  </conditionalFormatting>
  <conditionalFormatting sqref="F74:F106">
    <cfRule type="colorScale" priority="58">
      <colorScale>
        <cfvo type="min"/>
        <cfvo type="max"/>
        <color rgb="FFFCFCFF"/>
        <color rgb="FFF8696B"/>
      </colorScale>
    </cfRule>
  </conditionalFormatting>
  <conditionalFormatting sqref="F109:F154">
    <cfRule type="colorScale" priority="5">
      <colorScale>
        <cfvo type="min"/>
        <cfvo type="max"/>
        <color rgb="FFFCFCFF"/>
        <color rgb="FFF8696B"/>
      </colorScale>
    </cfRule>
  </conditionalFormatting>
  <conditionalFormatting sqref="F443:F484">
    <cfRule type="colorScale" priority="30">
      <colorScale>
        <cfvo type="min"/>
        <cfvo type="max"/>
        <color rgb="FFFCFCFF"/>
        <color rgb="FFF8696B"/>
      </colorScale>
    </cfRule>
  </conditionalFormatting>
  <conditionalFormatting sqref="G74:G106">
    <cfRule type="colorScale" priority="57">
      <colorScale>
        <cfvo type="min"/>
        <cfvo type="max"/>
        <color rgb="FFFCFCFF"/>
        <color rgb="FFF8696B"/>
      </colorScale>
    </cfRule>
  </conditionalFormatting>
  <conditionalFormatting sqref="G109:G154">
    <cfRule type="colorScale" priority="6">
      <colorScale>
        <cfvo type="min"/>
        <cfvo type="max"/>
        <color rgb="FFFCFCFF"/>
        <color rgb="FFF8696B"/>
      </colorScale>
    </cfRule>
  </conditionalFormatting>
  <conditionalFormatting sqref="G443:G484">
    <cfRule type="colorScale" priority="31">
      <colorScale>
        <cfvo type="min"/>
        <cfvo type="max"/>
        <color rgb="FFFCFCFF"/>
        <color rgb="FFF8696B"/>
      </colorScale>
    </cfRule>
  </conditionalFormatting>
  <conditionalFormatting sqref="H74:H106">
    <cfRule type="colorScale" priority="56">
      <colorScale>
        <cfvo type="min"/>
        <cfvo type="max"/>
        <color rgb="FFFCFCFF"/>
        <color rgb="FFF8696B"/>
      </colorScale>
    </cfRule>
  </conditionalFormatting>
  <conditionalFormatting sqref="H109:H154">
    <cfRule type="colorScale" priority="7">
      <colorScale>
        <cfvo type="min"/>
        <cfvo type="max"/>
        <color rgb="FFFCFCFF"/>
        <color rgb="FFF8696B"/>
      </colorScale>
    </cfRule>
  </conditionalFormatting>
  <conditionalFormatting sqref="H443:H484">
    <cfRule type="colorScale" priority="32">
      <colorScale>
        <cfvo type="min"/>
        <cfvo type="max"/>
        <color rgb="FFFCFCFF"/>
        <color rgb="FFF8696B"/>
      </colorScale>
    </cfRule>
  </conditionalFormatting>
  <conditionalFormatting sqref="I74:I106">
    <cfRule type="colorScale" priority="55">
      <colorScale>
        <cfvo type="min"/>
        <cfvo type="max"/>
        <color rgb="FFFCFCFF"/>
        <color rgb="FFF8696B"/>
      </colorScale>
    </cfRule>
  </conditionalFormatting>
  <conditionalFormatting sqref="I109:I154">
    <cfRule type="colorScale" priority="8">
      <colorScale>
        <cfvo type="min"/>
        <cfvo type="max"/>
        <color rgb="FFFCFCFF"/>
        <color rgb="FFF8696B"/>
      </colorScale>
    </cfRule>
  </conditionalFormatting>
  <conditionalFormatting sqref="I443:I484">
    <cfRule type="colorScale" priority="33">
      <colorScale>
        <cfvo type="min"/>
        <cfvo type="max"/>
        <color rgb="FFFCFCFF"/>
        <color rgb="FFF8696B"/>
      </colorScale>
    </cfRule>
  </conditionalFormatting>
  <conditionalFormatting sqref="J74:J106">
    <cfRule type="colorScale" priority="54">
      <colorScale>
        <cfvo type="min"/>
        <cfvo type="max"/>
        <color rgb="FFFCFCFF"/>
        <color rgb="FFF8696B"/>
      </colorScale>
    </cfRule>
  </conditionalFormatting>
  <conditionalFormatting sqref="J109:J154">
    <cfRule type="colorScale" priority="9">
      <colorScale>
        <cfvo type="min"/>
        <cfvo type="max"/>
        <color rgb="FFFCFCFF"/>
        <color rgb="FFF8696B"/>
      </colorScale>
    </cfRule>
  </conditionalFormatting>
  <conditionalFormatting sqref="J443:J484">
    <cfRule type="colorScale" priority="34">
      <colorScale>
        <cfvo type="min"/>
        <cfvo type="max"/>
        <color rgb="FFFCFCFF"/>
        <color rgb="FFF8696B"/>
      </colorScale>
    </cfRule>
  </conditionalFormatting>
  <conditionalFormatting sqref="K74:K106">
    <cfRule type="colorScale" priority="53">
      <colorScale>
        <cfvo type="min"/>
        <cfvo type="max"/>
        <color rgb="FFFCFCFF"/>
        <color rgb="FFF8696B"/>
      </colorScale>
    </cfRule>
  </conditionalFormatting>
  <conditionalFormatting sqref="K109:K154">
    <cfRule type="colorScale" priority="10">
      <colorScale>
        <cfvo type="min"/>
        <cfvo type="max"/>
        <color rgb="FFFCFCFF"/>
        <color rgb="FFF8696B"/>
      </colorScale>
    </cfRule>
  </conditionalFormatting>
  <conditionalFormatting sqref="K443:K484">
    <cfRule type="colorScale" priority="35">
      <colorScale>
        <cfvo type="min"/>
        <cfvo type="max"/>
        <color rgb="FFFCFCFF"/>
        <color rgb="FFF8696B"/>
      </colorScale>
    </cfRule>
  </conditionalFormatting>
  <conditionalFormatting sqref="L74:L106">
    <cfRule type="colorScale" priority="52">
      <colorScale>
        <cfvo type="min"/>
        <cfvo type="max"/>
        <color rgb="FFFCFCFF"/>
        <color rgb="FFF8696B"/>
      </colorScale>
    </cfRule>
  </conditionalFormatting>
  <conditionalFormatting sqref="L109:L154">
    <cfRule type="colorScale" priority="11">
      <colorScale>
        <cfvo type="min"/>
        <cfvo type="max"/>
        <color rgb="FFFCFCFF"/>
        <color rgb="FFF8696B"/>
      </colorScale>
    </cfRule>
  </conditionalFormatting>
  <conditionalFormatting sqref="L443:L484">
    <cfRule type="colorScale" priority="36">
      <colorScale>
        <cfvo type="min"/>
        <cfvo type="max"/>
        <color rgb="FFFCFCFF"/>
        <color rgb="FFF8696B"/>
      </colorScale>
    </cfRule>
  </conditionalFormatting>
  <conditionalFormatting sqref="M74:M106">
    <cfRule type="colorScale" priority="51">
      <colorScale>
        <cfvo type="min"/>
        <cfvo type="max"/>
        <color rgb="FFFCFCFF"/>
        <color rgb="FFF8696B"/>
      </colorScale>
    </cfRule>
  </conditionalFormatting>
  <conditionalFormatting sqref="M109:M154">
    <cfRule type="colorScale" priority="12">
      <colorScale>
        <cfvo type="min"/>
        <cfvo type="max"/>
        <color rgb="FFFCFCFF"/>
        <color rgb="FFF8696B"/>
      </colorScale>
    </cfRule>
  </conditionalFormatting>
  <conditionalFormatting sqref="M443:M484">
    <cfRule type="colorScale" priority="37">
      <colorScale>
        <cfvo type="min"/>
        <cfvo type="max"/>
        <color rgb="FFFCFCFF"/>
        <color rgb="FFF8696B"/>
      </colorScale>
    </cfRule>
  </conditionalFormatting>
  <conditionalFormatting sqref="N109:N154">
    <cfRule type="colorScale" priority="13">
      <colorScale>
        <cfvo type="min"/>
        <cfvo type="max"/>
        <color rgb="FFFCFCFF"/>
        <color rgb="FFF8696B"/>
      </colorScale>
    </cfRule>
  </conditionalFormatting>
  <conditionalFormatting sqref="O109:O154">
    <cfRule type="colorScale" priority="14">
      <colorScale>
        <cfvo type="min"/>
        <cfvo type="max"/>
        <color rgb="FFFCFCFF"/>
        <color rgb="FFF8696B"/>
      </colorScale>
    </cfRule>
  </conditionalFormatting>
  <conditionalFormatting sqref="P109:P154">
    <cfRule type="colorScale" priority="15">
      <colorScale>
        <cfvo type="min"/>
        <cfvo type="max"/>
        <color rgb="FFFCFCFF"/>
        <color rgb="FFF8696B"/>
      </colorScale>
    </cfRule>
  </conditionalFormatting>
  <conditionalFormatting sqref="Q109:Q154">
    <cfRule type="colorScale" priority="16">
      <colorScale>
        <cfvo type="min"/>
        <cfvo type="max"/>
        <color rgb="FFFCFCFF"/>
        <color rgb="FFF8696B"/>
      </colorScale>
    </cfRule>
  </conditionalFormatting>
  <conditionalFormatting sqref="R109:R154">
    <cfRule type="colorScale" priority="17">
      <colorScale>
        <cfvo type="min"/>
        <cfvo type="max"/>
        <color rgb="FFFCFCFF"/>
        <color rgb="FFF8696B"/>
      </colorScale>
    </cfRule>
  </conditionalFormatting>
  <conditionalFormatting sqref="S109:S154">
    <cfRule type="colorScale" priority="18">
      <colorScale>
        <cfvo type="min"/>
        <cfvo type="max"/>
        <color rgb="FFFCFCFF"/>
        <color rgb="FFF8696B"/>
      </colorScale>
    </cfRule>
  </conditionalFormatting>
  <conditionalFormatting sqref="T109:T154">
    <cfRule type="colorScale" priority="19">
      <colorScale>
        <cfvo type="min"/>
        <cfvo type="max"/>
        <color rgb="FFFCFCFF"/>
        <color rgb="FFF8696B"/>
      </colorScale>
    </cfRule>
  </conditionalFormatting>
  <conditionalFormatting sqref="U109:U154">
    <cfRule type="colorScale" priority="20">
      <colorScale>
        <cfvo type="min"/>
        <cfvo type="max"/>
        <color rgb="FFFCFCFF"/>
        <color rgb="FFF8696B"/>
      </colorScale>
    </cfRule>
  </conditionalFormatting>
  <conditionalFormatting sqref="V109:V154">
    <cfRule type="colorScale" priority="21">
      <colorScale>
        <cfvo type="min"/>
        <cfvo type="max"/>
        <color rgb="FFFCFCFF"/>
        <color rgb="FFF8696B"/>
      </colorScale>
    </cfRule>
  </conditionalFormatting>
  <conditionalFormatting sqref="W109:W154">
    <cfRule type="colorScale" priority="22">
      <colorScale>
        <cfvo type="min"/>
        <cfvo type="max"/>
        <color rgb="FFFCFCFF"/>
        <color rgb="FFF8696B"/>
      </colorScale>
    </cfRule>
  </conditionalFormatting>
  <conditionalFormatting sqref="X109:X154">
    <cfRule type="colorScale" priority="23">
      <colorScale>
        <cfvo type="min"/>
        <cfvo type="max"/>
        <color rgb="FFFCFCFF"/>
        <color rgb="FFF8696B"/>
      </colorScale>
    </cfRule>
  </conditionalFormatting>
  <conditionalFormatting sqref="Y109:Y154">
    <cfRule type="colorScale" priority="24">
      <colorScale>
        <cfvo type="min"/>
        <cfvo type="max"/>
        <color rgb="FFFCFCFF"/>
        <color rgb="FFF8696B"/>
      </colorScale>
    </cfRule>
  </conditionalFormatting>
  <conditionalFormatting sqref="Z109:Z154">
    <cfRule type="colorScale" priority="25">
      <colorScale>
        <cfvo type="min"/>
        <cfvo type="max"/>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CD022-3210-BE47-8FDE-C2E7FD06DEA6}">
  <dimension ref="A1:AR339"/>
  <sheetViews>
    <sheetView zoomScale="146" workbookViewId="0"/>
  </sheetViews>
  <sheetFormatPr baseColWidth="10" defaultRowHeight="16" x14ac:dyDescent="0.2"/>
  <cols>
    <col min="1" max="1" width="11.1640625" bestFit="1" customWidth="1"/>
    <col min="2" max="2" width="11" bestFit="1" customWidth="1"/>
    <col min="3" max="3" width="13.1640625" bestFit="1" customWidth="1"/>
    <col min="5" max="5" width="13.1640625" bestFit="1" customWidth="1"/>
    <col min="7" max="7" width="13.1640625" bestFit="1" customWidth="1"/>
    <col min="9" max="9" width="13.1640625" bestFit="1" customWidth="1"/>
    <col min="11" max="11" width="13.1640625" bestFit="1" customWidth="1"/>
    <col min="13" max="13" width="13.1640625" bestFit="1" customWidth="1"/>
    <col min="15" max="15" width="13.1640625" bestFit="1" customWidth="1"/>
    <col min="17" max="17" width="13.1640625" bestFit="1" customWidth="1"/>
    <col min="19" max="19" width="11.83203125" bestFit="1" customWidth="1"/>
    <col min="21" max="21" width="11.33203125" bestFit="1" customWidth="1"/>
    <col min="23" max="23" width="12" bestFit="1" customWidth="1"/>
    <col min="25" max="25" width="12" bestFit="1" customWidth="1"/>
    <col min="27" max="27" width="11.1640625" bestFit="1" customWidth="1"/>
    <col min="29" max="29" width="11.1640625" bestFit="1" customWidth="1"/>
    <col min="31" max="31" width="11" bestFit="1" customWidth="1"/>
    <col min="33" max="33" width="11.5" bestFit="1" customWidth="1"/>
  </cols>
  <sheetData>
    <row r="1" spans="1:44" x14ac:dyDescent="0.2">
      <c r="B1">
        <v>1982</v>
      </c>
      <c r="C1">
        <v>1983</v>
      </c>
      <c r="D1">
        <v>1984</v>
      </c>
      <c r="E1">
        <v>1985</v>
      </c>
      <c r="F1">
        <v>1986</v>
      </c>
      <c r="G1">
        <v>1987</v>
      </c>
      <c r="H1">
        <v>1988</v>
      </c>
      <c r="I1">
        <v>1989</v>
      </c>
      <c r="J1">
        <v>1990</v>
      </c>
      <c r="K1">
        <v>1991</v>
      </c>
      <c r="L1">
        <v>1992</v>
      </c>
      <c r="M1">
        <v>1993</v>
      </c>
      <c r="N1">
        <v>1994</v>
      </c>
      <c r="O1">
        <v>1995</v>
      </c>
      <c r="P1">
        <v>1996</v>
      </c>
      <c r="Q1">
        <v>1997</v>
      </c>
      <c r="R1">
        <v>1998</v>
      </c>
      <c r="S1">
        <v>1999</v>
      </c>
      <c r="T1">
        <v>2000</v>
      </c>
      <c r="U1">
        <v>2001</v>
      </c>
      <c r="V1">
        <v>2002</v>
      </c>
      <c r="W1">
        <v>2003</v>
      </c>
      <c r="X1">
        <v>2004</v>
      </c>
      <c r="Y1">
        <v>2005</v>
      </c>
      <c r="Z1">
        <v>2006</v>
      </c>
      <c r="AA1">
        <v>2007</v>
      </c>
      <c r="AB1">
        <v>2008</v>
      </c>
      <c r="AC1">
        <v>2009</v>
      </c>
      <c r="AD1">
        <v>2010</v>
      </c>
      <c r="AE1">
        <v>2011</v>
      </c>
      <c r="AF1">
        <v>2012</v>
      </c>
      <c r="AG1">
        <v>2013</v>
      </c>
      <c r="AH1">
        <v>2014</v>
      </c>
      <c r="AI1">
        <v>2015</v>
      </c>
      <c r="AJ1">
        <v>2016</v>
      </c>
      <c r="AK1">
        <v>2017</v>
      </c>
      <c r="AL1">
        <v>2018</v>
      </c>
      <c r="AM1">
        <v>2019</v>
      </c>
      <c r="AN1">
        <v>2020</v>
      </c>
      <c r="AO1">
        <v>2021</v>
      </c>
      <c r="AP1">
        <v>2022</v>
      </c>
      <c r="AQ1">
        <v>2023</v>
      </c>
      <c r="AR1">
        <v>2024</v>
      </c>
    </row>
    <row r="2" spans="1:44" x14ac:dyDescent="0.2">
      <c r="A2">
        <v>1</v>
      </c>
      <c r="B2">
        <v>2.6205768364266198E-2</v>
      </c>
      <c r="C2">
        <v>1.6466600545255703E-2</v>
      </c>
      <c r="D2">
        <v>1.6306697209876302E-2</v>
      </c>
      <c r="E2">
        <v>1.7032290759062201E-2</v>
      </c>
      <c r="F2">
        <v>1.2679100930007101E-2</v>
      </c>
      <c r="G2">
        <v>2.5633853765877099E-2</v>
      </c>
      <c r="H2">
        <v>1.6132697573974699E-2</v>
      </c>
      <c r="I2">
        <v>1.8833545138204903E-2</v>
      </c>
      <c r="J2">
        <v>1.44132641492724E-2</v>
      </c>
      <c r="K2">
        <v>2.0605993494384699E-2</v>
      </c>
      <c r="L2">
        <v>1.6772385234901103E-2</v>
      </c>
      <c r="M2">
        <v>1.2209558488244201E-2</v>
      </c>
      <c r="N2">
        <v>1.7732800814225701E-2</v>
      </c>
      <c r="O2">
        <v>1.7411934302708498E-2</v>
      </c>
      <c r="P2">
        <v>1.8715706726376201E-2</v>
      </c>
      <c r="Q2">
        <v>1.54124721885033E-2</v>
      </c>
      <c r="R2">
        <v>1.4883778028028701E-2</v>
      </c>
      <c r="S2">
        <v>1.3097441240666401E-2</v>
      </c>
      <c r="T2">
        <v>1.1637050412831201E-2</v>
      </c>
      <c r="U2">
        <v>1.4819031887871099E-2</v>
      </c>
      <c r="V2">
        <v>1.2825706769882199E-2</v>
      </c>
      <c r="W2">
        <v>2.1351905232043302E-2</v>
      </c>
      <c r="X2">
        <v>1.9468920937720201E-2</v>
      </c>
      <c r="Y2">
        <v>2.0195642553592102E-2</v>
      </c>
      <c r="Z2">
        <v>9.3771807921347386E-3</v>
      </c>
      <c r="AA2">
        <v>1.25130475669441E-2</v>
      </c>
      <c r="AB2">
        <v>1.2618843909317799E-2</v>
      </c>
      <c r="AC2">
        <v>1.10475791946679E-2</v>
      </c>
      <c r="AD2">
        <v>1.75370994367555E-2</v>
      </c>
      <c r="AE2">
        <v>1.49076731625563E-2</v>
      </c>
      <c r="AF2">
        <v>1.3099156160992401E-2</v>
      </c>
      <c r="AG2">
        <v>1.5229169150546401E-2</v>
      </c>
      <c r="AH2">
        <v>1.66069102402552E-2</v>
      </c>
      <c r="AI2">
        <v>1.7457806788171101E-2</v>
      </c>
      <c r="AJ2">
        <v>2.1930008867307501E-2</v>
      </c>
      <c r="AK2">
        <v>2.0955313855185502E-2</v>
      </c>
      <c r="AL2">
        <v>2.2427235127942598E-2</v>
      </c>
      <c r="AM2">
        <v>2.1557385851708299E-2</v>
      </c>
      <c r="AN2" t="s">
        <v>88</v>
      </c>
      <c r="AO2">
        <v>2.2498680976554802E-2</v>
      </c>
      <c r="AP2">
        <v>1.7285352006024102E-2</v>
      </c>
      <c r="AQ2">
        <v>1.6290282683347201E-2</v>
      </c>
      <c r="AR2">
        <v>1.7541583297838698E-2</v>
      </c>
    </row>
    <row r="3" spans="1:44" x14ac:dyDescent="0.2">
      <c r="A3">
        <v>2</v>
      </c>
      <c r="B3">
        <v>7.7368660781642007E-2</v>
      </c>
      <c r="C3">
        <v>0.10462804434456</v>
      </c>
      <c r="D3">
        <v>6.7560012997084196E-2</v>
      </c>
      <c r="E3">
        <v>8.2113336681314E-2</v>
      </c>
      <c r="F3">
        <v>6.2722584755181401E-2</v>
      </c>
      <c r="G3">
        <v>0.106461679611092</v>
      </c>
      <c r="H3">
        <v>9.5171864701778602E-2</v>
      </c>
      <c r="I3">
        <v>8.9662269608068904E-2</v>
      </c>
      <c r="J3">
        <v>0.17105638557615502</v>
      </c>
      <c r="K3">
        <v>0.13638903554405599</v>
      </c>
      <c r="L3">
        <v>0.129732207909415</v>
      </c>
      <c r="M3">
        <v>0.10251025717031201</v>
      </c>
      <c r="N3">
        <v>8.9098398304678195E-2</v>
      </c>
      <c r="O3">
        <v>6.3233780724699096E-2</v>
      </c>
      <c r="P3">
        <v>8.0421813094313802E-2</v>
      </c>
      <c r="Q3">
        <v>8.3028836676808396E-2</v>
      </c>
      <c r="R3">
        <v>7.6274765012391693E-2</v>
      </c>
      <c r="S3">
        <v>9.0593728091038495E-2</v>
      </c>
      <c r="T3">
        <v>9.0123892662997904E-2</v>
      </c>
      <c r="U3">
        <v>7.5871476896642809E-2</v>
      </c>
      <c r="V3">
        <v>9.3839210887065608E-2</v>
      </c>
      <c r="W3">
        <v>0.11382481626350599</v>
      </c>
      <c r="X3">
        <v>0.103594552201352</v>
      </c>
      <c r="Y3">
        <v>0.10749328969810899</v>
      </c>
      <c r="Z3">
        <v>9.9581012409287989E-2</v>
      </c>
      <c r="AA3">
        <v>0.102927192098167</v>
      </c>
      <c r="AB3">
        <v>6.0552624872757498E-2</v>
      </c>
      <c r="AC3">
        <v>6.6319807055085903E-2</v>
      </c>
      <c r="AD3">
        <v>8.4274742792885604E-2</v>
      </c>
      <c r="AE3">
        <v>8.2344510607901503E-2</v>
      </c>
      <c r="AF3">
        <v>7.92773651107858E-2</v>
      </c>
      <c r="AG3">
        <v>8.0877861310907309E-2</v>
      </c>
      <c r="AH3">
        <v>0.113968322273358</v>
      </c>
      <c r="AI3">
        <v>8.7281454053534796E-2</v>
      </c>
      <c r="AJ3">
        <v>8.1925660253933108E-2</v>
      </c>
      <c r="AK3">
        <v>0.104074519010863</v>
      </c>
      <c r="AL3">
        <v>9.5396352387455197E-2</v>
      </c>
      <c r="AM3">
        <v>0.11335570364678201</v>
      </c>
      <c r="AN3" t="s">
        <v>88</v>
      </c>
      <c r="AO3">
        <v>0.10247386266333901</v>
      </c>
      <c r="AP3">
        <v>0.117262349619111</v>
      </c>
      <c r="AQ3">
        <v>0.117301585858891</v>
      </c>
      <c r="AR3">
        <v>9.4822856331877009E-2</v>
      </c>
    </row>
    <row r="4" spans="1:44" x14ac:dyDescent="0.2">
      <c r="A4">
        <v>3</v>
      </c>
      <c r="B4">
        <v>0.17984087789759201</v>
      </c>
      <c r="C4">
        <v>0.18543451673570602</v>
      </c>
      <c r="D4">
        <v>0.19641513374278302</v>
      </c>
      <c r="E4">
        <v>0.21258432216551099</v>
      </c>
      <c r="F4">
        <v>0.145053920787659</v>
      </c>
      <c r="G4">
        <v>0.24569976022906598</v>
      </c>
      <c r="H4">
        <v>0.27475098279599203</v>
      </c>
      <c r="I4">
        <v>0.16816857129782301</v>
      </c>
      <c r="J4">
        <v>0.18121030985172101</v>
      </c>
      <c r="K4">
        <v>0.19937223564649698</v>
      </c>
      <c r="L4">
        <v>0.29996991458359501</v>
      </c>
      <c r="M4">
        <v>0.28949641197096299</v>
      </c>
      <c r="N4">
        <v>0.227857636232522</v>
      </c>
      <c r="O4">
        <v>0.14533530341640802</v>
      </c>
      <c r="P4">
        <v>0.15087054440183201</v>
      </c>
      <c r="Q4">
        <v>0.20099866696827701</v>
      </c>
      <c r="R4">
        <v>0.194545172811006</v>
      </c>
      <c r="S4">
        <v>0.20558330035890698</v>
      </c>
      <c r="T4">
        <v>0.23149510165580101</v>
      </c>
      <c r="U4">
        <v>0.18016288095229399</v>
      </c>
      <c r="V4">
        <v>0.25933848334669102</v>
      </c>
      <c r="W4">
        <v>0.287772766098782</v>
      </c>
      <c r="X4">
        <v>0.28146998093200604</v>
      </c>
      <c r="Y4">
        <v>0.237541588419903</v>
      </c>
      <c r="Z4">
        <v>0.18948027826053201</v>
      </c>
      <c r="AA4">
        <v>0.28960623473035002</v>
      </c>
      <c r="AB4">
        <v>0.25535377969918799</v>
      </c>
      <c r="AC4">
        <v>0.249929732676478</v>
      </c>
      <c r="AD4">
        <v>0.26608799640658903</v>
      </c>
      <c r="AE4">
        <v>0.22974241056456299</v>
      </c>
      <c r="AF4">
        <v>0.20164656830532299</v>
      </c>
      <c r="AG4">
        <v>0.21232815950970998</v>
      </c>
      <c r="AH4">
        <v>0.25779954753867101</v>
      </c>
      <c r="AI4">
        <v>0.332406769419481</v>
      </c>
      <c r="AJ4">
        <v>0.29884989882413499</v>
      </c>
      <c r="AK4">
        <v>0.25368745350981298</v>
      </c>
      <c r="AL4">
        <v>0.225729313732495</v>
      </c>
      <c r="AM4">
        <v>0.29701389118909399</v>
      </c>
      <c r="AN4" t="s">
        <v>88</v>
      </c>
      <c r="AO4">
        <v>0.23874587130102401</v>
      </c>
      <c r="AP4">
        <v>0.26733573087300799</v>
      </c>
      <c r="AQ4">
        <v>0.27139620164422601</v>
      </c>
      <c r="AR4">
        <v>0.32923135977132301</v>
      </c>
    </row>
    <row r="5" spans="1:44" x14ac:dyDescent="0.2">
      <c r="A5">
        <v>4</v>
      </c>
      <c r="B5">
        <v>0.36696322655290403</v>
      </c>
      <c r="C5">
        <v>0.361183067278183</v>
      </c>
      <c r="D5">
        <v>0.30668409657471701</v>
      </c>
      <c r="E5">
        <v>0.336327375486066</v>
      </c>
      <c r="F5">
        <v>0.32711326428707899</v>
      </c>
      <c r="G5">
        <v>0.293843101850705</v>
      </c>
      <c r="H5">
        <v>0.32317442153322801</v>
      </c>
      <c r="I5">
        <v>0.30527029705757297</v>
      </c>
      <c r="J5">
        <v>0.35206067186959999</v>
      </c>
      <c r="K5">
        <v>0.35376234902909998</v>
      </c>
      <c r="L5">
        <v>0.40907178774926095</v>
      </c>
      <c r="M5">
        <v>0.46988782993348799</v>
      </c>
      <c r="N5">
        <v>0.41442535474540698</v>
      </c>
      <c r="O5">
        <v>0.33988341570147995</v>
      </c>
      <c r="P5">
        <v>0.299672504634034</v>
      </c>
      <c r="Q5">
        <v>0.30008810306300898</v>
      </c>
      <c r="R5">
        <v>0.315566630711546</v>
      </c>
      <c r="S5">
        <v>0.363419354813868</v>
      </c>
      <c r="T5">
        <v>0.43161498121500602</v>
      </c>
      <c r="U5">
        <v>0.37537758285761297</v>
      </c>
      <c r="V5">
        <v>0.38673792385268202</v>
      </c>
      <c r="W5">
        <v>0.45095919944241897</v>
      </c>
      <c r="X5">
        <v>0.449640783956059</v>
      </c>
      <c r="Y5">
        <v>0.41234004748751502</v>
      </c>
      <c r="Z5">
        <v>0.43836275376263001</v>
      </c>
      <c r="AA5">
        <v>0.51464886438966007</v>
      </c>
      <c r="AB5">
        <v>0.47399979563515399</v>
      </c>
      <c r="AC5">
        <v>0.50350271817468895</v>
      </c>
      <c r="AD5">
        <v>0.51878576457361203</v>
      </c>
      <c r="AE5">
        <v>0.511851880164921</v>
      </c>
      <c r="AF5">
        <v>0.42138328447582596</v>
      </c>
      <c r="AG5">
        <v>0.50512228336271103</v>
      </c>
      <c r="AH5">
        <v>0.45087539746701799</v>
      </c>
      <c r="AI5">
        <v>0.44892154926996397</v>
      </c>
      <c r="AJ5">
        <v>0.53027141052084203</v>
      </c>
      <c r="AK5">
        <v>0.47203782276432005</v>
      </c>
      <c r="AL5">
        <v>0.43454261822538504</v>
      </c>
      <c r="AM5">
        <v>0.50094768444623794</v>
      </c>
      <c r="AN5" t="s">
        <v>88</v>
      </c>
      <c r="AO5">
        <v>0.446959989078489</v>
      </c>
      <c r="AP5">
        <v>0.443188646870046</v>
      </c>
      <c r="AQ5">
        <v>0.41687564723238801</v>
      </c>
      <c r="AR5">
        <v>0.47575691883218002</v>
      </c>
    </row>
    <row r="6" spans="1:44" x14ac:dyDescent="0.2">
      <c r="A6">
        <v>5</v>
      </c>
      <c r="B6">
        <v>0.54007476786386599</v>
      </c>
      <c r="C6">
        <v>0.52095705984015395</v>
      </c>
      <c r="D6">
        <v>0.48488267115630102</v>
      </c>
      <c r="E6">
        <v>0.47324341363533901</v>
      </c>
      <c r="F6">
        <v>0.41958097808419803</v>
      </c>
      <c r="G6">
        <v>0.42630491922854202</v>
      </c>
      <c r="H6">
        <v>0.42643288567465498</v>
      </c>
      <c r="I6">
        <v>0.39071365194677599</v>
      </c>
      <c r="J6">
        <v>0.43324722734765103</v>
      </c>
      <c r="K6">
        <v>0.56350198644562199</v>
      </c>
      <c r="L6">
        <v>0.50467968604729596</v>
      </c>
      <c r="M6">
        <v>0.52522104180655105</v>
      </c>
      <c r="N6">
        <v>0.57280505462053</v>
      </c>
      <c r="O6">
        <v>0.48033315774494995</v>
      </c>
      <c r="P6">
        <v>0.50891044645156602</v>
      </c>
      <c r="Q6">
        <v>0.36966813629171297</v>
      </c>
      <c r="R6">
        <v>0.45714747388997101</v>
      </c>
      <c r="S6">
        <v>0.41993859568111203</v>
      </c>
      <c r="T6">
        <v>0.47182515313344997</v>
      </c>
      <c r="U6">
        <v>0.54885313376823397</v>
      </c>
      <c r="V6">
        <v>0.53331987104007805</v>
      </c>
      <c r="W6">
        <v>0.64469695009781802</v>
      </c>
      <c r="X6">
        <v>0.591866428512558</v>
      </c>
      <c r="Y6">
        <v>0.553781217024505</v>
      </c>
      <c r="Z6">
        <v>0.61177803495514504</v>
      </c>
      <c r="AA6">
        <v>0.63919193826757892</v>
      </c>
      <c r="AB6">
        <v>0.61003273314189399</v>
      </c>
      <c r="AC6">
        <v>0.69671087470706006</v>
      </c>
      <c r="AD6">
        <v>0.69009796610841201</v>
      </c>
      <c r="AE6">
        <v>0.66165793520262395</v>
      </c>
      <c r="AF6">
        <v>0.61116787481050405</v>
      </c>
      <c r="AG6">
        <v>0.58176433935109906</v>
      </c>
      <c r="AH6">
        <v>0.58217253684707493</v>
      </c>
      <c r="AI6">
        <v>0.590334733200374</v>
      </c>
      <c r="AJ6">
        <v>0.60493638433691299</v>
      </c>
      <c r="AK6">
        <v>0.63360878671444798</v>
      </c>
      <c r="AL6">
        <v>0.59955498778441407</v>
      </c>
      <c r="AM6">
        <v>0.63674065435848404</v>
      </c>
      <c r="AN6" t="s">
        <v>88</v>
      </c>
      <c r="AO6">
        <v>0.58457981401805204</v>
      </c>
      <c r="AP6">
        <v>0.59097485324630095</v>
      </c>
      <c r="AQ6">
        <v>0.533431940571792</v>
      </c>
      <c r="AR6">
        <v>0.578288017254322</v>
      </c>
    </row>
    <row r="7" spans="1:44" x14ac:dyDescent="0.2">
      <c r="A7">
        <v>6</v>
      </c>
      <c r="B7">
        <v>0.89063094342744098</v>
      </c>
      <c r="C7">
        <v>0.71594416244669701</v>
      </c>
      <c r="D7">
        <v>0.59752616392926805</v>
      </c>
      <c r="E7">
        <v>0.68096711221311401</v>
      </c>
      <c r="F7">
        <v>0.6112776391219199</v>
      </c>
      <c r="G7">
        <v>0.52330365475881002</v>
      </c>
      <c r="H7">
        <v>0.50128528271725903</v>
      </c>
      <c r="I7">
        <v>0.50501530247354598</v>
      </c>
      <c r="J7">
        <v>0.54502220175678895</v>
      </c>
      <c r="K7">
        <v>0.637942100386374</v>
      </c>
      <c r="L7">
        <v>0.58947542604562297</v>
      </c>
      <c r="M7">
        <v>0.645431589991314</v>
      </c>
      <c r="N7">
        <v>0.70886323807506302</v>
      </c>
      <c r="O7">
        <v>0.65684407837120895</v>
      </c>
      <c r="P7">
        <v>0.63350346092492493</v>
      </c>
      <c r="Q7">
        <v>0.60630300299542206</v>
      </c>
      <c r="R7">
        <v>0.52549741349953005</v>
      </c>
      <c r="S7">
        <v>0.572290121019844</v>
      </c>
      <c r="T7">
        <v>0.56671080329900703</v>
      </c>
      <c r="U7">
        <v>0.69227147030723202</v>
      </c>
      <c r="V7">
        <v>0.67867990887331997</v>
      </c>
      <c r="W7">
        <v>0.75425557112243402</v>
      </c>
      <c r="X7">
        <v>0.72534732833353299</v>
      </c>
      <c r="Y7">
        <v>0.66987158075921194</v>
      </c>
      <c r="Z7">
        <v>0.6894121222865861</v>
      </c>
      <c r="AA7">
        <v>0.80280689443846698</v>
      </c>
      <c r="AB7">
        <v>0.74239033290383205</v>
      </c>
      <c r="AC7">
        <v>0.79058750932285604</v>
      </c>
      <c r="AD7">
        <v>0.88848652686940499</v>
      </c>
      <c r="AE7">
        <v>0.77502012389043606</v>
      </c>
      <c r="AF7">
        <v>0.77438195742780291</v>
      </c>
      <c r="AG7">
        <v>0.736182536677226</v>
      </c>
      <c r="AH7">
        <v>0.72889451597298605</v>
      </c>
      <c r="AI7">
        <v>0.68935600956626797</v>
      </c>
      <c r="AJ7">
        <v>0.700503908397349</v>
      </c>
      <c r="AK7">
        <v>0.67283381048850699</v>
      </c>
      <c r="AL7">
        <v>0.695866062213085</v>
      </c>
      <c r="AM7">
        <v>0.74142538910803102</v>
      </c>
      <c r="AN7" t="s">
        <v>88</v>
      </c>
      <c r="AO7">
        <v>0.71277142822520501</v>
      </c>
      <c r="AP7">
        <v>0.70946782361152705</v>
      </c>
      <c r="AQ7">
        <v>0.66030587433237897</v>
      </c>
      <c r="AR7">
        <v>0.61925245935637196</v>
      </c>
    </row>
    <row r="8" spans="1:44" x14ac:dyDescent="0.2">
      <c r="A8">
        <v>7</v>
      </c>
      <c r="B8">
        <v>1.20376535518445</v>
      </c>
      <c r="C8">
        <v>1.0203394070173701</v>
      </c>
      <c r="D8">
        <v>0.93047187170983403</v>
      </c>
      <c r="E8">
        <v>0.89133258231078105</v>
      </c>
      <c r="F8">
        <v>0.81913046383286703</v>
      </c>
      <c r="G8">
        <v>0.69169735568067703</v>
      </c>
      <c r="H8">
        <v>0.66056901121061007</v>
      </c>
      <c r="I8">
        <v>0.71004223768709795</v>
      </c>
      <c r="J8">
        <v>0.62258190438863592</v>
      </c>
      <c r="K8">
        <v>0.72004131259222692</v>
      </c>
      <c r="L8">
        <v>0.77752687424981404</v>
      </c>
      <c r="M8">
        <v>0.73919060945562209</v>
      </c>
      <c r="N8">
        <v>0.74684259874294501</v>
      </c>
      <c r="O8">
        <v>0.68022790527037003</v>
      </c>
      <c r="P8">
        <v>0.78004481540809101</v>
      </c>
      <c r="Q8">
        <v>0.749874584609312</v>
      </c>
      <c r="R8">
        <v>0.84027326560066695</v>
      </c>
      <c r="S8">
        <v>0.685350405970655</v>
      </c>
      <c r="T8">
        <v>0.70561068723199605</v>
      </c>
      <c r="U8">
        <v>0.80503041781290408</v>
      </c>
      <c r="V8">
        <v>0.74603496740305608</v>
      </c>
      <c r="W8">
        <v>0.83725454139808198</v>
      </c>
      <c r="X8">
        <v>0.84710008209584697</v>
      </c>
      <c r="Y8">
        <v>0.84306256869985596</v>
      </c>
      <c r="Z8">
        <v>0.82408302138409795</v>
      </c>
      <c r="AA8">
        <v>0.90530019920125093</v>
      </c>
      <c r="AB8">
        <v>0.86404741692115294</v>
      </c>
      <c r="AC8">
        <v>0.99411662900086606</v>
      </c>
      <c r="AD8">
        <v>1.08394352288088</v>
      </c>
      <c r="AE8">
        <v>0.92435939630290598</v>
      </c>
      <c r="AF8">
        <v>0.92079346953730501</v>
      </c>
      <c r="AG8">
        <v>0.97732283947128995</v>
      </c>
      <c r="AH8">
        <v>0.80253578436823203</v>
      </c>
      <c r="AI8">
        <v>0.795072872581293</v>
      </c>
      <c r="AJ8">
        <v>0.77865002879816092</v>
      </c>
      <c r="AK8">
        <v>0.75734475165732296</v>
      </c>
      <c r="AL8">
        <v>0.77650391912567707</v>
      </c>
      <c r="AM8">
        <v>0.83064097017957794</v>
      </c>
      <c r="AN8" t="s">
        <v>88</v>
      </c>
      <c r="AO8">
        <v>0.80419877305086007</v>
      </c>
      <c r="AP8">
        <v>0.78059251084425296</v>
      </c>
      <c r="AQ8">
        <v>0.80251331570593698</v>
      </c>
      <c r="AR8">
        <v>0.70358279240673904</v>
      </c>
    </row>
    <row r="9" spans="1:44" x14ac:dyDescent="0.2">
      <c r="A9">
        <v>8</v>
      </c>
      <c r="B9">
        <v>1.36478296920046</v>
      </c>
      <c r="C9">
        <v>1.3065891866580801</v>
      </c>
      <c r="D9">
        <v>1.37812076035674</v>
      </c>
      <c r="E9">
        <v>1.2315978795675901</v>
      </c>
      <c r="F9">
        <v>1.0295669212152501</v>
      </c>
      <c r="G9">
        <v>0.82563259614139894</v>
      </c>
      <c r="H9">
        <v>0.87735348497564603</v>
      </c>
      <c r="I9">
        <v>0.80356768305916604</v>
      </c>
      <c r="J9">
        <v>0.761558106201493</v>
      </c>
      <c r="K9">
        <v>0.8170110347737819</v>
      </c>
      <c r="L9">
        <v>0.8699992527433581</v>
      </c>
      <c r="M9">
        <v>0.86636090131699595</v>
      </c>
      <c r="N9">
        <v>1.0865221926950901</v>
      </c>
      <c r="O9">
        <v>0.89685029471763</v>
      </c>
      <c r="P9">
        <v>0.87126710610321401</v>
      </c>
      <c r="Q9">
        <v>0.86803150650319605</v>
      </c>
      <c r="R9">
        <v>0.93873483161526305</v>
      </c>
      <c r="S9">
        <v>0.89972289629410396</v>
      </c>
      <c r="T9">
        <v>0.799947258819664</v>
      </c>
      <c r="U9">
        <v>0.87329105390616302</v>
      </c>
      <c r="V9">
        <v>0.92029674235794101</v>
      </c>
      <c r="W9">
        <v>0.96355008364152195</v>
      </c>
      <c r="X9">
        <v>0.96588868931069394</v>
      </c>
      <c r="Y9">
        <v>0.95761748119274903</v>
      </c>
      <c r="Z9">
        <v>0.90074247054023293</v>
      </c>
      <c r="AA9">
        <v>1.0275735465162499</v>
      </c>
      <c r="AB9">
        <v>0.99537622783724811</v>
      </c>
      <c r="AC9">
        <v>1.10712695373407</v>
      </c>
      <c r="AD9">
        <v>1.1810656094757401</v>
      </c>
      <c r="AE9">
        <v>1.09673710663728</v>
      </c>
      <c r="AF9">
        <v>1.1325586597853301</v>
      </c>
      <c r="AG9">
        <v>1.1637561439094799</v>
      </c>
      <c r="AH9">
        <v>1.1136074312415898</v>
      </c>
      <c r="AI9">
        <v>0.92242361390189997</v>
      </c>
      <c r="AJ9">
        <v>0.83573939297146294</v>
      </c>
      <c r="AK9">
        <v>0.82078781237722398</v>
      </c>
      <c r="AL9">
        <v>0.82630539137439307</v>
      </c>
      <c r="AM9">
        <v>0.94639468142813798</v>
      </c>
      <c r="AN9" t="s">
        <v>88</v>
      </c>
      <c r="AO9">
        <v>0.85590951563885298</v>
      </c>
      <c r="AP9">
        <v>0.8811950550210601</v>
      </c>
      <c r="AQ9">
        <v>0.93535797021226297</v>
      </c>
      <c r="AR9">
        <v>0.94511421394361406</v>
      </c>
    </row>
    <row r="10" spans="1:44" x14ac:dyDescent="0.2">
      <c r="A10">
        <v>9</v>
      </c>
      <c r="B10">
        <v>1.5027682449589399</v>
      </c>
      <c r="C10">
        <v>1.5105197396897299</v>
      </c>
      <c r="D10">
        <v>1.51356256090172</v>
      </c>
      <c r="E10">
        <v>1.64945755425284</v>
      </c>
      <c r="F10">
        <v>1.30974334916014</v>
      </c>
      <c r="G10">
        <v>0.97431406948700494</v>
      </c>
      <c r="H10">
        <v>0.89016780174772392</v>
      </c>
      <c r="I10">
        <v>1.0999787696621</v>
      </c>
      <c r="J10">
        <v>0.89588118388879801</v>
      </c>
      <c r="K10">
        <v>0.98209054129406104</v>
      </c>
      <c r="L10">
        <v>0.97166959320791402</v>
      </c>
      <c r="M10">
        <v>1.0621985547723101</v>
      </c>
      <c r="N10">
        <v>1.3033178389523401</v>
      </c>
      <c r="O10">
        <v>1.0749126301174099</v>
      </c>
      <c r="P10">
        <v>1.02744544886857</v>
      </c>
      <c r="Q10">
        <v>1.1443024536827999</v>
      </c>
      <c r="R10">
        <v>1.0123137312727299</v>
      </c>
      <c r="S10">
        <v>1.10906588385752</v>
      </c>
      <c r="T10">
        <v>0.94677266294526707</v>
      </c>
      <c r="U10">
        <v>0.95773300682086493</v>
      </c>
      <c r="V10">
        <v>1.0333867867461199</v>
      </c>
      <c r="W10">
        <v>1.0391813496147799</v>
      </c>
      <c r="X10">
        <v>1.0764126902108502</v>
      </c>
      <c r="Y10">
        <v>1.0186007976124101</v>
      </c>
      <c r="Z10">
        <v>1.0494041616329901</v>
      </c>
      <c r="AA10">
        <v>1.1223742731611202</v>
      </c>
      <c r="AB10">
        <v>1.06552108307879</v>
      </c>
      <c r="AC10">
        <v>1.1793417626900899</v>
      </c>
      <c r="AD10">
        <v>1.2236274540049501</v>
      </c>
      <c r="AE10">
        <v>1.23190788609678</v>
      </c>
      <c r="AF10">
        <v>1.30915907127265</v>
      </c>
      <c r="AG10">
        <v>1.3240096643222001</v>
      </c>
      <c r="AH10">
        <v>1.24590008752212</v>
      </c>
      <c r="AI10">
        <v>1.21632052520312</v>
      </c>
      <c r="AJ10">
        <v>0.94074926578379803</v>
      </c>
      <c r="AK10">
        <v>0.90365742508831504</v>
      </c>
      <c r="AL10">
        <v>0.93655476920510206</v>
      </c>
      <c r="AM10">
        <v>0.95985969046140096</v>
      </c>
      <c r="AN10" t="s">
        <v>88</v>
      </c>
      <c r="AO10">
        <v>0.98023942557203603</v>
      </c>
      <c r="AP10">
        <v>0.97573352002699798</v>
      </c>
      <c r="AQ10">
        <v>0.96296479121097001</v>
      </c>
      <c r="AR10">
        <v>1.00505993939466</v>
      </c>
    </row>
    <row r="11" spans="1:44" x14ac:dyDescent="0.2">
      <c r="A11">
        <v>10</v>
      </c>
      <c r="B11">
        <v>1.6698665111228299</v>
      </c>
      <c r="C11">
        <v>1.5784693494062201</v>
      </c>
      <c r="D11">
        <v>1.73103535871723</v>
      </c>
      <c r="E11">
        <v>1.60809907215711</v>
      </c>
      <c r="F11">
        <v>1.62534110228218</v>
      </c>
      <c r="G11">
        <v>1.1805090085902901</v>
      </c>
      <c r="H11">
        <v>1.10794683349835</v>
      </c>
      <c r="I11">
        <v>1.0887267960160001</v>
      </c>
      <c r="J11">
        <v>1.1052711286460601</v>
      </c>
      <c r="K11">
        <v>1.0800510633634799</v>
      </c>
      <c r="L11">
        <v>1.08025598978774</v>
      </c>
      <c r="M11">
        <v>1.09907360574625</v>
      </c>
      <c r="N11">
        <v>1.2357686033198199</v>
      </c>
      <c r="O11">
        <v>1.3630232342646</v>
      </c>
      <c r="P11">
        <v>1.1666849233866201</v>
      </c>
      <c r="Q11">
        <v>1.2174555057667902</v>
      </c>
      <c r="R11">
        <v>1.0868387751280599</v>
      </c>
      <c r="S11">
        <v>1.1608221820506501</v>
      </c>
      <c r="T11">
        <v>1.1941958255717</v>
      </c>
      <c r="U11">
        <v>1.0988386694820198</v>
      </c>
      <c r="V11">
        <v>1.1270084695132501</v>
      </c>
      <c r="W11">
        <v>1.2105844426924901</v>
      </c>
      <c r="X11">
        <v>1.1468187278641899</v>
      </c>
      <c r="Y11">
        <v>1.0822203366203</v>
      </c>
      <c r="Z11">
        <v>1.17710190979302</v>
      </c>
      <c r="AA11">
        <v>1.3919689333966401</v>
      </c>
      <c r="AB11">
        <v>1.19970131139013</v>
      </c>
      <c r="AC11">
        <v>1.4432048629746301</v>
      </c>
      <c r="AD11">
        <v>1.3106357204491501</v>
      </c>
      <c r="AE11">
        <v>1.2770545184970499</v>
      </c>
      <c r="AF11">
        <v>1.37938234805475</v>
      </c>
      <c r="AG11">
        <v>1.41481388728719</v>
      </c>
      <c r="AH11">
        <v>1.4623503072975901</v>
      </c>
      <c r="AI11">
        <v>1.2428098479575</v>
      </c>
      <c r="AJ11">
        <v>0.99969551458846795</v>
      </c>
      <c r="AK11">
        <v>0.92189874109930303</v>
      </c>
      <c r="AL11">
        <v>0.95807751030890997</v>
      </c>
      <c r="AM11">
        <v>1.0437957289964599</v>
      </c>
      <c r="AN11" t="s">
        <v>88</v>
      </c>
      <c r="AO11">
        <v>1.15010081986108</v>
      </c>
      <c r="AP11">
        <v>1.07011583944786</v>
      </c>
      <c r="AQ11">
        <v>1.0104948726462699</v>
      </c>
      <c r="AR11">
        <v>1.0410178798254301</v>
      </c>
    </row>
    <row r="12" spans="1:44" x14ac:dyDescent="0.2">
      <c r="A12">
        <v>11</v>
      </c>
      <c r="B12">
        <v>1.8208867544651701</v>
      </c>
      <c r="C12">
        <v>1.63125283389593</v>
      </c>
      <c r="D12">
        <v>1.86988508093063</v>
      </c>
      <c r="E12">
        <v>1.72145465419854</v>
      </c>
      <c r="F12">
        <v>1.7353881334800201</v>
      </c>
      <c r="G12">
        <v>1.49369639449772</v>
      </c>
      <c r="H12">
        <v>1.34409259321145</v>
      </c>
      <c r="I12">
        <v>1.2255463904675601</v>
      </c>
      <c r="J12">
        <v>1.14248138416348</v>
      </c>
      <c r="K12">
        <v>1.3277349100793101</v>
      </c>
      <c r="L12">
        <v>1.2259851032916198</v>
      </c>
      <c r="M12">
        <v>1.2925776231441801</v>
      </c>
      <c r="N12">
        <v>1.34634487279032</v>
      </c>
      <c r="O12">
        <v>1.3076588380752701</v>
      </c>
      <c r="P12">
        <v>1.3867580322667701</v>
      </c>
      <c r="Q12">
        <v>1.3488556387773001</v>
      </c>
      <c r="R12">
        <v>1.2627063628815398</v>
      </c>
      <c r="S12">
        <v>1.3005268670052701</v>
      </c>
      <c r="T12">
        <v>1.4278748016229299</v>
      </c>
      <c r="U12">
        <v>1.3232087630135501</v>
      </c>
      <c r="V12">
        <v>1.1459053845097</v>
      </c>
      <c r="W12">
        <v>1.21879469615509</v>
      </c>
      <c r="X12">
        <v>1.19192665829819</v>
      </c>
      <c r="Y12">
        <v>1.33574327150573</v>
      </c>
      <c r="Z12">
        <v>1.2602828300789399</v>
      </c>
      <c r="AA12">
        <v>1.34858660172432</v>
      </c>
      <c r="AB12">
        <v>1.4778601461574201</v>
      </c>
      <c r="AC12">
        <v>1.5245784267004401</v>
      </c>
      <c r="AD12">
        <v>1.4314389785237198</v>
      </c>
      <c r="AE12">
        <v>1.4259580462035599</v>
      </c>
      <c r="AF12">
        <v>1.41750761034876</v>
      </c>
      <c r="AG12">
        <v>1.5147018698551</v>
      </c>
      <c r="AH12">
        <v>1.7057377295214702</v>
      </c>
      <c r="AI12">
        <v>1.58386262116719</v>
      </c>
      <c r="AJ12">
        <v>1.21421306960385</v>
      </c>
      <c r="AK12">
        <v>1.07674415486174</v>
      </c>
      <c r="AL12">
        <v>1.0842714919884699</v>
      </c>
      <c r="AM12">
        <v>1.01247457398871</v>
      </c>
      <c r="AN12" t="s">
        <v>88</v>
      </c>
      <c r="AO12">
        <v>1.0649628011096799</v>
      </c>
      <c r="AP12">
        <v>1.32708583977223</v>
      </c>
      <c r="AQ12">
        <v>1.15033315058786</v>
      </c>
      <c r="AR12">
        <v>1.1376506579941199</v>
      </c>
    </row>
    <row r="13" spans="1:44" x14ac:dyDescent="0.2">
      <c r="A13">
        <v>12</v>
      </c>
      <c r="B13">
        <v>1.8721143230142701</v>
      </c>
      <c r="C13">
        <v>1.5707958947969001</v>
      </c>
      <c r="D13">
        <v>1.8518142296881399</v>
      </c>
      <c r="E13">
        <v>2.0162687795523802</v>
      </c>
      <c r="F13">
        <v>1.9396120868498399</v>
      </c>
      <c r="G13">
        <v>1.5168685731399201</v>
      </c>
      <c r="H13">
        <v>1.3842114496744</v>
      </c>
      <c r="I13">
        <v>1.31192552744375</v>
      </c>
      <c r="J13">
        <v>1.3111779770083201</v>
      </c>
      <c r="K13">
        <v>1.4135750709010699</v>
      </c>
      <c r="L13">
        <v>1.4716865121579399</v>
      </c>
      <c r="M13">
        <v>1.4077627221767</v>
      </c>
      <c r="N13">
        <v>1.4400919846717</v>
      </c>
      <c r="O13">
        <v>1.4014582070551902</v>
      </c>
      <c r="P13">
        <v>1.5029125799340899</v>
      </c>
      <c r="Q13">
        <v>1.5321502521950698</v>
      </c>
      <c r="R13">
        <v>1.39744890303934</v>
      </c>
      <c r="S13">
        <v>1.37431542789921</v>
      </c>
      <c r="T13">
        <v>1.46994104377358</v>
      </c>
      <c r="U13">
        <v>1.53516603718225</v>
      </c>
      <c r="V13">
        <v>1.4447696698377699</v>
      </c>
      <c r="W13">
        <v>1.4005882593399199</v>
      </c>
      <c r="X13">
        <v>1.3048035934494</v>
      </c>
      <c r="Y13">
        <v>1.28010515195997</v>
      </c>
      <c r="Z13">
        <v>1.3780132889341901</v>
      </c>
      <c r="AA13">
        <v>1.38546629282512</v>
      </c>
      <c r="AB13">
        <v>1.4311636335934599</v>
      </c>
      <c r="AC13">
        <v>1.6869990859180801</v>
      </c>
      <c r="AD13">
        <v>1.59946590308889</v>
      </c>
      <c r="AE13">
        <v>1.4890254062878101</v>
      </c>
      <c r="AF13">
        <v>1.48060097007808</v>
      </c>
      <c r="AG13">
        <v>1.5422469301624602</v>
      </c>
      <c r="AH13">
        <v>1.6186680654508201</v>
      </c>
      <c r="AI13">
        <v>1.5267266054233199</v>
      </c>
      <c r="AJ13">
        <v>1.59425247320374</v>
      </c>
      <c r="AK13">
        <v>1.03117366748677</v>
      </c>
      <c r="AL13">
        <v>0.93573701444384505</v>
      </c>
      <c r="AM13">
        <v>1.0564221761897599</v>
      </c>
      <c r="AN13" t="s">
        <v>88</v>
      </c>
      <c r="AO13">
        <v>1.15146376736208</v>
      </c>
      <c r="AP13">
        <v>1.3051274281799299</v>
      </c>
      <c r="AQ13">
        <v>1.14026577685919</v>
      </c>
      <c r="AR13">
        <v>1.2058032188323999</v>
      </c>
    </row>
    <row r="14" spans="1:44" x14ac:dyDescent="0.2">
      <c r="A14">
        <v>13</v>
      </c>
      <c r="B14">
        <v>2.1519163981505698</v>
      </c>
      <c r="C14">
        <v>1.81292165173247</v>
      </c>
      <c r="D14">
        <v>1.9701181719995</v>
      </c>
      <c r="E14">
        <v>2.1048367691588599</v>
      </c>
      <c r="F14">
        <v>2.2206107977312297</v>
      </c>
      <c r="G14">
        <v>1.9276494798235202</v>
      </c>
      <c r="H14">
        <v>1.90466047284648</v>
      </c>
      <c r="I14">
        <v>1.2899614218926398</v>
      </c>
      <c r="J14">
        <v>1.3755015811732501</v>
      </c>
      <c r="K14">
        <v>1.5711975792455</v>
      </c>
      <c r="L14">
        <v>1.6762203311602299</v>
      </c>
      <c r="M14">
        <v>1.60757293396255</v>
      </c>
      <c r="N14">
        <v>1.4919087214475302</v>
      </c>
      <c r="O14">
        <v>1.51743229424923</v>
      </c>
      <c r="P14">
        <v>1.6643796480916999</v>
      </c>
      <c r="Q14">
        <v>1.6015123590584799</v>
      </c>
      <c r="R14">
        <v>1.5188571876167001</v>
      </c>
      <c r="S14">
        <v>1.8227476156878499</v>
      </c>
      <c r="T14">
        <v>1.7141410733696101</v>
      </c>
      <c r="U14">
        <v>1.61476088130954</v>
      </c>
      <c r="V14">
        <v>1.6310632971476999</v>
      </c>
      <c r="W14">
        <v>1.5918505988979099</v>
      </c>
      <c r="X14">
        <v>1.5072477102576298</v>
      </c>
      <c r="Y14">
        <v>1.3045111162808201</v>
      </c>
      <c r="Z14">
        <v>1.4481496453938001</v>
      </c>
      <c r="AA14">
        <v>1.6990055396141699</v>
      </c>
      <c r="AB14">
        <v>1.65020706709359</v>
      </c>
      <c r="AC14">
        <v>1.9426008341546601</v>
      </c>
      <c r="AD14">
        <v>1.81831679263908</v>
      </c>
      <c r="AE14">
        <v>1.6109202801436899</v>
      </c>
      <c r="AF14">
        <v>1.5438558662553801</v>
      </c>
      <c r="AG14">
        <v>1.69256141790157</v>
      </c>
      <c r="AH14">
        <v>1.7117289931436701</v>
      </c>
      <c r="AI14">
        <v>1.49315818773503</v>
      </c>
      <c r="AJ14">
        <v>1.4009801273628799</v>
      </c>
      <c r="AK14">
        <v>1.27390057263406</v>
      </c>
      <c r="AL14">
        <v>1.5071627360667201</v>
      </c>
      <c r="AM14">
        <v>1.0424253848404401</v>
      </c>
      <c r="AN14" t="s">
        <v>88</v>
      </c>
      <c r="AO14">
        <v>1.3125885677295099</v>
      </c>
      <c r="AP14">
        <v>1.35624918707772</v>
      </c>
      <c r="AQ14">
        <v>1.4628116836187901</v>
      </c>
      <c r="AR14">
        <v>1.31408289612497</v>
      </c>
    </row>
    <row r="15" spans="1:44" x14ac:dyDescent="0.2">
      <c r="A15">
        <v>14</v>
      </c>
      <c r="B15">
        <v>1.8248514781782401</v>
      </c>
      <c r="C15">
        <v>1.5555354689503098</v>
      </c>
      <c r="D15">
        <v>1.7446386118191899</v>
      </c>
      <c r="E15">
        <v>1.8017955795243199</v>
      </c>
      <c r="F15">
        <v>2.2816760784047303</v>
      </c>
      <c r="G15">
        <v>2.22888368783613</v>
      </c>
      <c r="H15">
        <v>1.16038275926391</v>
      </c>
      <c r="I15">
        <v>1.2903493766388499</v>
      </c>
      <c r="J15">
        <v>1.4868107069044298</v>
      </c>
      <c r="K15">
        <v>1.8148823265860798</v>
      </c>
      <c r="L15">
        <v>1.7302858685521201</v>
      </c>
      <c r="M15">
        <v>1.6890830761884599</v>
      </c>
      <c r="N15">
        <v>1.67079744408714</v>
      </c>
      <c r="O15">
        <v>1.51079631256717</v>
      </c>
      <c r="P15">
        <v>1.69242561600443</v>
      </c>
      <c r="Q15">
        <v>1.6218681376325401</v>
      </c>
      <c r="R15">
        <v>1.89661527537818</v>
      </c>
      <c r="S15">
        <v>1.7903409380497601</v>
      </c>
      <c r="T15">
        <v>1.76691923690268</v>
      </c>
      <c r="U15">
        <v>1.8138578033870798</v>
      </c>
      <c r="V15">
        <v>1.7958416659262699</v>
      </c>
      <c r="W15">
        <v>1.5283883291291098</v>
      </c>
      <c r="X15">
        <v>1.8070747877623101</v>
      </c>
      <c r="Y15">
        <v>1.48280789562381</v>
      </c>
      <c r="Z15">
        <v>1.4361416799834898</v>
      </c>
      <c r="AA15">
        <v>1.5937535077968901</v>
      </c>
      <c r="AB15">
        <v>1.7922241960155099</v>
      </c>
      <c r="AC15">
        <v>2.2266515191325102</v>
      </c>
      <c r="AD15">
        <v>2.13947810142965</v>
      </c>
      <c r="AE15">
        <v>1.7573364343000701</v>
      </c>
      <c r="AF15">
        <v>1.8390101894027</v>
      </c>
      <c r="AG15">
        <v>1.9132571396723599</v>
      </c>
      <c r="AH15">
        <v>1.9325002410835901</v>
      </c>
      <c r="AI15">
        <v>1.5547108994230301</v>
      </c>
      <c r="AJ15">
        <v>1.6820231113225601</v>
      </c>
      <c r="AK15">
        <v>1.1479984399293401</v>
      </c>
      <c r="AL15" t="s">
        <v>88</v>
      </c>
      <c r="AM15">
        <v>1.2825423460673901</v>
      </c>
      <c r="AN15" t="s">
        <v>88</v>
      </c>
      <c r="AO15">
        <v>1.02608760296179</v>
      </c>
      <c r="AP15">
        <v>1.2389392025254999</v>
      </c>
      <c r="AQ15">
        <v>1.89263231739019</v>
      </c>
      <c r="AR15">
        <v>1.4355219711254898</v>
      </c>
    </row>
    <row r="16" spans="1:44" x14ac:dyDescent="0.2">
      <c r="A16">
        <v>15</v>
      </c>
      <c r="B16">
        <v>2.6626429178482298</v>
      </c>
      <c r="C16">
        <v>1.9861617606026001</v>
      </c>
      <c r="D16">
        <v>2.1247449724852698</v>
      </c>
      <c r="E16">
        <v>2.4895722831456299</v>
      </c>
      <c r="F16" t="s">
        <v>88</v>
      </c>
      <c r="G16">
        <v>2.3730768438485002</v>
      </c>
      <c r="H16">
        <v>1.74449468902743</v>
      </c>
      <c r="I16">
        <v>1.4807348354810899</v>
      </c>
      <c r="J16">
        <v>1.77795695397833</v>
      </c>
      <c r="K16">
        <v>1.97972020974862</v>
      </c>
      <c r="L16">
        <v>1.6934578149532999</v>
      </c>
      <c r="M16">
        <v>1.8109887021993401</v>
      </c>
      <c r="N16">
        <v>1.7429203711688799</v>
      </c>
      <c r="O16">
        <v>1.7658965375331399</v>
      </c>
      <c r="P16">
        <v>1.8215121688823201</v>
      </c>
      <c r="Q16">
        <v>1.79620716930154</v>
      </c>
      <c r="R16">
        <v>1.90890766743288</v>
      </c>
      <c r="S16">
        <v>2.0857900445209396</v>
      </c>
      <c r="T16">
        <v>2.01645918027249</v>
      </c>
      <c r="U16">
        <v>1.9689662661260601</v>
      </c>
      <c r="V16">
        <v>1.9792396742251002</v>
      </c>
      <c r="W16">
        <v>1.86755537131239</v>
      </c>
      <c r="X16">
        <v>1.82725971596968</v>
      </c>
      <c r="Y16">
        <v>1.6038478866915999</v>
      </c>
      <c r="Z16">
        <v>1.50946924756618</v>
      </c>
      <c r="AA16">
        <v>1.6582967088551799</v>
      </c>
      <c r="AB16">
        <v>1.8772478982902701</v>
      </c>
      <c r="AC16">
        <v>2.3172332275629399</v>
      </c>
      <c r="AD16">
        <v>2.44388406738575</v>
      </c>
      <c r="AE16">
        <v>2.0580836142018204</v>
      </c>
      <c r="AF16">
        <v>2.0709838536452798</v>
      </c>
      <c r="AG16">
        <v>1.9960119915686001</v>
      </c>
      <c r="AH16">
        <v>1.99686018993815</v>
      </c>
      <c r="AI16">
        <v>1.8107580854776499</v>
      </c>
      <c r="AJ16">
        <v>1.4709501092908599</v>
      </c>
      <c r="AK16">
        <v>1.54896523402191</v>
      </c>
      <c r="AL16">
        <v>1.51941456520298</v>
      </c>
      <c r="AM16" t="s">
        <v>88</v>
      </c>
      <c r="AN16" t="s">
        <v>88</v>
      </c>
      <c r="AO16">
        <v>1.3824832588590801</v>
      </c>
      <c r="AP16">
        <v>1.86234083540825</v>
      </c>
      <c r="AQ16">
        <v>1.5068638000717398</v>
      </c>
      <c r="AR16">
        <v>1.7913662168836499</v>
      </c>
    </row>
    <row r="21" spans="1:16" x14ac:dyDescent="0.2">
      <c r="A21" cm="1">
        <f t="array" ref="A21:P64">TRANSPOSE(A1:AR16)</f>
        <v>0</v>
      </c>
      <c r="B21">
        <v>1</v>
      </c>
      <c r="C21">
        <v>2</v>
      </c>
      <c r="D21">
        <v>3</v>
      </c>
      <c r="E21">
        <v>4</v>
      </c>
      <c r="F21">
        <v>5</v>
      </c>
      <c r="G21">
        <v>6</v>
      </c>
      <c r="H21">
        <v>7</v>
      </c>
      <c r="I21">
        <v>8</v>
      </c>
      <c r="J21">
        <v>9</v>
      </c>
      <c r="K21">
        <v>10</v>
      </c>
      <c r="L21">
        <v>11</v>
      </c>
      <c r="M21">
        <v>12</v>
      </c>
      <c r="N21">
        <v>13</v>
      </c>
      <c r="O21">
        <v>14</v>
      </c>
      <c r="P21">
        <v>15</v>
      </c>
    </row>
    <row r="22" spans="1:16" x14ac:dyDescent="0.2">
      <c r="A22">
        <v>1982</v>
      </c>
      <c r="B22">
        <v>2.6205768364266198E-2</v>
      </c>
      <c r="C22">
        <v>7.7368660781642007E-2</v>
      </c>
      <c r="D22">
        <v>0.17984087789759201</v>
      </c>
      <c r="E22">
        <v>0.36696322655290403</v>
      </c>
      <c r="F22">
        <v>0.54007476786386599</v>
      </c>
      <c r="G22">
        <v>0.89063094342744098</v>
      </c>
      <c r="H22">
        <v>1.20376535518445</v>
      </c>
      <c r="I22">
        <v>1.36478296920046</v>
      </c>
      <c r="J22">
        <v>1.5027682449589399</v>
      </c>
      <c r="K22">
        <v>1.6698665111228299</v>
      </c>
      <c r="L22">
        <v>1.8208867544651701</v>
      </c>
      <c r="M22">
        <v>1.8721143230142701</v>
      </c>
      <c r="N22">
        <v>2.1519163981505698</v>
      </c>
      <c r="O22">
        <v>1.8248514781782401</v>
      </c>
      <c r="P22">
        <v>2.6626429178482298</v>
      </c>
    </row>
    <row r="23" spans="1:16" x14ac:dyDescent="0.2">
      <c r="A23">
        <v>1983</v>
      </c>
      <c r="B23">
        <v>1.6466600545255703E-2</v>
      </c>
      <c r="C23">
        <v>0.10462804434456</v>
      </c>
      <c r="D23">
        <v>0.18543451673570602</v>
      </c>
      <c r="E23">
        <v>0.361183067278183</v>
      </c>
      <c r="F23">
        <v>0.52095705984015395</v>
      </c>
      <c r="G23">
        <v>0.71594416244669701</v>
      </c>
      <c r="H23">
        <v>1.0203394070173701</v>
      </c>
      <c r="I23">
        <v>1.3065891866580801</v>
      </c>
      <c r="J23">
        <v>1.5105197396897299</v>
      </c>
      <c r="K23">
        <v>1.5784693494062201</v>
      </c>
      <c r="L23">
        <v>1.63125283389593</v>
      </c>
      <c r="M23">
        <v>1.5707958947969001</v>
      </c>
      <c r="N23">
        <v>1.81292165173247</v>
      </c>
      <c r="O23">
        <v>1.5555354689503098</v>
      </c>
      <c r="P23">
        <v>1.9861617606026001</v>
      </c>
    </row>
    <row r="24" spans="1:16" x14ac:dyDescent="0.2">
      <c r="A24">
        <v>1984</v>
      </c>
      <c r="B24">
        <v>1.6306697209876302E-2</v>
      </c>
      <c r="C24">
        <v>6.7560012997084196E-2</v>
      </c>
      <c r="D24">
        <v>0.19641513374278302</v>
      </c>
      <c r="E24">
        <v>0.30668409657471701</v>
      </c>
      <c r="F24">
        <v>0.48488267115630102</v>
      </c>
      <c r="G24">
        <v>0.59752616392926805</v>
      </c>
      <c r="H24">
        <v>0.93047187170983403</v>
      </c>
      <c r="I24">
        <v>1.37812076035674</v>
      </c>
      <c r="J24">
        <v>1.51356256090172</v>
      </c>
      <c r="K24">
        <v>1.73103535871723</v>
      </c>
      <c r="L24">
        <v>1.86988508093063</v>
      </c>
      <c r="M24">
        <v>1.8518142296881399</v>
      </c>
      <c r="N24">
        <v>1.9701181719995</v>
      </c>
      <c r="O24">
        <v>1.7446386118191899</v>
      </c>
      <c r="P24">
        <v>2.1247449724852698</v>
      </c>
    </row>
    <row r="25" spans="1:16" x14ac:dyDescent="0.2">
      <c r="A25">
        <v>1985</v>
      </c>
      <c r="B25">
        <v>1.7032290759062201E-2</v>
      </c>
      <c r="C25">
        <v>8.2113336681314E-2</v>
      </c>
      <c r="D25">
        <v>0.21258432216551099</v>
      </c>
      <c r="E25">
        <v>0.336327375486066</v>
      </c>
      <c r="F25">
        <v>0.47324341363533901</v>
      </c>
      <c r="G25">
        <v>0.68096711221311401</v>
      </c>
      <c r="H25">
        <v>0.89133258231078105</v>
      </c>
      <c r="I25">
        <v>1.2315978795675901</v>
      </c>
      <c r="J25">
        <v>1.64945755425284</v>
      </c>
      <c r="K25">
        <v>1.60809907215711</v>
      </c>
      <c r="L25">
        <v>1.72145465419854</v>
      </c>
      <c r="M25">
        <v>2.0162687795523802</v>
      </c>
      <c r="N25">
        <v>2.1048367691588599</v>
      </c>
      <c r="O25">
        <v>1.8017955795243199</v>
      </c>
      <c r="P25">
        <v>2.4895722831456299</v>
      </c>
    </row>
    <row r="26" spans="1:16" x14ac:dyDescent="0.2">
      <c r="A26">
        <v>1986</v>
      </c>
      <c r="B26">
        <v>1.2679100930007101E-2</v>
      </c>
      <c r="C26">
        <v>6.2722584755181401E-2</v>
      </c>
      <c r="D26">
        <v>0.145053920787659</v>
      </c>
      <c r="E26">
        <v>0.32711326428707899</v>
      </c>
      <c r="F26">
        <v>0.41958097808419803</v>
      </c>
      <c r="G26">
        <v>0.6112776391219199</v>
      </c>
      <c r="H26">
        <v>0.81913046383286703</v>
      </c>
      <c r="I26">
        <v>1.0295669212152501</v>
      </c>
      <c r="J26">
        <v>1.30974334916014</v>
      </c>
      <c r="K26">
        <v>1.62534110228218</v>
      </c>
      <c r="L26">
        <v>1.7353881334800201</v>
      </c>
      <c r="M26">
        <v>1.9396120868498399</v>
      </c>
      <c r="N26">
        <v>2.2206107977312297</v>
      </c>
      <c r="O26">
        <v>2.2816760784047303</v>
      </c>
      <c r="P26" t="str">
        <v>NA</v>
      </c>
    </row>
    <row r="27" spans="1:16" x14ac:dyDescent="0.2">
      <c r="A27">
        <v>1987</v>
      </c>
      <c r="B27">
        <v>2.5633853765877099E-2</v>
      </c>
      <c r="C27">
        <v>0.106461679611092</v>
      </c>
      <c r="D27">
        <v>0.24569976022906598</v>
      </c>
      <c r="E27">
        <v>0.293843101850705</v>
      </c>
      <c r="F27">
        <v>0.42630491922854202</v>
      </c>
      <c r="G27">
        <v>0.52330365475881002</v>
      </c>
      <c r="H27">
        <v>0.69169735568067703</v>
      </c>
      <c r="I27">
        <v>0.82563259614139894</v>
      </c>
      <c r="J27">
        <v>0.97431406948700494</v>
      </c>
      <c r="K27">
        <v>1.1805090085902901</v>
      </c>
      <c r="L27">
        <v>1.49369639449772</v>
      </c>
      <c r="M27">
        <v>1.5168685731399201</v>
      </c>
      <c r="N27">
        <v>1.9276494798235202</v>
      </c>
      <c r="O27">
        <v>2.22888368783613</v>
      </c>
      <c r="P27">
        <v>2.3730768438485002</v>
      </c>
    </row>
    <row r="28" spans="1:16" x14ac:dyDescent="0.2">
      <c r="A28">
        <v>1988</v>
      </c>
      <c r="B28">
        <v>1.6132697573974699E-2</v>
      </c>
      <c r="C28">
        <v>9.5171864701778602E-2</v>
      </c>
      <c r="D28">
        <v>0.27475098279599203</v>
      </c>
      <c r="E28">
        <v>0.32317442153322801</v>
      </c>
      <c r="F28">
        <v>0.42643288567465498</v>
      </c>
      <c r="G28">
        <v>0.50128528271725903</v>
      </c>
      <c r="H28">
        <v>0.66056901121061007</v>
      </c>
      <c r="I28">
        <v>0.87735348497564603</v>
      </c>
      <c r="J28">
        <v>0.89016780174772392</v>
      </c>
      <c r="K28">
        <v>1.10794683349835</v>
      </c>
      <c r="L28">
        <v>1.34409259321145</v>
      </c>
      <c r="M28">
        <v>1.3842114496744</v>
      </c>
      <c r="N28">
        <v>1.90466047284648</v>
      </c>
      <c r="O28">
        <v>1.16038275926391</v>
      </c>
      <c r="P28">
        <v>1.74449468902743</v>
      </c>
    </row>
    <row r="29" spans="1:16" x14ac:dyDescent="0.2">
      <c r="A29">
        <v>1989</v>
      </c>
      <c r="B29">
        <v>1.8833545138204903E-2</v>
      </c>
      <c r="C29">
        <v>8.9662269608068904E-2</v>
      </c>
      <c r="D29">
        <v>0.16816857129782301</v>
      </c>
      <c r="E29">
        <v>0.30527029705757297</v>
      </c>
      <c r="F29">
        <v>0.39071365194677599</v>
      </c>
      <c r="G29">
        <v>0.50501530247354598</v>
      </c>
      <c r="H29">
        <v>0.71004223768709795</v>
      </c>
      <c r="I29">
        <v>0.80356768305916604</v>
      </c>
      <c r="J29">
        <v>1.0999787696621</v>
      </c>
      <c r="K29">
        <v>1.0887267960160001</v>
      </c>
      <c r="L29">
        <v>1.2255463904675601</v>
      </c>
      <c r="M29">
        <v>1.31192552744375</v>
      </c>
      <c r="N29">
        <v>1.2899614218926398</v>
      </c>
      <c r="O29">
        <v>1.2903493766388499</v>
      </c>
      <c r="P29">
        <v>1.4807348354810899</v>
      </c>
    </row>
    <row r="30" spans="1:16" x14ac:dyDescent="0.2">
      <c r="A30">
        <v>1990</v>
      </c>
      <c r="B30">
        <v>1.44132641492724E-2</v>
      </c>
      <c r="C30">
        <v>0.17105638557615502</v>
      </c>
      <c r="D30">
        <v>0.18121030985172101</v>
      </c>
      <c r="E30">
        <v>0.35206067186959999</v>
      </c>
      <c r="F30">
        <v>0.43324722734765103</v>
      </c>
      <c r="G30">
        <v>0.54502220175678895</v>
      </c>
      <c r="H30">
        <v>0.62258190438863592</v>
      </c>
      <c r="I30">
        <v>0.761558106201493</v>
      </c>
      <c r="J30">
        <v>0.89588118388879801</v>
      </c>
      <c r="K30">
        <v>1.1052711286460601</v>
      </c>
      <c r="L30">
        <v>1.14248138416348</v>
      </c>
      <c r="M30">
        <v>1.3111779770083201</v>
      </c>
      <c r="N30">
        <v>1.3755015811732501</v>
      </c>
      <c r="O30">
        <v>1.4868107069044298</v>
      </c>
      <c r="P30">
        <v>1.77795695397833</v>
      </c>
    </row>
    <row r="31" spans="1:16" x14ac:dyDescent="0.2">
      <c r="A31">
        <v>1991</v>
      </c>
      <c r="B31">
        <v>2.0605993494384699E-2</v>
      </c>
      <c r="C31">
        <v>0.13638903554405599</v>
      </c>
      <c r="D31">
        <v>0.19937223564649698</v>
      </c>
      <c r="E31">
        <v>0.35376234902909998</v>
      </c>
      <c r="F31">
        <v>0.56350198644562199</v>
      </c>
      <c r="G31">
        <v>0.637942100386374</v>
      </c>
      <c r="H31">
        <v>0.72004131259222692</v>
      </c>
      <c r="I31">
        <v>0.8170110347737819</v>
      </c>
      <c r="J31">
        <v>0.98209054129406104</v>
      </c>
      <c r="K31">
        <v>1.0800510633634799</v>
      </c>
      <c r="L31">
        <v>1.3277349100793101</v>
      </c>
      <c r="M31">
        <v>1.4135750709010699</v>
      </c>
      <c r="N31">
        <v>1.5711975792455</v>
      </c>
      <c r="O31">
        <v>1.8148823265860798</v>
      </c>
      <c r="P31">
        <v>1.97972020974862</v>
      </c>
    </row>
    <row r="32" spans="1:16" x14ac:dyDescent="0.2">
      <c r="A32">
        <v>1992</v>
      </c>
      <c r="B32">
        <v>1.6772385234901103E-2</v>
      </c>
      <c r="C32">
        <v>0.129732207909415</v>
      </c>
      <c r="D32">
        <v>0.29996991458359501</v>
      </c>
      <c r="E32">
        <v>0.40907178774926095</v>
      </c>
      <c r="F32">
        <v>0.50467968604729596</v>
      </c>
      <c r="G32">
        <v>0.58947542604562297</v>
      </c>
      <c r="H32">
        <v>0.77752687424981404</v>
      </c>
      <c r="I32">
        <v>0.8699992527433581</v>
      </c>
      <c r="J32">
        <v>0.97166959320791402</v>
      </c>
      <c r="K32">
        <v>1.08025598978774</v>
      </c>
      <c r="L32">
        <v>1.2259851032916198</v>
      </c>
      <c r="M32">
        <v>1.4716865121579399</v>
      </c>
      <c r="N32">
        <v>1.6762203311602299</v>
      </c>
      <c r="O32">
        <v>1.7302858685521201</v>
      </c>
      <c r="P32">
        <v>1.6934578149532999</v>
      </c>
    </row>
    <row r="33" spans="1:16" x14ac:dyDescent="0.2">
      <c r="A33">
        <v>1993</v>
      </c>
      <c r="B33">
        <v>1.2209558488244201E-2</v>
      </c>
      <c r="C33">
        <v>0.10251025717031201</v>
      </c>
      <c r="D33">
        <v>0.28949641197096299</v>
      </c>
      <c r="E33">
        <v>0.46988782993348799</v>
      </c>
      <c r="F33">
        <v>0.52522104180655105</v>
      </c>
      <c r="G33">
        <v>0.645431589991314</v>
      </c>
      <c r="H33">
        <v>0.73919060945562209</v>
      </c>
      <c r="I33">
        <v>0.86636090131699595</v>
      </c>
      <c r="J33">
        <v>1.0621985547723101</v>
      </c>
      <c r="K33">
        <v>1.09907360574625</v>
      </c>
      <c r="L33">
        <v>1.2925776231441801</v>
      </c>
      <c r="M33">
        <v>1.4077627221767</v>
      </c>
      <c r="N33">
        <v>1.60757293396255</v>
      </c>
      <c r="O33">
        <v>1.6890830761884599</v>
      </c>
      <c r="P33">
        <v>1.8109887021993401</v>
      </c>
    </row>
    <row r="34" spans="1:16" x14ac:dyDescent="0.2">
      <c r="A34">
        <v>1994</v>
      </c>
      <c r="B34">
        <v>1.7732800814225701E-2</v>
      </c>
      <c r="C34">
        <v>8.9098398304678195E-2</v>
      </c>
      <c r="D34">
        <v>0.227857636232522</v>
      </c>
      <c r="E34">
        <v>0.41442535474540698</v>
      </c>
      <c r="F34">
        <v>0.57280505462053</v>
      </c>
      <c r="G34">
        <v>0.70886323807506302</v>
      </c>
      <c r="H34">
        <v>0.74684259874294501</v>
      </c>
      <c r="I34">
        <v>1.0865221926950901</v>
      </c>
      <c r="J34">
        <v>1.3033178389523401</v>
      </c>
      <c r="K34">
        <v>1.2357686033198199</v>
      </c>
      <c r="L34">
        <v>1.34634487279032</v>
      </c>
      <c r="M34">
        <v>1.4400919846717</v>
      </c>
      <c r="N34">
        <v>1.4919087214475302</v>
      </c>
      <c r="O34">
        <v>1.67079744408714</v>
      </c>
      <c r="P34">
        <v>1.7429203711688799</v>
      </c>
    </row>
    <row r="35" spans="1:16" x14ac:dyDescent="0.2">
      <c r="A35">
        <v>1995</v>
      </c>
      <c r="B35">
        <v>1.7411934302708498E-2</v>
      </c>
      <c r="C35">
        <v>6.3233780724699096E-2</v>
      </c>
      <c r="D35">
        <v>0.14533530341640802</v>
      </c>
      <c r="E35">
        <v>0.33988341570147995</v>
      </c>
      <c r="F35">
        <v>0.48033315774494995</v>
      </c>
      <c r="G35">
        <v>0.65684407837120895</v>
      </c>
      <c r="H35">
        <v>0.68022790527037003</v>
      </c>
      <c r="I35">
        <v>0.89685029471763</v>
      </c>
      <c r="J35">
        <v>1.0749126301174099</v>
      </c>
      <c r="K35">
        <v>1.3630232342646</v>
      </c>
      <c r="L35">
        <v>1.3076588380752701</v>
      </c>
      <c r="M35">
        <v>1.4014582070551902</v>
      </c>
      <c r="N35">
        <v>1.51743229424923</v>
      </c>
      <c r="O35">
        <v>1.51079631256717</v>
      </c>
      <c r="P35">
        <v>1.7658965375331399</v>
      </c>
    </row>
    <row r="36" spans="1:16" x14ac:dyDescent="0.2">
      <c r="A36">
        <v>1996</v>
      </c>
      <c r="B36">
        <v>1.8715706726376201E-2</v>
      </c>
      <c r="C36">
        <v>8.0421813094313802E-2</v>
      </c>
      <c r="D36">
        <v>0.15087054440183201</v>
      </c>
      <c r="E36">
        <v>0.299672504634034</v>
      </c>
      <c r="F36">
        <v>0.50891044645156602</v>
      </c>
      <c r="G36">
        <v>0.63350346092492493</v>
      </c>
      <c r="H36">
        <v>0.78004481540809101</v>
      </c>
      <c r="I36">
        <v>0.87126710610321401</v>
      </c>
      <c r="J36">
        <v>1.02744544886857</v>
      </c>
      <c r="K36">
        <v>1.1666849233866201</v>
      </c>
      <c r="L36">
        <v>1.3867580322667701</v>
      </c>
      <c r="M36">
        <v>1.5029125799340899</v>
      </c>
      <c r="N36">
        <v>1.6643796480916999</v>
      </c>
      <c r="O36">
        <v>1.69242561600443</v>
      </c>
      <c r="P36">
        <v>1.8215121688823201</v>
      </c>
    </row>
    <row r="37" spans="1:16" x14ac:dyDescent="0.2">
      <c r="A37">
        <v>1997</v>
      </c>
      <c r="B37">
        <v>1.54124721885033E-2</v>
      </c>
      <c r="C37">
        <v>8.3028836676808396E-2</v>
      </c>
      <c r="D37">
        <v>0.20099866696827701</v>
      </c>
      <c r="E37">
        <v>0.30008810306300898</v>
      </c>
      <c r="F37">
        <v>0.36966813629171297</v>
      </c>
      <c r="G37">
        <v>0.60630300299542206</v>
      </c>
      <c r="H37">
        <v>0.749874584609312</v>
      </c>
      <c r="I37">
        <v>0.86803150650319605</v>
      </c>
      <c r="J37">
        <v>1.1443024536827999</v>
      </c>
      <c r="K37">
        <v>1.2174555057667902</v>
      </c>
      <c r="L37">
        <v>1.3488556387773001</v>
      </c>
      <c r="M37">
        <v>1.5321502521950698</v>
      </c>
      <c r="N37">
        <v>1.6015123590584799</v>
      </c>
      <c r="O37">
        <v>1.6218681376325401</v>
      </c>
      <c r="P37">
        <v>1.79620716930154</v>
      </c>
    </row>
    <row r="38" spans="1:16" x14ac:dyDescent="0.2">
      <c r="A38">
        <v>1998</v>
      </c>
      <c r="B38">
        <v>1.4883778028028701E-2</v>
      </c>
      <c r="C38">
        <v>7.6274765012391693E-2</v>
      </c>
      <c r="D38">
        <v>0.194545172811006</v>
      </c>
      <c r="E38">
        <v>0.315566630711546</v>
      </c>
      <c r="F38">
        <v>0.45714747388997101</v>
      </c>
      <c r="G38">
        <v>0.52549741349953005</v>
      </c>
      <c r="H38">
        <v>0.84027326560066695</v>
      </c>
      <c r="I38">
        <v>0.93873483161526305</v>
      </c>
      <c r="J38">
        <v>1.0123137312727299</v>
      </c>
      <c r="K38">
        <v>1.0868387751280599</v>
      </c>
      <c r="L38">
        <v>1.2627063628815398</v>
      </c>
      <c r="M38">
        <v>1.39744890303934</v>
      </c>
      <c r="N38">
        <v>1.5188571876167001</v>
      </c>
      <c r="O38">
        <v>1.89661527537818</v>
      </c>
      <c r="P38">
        <v>1.90890766743288</v>
      </c>
    </row>
    <row r="39" spans="1:16" x14ac:dyDescent="0.2">
      <c r="A39">
        <v>1999</v>
      </c>
      <c r="B39">
        <v>1.3097441240666401E-2</v>
      </c>
      <c r="C39">
        <v>9.0593728091038495E-2</v>
      </c>
      <c r="D39">
        <v>0.20558330035890698</v>
      </c>
      <c r="E39">
        <v>0.363419354813868</v>
      </c>
      <c r="F39">
        <v>0.41993859568111203</v>
      </c>
      <c r="G39">
        <v>0.572290121019844</v>
      </c>
      <c r="H39">
        <v>0.685350405970655</v>
      </c>
      <c r="I39">
        <v>0.89972289629410396</v>
      </c>
      <c r="J39">
        <v>1.10906588385752</v>
      </c>
      <c r="K39">
        <v>1.1608221820506501</v>
      </c>
      <c r="L39">
        <v>1.3005268670052701</v>
      </c>
      <c r="M39">
        <v>1.37431542789921</v>
      </c>
      <c r="N39">
        <v>1.8227476156878499</v>
      </c>
      <c r="O39">
        <v>1.7903409380497601</v>
      </c>
      <c r="P39">
        <v>2.0857900445209396</v>
      </c>
    </row>
    <row r="40" spans="1:16" x14ac:dyDescent="0.2">
      <c r="A40">
        <v>2000</v>
      </c>
      <c r="B40">
        <v>1.1637050412831201E-2</v>
      </c>
      <c r="C40">
        <v>9.0123892662997904E-2</v>
      </c>
      <c r="D40">
        <v>0.23149510165580101</v>
      </c>
      <c r="E40">
        <v>0.43161498121500602</v>
      </c>
      <c r="F40">
        <v>0.47182515313344997</v>
      </c>
      <c r="G40">
        <v>0.56671080329900703</v>
      </c>
      <c r="H40">
        <v>0.70561068723199605</v>
      </c>
      <c r="I40">
        <v>0.799947258819664</v>
      </c>
      <c r="J40">
        <v>0.94677266294526707</v>
      </c>
      <c r="K40">
        <v>1.1941958255717</v>
      </c>
      <c r="L40">
        <v>1.4278748016229299</v>
      </c>
      <c r="M40">
        <v>1.46994104377358</v>
      </c>
      <c r="N40">
        <v>1.7141410733696101</v>
      </c>
      <c r="O40">
        <v>1.76691923690268</v>
      </c>
      <c r="P40">
        <v>2.01645918027249</v>
      </c>
    </row>
    <row r="41" spans="1:16" x14ac:dyDescent="0.2">
      <c r="A41">
        <v>2001</v>
      </c>
      <c r="B41">
        <v>1.4819031887871099E-2</v>
      </c>
      <c r="C41">
        <v>7.5871476896642809E-2</v>
      </c>
      <c r="D41">
        <v>0.18016288095229399</v>
      </c>
      <c r="E41">
        <v>0.37537758285761297</v>
      </c>
      <c r="F41">
        <v>0.54885313376823397</v>
      </c>
      <c r="G41">
        <v>0.69227147030723202</v>
      </c>
      <c r="H41">
        <v>0.80503041781290408</v>
      </c>
      <c r="I41">
        <v>0.87329105390616302</v>
      </c>
      <c r="J41">
        <v>0.95773300682086493</v>
      </c>
      <c r="K41">
        <v>1.0988386694820198</v>
      </c>
      <c r="L41">
        <v>1.3232087630135501</v>
      </c>
      <c r="M41">
        <v>1.53516603718225</v>
      </c>
      <c r="N41">
        <v>1.61476088130954</v>
      </c>
      <c r="O41">
        <v>1.8138578033870798</v>
      </c>
      <c r="P41">
        <v>1.9689662661260601</v>
      </c>
    </row>
    <row r="42" spans="1:16" x14ac:dyDescent="0.2">
      <c r="A42">
        <v>2002</v>
      </c>
      <c r="B42">
        <v>1.2825706769882199E-2</v>
      </c>
      <c r="C42">
        <v>9.3839210887065608E-2</v>
      </c>
      <c r="D42">
        <v>0.25933848334669102</v>
      </c>
      <c r="E42">
        <v>0.38673792385268202</v>
      </c>
      <c r="F42">
        <v>0.53331987104007805</v>
      </c>
      <c r="G42">
        <v>0.67867990887331997</v>
      </c>
      <c r="H42">
        <v>0.74603496740305608</v>
      </c>
      <c r="I42">
        <v>0.92029674235794101</v>
      </c>
      <c r="J42">
        <v>1.0333867867461199</v>
      </c>
      <c r="K42">
        <v>1.1270084695132501</v>
      </c>
      <c r="L42">
        <v>1.1459053845097</v>
      </c>
      <c r="M42">
        <v>1.4447696698377699</v>
      </c>
      <c r="N42">
        <v>1.6310632971476999</v>
      </c>
      <c r="O42">
        <v>1.7958416659262699</v>
      </c>
      <c r="P42">
        <v>1.9792396742251002</v>
      </c>
    </row>
    <row r="43" spans="1:16" x14ac:dyDescent="0.2">
      <c r="A43">
        <v>2003</v>
      </c>
      <c r="B43">
        <v>2.1351905232043302E-2</v>
      </c>
      <c r="C43">
        <v>0.11382481626350599</v>
      </c>
      <c r="D43">
        <v>0.287772766098782</v>
      </c>
      <c r="E43">
        <v>0.45095919944241897</v>
      </c>
      <c r="F43">
        <v>0.64469695009781802</v>
      </c>
      <c r="G43">
        <v>0.75425557112243402</v>
      </c>
      <c r="H43">
        <v>0.83725454139808198</v>
      </c>
      <c r="I43">
        <v>0.96355008364152195</v>
      </c>
      <c r="J43">
        <v>1.0391813496147799</v>
      </c>
      <c r="K43">
        <v>1.2105844426924901</v>
      </c>
      <c r="L43">
        <v>1.21879469615509</v>
      </c>
      <c r="M43">
        <v>1.4005882593399199</v>
      </c>
      <c r="N43">
        <v>1.5918505988979099</v>
      </c>
      <c r="O43">
        <v>1.5283883291291098</v>
      </c>
      <c r="P43">
        <v>1.86755537131239</v>
      </c>
    </row>
    <row r="44" spans="1:16" x14ac:dyDescent="0.2">
      <c r="A44">
        <v>2004</v>
      </c>
      <c r="B44">
        <v>1.9468920937720201E-2</v>
      </c>
      <c r="C44">
        <v>0.103594552201352</v>
      </c>
      <c r="D44">
        <v>0.28146998093200604</v>
      </c>
      <c r="E44">
        <v>0.449640783956059</v>
      </c>
      <c r="F44">
        <v>0.591866428512558</v>
      </c>
      <c r="G44">
        <v>0.72534732833353299</v>
      </c>
      <c r="H44">
        <v>0.84710008209584697</v>
      </c>
      <c r="I44">
        <v>0.96588868931069394</v>
      </c>
      <c r="J44">
        <v>1.0764126902108502</v>
      </c>
      <c r="K44">
        <v>1.1468187278641899</v>
      </c>
      <c r="L44">
        <v>1.19192665829819</v>
      </c>
      <c r="M44">
        <v>1.3048035934494</v>
      </c>
      <c r="N44">
        <v>1.5072477102576298</v>
      </c>
      <c r="O44">
        <v>1.8070747877623101</v>
      </c>
      <c r="P44">
        <v>1.82725971596968</v>
      </c>
    </row>
    <row r="45" spans="1:16" x14ac:dyDescent="0.2">
      <c r="A45">
        <v>2005</v>
      </c>
      <c r="B45">
        <v>2.0195642553592102E-2</v>
      </c>
      <c r="C45">
        <v>0.10749328969810899</v>
      </c>
      <c r="D45">
        <v>0.237541588419903</v>
      </c>
      <c r="E45">
        <v>0.41234004748751502</v>
      </c>
      <c r="F45">
        <v>0.553781217024505</v>
      </c>
      <c r="G45">
        <v>0.66987158075921194</v>
      </c>
      <c r="H45">
        <v>0.84306256869985596</v>
      </c>
      <c r="I45">
        <v>0.95761748119274903</v>
      </c>
      <c r="J45">
        <v>1.0186007976124101</v>
      </c>
      <c r="K45">
        <v>1.0822203366203</v>
      </c>
      <c r="L45">
        <v>1.33574327150573</v>
      </c>
      <c r="M45">
        <v>1.28010515195997</v>
      </c>
      <c r="N45">
        <v>1.3045111162808201</v>
      </c>
      <c r="O45">
        <v>1.48280789562381</v>
      </c>
      <c r="P45">
        <v>1.6038478866915999</v>
      </c>
    </row>
    <row r="46" spans="1:16" x14ac:dyDescent="0.2">
      <c r="A46">
        <v>2006</v>
      </c>
      <c r="B46">
        <v>9.3771807921347386E-3</v>
      </c>
      <c r="C46">
        <v>9.9581012409287989E-2</v>
      </c>
      <c r="D46">
        <v>0.18948027826053201</v>
      </c>
      <c r="E46">
        <v>0.43836275376263001</v>
      </c>
      <c r="F46">
        <v>0.61177803495514504</v>
      </c>
      <c r="G46">
        <v>0.6894121222865861</v>
      </c>
      <c r="H46">
        <v>0.82408302138409795</v>
      </c>
      <c r="I46">
        <v>0.90074247054023293</v>
      </c>
      <c r="J46">
        <v>1.0494041616329901</v>
      </c>
      <c r="K46">
        <v>1.17710190979302</v>
      </c>
      <c r="L46">
        <v>1.2602828300789399</v>
      </c>
      <c r="M46">
        <v>1.3780132889341901</v>
      </c>
      <c r="N46">
        <v>1.4481496453938001</v>
      </c>
      <c r="O46">
        <v>1.4361416799834898</v>
      </c>
      <c r="P46">
        <v>1.50946924756618</v>
      </c>
    </row>
    <row r="47" spans="1:16" x14ac:dyDescent="0.2">
      <c r="A47">
        <v>2007</v>
      </c>
      <c r="B47">
        <v>1.25130475669441E-2</v>
      </c>
      <c r="C47">
        <v>0.102927192098167</v>
      </c>
      <c r="D47">
        <v>0.28960623473035002</v>
      </c>
      <c r="E47">
        <v>0.51464886438966007</v>
      </c>
      <c r="F47">
        <v>0.63919193826757892</v>
      </c>
      <c r="G47">
        <v>0.80280689443846698</v>
      </c>
      <c r="H47">
        <v>0.90530019920125093</v>
      </c>
      <c r="I47">
        <v>1.0275735465162499</v>
      </c>
      <c r="J47">
        <v>1.1223742731611202</v>
      </c>
      <c r="K47">
        <v>1.3919689333966401</v>
      </c>
      <c r="L47">
        <v>1.34858660172432</v>
      </c>
      <c r="M47">
        <v>1.38546629282512</v>
      </c>
      <c r="N47">
        <v>1.6990055396141699</v>
      </c>
      <c r="O47">
        <v>1.5937535077968901</v>
      </c>
      <c r="P47">
        <v>1.6582967088551799</v>
      </c>
    </row>
    <row r="48" spans="1:16" x14ac:dyDescent="0.2">
      <c r="A48">
        <v>2008</v>
      </c>
      <c r="B48">
        <v>1.2618843909317799E-2</v>
      </c>
      <c r="C48">
        <v>6.0552624872757498E-2</v>
      </c>
      <c r="D48">
        <v>0.25535377969918799</v>
      </c>
      <c r="E48">
        <v>0.47399979563515399</v>
      </c>
      <c r="F48">
        <v>0.61003273314189399</v>
      </c>
      <c r="G48">
        <v>0.74239033290383205</v>
      </c>
      <c r="H48">
        <v>0.86404741692115294</v>
      </c>
      <c r="I48">
        <v>0.99537622783724811</v>
      </c>
      <c r="J48">
        <v>1.06552108307879</v>
      </c>
      <c r="K48">
        <v>1.19970131139013</v>
      </c>
      <c r="L48">
        <v>1.4778601461574201</v>
      </c>
      <c r="M48">
        <v>1.4311636335934599</v>
      </c>
      <c r="N48">
        <v>1.65020706709359</v>
      </c>
      <c r="O48">
        <v>1.7922241960155099</v>
      </c>
      <c r="P48">
        <v>1.8772478982902701</v>
      </c>
    </row>
    <row r="49" spans="1:16" x14ac:dyDescent="0.2">
      <c r="A49">
        <v>2009</v>
      </c>
      <c r="B49">
        <v>1.10475791946679E-2</v>
      </c>
      <c r="C49">
        <v>6.6319807055085903E-2</v>
      </c>
      <c r="D49">
        <v>0.249929732676478</v>
      </c>
      <c r="E49">
        <v>0.50350271817468895</v>
      </c>
      <c r="F49">
        <v>0.69671087470706006</v>
      </c>
      <c r="G49">
        <v>0.79058750932285604</v>
      </c>
      <c r="H49">
        <v>0.99411662900086606</v>
      </c>
      <c r="I49">
        <v>1.10712695373407</v>
      </c>
      <c r="J49">
        <v>1.1793417626900899</v>
      </c>
      <c r="K49">
        <v>1.4432048629746301</v>
      </c>
      <c r="L49">
        <v>1.5245784267004401</v>
      </c>
      <c r="M49">
        <v>1.6869990859180801</v>
      </c>
      <c r="N49">
        <v>1.9426008341546601</v>
      </c>
      <c r="O49">
        <v>2.2266515191325102</v>
      </c>
      <c r="P49">
        <v>2.3172332275629399</v>
      </c>
    </row>
    <row r="50" spans="1:16" x14ac:dyDescent="0.2">
      <c r="A50">
        <v>2010</v>
      </c>
      <c r="B50">
        <v>1.75370994367555E-2</v>
      </c>
      <c r="C50">
        <v>8.4274742792885604E-2</v>
      </c>
      <c r="D50">
        <v>0.26608799640658903</v>
      </c>
      <c r="E50">
        <v>0.51878576457361203</v>
      </c>
      <c r="F50">
        <v>0.69009796610841201</v>
      </c>
      <c r="G50">
        <v>0.88848652686940499</v>
      </c>
      <c r="H50">
        <v>1.08394352288088</v>
      </c>
      <c r="I50">
        <v>1.1810656094757401</v>
      </c>
      <c r="J50">
        <v>1.2236274540049501</v>
      </c>
      <c r="K50">
        <v>1.3106357204491501</v>
      </c>
      <c r="L50">
        <v>1.4314389785237198</v>
      </c>
      <c r="M50">
        <v>1.59946590308889</v>
      </c>
      <c r="N50">
        <v>1.81831679263908</v>
      </c>
      <c r="O50">
        <v>2.13947810142965</v>
      </c>
      <c r="P50">
        <v>2.44388406738575</v>
      </c>
    </row>
    <row r="51" spans="1:16" x14ac:dyDescent="0.2">
      <c r="A51">
        <v>2011</v>
      </c>
      <c r="B51">
        <v>1.49076731625563E-2</v>
      </c>
      <c r="C51">
        <v>8.2344510607901503E-2</v>
      </c>
      <c r="D51">
        <v>0.22974241056456299</v>
      </c>
      <c r="E51">
        <v>0.511851880164921</v>
      </c>
      <c r="F51">
        <v>0.66165793520262395</v>
      </c>
      <c r="G51">
        <v>0.77502012389043606</v>
      </c>
      <c r="H51">
        <v>0.92435939630290598</v>
      </c>
      <c r="I51">
        <v>1.09673710663728</v>
      </c>
      <c r="J51">
        <v>1.23190788609678</v>
      </c>
      <c r="K51">
        <v>1.2770545184970499</v>
      </c>
      <c r="L51">
        <v>1.4259580462035599</v>
      </c>
      <c r="M51">
        <v>1.4890254062878101</v>
      </c>
      <c r="N51">
        <v>1.6109202801436899</v>
      </c>
      <c r="O51">
        <v>1.7573364343000701</v>
      </c>
      <c r="P51">
        <v>2.0580836142018204</v>
      </c>
    </row>
    <row r="52" spans="1:16" x14ac:dyDescent="0.2">
      <c r="A52">
        <v>2012</v>
      </c>
      <c r="B52">
        <v>1.3099156160992401E-2</v>
      </c>
      <c r="C52">
        <v>7.92773651107858E-2</v>
      </c>
      <c r="D52">
        <v>0.20164656830532299</v>
      </c>
      <c r="E52">
        <v>0.42138328447582596</v>
      </c>
      <c r="F52">
        <v>0.61116787481050405</v>
      </c>
      <c r="G52">
        <v>0.77438195742780291</v>
      </c>
      <c r="H52">
        <v>0.92079346953730501</v>
      </c>
      <c r="I52">
        <v>1.1325586597853301</v>
      </c>
      <c r="J52">
        <v>1.30915907127265</v>
      </c>
      <c r="K52">
        <v>1.37938234805475</v>
      </c>
      <c r="L52">
        <v>1.41750761034876</v>
      </c>
      <c r="M52">
        <v>1.48060097007808</v>
      </c>
      <c r="N52">
        <v>1.5438558662553801</v>
      </c>
      <c r="O52">
        <v>1.8390101894027</v>
      </c>
      <c r="P52">
        <v>2.0709838536452798</v>
      </c>
    </row>
    <row r="53" spans="1:16" x14ac:dyDescent="0.2">
      <c r="A53">
        <v>2013</v>
      </c>
      <c r="B53">
        <v>1.5229169150546401E-2</v>
      </c>
      <c r="C53">
        <v>8.0877861310907309E-2</v>
      </c>
      <c r="D53">
        <v>0.21232815950970998</v>
      </c>
      <c r="E53">
        <v>0.50512228336271103</v>
      </c>
      <c r="F53">
        <v>0.58176433935109906</v>
      </c>
      <c r="G53">
        <v>0.736182536677226</v>
      </c>
      <c r="H53">
        <v>0.97732283947128995</v>
      </c>
      <c r="I53">
        <v>1.1637561439094799</v>
      </c>
      <c r="J53">
        <v>1.3240096643222001</v>
      </c>
      <c r="K53">
        <v>1.41481388728719</v>
      </c>
      <c r="L53">
        <v>1.5147018698551</v>
      </c>
      <c r="M53">
        <v>1.5422469301624602</v>
      </c>
      <c r="N53">
        <v>1.69256141790157</v>
      </c>
      <c r="O53">
        <v>1.9132571396723599</v>
      </c>
      <c r="P53">
        <v>1.9960119915686001</v>
      </c>
    </row>
    <row r="54" spans="1:16" x14ac:dyDescent="0.2">
      <c r="A54">
        <v>2014</v>
      </c>
      <c r="B54">
        <v>1.66069102402552E-2</v>
      </c>
      <c r="C54">
        <v>0.113968322273358</v>
      </c>
      <c r="D54">
        <v>0.25779954753867101</v>
      </c>
      <c r="E54">
        <v>0.45087539746701799</v>
      </c>
      <c r="F54">
        <v>0.58217253684707493</v>
      </c>
      <c r="G54">
        <v>0.72889451597298605</v>
      </c>
      <c r="H54">
        <v>0.80253578436823203</v>
      </c>
      <c r="I54">
        <v>1.1136074312415898</v>
      </c>
      <c r="J54">
        <v>1.24590008752212</v>
      </c>
      <c r="K54">
        <v>1.4623503072975901</v>
      </c>
      <c r="L54">
        <v>1.7057377295214702</v>
      </c>
      <c r="M54">
        <v>1.6186680654508201</v>
      </c>
      <c r="N54">
        <v>1.7117289931436701</v>
      </c>
      <c r="O54">
        <v>1.9325002410835901</v>
      </c>
      <c r="P54">
        <v>1.99686018993815</v>
      </c>
    </row>
    <row r="55" spans="1:16" x14ac:dyDescent="0.2">
      <c r="A55">
        <v>2015</v>
      </c>
      <c r="B55">
        <v>1.7457806788171101E-2</v>
      </c>
      <c r="C55">
        <v>8.7281454053534796E-2</v>
      </c>
      <c r="D55">
        <v>0.332406769419481</v>
      </c>
      <c r="E55">
        <v>0.44892154926996397</v>
      </c>
      <c r="F55">
        <v>0.590334733200374</v>
      </c>
      <c r="G55">
        <v>0.68935600956626797</v>
      </c>
      <c r="H55">
        <v>0.795072872581293</v>
      </c>
      <c r="I55">
        <v>0.92242361390189997</v>
      </c>
      <c r="J55">
        <v>1.21632052520312</v>
      </c>
      <c r="K55">
        <v>1.2428098479575</v>
      </c>
      <c r="L55">
        <v>1.58386262116719</v>
      </c>
      <c r="M55">
        <v>1.5267266054233199</v>
      </c>
      <c r="N55">
        <v>1.49315818773503</v>
      </c>
      <c r="O55">
        <v>1.5547108994230301</v>
      </c>
      <c r="P55">
        <v>1.8107580854776499</v>
      </c>
    </row>
    <row r="56" spans="1:16" x14ac:dyDescent="0.2">
      <c r="A56">
        <v>2016</v>
      </c>
      <c r="B56">
        <v>2.1930008867307501E-2</v>
      </c>
      <c r="C56">
        <v>8.1925660253933108E-2</v>
      </c>
      <c r="D56">
        <v>0.29884989882413499</v>
      </c>
      <c r="E56">
        <v>0.53027141052084203</v>
      </c>
      <c r="F56">
        <v>0.60493638433691299</v>
      </c>
      <c r="G56">
        <v>0.700503908397349</v>
      </c>
      <c r="H56">
        <v>0.77865002879816092</v>
      </c>
      <c r="I56">
        <v>0.83573939297146294</v>
      </c>
      <c r="J56">
        <v>0.94074926578379803</v>
      </c>
      <c r="K56">
        <v>0.99969551458846795</v>
      </c>
      <c r="L56">
        <v>1.21421306960385</v>
      </c>
      <c r="M56">
        <v>1.59425247320374</v>
      </c>
      <c r="N56">
        <v>1.4009801273628799</v>
      </c>
      <c r="O56">
        <v>1.6820231113225601</v>
      </c>
      <c r="P56">
        <v>1.4709501092908599</v>
      </c>
    </row>
    <row r="57" spans="1:16" x14ac:dyDescent="0.2">
      <c r="A57">
        <v>2017</v>
      </c>
      <c r="B57">
        <v>2.0955313855185502E-2</v>
      </c>
      <c r="C57">
        <v>0.104074519010863</v>
      </c>
      <c r="D57">
        <v>0.25368745350981298</v>
      </c>
      <c r="E57">
        <v>0.47203782276432005</v>
      </c>
      <c r="F57">
        <v>0.63360878671444798</v>
      </c>
      <c r="G57">
        <v>0.67283381048850699</v>
      </c>
      <c r="H57">
        <v>0.75734475165732296</v>
      </c>
      <c r="I57">
        <v>0.82078781237722398</v>
      </c>
      <c r="J57">
        <v>0.90365742508831504</v>
      </c>
      <c r="K57">
        <v>0.92189874109930303</v>
      </c>
      <c r="L57">
        <v>1.07674415486174</v>
      </c>
      <c r="M57">
        <v>1.03117366748677</v>
      </c>
      <c r="N57">
        <v>1.27390057263406</v>
      </c>
      <c r="O57">
        <v>1.1479984399293401</v>
      </c>
      <c r="P57">
        <v>1.54896523402191</v>
      </c>
    </row>
    <row r="58" spans="1:16" x14ac:dyDescent="0.2">
      <c r="A58">
        <v>2018</v>
      </c>
      <c r="B58">
        <v>2.2427235127942598E-2</v>
      </c>
      <c r="C58">
        <v>9.5396352387455197E-2</v>
      </c>
      <c r="D58">
        <v>0.225729313732495</v>
      </c>
      <c r="E58">
        <v>0.43454261822538504</v>
      </c>
      <c r="F58">
        <v>0.59955498778441407</v>
      </c>
      <c r="G58">
        <v>0.695866062213085</v>
      </c>
      <c r="H58">
        <v>0.77650391912567707</v>
      </c>
      <c r="I58">
        <v>0.82630539137439307</v>
      </c>
      <c r="J58">
        <v>0.93655476920510206</v>
      </c>
      <c r="K58">
        <v>0.95807751030890997</v>
      </c>
      <c r="L58">
        <v>1.0842714919884699</v>
      </c>
      <c r="M58">
        <v>0.93573701444384505</v>
      </c>
      <c r="N58">
        <v>1.5071627360667201</v>
      </c>
      <c r="O58" t="str">
        <v>NA</v>
      </c>
      <c r="P58">
        <v>1.51941456520298</v>
      </c>
    </row>
    <row r="59" spans="1:16" x14ac:dyDescent="0.2">
      <c r="A59">
        <v>2019</v>
      </c>
      <c r="B59">
        <v>2.1557385851708299E-2</v>
      </c>
      <c r="C59">
        <v>0.11335570364678201</v>
      </c>
      <c r="D59">
        <v>0.29701389118909399</v>
      </c>
      <c r="E59">
        <v>0.50094768444623794</v>
      </c>
      <c r="F59">
        <v>0.63674065435848404</v>
      </c>
      <c r="G59">
        <v>0.74142538910803102</v>
      </c>
      <c r="H59">
        <v>0.83064097017957794</v>
      </c>
      <c r="I59">
        <v>0.94639468142813798</v>
      </c>
      <c r="J59">
        <v>0.95985969046140096</v>
      </c>
      <c r="K59">
        <v>1.0437957289964599</v>
      </c>
      <c r="L59">
        <v>1.01247457398871</v>
      </c>
      <c r="M59">
        <v>1.0564221761897599</v>
      </c>
      <c r="N59">
        <v>1.0424253848404401</v>
      </c>
      <c r="O59">
        <v>1.2825423460673901</v>
      </c>
      <c r="P59" t="str">
        <v>NA</v>
      </c>
    </row>
    <row r="60" spans="1:16" x14ac:dyDescent="0.2">
      <c r="A60">
        <v>2020</v>
      </c>
      <c r="B60" t="str">
        <v>NA</v>
      </c>
      <c r="C60" t="str">
        <v>NA</v>
      </c>
      <c r="D60" t="str">
        <v>NA</v>
      </c>
      <c r="E60" t="str">
        <v>NA</v>
      </c>
      <c r="F60" t="str">
        <v>NA</v>
      </c>
      <c r="G60" t="str">
        <v>NA</v>
      </c>
      <c r="H60" t="str">
        <v>NA</v>
      </c>
      <c r="I60" t="str">
        <v>NA</v>
      </c>
      <c r="J60" t="str">
        <v>NA</v>
      </c>
      <c r="K60" t="str">
        <v>NA</v>
      </c>
      <c r="L60" t="str">
        <v>NA</v>
      </c>
      <c r="M60" t="str">
        <v>NA</v>
      </c>
      <c r="N60" t="str">
        <v>NA</v>
      </c>
      <c r="O60" t="str">
        <v>NA</v>
      </c>
      <c r="P60" t="str">
        <v>NA</v>
      </c>
    </row>
    <row r="61" spans="1:16" x14ac:dyDescent="0.2">
      <c r="A61">
        <v>2021</v>
      </c>
      <c r="B61">
        <v>2.2498680976554802E-2</v>
      </c>
      <c r="C61">
        <v>0.10247386266333901</v>
      </c>
      <c r="D61">
        <v>0.23874587130102401</v>
      </c>
      <c r="E61">
        <v>0.446959989078489</v>
      </c>
      <c r="F61">
        <v>0.58457981401805204</v>
      </c>
      <c r="G61">
        <v>0.71277142822520501</v>
      </c>
      <c r="H61">
        <v>0.80419877305086007</v>
      </c>
      <c r="I61">
        <v>0.85590951563885298</v>
      </c>
      <c r="J61">
        <v>0.98023942557203603</v>
      </c>
      <c r="K61">
        <v>1.15010081986108</v>
      </c>
      <c r="L61">
        <v>1.0649628011096799</v>
      </c>
      <c r="M61">
        <v>1.15146376736208</v>
      </c>
      <c r="N61">
        <v>1.3125885677295099</v>
      </c>
      <c r="O61">
        <v>1.02608760296179</v>
      </c>
      <c r="P61">
        <v>1.3824832588590801</v>
      </c>
    </row>
    <row r="62" spans="1:16" x14ac:dyDescent="0.2">
      <c r="A62">
        <v>2022</v>
      </c>
      <c r="B62">
        <v>1.7285352006024102E-2</v>
      </c>
      <c r="C62">
        <v>0.117262349619111</v>
      </c>
      <c r="D62">
        <v>0.26733573087300799</v>
      </c>
      <c r="E62">
        <v>0.443188646870046</v>
      </c>
      <c r="F62">
        <v>0.59097485324630095</v>
      </c>
      <c r="G62">
        <v>0.70946782361152705</v>
      </c>
      <c r="H62">
        <v>0.78059251084425296</v>
      </c>
      <c r="I62">
        <v>0.8811950550210601</v>
      </c>
      <c r="J62">
        <v>0.97573352002699798</v>
      </c>
      <c r="K62">
        <v>1.07011583944786</v>
      </c>
      <c r="L62">
        <v>1.32708583977223</v>
      </c>
      <c r="M62">
        <v>1.3051274281799299</v>
      </c>
      <c r="N62">
        <v>1.35624918707772</v>
      </c>
      <c r="O62">
        <v>1.2389392025254999</v>
      </c>
      <c r="P62">
        <v>1.86234083540825</v>
      </c>
    </row>
    <row r="63" spans="1:16" x14ac:dyDescent="0.2">
      <c r="A63">
        <v>2023</v>
      </c>
      <c r="B63">
        <v>1.6290282683347201E-2</v>
      </c>
      <c r="C63">
        <v>0.117301585858891</v>
      </c>
      <c r="D63">
        <v>0.27139620164422601</v>
      </c>
      <c r="E63">
        <v>0.41687564723238801</v>
      </c>
      <c r="F63">
        <v>0.533431940571792</v>
      </c>
      <c r="G63">
        <v>0.66030587433237897</v>
      </c>
      <c r="H63">
        <v>0.80251331570593698</v>
      </c>
      <c r="I63">
        <v>0.93535797021226297</v>
      </c>
      <c r="J63">
        <v>0.96296479121097001</v>
      </c>
      <c r="K63">
        <v>1.0104948726462699</v>
      </c>
      <c r="L63">
        <v>1.15033315058786</v>
      </c>
      <c r="M63">
        <v>1.14026577685919</v>
      </c>
      <c r="N63">
        <v>1.4628116836187901</v>
      </c>
      <c r="O63">
        <v>1.89263231739019</v>
      </c>
      <c r="P63">
        <v>1.5068638000717398</v>
      </c>
    </row>
    <row r="64" spans="1:16" x14ac:dyDescent="0.2">
      <c r="A64">
        <v>2024</v>
      </c>
      <c r="B64">
        <v>1.7541583297838698E-2</v>
      </c>
      <c r="C64">
        <v>9.4822856331877009E-2</v>
      </c>
      <c r="D64">
        <v>0.32923135977132301</v>
      </c>
      <c r="E64">
        <v>0.47575691883218002</v>
      </c>
      <c r="F64">
        <v>0.578288017254322</v>
      </c>
      <c r="G64">
        <v>0.61925245935637196</v>
      </c>
      <c r="H64">
        <v>0.70358279240673904</v>
      </c>
      <c r="I64">
        <v>0.94511421394361406</v>
      </c>
      <c r="J64">
        <v>1.00505993939466</v>
      </c>
      <c r="K64">
        <v>1.0410178798254301</v>
      </c>
      <c r="L64">
        <v>1.1376506579941199</v>
      </c>
      <c r="M64">
        <v>1.2058032188323999</v>
      </c>
      <c r="N64">
        <v>1.31408289612497</v>
      </c>
      <c r="O64">
        <v>1.4355219711254898</v>
      </c>
      <c r="P64">
        <v>1.7913662168836499</v>
      </c>
    </row>
    <row r="69" spans="1:34" x14ac:dyDescent="0.2">
      <c r="C69" s="12"/>
      <c r="E69" s="12"/>
      <c r="G69" s="12"/>
      <c r="I69" s="12"/>
      <c r="K69" s="12"/>
      <c r="M69" s="12"/>
      <c r="O69" s="12"/>
      <c r="Q69" s="12"/>
      <c r="S69" s="12"/>
      <c r="U69" s="12"/>
      <c r="W69" s="12"/>
      <c r="Y69" s="12"/>
      <c r="AA69" s="12"/>
      <c r="AC69" s="12"/>
      <c r="AE69" s="12"/>
      <c r="AG69" s="12"/>
    </row>
    <row r="72" spans="1:34" x14ac:dyDescent="0.2">
      <c r="A72">
        <v>1982</v>
      </c>
      <c r="B72" t="s">
        <v>92</v>
      </c>
      <c r="C72" s="12">
        <f>'pm_24.dat '!B320</f>
        <v>10950974.4512849</v>
      </c>
      <c r="D72" t="s">
        <v>92</v>
      </c>
      <c r="E72" s="12">
        <f>'pm_24.dat '!C320</f>
        <v>27660832.925183602</v>
      </c>
      <c r="F72" t="s">
        <v>92</v>
      </c>
      <c r="G72" s="12">
        <f>'pm_24.dat '!D320</f>
        <v>32223232.542420901</v>
      </c>
      <c r="H72" t="s">
        <v>92</v>
      </c>
      <c r="I72" s="12">
        <f>'pm_24.dat '!E320</f>
        <v>43530572.024463899</v>
      </c>
      <c r="J72" t="s">
        <v>92</v>
      </c>
      <c r="K72" s="12">
        <f>'pm_24.dat '!F320</f>
        <v>14753173.7463497</v>
      </c>
      <c r="L72" t="s">
        <v>92</v>
      </c>
      <c r="M72" s="12">
        <f>'pm_24.dat '!G320</f>
        <v>1969658.2757997999</v>
      </c>
      <c r="N72" t="s">
        <v>92</v>
      </c>
      <c r="O72" s="12">
        <f>'pm_24.dat '!H320</f>
        <v>1271123.0683047699</v>
      </c>
      <c r="P72" t="s">
        <v>92</v>
      </c>
      <c r="Q72" s="12">
        <f>'pm_24.dat '!I320</f>
        <v>609063.76233485795</v>
      </c>
      <c r="R72" t="s">
        <v>92</v>
      </c>
      <c r="S72" s="12">
        <f>'pm_24.dat '!J320</f>
        <v>377022.65914011199</v>
      </c>
      <c r="T72" t="s">
        <v>92</v>
      </c>
      <c r="U72" s="12">
        <f>'pm_24.dat '!K320</f>
        <v>237253.757234402</v>
      </c>
      <c r="V72" t="s">
        <v>92</v>
      </c>
      <c r="W72" s="12">
        <f>'pm_24.dat '!L320</f>
        <v>146091.809763005</v>
      </c>
      <c r="X72" t="s">
        <v>92</v>
      </c>
      <c r="Y72" s="12">
        <f>'pm_24.dat '!M320</f>
        <v>86449.2420483108</v>
      </c>
      <c r="Z72" t="s">
        <v>92</v>
      </c>
      <c r="AA72" s="12">
        <f>'pm_24.dat '!N320</f>
        <v>32206.8524223922</v>
      </c>
      <c r="AB72" t="s">
        <v>92</v>
      </c>
      <c r="AC72" s="12">
        <f>'pm_24.dat '!O320</f>
        <v>14018.780114487399</v>
      </c>
      <c r="AD72" t="s">
        <v>92</v>
      </c>
      <c r="AE72" s="12">
        <f>'pm_24.dat '!P320</f>
        <v>13688.4604750994</v>
      </c>
      <c r="AF72" t="s">
        <v>92</v>
      </c>
      <c r="AG72" s="12">
        <f>SUM(B72:AF72)</f>
        <v>133875362.35734022</v>
      </c>
      <c r="AH72" t="s">
        <v>93</v>
      </c>
    </row>
    <row r="73" spans="1:34" x14ac:dyDescent="0.2">
      <c r="A73">
        <v>1983</v>
      </c>
      <c r="B73" t="s">
        <v>92</v>
      </c>
      <c r="C73" s="12">
        <f>'pm_24.dat '!B321</f>
        <v>45353039.799437299</v>
      </c>
      <c r="D73" t="s">
        <v>92</v>
      </c>
      <c r="E73" s="12">
        <f>'pm_24.dat '!C321</f>
        <v>10716107.4837176</v>
      </c>
      <c r="F73" t="s">
        <v>92</v>
      </c>
      <c r="G73" s="12">
        <f>'pm_24.dat '!D321</f>
        <v>29198382.118134901</v>
      </c>
      <c r="H73" t="s">
        <v>92</v>
      </c>
      <c r="I73" s="12">
        <f>'pm_24.dat '!E321</f>
        <v>45573178.354512602</v>
      </c>
      <c r="J73" t="s">
        <v>92</v>
      </c>
      <c r="K73" s="12">
        <f>'pm_24.dat '!F321</f>
        <v>93820499.1080219</v>
      </c>
      <c r="L73" t="s">
        <v>92</v>
      </c>
      <c r="M73" s="12">
        <f>'pm_24.dat '!G321</f>
        <v>27078547.880949501</v>
      </c>
      <c r="N73" t="s">
        <v>92</v>
      </c>
      <c r="O73" s="12">
        <f>'pm_24.dat '!H321</f>
        <v>4594651.2297550198</v>
      </c>
      <c r="P73" t="s">
        <v>92</v>
      </c>
      <c r="Q73" s="12">
        <f>'pm_24.dat '!I321</f>
        <v>2078541.9749200901</v>
      </c>
      <c r="R73" t="s">
        <v>92</v>
      </c>
      <c r="S73" s="12">
        <f>'pm_24.dat '!J321</f>
        <v>951270.13173353102</v>
      </c>
      <c r="T73" t="s">
        <v>92</v>
      </c>
      <c r="U73" s="12">
        <f>'pm_24.dat '!K321</f>
        <v>854355.81661309802</v>
      </c>
      <c r="V73" t="s">
        <v>92</v>
      </c>
      <c r="W73" s="12">
        <f>'pm_24.dat '!L321</f>
        <v>608218.13659264904</v>
      </c>
      <c r="X73" t="s">
        <v>92</v>
      </c>
      <c r="Y73" s="12">
        <f>'pm_24.dat '!M321</f>
        <v>220494.39617840599</v>
      </c>
      <c r="Z73" t="s">
        <v>92</v>
      </c>
      <c r="AA73" s="12">
        <f>'pm_24.dat '!N321</f>
        <v>81075.456959329604</v>
      </c>
      <c r="AB73" t="s">
        <v>92</v>
      </c>
      <c r="AC73" s="12">
        <f>'pm_24.dat '!O321</f>
        <v>72832.256766803897</v>
      </c>
      <c r="AD73" t="s">
        <v>92</v>
      </c>
      <c r="AE73" s="12">
        <f>'pm_24.dat '!P321</f>
        <v>34176.513894056203</v>
      </c>
      <c r="AF73" t="s">
        <v>92</v>
      </c>
      <c r="AG73" s="12">
        <f t="shared" ref="AG73:AG113" si="0">SUM(B73:AF73)</f>
        <v>261235370.65818679</v>
      </c>
      <c r="AH73" t="s">
        <v>93</v>
      </c>
    </row>
    <row r="74" spans="1:34" x14ac:dyDescent="0.2">
      <c r="A74">
        <v>1984</v>
      </c>
      <c r="B74" t="s">
        <v>92</v>
      </c>
      <c r="C74" s="12">
        <f>'pm_24.dat '!B322</f>
        <v>4810111.3782475302</v>
      </c>
      <c r="D74" t="s">
        <v>92</v>
      </c>
      <c r="E74" s="12">
        <f>'pm_24.dat '!C322</f>
        <v>3952848.9402117301</v>
      </c>
      <c r="F74" t="s">
        <v>92</v>
      </c>
      <c r="G74" s="12">
        <f>'pm_24.dat '!D322</f>
        <v>7983445.9509722097</v>
      </c>
      <c r="H74" t="s">
        <v>92</v>
      </c>
      <c r="I74" s="12">
        <f>'pm_24.dat '!E322</f>
        <v>22444469.958637301</v>
      </c>
      <c r="J74" t="s">
        <v>92</v>
      </c>
      <c r="K74" s="12">
        <f>'pm_24.dat '!F322</f>
        <v>24850572.2953768</v>
      </c>
      <c r="L74" t="s">
        <v>92</v>
      </c>
      <c r="M74" s="12">
        <f>'pm_24.dat '!G322</f>
        <v>52883234.632338002</v>
      </c>
      <c r="N74" t="s">
        <v>92</v>
      </c>
      <c r="O74" s="12">
        <f>'pm_24.dat '!H322</f>
        <v>9357925.4988365807</v>
      </c>
      <c r="P74" t="s">
        <v>92</v>
      </c>
      <c r="Q74" s="12">
        <f>'pm_24.dat '!I322</f>
        <v>2004008.8872482399</v>
      </c>
      <c r="R74" t="s">
        <v>92</v>
      </c>
      <c r="S74" s="12">
        <f>'pm_24.dat '!J322</f>
        <v>913114.08349836397</v>
      </c>
      <c r="T74" t="s">
        <v>92</v>
      </c>
      <c r="U74" s="12">
        <f>'pm_24.dat '!K322</f>
        <v>305593.10159020202</v>
      </c>
      <c r="V74" t="s">
        <v>92</v>
      </c>
      <c r="W74" s="12">
        <f>'pm_24.dat '!L322</f>
        <v>208697.44284325</v>
      </c>
      <c r="X74" t="s">
        <v>92</v>
      </c>
      <c r="Y74" s="12">
        <f>'pm_24.dat '!M322</f>
        <v>78424.252527469507</v>
      </c>
      <c r="Z74" t="s">
        <v>92</v>
      </c>
      <c r="AA74" s="12">
        <f>'pm_24.dat '!N322</f>
        <v>47197.236568039501</v>
      </c>
      <c r="AB74" t="s">
        <v>92</v>
      </c>
      <c r="AC74" s="12">
        <f>'pm_24.dat '!O322</f>
        <v>58861.790782454103</v>
      </c>
      <c r="AD74" t="s">
        <v>92</v>
      </c>
      <c r="AE74" s="12">
        <f>'pm_24.dat '!P322</f>
        <v>28992.309011495901</v>
      </c>
      <c r="AF74" t="s">
        <v>92</v>
      </c>
      <c r="AG74" s="12">
        <f t="shared" si="0"/>
        <v>129927497.75868963</v>
      </c>
      <c r="AH74" t="s">
        <v>93</v>
      </c>
    </row>
    <row r="75" spans="1:34" x14ac:dyDescent="0.2">
      <c r="A75">
        <v>1985</v>
      </c>
      <c r="B75" t="s">
        <v>92</v>
      </c>
      <c r="C75" s="12">
        <f>'pm_24.dat '!B323</f>
        <v>49329672.639315903</v>
      </c>
      <c r="D75" t="s">
        <v>92</v>
      </c>
      <c r="E75" s="12">
        <f>'pm_24.dat '!C323</f>
        <v>7897975.7368274499</v>
      </c>
      <c r="F75" t="s">
        <v>92</v>
      </c>
      <c r="G75" s="12">
        <f>'pm_24.dat '!D323</f>
        <v>38994179.7363379</v>
      </c>
      <c r="H75" t="s">
        <v>92</v>
      </c>
      <c r="I75" s="12">
        <f>'pm_24.dat '!E323</f>
        <v>13798730.350597</v>
      </c>
      <c r="J75" t="s">
        <v>92</v>
      </c>
      <c r="K75" s="12">
        <f>'pm_24.dat '!F323</f>
        <v>45398935.827805303</v>
      </c>
      <c r="L75" t="s">
        <v>92</v>
      </c>
      <c r="M75" s="12">
        <f>'pm_24.dat '!G323</f>
        <v>27954403.849750198</v>
      </c>
      <c r="N75" t="s">
        <v>92</v>
      </c>
      <c r="O75" s="12">
        <f>'pm_24.dat '!H323</f>
        <v>18475998.025653102</v>
      </c>
      <c r="P75" t="s">
        <v>92</v>
      </c>
      <c r="Q75" s="12">
        <f>'pm_24.dat '!I323</f>
        <v>3514636.1273288401</v>
      </c>
      <c r="R75" t="s">
        <v>92</v>
      </c>
      <c r="S75" s="12">
        <f>'pm_24.dat '!J323</f>
        <v>858065.09961043496</v>
      </c>
      <c r="T75" t="s">
        <v>92</v>
      </c>
      <c r="U75" s="12">
        <f>'pm_24.dat '!K323</f>
        <v>725771.70065458503</v>
      </c>
      <c r="V75" t="s">
        <v>92</v>
      </c>
      <c r="W75" s="12">
        <f>'pm_24.dat '!L323</f>
        <v>252889.85800559499</v>
      </c>
      <c r="X75" t="s">
        <v>92</v>
      </c>
      <c r="Y75" s="12">
        <f>'pm_24.dat '!M323</f>
        <v>79355.011424313197</v>
      </c>
      <c r="Z75" t="s">
        <v>92</v>
      </c>
      <c r="AA75" s="12">
        <f>'pm_24.dat '!N323</f>
        <v>84589.511473273305</v>
      </c>
      <c r="AB75" t="s">
        <v>92</v>
      </c>
      <c r="AC75" s="12">
        <f>'pm_24.dat '!O323</f>
        <v>7114.1537276277304</v>
      </c>
      <c r="AD75" t="s">
        <v>92</v>
      </c>
      <c r="AE75" s="12">
        <f>'pm_24.dat '!P323</f>
        <v>6671.2463123650496</v>
      </c>
      <c r="AF75" t="s">
        <v>92</v>
      </c>
      <c r="AG75" s="12">
        <f t="shared" si="0"/>
        <v>207378988.87482387</v>
      </c>
      <c r="AH75" t="s">
        <v>93</v>
      </c>
    </row>
    <row r="76" spans="1:34" x14ac:dyDescent="0.2">
      <c r="A76">
        <v>1986</v>
      </c>
      <c r="B76" t="s">
        <v>92</v>
      </c>
      <c r="C76" s="12">
        <f>'pm_24.dat '!B324</f>
        <v>29490315.2566998</v>
      </c>
      <c r="D76" t="s">
        <v>92</v>
      </c>
      <c r="E76" s="12">
        <f>'pm_24.dat '!C324</f>
        <v>9771055.2670827601</v>
      </c>
      <c r="F76" t="s">
        <v>92</v>
      </c>
      <c r="G76" s="12">
        <f>'pm_24.dat '!D324</f>
        <v>7912883.3308116104</v>
      </c>
      <c r="H76" t="s">
        <v>92</v>
      </c>
      <c r="I76" s="12">
        <f>'pm_24.dat '!E324</f>
        <v>33510131.100490101</v>
      </c>
      <c r="J76" t="s">
        <v>92</v>
      </c>
      <c r="K76" s="12">
        <f>'pm_24.dat '!F324</f>
        <v>17077324.716115098</v>
      </c>
      <c r="L76" t="s">
        <v>92</v>
      </c>
      <c r="M76" s="12">
        <f>'pm_24.dat '!G324</f>
        <v>25786652.466188502</v>
      </c>
      <c r="N76" t="s">
        <v>92</v>
      </c>
      <c r="O76" s="12">
        <f>'pm_24.dat '!H324</f>
        <v>21402885.625976499</v>
      </c>
      <c r="P76" t="s">
        <v>92</v>
      </c>
      <c r="Q76" s="12">
        <f>'pm_24.dat '!I324</f>
        <v>17865634.080354601</v>
      </c>
      <c r="R76" t="s">
        <v>92</v>
      </c>
      <c r="S76" s="12">
        <f>'pm_24.dat '!J324</f>
        <v>5324409.4465166796</v>
      </c>
      <c r="T76" t="s">
        <v>92</v>
      </c>
      <c r="U76" s="12">
        <f>'pm_24.dat '!K324</f>
        <v>822842.70269317296</v>
      </c>
      <c r="V76" t="s">
        <v>92</v>
      </c>
      <c r="W76" s="12">
        <f>'pm_24.dat '!L324</f>
        <v>369154.61353154801</v>
      </c>
      <c r="X76" t="s">
        <v>92</v>
      </c>
      <c r="Y76" s="12">
        <f>'pm_24.dat '!M324</f>
        <v>162599.266826762</v>
      </c>
      <c r="Z76" t="s">
        <v>92</v>
      </c>
      <c r="AA76" s="12">
        <f>'pm_24.dat '!N324</f>
        <v>14854.907261005499</v>
      </c>
      <c r="AB76" t="s">
        <v>92</v>
      </c>
      <c r="AC76" s="12">
        <f>'pm_24.dat '!O324</f>
        <v>45447.414694632098</v>
      </c>
      <c r="AD76" t="s">
        <v>92</v>
      </c>
      <c r="AE76" s="12">
        <f>'pm_24.dat '!P324</f>
        <v>16391.890040594</v>
      </c>
      <c r="AF76" t="s">
        <v>92</v>
      </c>
      <c r="AG76" s="12">
        <f t="shared" si="0"/>
        <v>169572582.0852834</v>
      </c>
      <c r="AH76" t="s">
        <v>93</v>
      </c>
    </row>
    <row r="77" spans="1:34" x14ac:dyDescent="0.2">
      <c r="A77">
        <v>1987</v>
      </c>
      <c r="B77" t="s">
        <v>92</v>
      </c>
      <c r="C77" s="12">
        <f>'pm_24.dat '!B325</f>
        <v>4901555.3697378701</v>
      </c>
      <c r="D77" t="s">
        <v>92</v>
      </c>
      <c r="E77" s="12">
        <f>'pm_24.dat '!C325</f>
        <v>6880152.20894437</v>
      </c>
      <c r="F77" t="s">
        <v>92</v>
      </c>
      <c r="G77" s="12">
        <f>'pm_24.dat '!D325</f>
        <v>11747969.221029799</v>
      </c>
      <c r="H77" t="s">
        <v>92</v>
      </c>
      <c r="I77" s="12">
        <f>'pm_24.dat '!E325</f>
        <v>9240663.5220039897</v>
      </c>
      <c r="J77" t="s">
        <v>92</v>
      </c>
      <c r="K77" s="12">
        <f>'pm_24.dat '!F325</f>
        <v>55681133.402808003</v>
      </c>
      <c r="L77" t="s">
        <v>92</v>
      </c>
      <c r="M77" s="12">
        <f>'pm_24.dat '!G325</f>
        <v>14563847.775801999</v>
      </c>
      <c r="N77" t="s">
        <v>92</v>
      </c>
      <c r="O77" s="12">
        <f>'pm_24.dat '!H325</f>
        <v>13287612.689125899</v>
      </c>
      <c r="P77" t="s">
        <v>92</v>
      </c>
      <c r="Q77" s="12">
        <f>'pm_24.dat '!I325</f>
        <v>5162855.0036796099</v>
      </c>
      <c r="R77" t="s">
        <v>92</v>
      </c>
      <c r="S77" s="12">
        <f>'pm_24.dat '!J325</f>
        <v>16110202.947726</v>
      </c>
      <c r="T77" t="s">
        <v>92</v>
      </c>
      <c r="U77" s="12">
        <f>'pm_24.dat '!K325</f>
        <v>2540705.4346674001</v>
      </c>
      <c r="V77" t="s">
        <v>92</v>
      </c>
      <c r="W77" s="12">
        <f>'pm_24.dat '!L325</f>
        <v>778630.04198421596</v>
      </c>
      <c r="X77" t="s">
        <v>92</v>
      </c>
      <c r="Y77" s="12">
        <f>'pm_24.dat '!M325</f>
        <v>296073.17455559003</v>
      </c>
      <c r="Z77" t="s">
        <v>92</v>
      </c>
      <c r="AA77" s="12">
        <f>'pm_24.dat '!N325</f>
        <v>58611.2690307597</v>
      </c>
      <c r="AB77" t="s">
        <v>92</v>
      </c>
      <c r="AC77" s="12">
        <f>'pm_24.dat '!O325</f>
        <v>28788.9143305125</v>
      </c>
      <c r="AD77" t="s">
        <v>92</v>
      </c>
      <c r="AE77" s="12">
        <f>'pm_24.dat '!P325</f>
        <v>25840.481072242299</v>
      </c>
      <c r="AF77" t="s">
        <v>92</v>
      </c>
      <c r="AG77" s="12">
        <f t="shared" si="0"/>
        <v>141304641.4564983</v>
      </c>
      <c r="AH77" t="s">
        <v>93</v>
      </c>
    </row>
    <row r="78" spans="1:34" x14ac:dyDescent="0.2">
      <c r="A78">
        <v>1988</v>
      </c>
      <c r="B78" t="s">
        <v>92</v>
      </c>
      <c r="C78" s="12">
        <f>'pm_24.dat '!B326</f>
        <v>15721198.771404</v>
      </c>
      <c r="D78" t="s">
        <v>92</v>
      </c>
      <c r="E78" s="12">
        <f>'pm_24.dat '!C326</f>
        <v>7773880.3733878797</v>
      </c>
      <c r="F78" t="s">
        <v>92</v>
      </c>
      <c r="G78" s="12">
        <f>'pm_24.dat '!D326</f>
        <v>24314713.389568001</v>
      </c>
      <c r="H78" t="s">
        <v>92</v>
      </c>
      <c r="I78" s="12">
        <f>'pm_24.dat '!E326</f>
        <v>47640041.876987197</v>
      </c>
      <c r="J78" t="s">
        <v>92</v>
      </c>
      <c r="K78" s="12">
        <f>'pm_24.dat '!F326</f>
        <v>20536960.594996601</v>
      </c>
      <c r="L78" t="s">
        <v>92</v>
      </c>
      <c r="M78" s="12">
        <f>'pm_24.dat '!G326</f>
        <v>63389846.636579201</v>
      </c>
      <c r="N78" t="s">
        <v>92</v>
      </c>
      <c r="O78" s="12">
        <f>'pm_24.dat '!H326</f>
        <v>16983185.828149699</v>
      </c>
      <c r="P78" t="s">
        <v>92</v>
      </c>
      <c r="Q78" s="12">
        <f>'pm_24.dat '!I326</f>
        <v>12027275.470047601</v>
      </c>
      <c r="R78" t="s">
        <v>92</v>
      </c>
      <c r="S78" s="12">
        <f>'pm_24.dat '!J326</f>
        <v>6679708.2599200802</v>
      </c>
      <c r="T78" t="s">
        <v>92</v>
      </c>
      <c r="U78" s="12">
        <f>'pm_24.dat '!K326</f>
        <v>16101297.0007217</v>
      </c>
      <c r="V78" t="s">
        <v>92</v>
      </c>
      <c r="W78" s="12">
        <f>'pm_24.dat '!L326</f>
        <v>1550733.67231137</v>
      </c>
      <c r="X78" t="s">
        <v>92</v>
      </c>
      <c r="Y78" s="12">
        <f>'pm_24.dat '!M326</f>
        <v>912335.02278566896</v>
      </c>
      <c r="Z78" t="s">
        <v>92</v>
      </c>
      <c r="AA78" s="12">
        <f>'pm_24.dat '!N326</f>
        <v>202453.01811591201</v>
      </c>
      <c r="AB78" t="s">
        <v>92</v>
      </c>
      <c r="AC78" s="12">
        <f>'pm_24.dat '!O326</f>
        <v>244655.42265212801</v>
      </c>
      <c r="AD78" t="s">
        <v>92</v>
      </c>
      <c r="AE78" s="12">
        <f>'pm_24.dat '!P326</f>
        <v>144222.06574863399</v>
      </c>
      <c r="AF78" t="s">
        <v>92</v>
      </c>
      <c r="AG78" s="12">
        <f t="shared" si="0"/>
        <v>234222507.40337566</v>
      </c>
      <c r="AH78" t="s">
        <v>93</v>
      </c>
    </row>
    <row r="79" spans="1:34" x14ac:dyDescent="0.2">
      <c r="A79">
        <v>1989</v>
      </c>
      <c r="B79" t="s">
        <v>92</v>
      </c>
      <c r="C79" s="12">
        <f>'pm_24.dat '!B327</f>
        <v>9045388.6047476791</v>
      </c>
      <c r="D79" t="s">
        <v>92</v>
      </c>
      <c r="E79" s="12">
        <f>'pm_24.dat '!C327</f>
        <v>5451633.6812119903</v>
      </c>
      <c r="F79" t="s">
        <v>92</v>
      </c>
      <c r="G79" s="12">
        <f>'pm_24.dat '!D327</f>
        <v>9594897.4426621906</v>
      </c>
      <c r="H79" t="s">
        <v>92</v>
      </c>
      <c r="I79" s="12">
        <f>'pm_24.dat '!E327</f>
        <v>30531376.532568101</v>
      </c>
      <c r="J79" t="s">
        <v>92</v>
      </c>
      <c r="K79" s="12">
        <f>'pm_24.dat '!F327</f>
        <v>67674814.832389399</v>
      </c>
      <c r="L79" t="s">
        <v>92</v>
      </c>
      <c r="M79" s="12">
        <f>'pm_24.dat '!G327</f>
        <v>12756643.9396702</v>
      </c>
      <c r="N79" t="s">
        <v>92</v>
      </c>
      <c r="O79" s="12">
        <f>'pm_24.dat '!H327</f>
        <v>45028752.912757799</v>
      </c>
      <c r="P79" t="s">
        <v>92</v>
      </c>
      <c r="Q79" s="12">
        <f>'pm_24.dat '!I327</f>
        <v>6319707.9475059099</v>
      </c>
      <c r="R79" t="s">
        <v>92</v>
      </c>
      <c r="S79" s="12">
        <f>'pm_24.dat '!J327</f>
        <v>7001089.8469599802</v>
      </c>
      <c r="T79" t="s">
        <v>92</v>
      </c>
      <c r="U79" s="12">
        <f>'pm_24.dat '!K327</f>
        <v>2617073.29233468</v>
      </c>
      <c r="V79" t="s">
        <v>92</v>
      </c>
      <c r="W79" s="12">
        <f>'pm_24.dat '!L327</f>
        <v>8197902.3667813996</v>
      </c>
      <c r="X79" t="s">
        <v>92</v>
      </c>
      <c r="Y79" s="12">
        <f>'pm_24.dat '!M327</f>
        <v>1401273.9437043199</v>
      </c>
      <c r="Z79" t="s">
        <v>92</v>
      </c>
      <c r="AA79" s="12">
        <f>'pm_24.dat '!N327</f>
        <v>1251940.77439149</v>
      </c>
      <c r="AB79" t="s">
        <v>92</v>
      </c>
      <c r="AC79" s="12">
        <f>'pm_24.dat '!O327</f>
        <v>585919.88101755898</v>
      </c>
      <c r="AD79" t="s">
        <v>92</v>
      </c>
      <c r="AE79" s="12">
        <f>'pm_24.dat '!P327</f>
        <v>923303.44281343697</v>
      </c>
      <c r="AF79" t="s">
        <v>92</v>
      </c>
      <c r="AG79" s="12">
        <f t="shared" si="0"/>
        <v>208381719.44151616</v>
      </c>
      <c r="AH79" t="s">
        <v>93</v>
      </c>
    </row>
    <row r="80" spans="1:34" x14ac:dyDescent="0.2">
      <c r="A80">
        <v>1990</v>
      </c>
      <c r="B80" t="s">
        <v>92</v>
      </c>
      <c r="C80" s="12">
        <f>'pm_24.dat '!B328</f>
        <v>22226901.339978199</v>
      </c>
      <c r="D80" t="s">
        <v>92</v>
      </c>
      <c r="E80" s="12">
        <f>'pm_24.dat '!C328</f>
        <v>2761070.0211067698</v>
      </c>
      <c r="F80" t="s">
        <v>92</v>
      </c>
      <c r="G80" s="12">
        <f>'pm_24.dat '!D328</f>
        <v>1099600.74022376</v>
      </c>
      <c r="H80" t="s">
        <v>92</v>
      </c>
      <c r="I80" s="12">
        <f>'pm_24.dat '!E328</f>
        <v>11388230.135009199</v>
      </c>
      <c r="J80" t="s">
        <v>92</v>
      </c>
      <c r="K80" s="12">
        <f>'pm_24.dat '!F328</f>
        <v>25704041.481396601</v>
      </c>
      <c r="L80" t="s">
        <v>92</v>
      </c>
      <c r="M80" s="12">
        <f>'pm_24.dat '!G328</f>
        <v>83172249.362636</v>
      </c>
      <c r="N80" t="s">
        <v>92</v>
      </c>
      <c r="O80" s="12">
        <f>'pm_24.dat '!H328</f>
        <v>15303101.0847276</v>
      </c>
      <c r="P80" t="s">
        <v>92</v>
      </c>
      <c r="Q80" s="12">
        <f>'pm_24.dat '!I328</f>
        <v>36320255.448197402</v>
      </c>
      <c r="R80" t="s">
        <v>92</v>
      </c>
      <c r="S80" s="12">
        <f>'pm_24.dat '!J328</f>
        <v>3435531.12167911</v>
      </c>
      <c r="T80" t="s">
        <v>92</v>
      </c>
      <c r="U80" s="12">
        <f>'pm_24.dat '!K328</f>
        <v>5911134.7230660403</v>
      </c>
      <c r="V80" t="s">
        <v>92</v>
      </c>
      <c r="W80" s="12">
        <f>'pm_24.dat '!L328</f>
        <v>894996.43698955199</v>
      </c>
      <c r="X80" t="s">
        <v>92</v>
      </c>
      <c r="Y80" s="12">
        <f>'pm_24.dat '!M328</f>
        <v>8323377.5776428198</v>
      </c>
      <c r="Z80" t="s">
        <v>92</v>
      </c>
      <c r="AA80" s="12">
        <f>'pm_24.dat '!N328</f>
        <v>715854.66766826797</v>
      </c>
      <c r="AB80" t="s">
        <v>92</v>
      </c>
      <c r="AC80" s="12">
        <f>'pm_24.dat '!O328</f>
        <v>521652.13180127298</v>
      </c>
      <c r="AD80" t="s">
        <v>92</v>
      </c>
      <c r="AE80" s="12">
        <f>'pm_24.dat '!P328</f>
        <v>717625.05227017903</v>
      </c>
      <c r="AF80" t="s">
        <v>92</v>
      </c>
      <c r="AG80" s="12">
        <f t="shared" si="0"/>
        <v>218495621.32439271</v>
      </c>
      <c r="AH80" t="s">
        <v>93</v>
      </c>
    </row>
    <row r="81" spans="1:34" x14ac:dyDescent="0.2">
      <c r="A81">
        <v>1991</v>
      </c>
      <c r="B81" t="s">
        <v>92</v>
      </c>
      <c r="C81" s="12">
        <f>'pm_24.dat '!B329</f>
        <v>32298906.470859401</v>
      </c>
      <c r="D81" t="s">
        <v>92</v>
      </c>
      <c r="E81" s="12">
        <f>'pm_24.dat '!C329</f>
        <v>9281835.6580339707</v>
      </c>
      <c r="F81" t="s">
        <v>92</v>
      </c>
      <c r="G81" s="12">
        <f>'pm_24.dat '!D329</f>
        <v>3572292.7368461001</v>
      </c>
      <c r="H81" t="s">
        <v>92</v>
      </c>
      <c r="I81" s="12">
        <f>'pm_24.dat '!E329</f>
        <v>1395060.73038829</v>
      </c>
      <c r="J81" t="s">
        <v>92</v>
      </c>
      <c r="K81" s="12">
        <f>'pm_24.dat '!F329</f>
        <v>9842053.6144254394</v>
      </c>
      <c r="L81" t="s">
        <v>92</v>
      </c>
      <c r="M81" s="12">
        <f>'pm_24.dat '!G329</f>
        <v>8416663.3948661704</v>
      </c>
      <c r="N81" t="s">
        <v>92</v>
      </c>
      <c r="O81" s="12">
        <f>'pm_24.dat '!H329</f>
        <v>25137376.3269163</v>
      </c>
      <c r="P81" t="s">
        <v>92</v>
      </c>
      <c r="Q81" s="12">
        <f>'pm_24.dat '!I329</f>
        <v>8746967.2907915991</v>
      </c>
      <c r="R81" t="s">
        <v>92</v>
      </c>
      <c r="S81" s="12">
        <f>'pm_24.dat '!J329</f>
        <v>16907442.372808799</v>
      </c>
      <c r="T81" t="s">
        <v>92</v>
      </c>
      <c r="U81" s="12">
        <f>'pm_24.dat '!K329</f>
        <v>4270043.2416153802</v>
      </c>
      <c r="V81" t="s">
        <v>92</v>
      </c>
      <c r="W81" s="12">
        <f>'pm_24.dat '!L329</f>
        <v>5703730.4564042399</v>
      </c>
      <c r="X81" t="s">
        <v>92</v>
      </c>
      <c r="Y81" s="12">
        <f>'pm_24.dat '!M329</f>
        <v>1169580.36659461</v>
      </c>
      <c r="Z81" t="s">
        <v>92</v>
      </c>
      <c r="AA81" s="12">
        <f>'pm_24.dat '!N329</f>
        <v>3425863.3494066298</v>
      </c>
      <c r="AB81" t="s">
        <v>92</v>
      </c>
      <c r="AC81" s="12">
        <f>'pm_24.dat '!O329</f>
        <v>520338.50319596799</v>
      </c>
      <c r="AD81" t="s">
        <v>92</v>
      </c>
      <c r="AE81" s="12">
        <f>'pm_24.dat '!P329</f>
        <v>591487.84635620401</v>
      </c>
      <c r="AF81" t="s">
        <v>92</v>
      </c>
      <c r="AG81" s="12">
        <f t="shared" si="0"/>
        <v>131279642.35950911</v>
      </c>
      <c r="AH81" t="s">
        <v>93</v>
      </c>
    </row>
    <row r="82" spans="1:34" x14ac:dyDescent="0.2">
      <c r="A82">
        <v>1992</v>
      </c>
      <c r="B82" t="s">
        <v>92</v>
      </c>
      <c r="C82" s="12">
        <f>'pm_24.dat '!B330</f>
        <v>15591259.426588001</v>
      </c>
      <c r="D82" t="s">
        <v>92</v>
      </c>
      <c r="E82" s="12">
        <f>'pm_24.dat '!C330</f>
        <v>4378480.4942384697</v>
      </c>
      <c r="F82" t="s">
        <v>92</v>
      </c>
      <c r="G82" s="12">
        <f>'pm_24.dat '!D330</f>
        <v>29295026.226430099</v>
      </c>
      <c r="H82" t="s">
        <v>92</v>
      </c>
      <c r="I82" s="12">
        <f>'pm_24.dat '!E330</f>
        <v>4359981.4623811096</v>
      </c>
      <c r="J82" t="s">
        <v>92</v>
      </c>
      <c r="K82" s="12">
        <f>'pm_24.dat '!F330</f>
        <v>5255429.7008017804</v>
      </c>
      <c r="L82" t="s">
        <v>92</v>
      </c>
      <c r="M82" s="12">
        <f>'pm_24.dat '!G330</f>
        <v>8508346.0315588899</v>
      </c>
      <c r="N82" t="s">
        <v>92</v>
      </c>
      <c r="O82" s="12">
        <f>'pm_24.dat '!H330</f>
        <v>7572848.9479585998</v>
      </c>
      <c r="P82" t="s">
        <v>92</v>
      </c>
      <c r="Q82" s="12">
        <f>'pm_24.dat '!I330</f>
        <v>10551672.652462499</v>
      </c>
      <c r="R82" t="s">
        <v>92</v>
      </c>
      <c r="S82" s="12">
        <f>'pm_24.dat '!J330</f>
        <v>4535727.8979380298</v>
      </c>
      <c r="T82" t="s">
        <v>92</v>
      </c>
      <c r="U82" s="12">
        <f>'pm_24.dat '!K330</f>
        <v>8386234.0295318896</v>
      </c>
      <c r="V82" t="s">
        <v>92</v>
      </c>
      <c r="W82" s="12">
        <f>'pm_24.dat '!L330</f>
        <v>2888373.70759671</v>
      </c>
      <c r="X82" t="s">
        <v>92</v>
      </c>
      <c r="Y82" s="12">
        <f>'pm_24.dat '!M330</f>
        <v>3589960.4741604999</v>
      </c>
      <c r="Z82" t="s">
        <v>92</v>
      </c>
      <c r="AA82" s="12">
        <f>'pm_24.dat '!N330</f>
        <v>1531445.39050912</v>
      </c>
      <c r="AB82" t="s">
        <v>92</v>
      </c>
      <c r="AC82" s="12">
        <f>'pm_24.dat '!O330</f>
        <v>1205642.2433025001</v>
      </c>
      <c r="AD82" t="s">
        <v>92</v>
      </c>
      <c r="AE82" s="12">
        <f>'pm_24.dat '!P330</f>
        <v>965034.38302876102</v>
      </c>
      <c r="AF82" t="s">
        <v>92</v>
      </c>
      <c r="AG82" s="12">
        <f t="shared" si="0"/>
        <v>108615463.06848696</v>
      </c>
      <c r="AH82" t="s">
        <v>93</v>
      </c>
    </row>
    <row r="83" spans="1:34" x14ac:dyDescent="0.2">
      <c r="A83">
        <v>1993</v>
      </c>
      <c r="B83" t="s">
        <v>92</v>
      </c>
      <c r="C83" s="12">
        <f>'pm_24.dat '!B331</f>
        <v>26831974.6102711</v>
      </c>
      <c r="D83" t="s">
        <v>92</v>
      </c>
      <c r="E83" s="12">
        <f>'pm_24.dat '!C331</f>
        <v>4429513.8794717202</v>
      </c>
      <c r="F83" t="s">
        <v>92</v>
      </c>
      <c r="G83" s="12">
        <f>'pm_24.dat '!D331</f>
        <v>11510462.076905999</v>
      </c>
      <c r="H83" t="s">
        <v>92</v>
      </c>
      <c r="I83" s="12">
        <f>'pm_24.dat '!E331</f>
        <v>51257439.304945402</v>
      </c>
      <c r="J83" t="s">
        <v>92</v>
      </c>
      <c r="K83" s="12">
        <f>'pm_24.dat '!F331</f>
        <v>10664547.7264967</v>
      </c>
      <c r="L83" t="s">
        <v>92</v>
      </c>
      <c r="M83" s="12">
        <f>'pm_24.dat '!G331</f>
        <v>8107782.7725243503</v>
      </c>
      <c r="N83" t="s">
        <v>92</v>
      </c>
      <c r="O83" s="12">
        <f>'pm_24.dat '!H331</f>
        <v>4050373.3913167398</v>
      </c>
      <c r="P83" t="s">
        <v>92</v>
      </c>
      <c r="Q83" s="12">
        <f>'pm_24.dat '!I331</f>
        <v>5309957.1690487396</v>
      </c>
      <c r="R83" t="s">
        <v>92</v>
      </c>
      <c r="S83" s="12">
        <f>'pm_24.dat '!J331</f>
        <v>6725902.1948124003</v>
      </c>
      <c r="T83" t="s">
        <v>92</v>
      </c>
      <c r="U83" s="12">
        <f>'pm_24.dat '!K331</f>
        <v>4106511.7787757302</v>
      </c>
      <c r="V83" t="s">
        <v>92</v>
      </c>
      <c r="W83" s="12">
        <f>'pm_24.dat '!L331</f>
        <v>3551802.9271184602</v>
      </c>
      <c r="X83" t="s">
        <v>92</v>
      </c>
      <c r="Y83" s="12">
        <f>'pm_24.dat '!M331</f>
        <v>2575157.6192721799</v>
      </c>
      <c r="Z83" t="s">
        <v>92</v>
      </c>
      <c r="AA83" s="12">
        <f>'pm_24.dat '!N331</f>
        <v>2052403.6914488501</v>
      </c>
      <c r="AB83" t="s">
        <v>92</v>
      </c>
      <c r="AC83" s="12">
        <f>'pm_24.dat '!O331</f>
        <v>1119582.2717689399</v>
      </c>
      <c r="AD83" t="s">
        <v>92</v>
      </c>
      <c r="AE83" s="12">
        <f>'pm_24.dat '!P331</f>
        <v>1355234.6824829299</v>
      </c>
      <c r="AF83" t="s">
        <v>92</v>
      </c>
      <c r="AG83" s="12">
        <f t="shared" si="0"/>
        <v>143648646.09666023</v>
      </c>
      <c r="AH83" t="s">
        <v>93</v>
      </c>
    </row>
    <row r="84" spans="1:34" x14ac:dyDescent="0.2">
      <c r="A84">
        <v>1994</v>
      </c>
      <c r="B84" t="s">
        <v>92</v>
      </c>
      <c r="C84" s="12">
        <f>'pm_24.dat '!B332</f>
        <v>16300489.777956201</v>
      </c>
      <c r="D84" t="s">
        <v>92</v>
      </c>
      <c r="E84" s="12">
        <f>'pm_24.dat '!C332</f>
        <v>7250175.2155914595</v>
      </c>
      <c r="F84" t="s">
        <v>92</v>
      </c>
      <c r="G84" s="12">
        <f>'pm_24.dat '!D332</f>
        <v>5317648.4397865999</v>
      </c>
      <c r="H84" t="s">
        <v>92</v>
      </c>
      <c r="I84" s="12">
        <f>'pm_24.dat '!E332</f>
        <v>20643527.026220702</v>
      </c>
      <c r="J84" t="s">
        <v>92</v>
      </c>
      <c r="K84" s="12">
        <f>'pm_24.dat '!F332</f>
        <v>60111518.859813496</v>
      </c>
      <c r="L84" t="s">
        <v>92</v>
      </c>
      <c r="M84" s="12">
        <f>'pm_24.dat '!G332</f>
        <v>9773969.6272954494</v>
      </c>
      <c r="N84" t="s">
        <v>92</v>
      </c>
      <c r="O84" s="12">
        <f>'pm_24.dat '!H332</f>
        <v>2348752.1819104198</v>
      </c>
      <c r="P84" t="s">
        <v>92</v>
      </c>
      <c r="Q84" s="12">
        <f>'pm_24.dat '!I332</f>
        <v>1811381.4285226299</v>
      </c>
      <c r="R84" t="s">
        <v>92</v>
      </c>
      <c r="S84" s="12">
        <f>'pm_24.dat '!J332</f>
        <v>1958684.71783979</v>
      </c>
      <c r="T84" t="s">
        <v>92</v>
      </c>
      <c r="U84" s="12">
        <f>'pm_24.dat '!K332</f>
        <v>3618517.6721605398</v>
      </c>
      <c r="V84" t="s">
        <v>92</v>
      </c>
      <c r="W84" s="12">
        <f>'pm_24.dat '!L332</f>
        <v>2207971.9705289998</v>
      </c>
      <c r="X84" t="s">
        <v>92</v>
      </c>
      <c r="Y84" s="12">
        <f>'pm_24.dat '!M332</f>
        <v>3053850.8750358801</v>
      </c>
      <c r="Z84" t="s">
        <v>92</v>
      </c>
      <c r="AA84" s="12">
        <f>'pm_24.dat '!N332</f>
        <v>1164088.73401437</v>
      </c>
      <c r="AB84" t="s">
        <v>92</v>
      </c>
      <c r="AC84" s="12">
        <f>'pm_24.dat '!O332</f>
        <v>1141679.36219698</v>
      </c>
      <c r="AD84" t="s">
        <v>92</v>
      </c>
      <c r="AE84" s="12">
        <f>'pm_24.dat '!P332</f>
        <v>1920606.6843832801</v>
      </c>
      <c r="AF84" t="s">
        <v>92</v>
      </c>
      <c r="AG84" s="12">
        <f t="shared" si="0"/>
        <v>138622862.57325679</v>
      </c>
      <c r="AH84" t="s">
        <v>93</v>
      </c>
    </row>
    <row r="85" spans="1:34" x14ac:dyDescent="0.2">
      <c r="A85">
        <v>1995</v>
      </c>
      <c r="B85" t="s">
        <v>92</v>
      </c>
      <c r="C85" s="12">
        <f>'pm_24.dat '!B333</f>
        <v>16172066.368646899</v>
      </c>
      <c r="D85" t="s">
        <v>92</v>
      </c>
      <c r="E85" s="12">
        <f>'pm_24.dat '!C333</f>
        <v>2163197.37359379</v>
      </c>
      <c r="F85" t="s">
        <v>92</v>
      </c>
      <c r="G85" s="12">
        <f>'pm_24.dat '!D333</f>
        <v>4766678.9051212799</v>
      </c>
      <c r="H85" t="s">
        <v>92</v>
      </c>
      <c r="I85" s="12">
        <f>'pm_24.dat '!E333</f>
        <v>20039763.278926302</v>
      </c>
      <c r="J85" t="s">
        <v>92</v>
      </c>
      <c r="K85" s="12">
        <f>'pm_24.dat '!F333</f>
        <v>29276360.7488763</v>
      </c>
      <c r="L85" t="s">
        <v>92</v>
      </c>
      <c r="M85" s="12">
        <f>'pm_24.dat '!G333</f>
        <v>51039895.6686645</v>
      </c>
      <c r="N85" t="s">
        <v>92</v>
      </c>
      <c r="O85" s="12">
        <f>'pm_24.dat '!H333</f>
        <v>18719841.155080602</v>
      </c>
      <c r="P85" t="s">
        <v>92</v>
      </c>
      <c r="Q85" s="12">
        <f>'pm_24.dat '!I333</f>
        <v>4046350.5696561602</v>
      </c>
      <c r="R85" t="s">
        <v>92</v>
      </c>
      <c r="S85" s="12">
        <f>'pm_24.dat '!J333</f>
        <v>2352040.0368374302</v>
      </c>
      <c r="T85" t="s">
        <v>92</v>
      </c>
      <c r="U85" s="12">
        <f>'pm_24.dat '!K333</f>
        <v>1480145.77037509</v>
      </c>
      <c r="V85" t="s">
        <v>92</v>
      </c>
      <c r="W85" s="12">
        <f>'pm_24.dat '!L333</f>
        <v>2718517.3372577298</v>
      </c>
      <c r="X85" t="s">
        <v>92</v>
      </c>
      <c r="Y85" s="12">
        <f>'pm_24.dat '!M333</f>
        <v>1101165.2114808799</v>
      </c>
      <c r="Z85" t="s">
        <v>92</v>
      </c>
      <c r="AA85" s="12">
        <f>'pm_24.dat '!N333</f>
        <v>2015442.4733543301</v>
      </c>
      <c r="AB85" t="s">
        <v>92</v>
      </c>
      <c r="AC85" s="12">
        <f>'pm_24.dat '!O333</f>
        <v>821290.59729405597</v>
      </c>
      <c r="AD85" t="s">
        <v>92</v>
      </c>
      <c r="AE85" s="12">
        <f>'pm_24.dat '!P333</f>
        <v>1297818.6796073599</v>
      </c>
      <c r="AF85" t="s">
        <v>92</v>
      </c>
      <c r="AG85" s="12">
        <f t="shared" si="0"/>
        <v>158010574.17477277</v>
      </c>
      <c r="AH85" t="s">
        <v>93</v>
      </c>
    </row>
    <row r="86" spans="1:34" x14ac:dyDescent="0.2">
      <c r="A86">
        <v>1996</v>
      </c>
      <c r="B86" t="s">
        <v>92</v>
      </c>
      <c r="C86" s="12">
        <f>'pm_24.dat '!B334</f>
        <v>19509804.105760399</v>
      </c>
      <c r="D86" t="s">
        <v>92</v>
      </c>
      <c r="E86" s="12">
        <f>'pm_24.dat '!C334</f>
        <v>4281948.5403038496</v>
      </c>
      <c r="F86" t="s">
        <v>92</v>
      </c>
      <c r="G86" s="12">
        <f>'pm_24.dat '!D334</f>
        <v>1998104.7281460401</v>
      </c>
      <c r="H86" t="s">
        <v>92</v>
      </c>
      <c r="I86" s="12">
        <f>'pm_24.dat '!E334</f>
        <v>4089532.3444474102</v>
      </c>
      <c r="J86" t="s">
        <v>92</v>
      </c>
      <c r="K86" s="12">
        <f>'pm_24.dat '!F334</f>
        <v>11371114.7943142</v>
      </c>
      <c r="L86" t="s">
        <v>92</v>
      </c>
      <c r="M86" s="12">
        <f>'pm_24.dat '!G334</f>
        <v>15092896.2063554</v>
      </c>
      <c r="N86" t="s">
        <v>92</v>
      </c>
      <c r="O86" s="12">
        <f>'pm_24.dat '!H334</f>
        <v>12896445.395454099</v>
      </c>
      <c r="P86" t="s">
        <v>92</v>
      </c>
      <c r="Q86" s="12">
        <f>'pm_24.dat '!I334</f>
        <v>4250633.7937668702</v>
      </c>
      <c r="R86" t="s">
        <v>92</v>
      </c>
      <c r="S86" s="12">
        <f>'pm_24.dat '!J334</f>
        <v>1028539.25664889</v>
      </c>
      <c r="T86" t="s">
        <v>92</v>
      </c>
      <c r="U86" s="12">
        <f>'pm_24.dat '!K334</f>
        <v>1113077.0861783801</v>
      </c>
      <c r="V86" t="s">
        <v>92</v>
      </c>
      <c r="W86" s="12">
        <f>'pm_24.dat '!L334</f>
        <v>743345.21833838103</v>
      </c>
      <c r="X86" t="s">
        <v>92</v>
      </c>
      <c r="Y86" s="12">
        <f>'pm_24.dat '!M334</f>
        <v>1420222.4410808899</v>
      </c>
      <c r="Z86" t="s">
        <v>92</v>
      </c>
      <c r="AA86" s="12">
        <f>'pm_24.dat '!N334</f>
        <v>476942.76704130298</v>
      </c>
      <c r="AB86" t="s">
        <v>92</v>
      </c>
      <c r="AC86" s="12">
        <f>'pm_24.dat '!O334</f>
        <v>854141.71838997304</v>
      </c>
      <c r="AD86" t="s">
        <v>92</v>
      </c>
      <c r="AE86" s="12">
        <f>'pm_24.dat '!P334</f>
        <v>1233830.50184033</v>
      </c>
      <c r="AF86" t="s">
        <v>92</v>
      </c>
      <c r="AG86" s="12">
        <f t="shared" si="0"/>
        <v>80360578.898066387</v>
      </c>
      <c r="AH86" t="s">
        <v>93</v>
      </c>
    </row>
    <row r="87" spans="1:34" x14ac:dyDescent="0.2">
      <c r="A87">
        <v>1997</v>
      </c>
      <c r="B87" t="s">
        <v>92</v>
      </c>
      <c r="C87" s="12">
        <f>'pm_24.dat '!B335</f>
        <v>23321877.3434094</v>
      </c>
      <c r="D87" t="s">
        <v>92</v>
      </c>
      <c r="E87" s="12">
        <f>'pm_24.dat '!C335</f>
        <v>4056464.3823756501</v>
      </c>
      <c r="F87" t="s">
        <v>92</v>
      </c>
      <c r="G87" s="12">
        <f>'pm_24.dat '!D335</f>
        <v>2202758.2367957602</v>
      </c>
      <c r="H87" t="s">
        <v>92</v>
      </c>
      <c r="I87" s="12">
        <f>'pm_24.dat '!E335</f>
        <v>2686353.9522297699</v>
      </c>
      <c r="J87" t="s">
        <v>92</v>
      </c>
      <c r="K87" s="12">
        <f>'pm_24.dat '!F335</f>
        <v>30780660.999782801</v>
      </c>
      <c r="L87" t="s">
        <v>92</v>
      </c>
      <c r="M87" s="12">
        <f>'pm_24.dat '!G335</f>
        <v>14116880.0314743</v>
      </c>
      <c r="N87" t="s">
        <v>92</v>
      </c>
      <c r="O87" s="12">
        <f>'pm_24.dat '!H335</f>
        <v>8291227.9427613104</v>
      </c>
      <c r="P87" t="s">
        <v>92</v>
      </c>
      <c r="Q87" s="12">
        <f>'pm_24.dat '!I335</f>
        <v>10663663.6272281</v>
      </c>
      <c r="R87" t="s">
        <v>92</v>
      </c>
      <c r="S87" s="12">
        <f>'pm_24.dat '!J335</f>
        <v>1842194.98407276</v>
      </c>
      <c r="T87" t="s">
        <v>92</v>
      </c>
      <c r="U87" s="12">
        <f>'pm_24.dat '!K335</f>
        <v>927184.348024962</v>
      </c>
      <c r="V87" t="s">
        <v>92</v>
      </c>
      <c r="W87" s="12">
        <f>'pm_24.dat '!L335</f>
        <v>672693.77803286596</v>
      </c>
      <c r="X87" t="s">
        <v>92</v>
      </c>
      <c r="Y87" s="12">
        <f>'pm_24.dat '!M335</f>
        <v>721163.06993338303</v>
      </c>
      <c r="Z87" t="s">
        <v>92</v>
      </c>
      <c r="AA87" s="12">
        <f>'pm_24.dat '!N335</f>
        <v>1228555.8871690501</v>
      </c>
      <c r="AB87" t="s">
        <v>92</v>
      </c>
      <c r="AC87" s="12">
        <f>'pm_24.dat '!O335</f>
        <v>393507.46871618403</v>
      </c>
      <c r="AD87" t="s">
        <v>92</v>
      </c>
      <c r="AE87" s="12">
        <f>'pm_24.dat '!P335</f>
        <v>1469144.16030345</v>
      </c>
      <c r="AF87" t="s">
        <v>92</v>
      </c>
      <c r="AG87" s="12">
        <f t="shared" si="0"/>
        <v>103374330.21230976</v>
      </c>
      <c r="AH87" t="s">
        <v>93</v>
      </c>
    </row>
    <row r="88" spans="1:34" x14ac:dyDescent="0.2">
      <c r="A88">
        <v>1998</v>
      </c>
      <c r="B88" t="s">
        <v>92</v>
      </c>
      <c r="C88" s="12">
        <f>'pm_24.dat '!B336</f>
        <v>8710506.4689419605</v>
      </c>
      <c r="D88" t="s">
        <v>92</v>
      </c>
      <c r="E88" s="12">
        <f>'pm_24.dat '!C336</f>
        <v>6882750.6966391597</v>
      </c>
      <c r="F88" t="s">
        <v>92</v>
      </c>
      <c r="G88" s="12">
        <f>'pm_24.dat '!D336</f>
        <v>3709754.0406653499</v>
      </c>
      <c r="H88" t="s">
        <v>92</v>
      </c>
      <c r="I88" s="12">
        <f>'pm_24.dat '!E336</f>
        <v>2666862.7499272702</v>
      </c>
      <c r="J88" t="s">
        <v>92</v>
      </c>
      <c r="K88" s="12">
        <f>'pm_24.dat '!F336</f>
        <v>5566325.4217639398</v>
      </c>
      <c r="L88" t="s">
        <v>92</v>
      </c>
      <c r="M88" s="12">
        <f>'pm_24.dat '!G336</f>
        <v>30576666.713327002</v>
      </c>
      <c r="N88" t="s">
        <v>92</v>
      </c>
      <c r="O88" s="12">
        <f>'pm_24.dat '!H336</f>
        <v>7836743.3349238504</v>
      </c>
      <c r="P88" t="s">
        <v>92</v>
      </c>
      <c r="Q88" s="12">
        <f>'pm_24.dat '!I336</f>
        <v>4743927.8398363004</v>
      </c>
      <c r="R88" t="s">
        <v>92</v>
      </c>
      <c r="S88" s="12">
        <f>'pm_24.dat '!J336</f>
        <v>3602094.2299219999</v>
      </c>
      <c r="T88" t="s">
        <v>92</v>
      </c>
      <c r="U88" s="12">
        <f>'pm_24.dat '!K336</f>
        <v>925925.35893913906</v>
      </c>
      <c r="V88" t="s">
        <v>92</v>
      </c>
      <c r="W88" s="12">
        <f>'pm_24.dat '!L336</f>
        <v>408505.21903899102</v>
      </c>
      <c r="X88" t="s">
        <v>92</v>
      </c>
      <c r="Y88" s="12">
        <f>'pm_24.dat '!M336</f>
        <v>139881.58138303799</v>
      </c>
      <c r="Z88" t="s">
        <v>92</v>
      </c>
      <c r="AA88" s="12">
        <f>'pm_24.dat '!N336</f>
        <v>318779.54769731098</v>
      </c>
      <c r="AB88" t="s">
        <v>92</v>
      </c>
      <c r="AC88" s="12">
        <f>'pm_24.dat '!O336</f>
        <v>343422.18595558999</v>
      </c>
      <c r="AD88" t="s">
        <v>92</v>
      </c>
      <c r="AE88" s="12">
        <f>'pm_24.dat '!P336</f>
        <v>829108.867109015</v>
      </c>
      <c r="AF88" t="s">
        <v>92</v>
      </c>
      <c r="AG88" s="12">
        <f t="shared" si="0"/>
        <v>77261254.256069899</v>
      </c>
      <c r="AH88" t="s">
        <v>93</v>
      </c>
    </row>
    <row r="89" spans="1:34" x14ac:dyDescent="0.2">
      <c r="A89">
        <v>1999</v>
      </c>
      <c r="B89" t="s">
        <v>92</v>
      </c>
      <c r="C89" s="12">
        <f>'pm_24.dat '!B337</f>
        <v>9913042.8278842792</v>
      </c>
      <c r="D89" t="s">
        <v>92</v>
      </c>
      <c r="E89" s="12">
        <f>'pm_24.dat '!C337</f>
        <v>11126238.6498603</v>
      </c>
      <c r="F89" t="s">
        <v>92</v>
      </c>
      <c r="G89" s="12">
        <f>'pm_24.dat '!D337</f>
        <v>12972902.585498599</v>
      </c>
      <c r="H89" t="s">
        <v>92</v>
      </c>
      <c r="I89" s="12">
        <f>'pm_24.dat '!E337</f>
        <v>12336593.098128799</v>
      </c>
      <c r="J89" t="s">
        <v>92</v>
      </c>
      <c r="K89" s="12">
        <f>'pm_24.dat '!F337</f>
        <v>6847299.0044815801</v>
      </c>
      <c r="L89" t="s">
        <v>92</v>
      </c>
      <c r="M89" s="12">
        <f>'pm_24.dat '!G337</f>
        <v>12601727.5695299</v>
      </c>
      <c r="N89" t="s">
        <v>92</v>
      </c>
      <c r="O89" s="12">
        <f>'pm_24.dat '!H337</f>
        <v>29493827.843818601</v>
      </c>
      <c r="P89" t="s">
        <v>92</v>
      </c>
      <c r="Q89" s="12">
        <f>'pm_24.dat '!I337</f>
        <v>7567610.20581723</v>
      </c>
      <c r="R89" t="s">
        <v>92</v>
      </c>
      <c r="S89" s="12">
        <f>'pm_24.dat '!J337</f>
        <v>3601764.58767197</v>
      </c>
      <c r="T89" t="s">
        <v>92</v>
      </c>
      <c r="U89" s="12">
        <f>'pm_24.dat '!K337</f>
        <v>3327253.2671153499</v>
      </c>
      <c r="V89" t="s">
        <v>92</v>
      </c>
      <c r="W89" s="12">
        <f>'pm_24.dat '!L337</f>
        <v>1243839.98288019</v>
      </c>
      <c r="X89" t="s">
        <v>92</v>
      </c>
      <c r="Y89" s="12">
        <f>'pm_24.dat '!M337</f>
        <v>527149.87480245903</v>
      </c>
      <c r="Z89" t="s">
        <v>92</v>
      </c>
      <c r="AA89" s="12">
        <f>'pm_24.dat '!N337</f>
        <v>215165.87303322001</v>
      </c>
      <c r="AB89" t="s">
        <v>92</v>
      </c>
      <c r="AC89" s="12">
        <f>'pm_24.dat '!O337</f>
        <v>318112.05139490601</v>
      </c>
      <c r="AD89" t="s">
        <v>92</v>
      </c>
      <c r="AE89" s="12">
        <f>'pm_24.dat '!P337</f>
        <v>1145287.6389373101</v>
      </c>
      <c r="AF89" t="s">
        <v>92</v>
      </c>
      <c r="AG89" s="12">
        <f t="shared" si="0"/>
        <v>113237815.06085469</v>
      </c>
      <c r="AH89" t="s">
        <v>93</v>
      </c>
    </row>
    <row r="90" spans="1:34" x14ac:dyDescent="0.2">
      <c r="A90">
        <v>2000</v>
      </c>
      <c r="B90" t="s">
        <v>92</v>
      </c>
      <c r="C90" s="12">
        <f>'pm_24.dat '!B338</f>
        <v>10448664.909940099</v>
      </c>
      <c r="D90" t="s">
        <v>92</v>
      </c>
      <c r="E90" s="12">
        <f>'pm_24.dat '!C338</f>
        <v>3755297.9228753801</v>
      </c>
      <c r="F90" t="s">
        <v>92</v>
      </c>
      <c r="G90" s="12">
        <f>'pm_24.dat '!D338</f>
        <v>6910062.9679343598</v>
      </c>
      <c r="H90" t="s">
        <v>92</v>
      </c>
      <c r="I90" s="12">
        <f>'pm_24.dat '!E338</f>
        <v>21500309.211034302</v>
      </c>
      <c r="J90" t="s">
        <v>92</v>
      </c>
      <c r="K90" s="12">
        <f>'pm_24.dat '!F338</f>
        <v>21595549.185668699</v>
      </c>
      <c r="L90" t="s">
        <v>92</v>
      </c>
      <c r="M90" s="12">
        <f>'pm_24.dat '!G338</f>
        <v>11989499.150025999</v>
      </c>
      <c r="N90" t="s">
        <v>92</v>
      </c>
      <c r="O90" s="12">
        <f>'pm_24.dat '!H338</f>
        <v>9536075.9681254998</v>
      </c>
      <c r="P90" t="s">
        <v>92</v>
      </c>
      <c r="Q90" s="12">
        <f>'pm_24.dat '!I338</f>
        <v>28947090.606250301</v>
      </c>
      <c r="R90" t="s">
        <v>92</v>
      </c>
      <c r="S90" s="12">
        <f>'pm_24.dat '!J338</f>
        <v>10961417.662543399</v>
      </c>
      <c r="T90" t="s">
        <v>92</v>
      </c>
      <c r="U90" s="12">
        <f>'pm_24.dat '!K338</f>
        <v>5720885.0075573102</v>
      </c>
      <c r="V90" t="s">
        <v>92</v>
      </c>
      <c r="W90" s="12">
        <f>'pm_24.dat '!L338</f>
        <v>2449524.0860186098</v>
      </c>
      <c r="X90" t="s">
        <v>92</v>
      </c>
      <c r="Y90" s="12">
        <f>'pm_24.dat '!M338</f>
        <v>1568135.3122624201</v>
      </c>
      <c r="Z90" t="s">
        <v>92</v>
      </c>
      <c r="AA90" s="12">
        <f>'pm_24.dat '!N338</f>
        <v>491503.26319998002</v>
      </c>
      <c r="AB90" t="s">
        <v>92</v>
      </c>
      <c r="AC90" s="12">
        <f>'pm_24.dat '!O338</f>
        <v>222767.51548373699</v>
      </c>
      <c r="AD90" t="s">
        <v>92</v>
      </c>
      <c r="AE90" s="12">
        <f>'pm_24.dat '!P338</f>
        <v>989969.15197956399</v>
      </c>
      <c r="AF90" t="s">
        <v>92</v>
      </c>
      <c r="AG90" s="12">
        <f t="shared" si="0"/>
        <v>137086751.92089966</v>
      </c>
      <c r="AH90" t="s">
        <v>93</v>
      </c>
    </row>
    <row r="91" spans="1:34" x14ac:dyDescent="0.2">
      <c r="A91">
        <v>2001</v>
      </c>
      <c r="B91" t="s">
        <v>92</v>
      </c>
      <c r="C91" s="12">
        <f>'pm_24.dat '!B339</f>
        <v>19866054.300051302</v>
      </c>
      <c r="D91" t="s">
        <v>92</v>
      </c>
      <c r="E91" s="12">
        <f>'pm_24.dat '!C339</f>
        <v>12222795.744160499</v>
      </c>
      <c r="F91" t="s">
        <v>92</v>
      </c>
      <c r="G91" s="12">
        <f>'pm_24.dat '!D339</f>
        <v>7257354.2739721099</v>
      </c>
      <c r="H91" t="s">
        <v>92</v>
      </c>
      <c r="I91" s="12">
        <f>'pm_24.dat '!E339</f>
        <v>7027317.9456200302</v>
      </c>
      <c r="J91" t="s">
        <v>92</v>
      </c>
      <c r="K91" s="12">
        <f>'pm_24.dat '!F339</f>
        <v>16891582.837152701</v>
      </c>
      <c r="L91" t="s">
        <v>92</v>
      </c>
      <c r="M91" s="12">
        <f>'pm_24.dat '!G339</f>
        <v>16558361.1551107</v>
      </c>
      <c r="N91" t="s">
        <v>92</v>
      </c>
      <c r="O91" s="12">
        <f>'pm_24.dat '!H339</f>
        <v>6898437.4829649404</v>
      </c>
      <c r="P91" t="s">
        <v>92</v>
      </c>
      <c r="Q91" s="12">
        <f>'pm_24.dat '!I339</f>
        <v>3352512.3996226201</v>
      </c>
      <c r="R91" t="s">
        <v>92</v>
      </c>
      <c r="S91" s="12">
        <f>'pm_24.dat '!J339</f>
        <v>9955198.0531046204</v>
      </c>
      <c r="T91" t="s">
        <v>92</v>
      </c>
      <c r="U91" s="12">
        <f>'pm_24.dat '!K339</f>
        <v>7114905.8515774896</v>
      </c>
      <c r="V91" t="s">
        <v>92</v>
      </c>
      <c r="W91" s="12">
        <f>'pm_24.dat '!L339</f>
        <v>2710397.2158764298</v>
      </c>
      <c r="X91" t="s">
        <v>92</v>
      </c>
      <c r="Y91" s="12">
        <f>'pm_24.dat '!M339</f>
        <v>2113402.2005417701</v>
      </c>
      <c r="Z91" t="s">
        <v>92</v>
      </c>
      <c r="AA91" s="12">
        <f>'pm_24.dat '!N339</f>
        <v>732768.05219698395</v>
      </c>
      <c r="AB91" t="s">
        <v>92</v>
      </c>
      <c r="AC91" s="12">
        <f>'pm_24.dat '!O339</f>
        <v>303873.95907754998</v>
      </c>
      <c r="AD91" t="s">
        <v>92</v>
      </c>
      <c r="AE91" s="12">
        <f>'pm_24.dat '!P339</f>
        <v>808186.80843930796</v>
      </c>
      <c r="AF91" t="s">
        <v>92</v>
      </c>
      <c r="AG91" s="12">
        <f t="shared" si="0"/>
        <v>113813148.27946907</v>
      </c>
      <c r="AH91" t="s">
        <v>93</v>
      </c>
    </row>
    <row r="92" spans="1:34" x14ac:dyDescent="0.2">
      <c r="A92">
        <v>2002</v>
      </c>
      <c r="B92" t="s">
        <v>92</v>
      </c>
      <c r="C92" s="12">
        <f>'pm_24.dat '!B340</f>
        <v>13635855.0241549</v>
      </c>
      <c r="D92" t="s">
        <v>92</v>
      </c>
      <c r="E92" s="12">
        <f>'pm_24.dat '!C340</f>
        <v>3947946.22365927</v>
      </c>
      <c r="F92" t="s">
        <v>92</v>
      </c>
      <c r="G92" s="12">
        <f>'pm_24.dat '!D340</f>
        <v>7954137.7279658802</v>
      </c>
      <c r="H92" t="s">
        <v>92</v>
      </c>
      <c r="I92" s="12">
        <f>'pm_24.dat '!E340</f>
        <v>12397079.289259201</v>
      </c>
      <c r="J92" t="s">
        <v>92</v>
      </c>
      <c r="K92" s="12">
        <f>'pm_24.dat '!F340</f>
        <v>13675553.0055688</v>
      </c>
      <c r="L92" t="s">
        <v>92</v>
      </c>
      <c r="M92" s="12">
        <f>'pm_24.dat '!G340</f>
        <v>17717869.8007573</v>
      </c>
      <c r="N92" t="s">
        <v>92</v>
      </c>
      <c r="O92" s="12">
        <f>'pm_24.dat '!H340</f>
        <v>8844064.1329108905</v>
      </c>
      <c r="P92" t="s">
        <v>92</v>
      </c>
      <c r="Q92" s="12">
        <f>'pm_24.dat '!I340</f>
        <v>4275741.9949846901</v>
      </c>
      <c r="R92" t="s">
        <v>92</v>
      </c>
      <c r="S92" s="12">
        <f>'pm_24.dat '!J340</f>
        <v>5723709.1558822701</v>
      </c>
      <c r="T92" t="s">
        <v>92</v>
      </c>
      <c r="U92" s="12">
        <f>'pm_24.dat '!K340</f>
        <v>10676031.9783793</v>
      </c>
      <c r="V92" t="s">
        <v>92</v>
      </c>
      <c r="W92" s="12">
        <f>'pm_24.dat '!L340</f>
        <v>5321374.60991868</v>
      </c>
      <c r="X92" t="s">
        <v>92</v>
      </c>
      <c r="Y92" s="12">
        <f>'pm_24.dat '!M340</f>
        <v>2448024.60246245</v>
      </c>
      <c r="Z92" t="s">
        <v>92</v>
      </c>
      <c r="AA92" s="12">
        <f>'pm_24.dat '!N340</f>
        <v>1459013.9871593299</v>
      </c>
      <c r="AB92" t="s">
        <v>92</v>
      </c>
      <c r="AC92" s="12">
        <f>'pm_24.dat '!O340</f>
        <v>460654.73594351503</v>
      </c>
      <c r="AD92" t="s">
        <v>92</v>
      </c>
      <c r="AE92" s="12">
        <f>'pm_24.dat '!P340</f>
        <v>544982.41422542604</v>
      </c>
      <c r="AF92" t="s">
        <v>92</v>
      </c>
      <c r="AG92" s="12">
        <f t="shared" si="0"/>
        <v>109082038.68323191</v>
      </c>
      <c r="AH92" t="s">
        <v>93</v>
      </c>
    </row>
    <row r="93" spans="1:34" x14ac:dyDescent="0.2">
      <c r="A93">
        <v>2003</v>
      </c>
      <c r="B93" t="s">
        <v>92</v>
      </c>
      <c r="C93" s="12">
        <f>'pm_24.dat '!B341</f>
        <v>5737576.9603504697</v>
      </c>
      <c r="D93" t="s">
        <v>92</v>
      </c>
      <c r="E93" s="12">
        <f>'pm_24.dat '!C341</f>
        <v>1659415.14152671</v>
      </c>
      <c r="F93" t="s">
        <v>92</v>
      </c>
      <c r="G93" s="12">
        <f>'pm_24.dat '!D341</f>
        <v>10661073.541534301</v>
      </c>
      <c r="H93" t="s">
        <v>92</v>
      </c>
      <c r="I93" s="12">
        <f>'pm_24.dat '!E341</f>
        <v>18279647.401159301</v>
      </c>
      <c r="J93" t="s">
        <v>92</v>
      </c>
      <c r="K93" s="12">
        <f>'pm_24.dat '!F341</f>
        <v>21598012.6217895</v>
      </c>
      <c r="L93" t="s">
        <v>92</v>
      </c>
      <c r="M93" s="12">
        <f>'pm_24.dat '!G341</f>
        <v>17999136.579072099</v>
      </c>
      <c r="N93" t="s">
        <v>92</v>
      </c>
      <c r="O93" s="12">
        <f>'pm_24.dat '!H341</f>
        <v>22581250.933334298</v>
      </c>
      <c r="P93" t="s">
        <v>92</v>
      </c>
      <c r="Q93" s="12">
        <f>'pm_24.dat '!I341</f>
        <v>11663681.3412534</v>
      </c>
      <c r="R93" t="s">
        <v>92</v>
      </c>
      <c r="S93" s="12">
        <f>'pm_24.dat '!J341</f>
        <v>4860659.6331773102</v>
      </c>
      <c r="T93" t="s">
        <v>92</v>
      </c>
      <c r="U93" s="12">
        <f>'pm_24.dat '!K341</f>
        <v>6354239.9680312304</v>
      </c>
      <c r="V93" t="s">
        <v>92</v>
      </c>
      <c r="W93" s="12">
        <f>'pm_24.dat '!L341</f>
        <v>12371856.7544365</v>
      </c>
      <c r="X93" t="s">
        <v>92</v>
      </c>
      <c r="Y93" s="12">
        <f>'pm_24.dat '!M341</f>
        <v>5597357.0957709998</v>
      </c>
      <c r="Z93" t="s">
        <v>92</v>
      </c>
      <c r="AA93" s="12">
        <f>'pm_24.dat '!N341</f>
        <v>2320152.2146739098</v>
      </c>
      <c r="AB93" t="s">
        <v>92</v>
      </c>
      <c r="AC93" s="12">
        <f>'pm_24.dat '!O341</f>
        <v>954650.86506785802</v>
      </c>
      <c r="AD93" t="s">
        <v>92</v>
      </c>
      <c r="AE93" s="12">
        <f>'pm_24.dat '!P341</f>
        <v>1019023.01852526</v>
      </c>
      <c r="AF93" t="s">
        <v>92</v>
      </c>
      <c r="AG93" s="12">
        <f t="shared" si="0"/>
        <v>143657734.06970313</v>
      </c>
      <c r="AH93" t="s">
        <v>93</v>
      </c>
    </row>
    <row r="94" spans="1:34" x14ac:dyDescent="0.2">
      <c r="A94">
        <v>2004</v>
      </c>
      <c r="B94" t="s">
        <v>92</v>
      </c>
      <c r="C94" s="12">
        <f>'pm_24.dat '!B342</f>
        <v>3971309.62755587</v>
      </c>
      <c r="D94" t="s">
        <v>92</v>
      </c>
      <c r="E94" s="12">
        <f>'pm_24.dat '!C342</f>
        <v>2661212.6778871301</v>
      </c>
      <c r="F94" t="s">
        <v>92</v>
      </c>
      <c r="G94" s="12">
        <f>'pm_24.dat '!D342</f>
        <v>1887508.09233705</v>
      </c>
      <c r="H94" t="s">
        <v>92</v>
      </c>
      <c r="I94" s="12">
        <f>'pm_24.dat '!E342</f>
        <v>16144529.582410499</v>
      </c>
      <c r="J94" t="s">
        <v>92</v>
      </c>
      <c r="K94" s="12">
        <f>'pm_24.dat '!F342</f>
        <v>15888686.0489542</v>
      </c>
      <c r="L94" t="s">
        <v>92</v>
      </c>
      <c r="M94" s="12">
        <f>'pm_24.dat '!G342</f>
        <v>11776407.943177801</v>
      </c>
      <c r="N94" t="s">
        <v>92</v>
      </c>
      <c r="O94" s="12">
        <f>'pm_24.dat '!H342</f>
        <v>6574297.3892349899</v>
      </c>
      <c r="P94" t="s">
        <v>92</v>
      </c>
      <c r="Q94" s="12">
        <f>'pm_24.dat '!I342</f>
        <v>6943471.4836398</v>
      </c>
      <c r="R94" t="s">
        <v>92</v>
      </c>
      <c r="S94" s="12">
        <f>'pm_24.dat '!J342</f>
        <v>3435546.6641396699</v>
      </c>
      <c r="T94" t="s">
        <v>92</v>
      </c>
      <c r="U94" s="12">
        <f>'pm_24.dat '!K342</f>
        <v>2168119.4423035202</v>
      </c>
      <c r="V94" t="s">
        <v>92</v>
      </c>
      <c r="W94" s="12">
        <f>'pm_24.dat '!L342</f>
        <v>2169458.4559832001</v>
      </c>
      <c r="X94" t="s">
        <v>92</v>
      </c>
      <c r="Y94" s="12">
        <f>'pm_24.dat '!M342</f>
        <v>3976304.1876008501</v>
      </c>
      <c r="Z94" t="s">
        <v>92</v>
      </c>
      <c r="AA94" s="12">
        <f>'pm_24.dat '!N342</f>
        <v>1762489.4983145399</v>
      </c>
      <c r="AB94" t="s">
        <v>92</v>
      </c>
      <c r="AC94" s="12">
        <f>'pm_24.dat '!O342</f>
        <v>455624.56642578501</v>
      </c>
      <c r="AD94" t="s">
        <v>92</v>
      </c>
      <c r="AE94" s="12">
        <f>'pm_24.dat '!P342</f>
        <v>382027.12926753698</v>
      </c>
      <c r="AF94" t="s">
        <v>92</v>
      </c>
      <c r="AG94" s="12">
        <f t="shared" si="0"/>
        <v>80196992.789232463</v>
      </c>
      <c r="AH94" t="s">
        <v>93</v>
      </c>
    </row>
    <row r="95" spans="1:34" x14ac:dyDescent="0.2">
      <c r="A95">
        <v>2005</v>
      </c>
      <c r="B95" t="s">
        <v>92</v>
      </c>
      <c r="C95" s="12">
        <f>'pm_24.dat '!B343</f>
        <v>4008208.1618505502</v>
      </c>
      <c r="D95" t="s">
        <v>92</v>
      </c>
      <c r="E95" s="12">
        <f>'pm_24.dat '!C343</f>
        <v>1475001.81060437</v>
      </c>
      <c r="F95" t="s">
        <v>92</v>
      </c>
      <c r="G95" s="12">
        <f>'pm_24.dat '!D343</f>
        <v>2199280.00870999</v>
      </c>
      <c r="H95" t="s">
        <v>92</v>
      </c>
      <c r="I95" s="12">
        <f>'pm_24.dat '!E343</f>
        <v>11044908.8662399</v>
      </c>
      <c r="J95" t="s">
        <v>92</v>
      </c>
      <c r="K95" s="12">
        <f>'pm_24.dat '!F343</f>
        <v>32386920.078519501</v>
      </c>
      <c r="L95" t="s">
        <v>92</v>
      </c>
      <c r="M95" s="12">
        <f>'pm_24.dat '!G343</f>
        <v>21787234.569160901</v>
      </c>
      <c r="N95" t="s">
        <v>92</v>
      </c>
      <c r="O95" s="12">
        <f>'pm_24.dat '!H343</f>
        <v>11405131.1795658</v>
      </c>
      <c r="P95" t="s">
        <v>92</v>
      </c>
      <c r="Q95" s="12">
        <f>'pm_24.dat '!I343</f>
        <v>4548673.9516830603</v>
      </c>
      <c r="R95" t="s">
        <v>92</v>
      </c>
      <c r="S95" s="12">
        <f>'pm_24.dat '!J343</f>
        <v>3869508.8158726399</v>
      </c>
      <c r="T95" t="s">
        <v>92</v>
      </c>
      <c r="U95" s="12">
        <f>'pm_24.dat '!K343</f>
        <v>2702438.7559021199</v>
      </c>
      <c r="V95" t="s">
        <v>92</v>
      </c>
      <c r="W95" s="12">
        <f>'pm_24.dat '!L343</f>
        <v>783657.36676774896</v>
      </c>
      <c r="X95" t="s">
        <v>92</v>
      </c>
      <c r="Y95" s="12">
        <f>'pm_24.dat '!M343</f>
        <v>1600063.57859671</v>
      </c>
      <c r="Z95" t="s">
        <v>92</v>
      </c>
      <c r="AA95" s="12">
        <f>'pm_24.dat '!N343</f>
        <v>2656970.6679108501</v>
      </c>
      <c r="AB95" t="s">
        <v>92</v>
      </c>
      <c r="AC95" s="12">
        <f>'pm_24.dat '!O343</f>
        <v>1055675.4212175901</v>
      </c>
      <c r="AD95" t="s">
        <v>92</v>
      </c>
      <c r="AE95" s="12">
        <f>'pm_24.dat '!P343</f>
        <v>1143419.3507530401</v>
      </c>
      <c r="AF95" t="s">
        <v>92</v>
      </c>
      <c r="AG95" s="12">
        <f t="shared" si="0"/>
        <v>102667092.58335477</v>
      </c>
      <c r="AH95" t="s">
        <v>93</v>
      </c>
    </row>
    <row r="96" spans="1:34" x14ac:dyDescent="0.2">
      <c r="A96">
        <v>2006</v>
      </c>
      <c r="B96" t="s">
        <v>92</v>
      </c>
      <c r="C96" s="12">
        <f>'pm_24.dat '!B344</f>
        <v>8156013.5150606399</v>
      </c>
      <c r="D96" t="s">
        <v>92</v>
      </c>
      <c r="E96" s="12">
        <f>'pm_24.dat '!C344</f>
        <v>754624.10763693601</v>
      </c>
      <c r="F96" t="s">
        <v>92</v>
      </c>
      <c r="G96" s="12">
        <f>'pm_24.dat '!D344</f>
        <v>1134938.14698683</v>
      </c>
      <c r="H96" t="s">
        <v>92</v>
      </c>
      <c r="I96" s="12">
        <f>'pm_24.dat '!E344</f>
        <v>5185575.9325116798</v>
      </c>
      <c r="J96" t="s">
        <v>92</v>
      </c>
      <c r="K96" s="12">
        <f>'pm_24.dat '!F344</f>
        <v>13999692.682987301</v>
      </c>
      <c r="L96" t="s">
        <v>92</v>
      </c>
      <c r="M96" s="12">
        <f>'pm_24.dat '!G344</f>
        <v>16450247.714172799</v>
      </c>
      <c r="N96" t="s">
        <v>92</v>
      </c>
      <c r="O96" s="12">
        <f>'pm_24.dat '!H344</f>
        <v>9665799.2949382793</v>
      </c>
      <c r="P96" t="s">
        <v>92</v>
      </c>
      <c r="Q96" s="12">
        <f>'pm_24.dat '!I344</f>
        <v>4401420.8653991101</v>
      </c>
      <c r="R96" t="s">
        <v>92</v>
      </c>
      <c r="S96" s="12">
        <f>'pm_24.dat '!J344</f>
        <v>2443650.57789393</v>
      </c>
      <c r="T96" t="s">
        <v>92</v>
      </c>
      <c r="U96" s="12">
        <f>'pm_24.dat '!K344</f>
        <v>2038641.1422488501</v>
      </c>
      <c r="V96" t="s">
        <v>92</v>
      </c>
      <c r="W96" s="12">
        <f>'pm_24.dat '!L344</f>
        <v>980045.78562935104</v>
      </c>
      <c r="X96" t="s">
        <v>92</v>
      </c>
      <c r="Y96" s="12">
        <f>'pm_24.dat '!M344</f>
        <v>608058.18328810798</v>
      </c>
      <c r="Z96" t="s">
        <v>92</v>
      </c>
      <c r="AA96" s="12">
        <f>'pm_24.dat '!N344</f>
        <v>872189.86522274103</v>
      </c>
      <c r="AB96" t="s">
        <v>92</v>
      </c>
      <c r="AC96" s="12">
        <f>'pm_24.dat '!O344</f>
        <v>1175750.7828141199</v>
      </c>
      <c r="AD96" t="s">
        <v>92</v>
      </c>
      <c r="AE96" s="12">
        <f>'pm_24.dat '!P344</f>
        <v>1209186.8527309301</v>
      </c>
      <c r="AF96" t="s">
        <v>92</v>
      </c>
      <c r="AG96" s="12">
        <f t="shared" si="0"/>
        <v>69075835.449521601</v>
      </c>
      <c r="AH96" t="s">
        <v>93</v>
      </c>
    </row>
    <row r="97" spans="1:34" x14ac:dyDescent="0.2">
      <c r="A97">
        <v>2007</v>
      </c>
      <c r="B97" t="s">
        <v>92</v>
      </c>
      <c r="C97" s="12">
        <f>'pm_24.dat '!B345</f>
        <v>27341965.702982198</v>
      </c>
      <c r="D97" t="s">
        <v>92</v>
      </c>
      <c r="E97" s="12">
        <f>'pm_24.dat '!C345</f>
        <v>678019.34163620695</v>
      </c>
      <c r="F97" t="s">
        <v>92</v>
      </c>
      <c r="G97" s="12">
        <f>'pm_24.dat '!D345</f>
        <v>2210945.20084331</v>
      </c>
      <c r="H97" t="s">
        <v>92</v>
      </c>
      <c r="I97" s="12">
        <f>'pm_24.dat '!E345</f>
        <v>7071104.0355054997</v>
      </c>
      <c r="J97" t="s">
        <v>92</v>
      </c>
      <c r="K97" s="12">
        <f>'pm_24.dat '!F345</f>
        <v>22182197.296949901</v>
      </c>
      <c r="L97" t="s">
        <v>92</v>
      </c>
      <c r="M97" s="12">
        <f>'pm_24.dat '!G345</f>
        <v>25081372.686613198</v>
      </c>
      <c r="N97" t="s">
        <v>92</v>
      </c>
      <c r="O97" s="12">
        <f>'pm_24.dat '!H345</f>
        <v>16726703.7793504</v>
      </c>
      <c r="P97" t="s">
        <v>92</v>
      </c>
      <c r="Q97" s="12">
        <f>'pm_24.dat '!I345</f>
        <v>11659449.888640299</v>
      </c>
      <c r="R97" t="s">
        <v>92</v>
      </c>
      <c r="S97" s="12">
        <f>'pm_24.dat '!J345</f>
        <v>4624081.6520319199</v>
      </c>
      <c r="T97" t="s">
        <v>92</v>
      </c>
      <c r="U97" s="12">
        <f>'pm_24.dat '!K345</f>
        <v>1983255.7167177999</v>
      </c>
      <c r="V97" t="s">
        <v>92</v>
      </c>
      <c r="W97" s="12">
        <f>'pm_24.dat '!L345</f>
        <v>1738549.0849266599</v>
      </c>
      <c r="X97" t="s">
        <v>92</v>
      </c>
      <c r="Y97" s="12">
        <f>'pm_24.dat '!M345</f>
        <v>1572777.6262042001</v>
      </c>
      <c r="Z97" t="s">
        <v>92</v>
      </c>
      <c r="AA97" s="12">
        <f>'pm_24.dat '!N345</f>
        <v>717016.20181457698</v>
      </c>
      <c r="AB97" t="s">
        <v>92</v>
      </c>
      <c r="AC97" s="12">
        <f>'pm_24.dat '!O345</f>
        <v>868156.31496002001</v>
      </c>
      <c r="AD97" t="s">
        <v>92</v>
      </c>
      <c r="AE97" s="12">
        <f>'pm_24.dat '!P345</f>
        <v>1796647.1703015601</v>
      </c>
      <c r="AF97" t="s">
        <v>92</v>
      </c>
      <c r="AG97" s="12">
        <f t="shared" si="0"/>
        <v>126252241.69947773</v>
      </c>
      <c r="AH97" t="s">
        <v>93</v>
      </c>
    </row>
    <row r="98" spans="1:34" x14ac:dyDescent="0.2">
      <c r="A98">
        <v>2008</v>
      </c>
      <c r="B98" t="s">
        <v>92</v>
      </c>
      <c r="C98" s="12">
        <f>'pm_24.dat '!B346</f>
        <v>5026908.8713395502</v>
      </c>
      <c r="D98" t="s">
        <v>92</v>
      </c>
      <c r="E98" s="12">
        <f>'pm_24.dat '!C346</f>
        <v>1229266.3225861499</v>
      </c>
      <c r="F98" t="s">
        <v>92</v>
      </c>
      <c r="G98" s="12">
        <f>'pm_24.dat '!D346</f>
        <v>1364744.5919717599</v>
      </c>
      <c r="H98" t="s">
        <v>92</v>
      </c>
      <c r="I98" s="12">
        <f>'pm_24.dat '!E346</f>
        <v>2640640.5453404202</v>
      </c>
      <c r="J98" t="s">
        <v>92</v>
      </c>
      <c r="K98" s="12">
        <f>'pm_24.dat '!F346</f>
        <v>7836966.4632843398</v>
      </c>
      <c r="L98" t="s">
        <v>92</v>
      </c>
      <c r="M98" s="12">
        <f>'pm_24.dat '!G346</f>
        <v>15530947.6455134</v>
      </c>
      <c r="N98" t="s">
        <v>92</v>
      </c>
      <c r="O98" s="12">
        <f>'pm_24.dat '!H346</f>
        <v>11319399.2877752</v>
      </c>
      <c r="P98" t="s">
        <v>92</v>
      </c>
      <c r="Q98" s="12">
        <f>'pm_24.dat '!I346</f>
        <v>7076204.9498563902</v>
      </c>
      <c r="R98" t="s">
        <v>92</v>
      </c>
      <c r="S98" s="12">
        <f>'pm_24.dat '!J346</f>
        <v>4305625.6203512195</v>
      </c>
      <c r="T98" t="s">
        <v>92</v>
      </c>
      <c r="U98" s="12">
        <f>'pm_24.dat '!K346</f>
        <v>1564026.58414144</v>
      </c>
      <c r="V98" t="s">
        <v>92</v>
      </c>
      <c r="W98" s="12">
        <f>'pm_24.dat '!L346</f>
        <v>1276787.5681260601</v>
      </c>
      <c r="X98" t="s">
        <v>92</v>
      </c>
      <c r="Y98" s="12">
        <f>'pm_24.dat '!M346</f>
        <v>957687.31968934904</v>
      </c>
      <c r="Z98" t="s">
        <v>92</v>
      </c>
      <c r="AA98" s="12">
        <f>'pm_24.dat '!N346</f>
        <v>434243.23231427401</v>
      </c>
      <c r="AB98" t="s">
        <v>92</v>
      </c>
      <c r="AC98" s="12">
        <f>'pm_24.dat '!O346</f>
        <v>240823.91182167901</v>
      </c>
      <c r="AD98" t="s">
        <v>92</v>
      </c>
      <c r="AE98" s="12">
        <f>'pm_24.dat '!P346</f>
        <v>1576612.6220034801</v>
      </c>
      <c r="AF98" t="s">
        <v>92</v>
      </c>
      <c r="AG98" s="12">
        <f t="shared" si="0"/>
        <v>62380885.536114708</v>
      </c>
      <c r="AH98" t="s">
        <v>93</v>
      </c>
    </row>
    <row r="99" spans="1:34" x14ac:dyDescent="0.2">
      <c r="A99">
        <v>2009</v>
      </c>
      <c r="B99" t="s">
        <v>92</v>
      </c>
      <c r="C99" s="12">
        <f>'pm_24.dat '!B347</f>
        <v>8423248.11151544</v>
      </c>
      <c r="D99" t="s">
        <v>92</v>
      </c>
      <c r="E99" s="12">
        <f>'pm_24.dat '!C347</f>
        <v>2107005.9911137298</v>
      </c>
      <c r="F99" t="s">
        <v>92</v>
      </c>
      <c r="G99" s="12">
        <f>'pm_24.dat '!D347</f>
        <v>4331186.1366522899</v>
      </c>
      <c r="H99" t="s">
        <v>92</v>
      </c>
      <c r="I99" s="12">
        <f>'pm_24.dat '!E347</f>
        <v>4899554.0494928798</v>
      </c>
      <c r="J99" t="s">
        <v>92</v>
      </c>
      <c r="K99" s="12">
        <f>'pm_24.dat '!F347</f>
        <v>3323841.6469736798</v>
      </c>
      <c r="L99" t="s">
        <v>92</v>
      </c>
      <c r="M99" s="12">
        <f>'pm_24.dat '!G347</f>
        <v>5015183.0561546199</v>
      </c>
      <c r="N99" t="s">
        <v>92</v>
      </c>
      <c r="O99" s="12">
        <f>'pm_24.dat '!H347</f>
        <v>7082004.0262393197</v>
      </c>
      <c r="P99" t="s">
        <v>92</v>
      </c>
      <c r="Q99" s="12">
        <f>'pm_24.dat '!I347</f>
        <v>5383262.17195589</v>
      </c>
      <c r="R99" t="s">
        <v>92</v>
      </c>
      <c r="S99" s="12">
        <f>'pm_24.dat '!J347</f>
        <v>3854987.4527946599</v>
      </c>
      <c r="T99" t="s">
        <v>92</v>
      </c>
      <c r="U99" s="12">
        <f>'pm_24.dat '!K347</f>
        <v>1755691.0759548401</v>
      </c>
      <c r="V99" t="s">
        <v>92</v>
      </c>
      <c r="W99" s="12">
        <f>'pm_24.dat '!L347</f>
        <v>1104478.0272613401</v>
      </c>
      <c r="X99" t="s">
        <v>92</v>
      </c>
      <c r="Y99" s="12">
        <f>'pm_24.dat '!M347</f>
        <v>349907.79894612997</v>
      </c>
      <c r="Z99" t="s">
        <v>92</v>
      </c>
      <c r="AA99" s="12">
        <f>'pm_24.dat '!N347</f>
        <v>351756.23707183398</v>
      </c>
      <c r="AB99" t="s">
        <v>92</v>
      </c>
      <c r="AC99" s="12">
        <f>'pm_24.dat '!O347</f>
        <v>181366.954581706</v>
      </c>
      <c r="AD99" t="s">
        <v>92</v>
      </c>
      <c r="AE99" s="12">
        <f>'pm_24.dat '!P347</f>
        <v>789945.259632395</v>
      </c>
      <c r="AF99" t="s">
        <v>92</v>
      </c>
      <c r="AG99" s="12">
        <f t="shared" si="0"/>
        <v>48953417.996340752</v>
      </c>
      <c r="AH99" t="s">
        <v>93</v>
      </c>
    </row>
    <row r="100" spans="1:34" x14ac:dyDescent="0.2">
      <c r="A100">
        <v>2010</v>
      </c>
      <c r="B100" t="s">
        <v>92</v>
      </c>
      <c r="C100" s="12">
        <f>'pm_24.dat '!B348</f>
        <v>4800589.2047151998</v>
      </c>
      <c r="D100" t="s">
        <v>92</v>
      </c>
      <c r="E100" s="12">
        <f>'pm_24.dat '!C348</f>
        <v>1346455.9479759</v>
      </c>
      <c r="F100" t="s">
        <v>92</v>
      </c>
      <c r="G100" s="12">
        <f>'pm_24.dat '!D348</f>
        <v>3047328.7974732001</v>
      </c>
      <c r="H100" t="s">
        <v>92</v>
      </c>
      <c r="I100" s="12">
        <f>'pm_24.dat '!E348</f>
        <v>40506328.7463082</v>
      </c>
      <c r="J100" t="s">
        <v>92</v>
      </c>
      <c r="K100" s="12">
        <f>'pm_24.dat '!F348</f>
        <v>16685255.9173296</v>
      </c>
      <c r="L100" t="s">
        <v>92</v>
      </c>
      <c r="M100" s="12">
        <f>'pm_24.dat '!G348</f>
        <v>4685657.7252336396</v>
      </c>
      <c r="N100" t="s">
        <v>92</v>
      </c>
      <c r="O100" s="12">
        <f>'pm_24.dat '!H348</f>
        <v>3743015.8592007798</v>
      </c>
      <c r="P100" t="s">
        <v>92</v>
      </c>
      <c r="Q100" s="12">
        <f>'pm_24.dat '!I348</f>
        <v>3828855.5389574901</v>
      </c>
      <c r="R100" t="s">
        <v>92</v>
      </c>
      <c r="S100" s="12">
        <f>'pm_24.dat '!J348</f>
        <v>3837498.5177275701</v>
      </c>
      <c r="T100" t="s">
        <v>92</v>
      </c>
      <c r="U100" s="12">
        <f>'pm_24.dat '!K348</f>
        <v>2628770.46325295</v>
      </c>
      <c r="V100" t="s">
        <v>92</v>
      </c>
      <c r="W100" s="12">
        <f>'pm_24.dat '!L348</f>
        <v>2237314.9572140998</v>
      </c>
      <c r="X100" t="s">
        <v>92</v>
      </c>
      <c r="Y100" s="12">
        <f>'pm_24.dat '!M348</f>
        <v>814166.58570419496</v>
      </c>
      <c r="Z100" t="s">
        <v>92</v>
      </c>
      <c r="AA100" s="12">
        <f>'pm_24.dat '!N348</f>
        <v>486345.64947945898</v>
      </c>
      <c r="AB100" t="s">
        <v>92</v>
      </c>
      <c r="AC100" s="12">
        <f>'pm_24.dat '!O348</f>
        <v>287861.44588856702</v>
      </c>
      <c r="AD100" t="s">
        <v>92</v>
      </c>
      <c r="AE100" s="12">
        <f>'pm_24.dat '!P348</f>
        <v>668973.30158970505</v>
      </c>
      <c r="AF100" t="s">
        <v>92</v>
      </c>
      <c r="AG100" s="12">
        <f t="shared" si="0"/>
        <v>89604418.658050537</v>
      </c>
      <c r="AH100" t="s">
        <v>93</v>
      </c>
    </row>
    <row r="101" spans="1:34" x14ac:dyDescent="0.2">
      <c r="A101">
        <v>2011</v>
      </c>
      <c r="B101" t="s">
        <v>92</v>
      </c>
      <c r="C101" s="12">
        <f>'pm_24.dat '!B349</f>
        <v>12920051.508882601</v>
      </c>
      <c r="D101" t="s">
        <v>92</v>
      </c>
      <c r="E101" s="12">
        <f>'pm_24.dat '!C349</f>
        <v>1361769.3920551599</v>
      </c>
      <c r="F101" t="s">
        <v>92</v>
      </c>
      <c r="G101" s="12">
        <f>'pm_24.dat '!D349</f>
        <v>3424695.7372248201</v>
      </c>
      <c r="H101" t="s">
        <v>92</v>
      </c>
      <c r="I101" s="12">
        <f>'pm_24.dat '!E349</f>
        <v>4262527.4090895299</v>
      </c>
      <c r="J101" t="s">
        <v>92</v>
      </c>
      <c r="K101" s="12">
        <f>'pm_24.dat '!F349</f>
        <v>21528083.6556524</v>
      </c>
      <c r="L101" t="s">
        <v>92</v>
      </c>
      <c r="M101" s="12">
        <f>'pm_24.dat '!G349</f>
        <v>10427647.841868101</v>
      </c>
      <c r="N101" t="s">
        <v>92</v>
      </c>
      <c r="O101" s="12">
        <f>'pm_24.dat '!H349</f>
        <v>2948261.1325651398</v>
      </c>
      <c r="P101" t="s">
        <v>92</v>
      </c>
      <c r="Q101" s="12">
        <f>'pm_24.dat '!I349</f>
        <v>1604116.7676845901</v>
      </c>
      <c r="R101" t="s">
        <v>92</v>
      </c>
      <c r="S101" s="12">
        <f>'pm_24.dat '!J349</f>
        <v>2434947.2187868701</v>
      </c>
      <c r="T101" t="s">
        <v>92</v>
      </c>
      <c r="U101" s="12">
        <f>'pm_24.dat '!K349</f>
        <v>2401882.8689918602</v>
      </c>
      <c r="V101" t="s">
        <v>92</v>
      </c>
      <c r="W101" s="12">
        <f>'pm_24.dat '!L349</f>
        <v>2041112.0477622501</v>
      </c>
      <c r="X101" t="s">
        <v>92</v>
      </c>
      <c r="Y101" s="12">
        <f>'pm_24.dat '!M349</f>
        <v>1565454.61985208</v>
      </c>
      <c r="Z101" t="s">
        <v>92</v>
      </c>
      <c r="AA101" s="12">
        <f>'pm_24.dat '!N349</f>
        <v>683836.27698566497</v>
      </c>
      <c r="AB101" t="s">
        <v>92</v>
      </c>
      <c r="AC101" s="12">
        <f>'pm_24.dat '!O349</f>
        <v>323576.92302449298</v>
      </c>
      <c r="AD101" t="s">
        <v>92</v>
      </c>
      <c r="AE101" s="12">
        <f>'pm_24.dat '!P349</f>
        <v>945209.95216057601</v>
      </c>
      <c r="AF101" t="s">
        <v>92</v>
      </c>
      <c r="AG101" s="12">
        <f t="shared" si="0"/>
        <v>68873173.35258615</v>
      </c>
      <c r="AH101" t="s">
        <v>93</v>
      </c>
    </row>
    <row r="102" spans="1:34" x14ac:dyDescent="0.2">
      <c r="A102">
        <v>2012</v>
      </c>
      <c r="B102" t="s">
        <v>92</v>
      </c>
      <c r="C102" s="12">
        <f>'pm_24.dat '!B350</f>
        <v>12972591.788060199</v>
      </c>
      <c r="D102" t="s">
        <v>92</v>
      </c>
      <c r="E102" s="12">
        <f>'pm_24.dat '!C350</f>
        <v>2087692.16509478</v>
      </c>
      <c r="F102" t="s">
        <v>92</v>
      </c>
      <c r="G102" s="12">
        <f>'pm_24.dat '!D350</f>
        <v>4934353.7152756304</v>
      </c>
      <c r="H102" t="s">
        <v>92</v>
      </c>
      <c r="I102" s="12">
        <f>'pm_24.dat '!E350</f>
        <v>42492643.243836798</v>
      </c>
      <c r="J102" t="s">
        <v>92</v>
      </c>
      <c r="K102" s="12">
        <f>'pm_24.dat '!F350</f>
        <v>9645034.8595365491</v>
      </c>
      <c r="L102" t="s">
        <v>92</v>
      </c>
      <c r="M102" s="12">
        <f>'pm_24.dat '!G350</f>
        <v>14441576.410553699</v>
      </c>
      <c r="N102" t="s">
        <v>92</v>
      </c>
      <c r="O102" s="12">
        <f>'pm_24.dat '!H350</f>
        <v>4585875.8293913901</v>
      </c>
      <c r="P102" t="s">
        <v>92</v>
      </c>
      <c r="Q102" s="12">
        <f>'pm_24.dat '!I350</f>
        <v>1717604.0593898699</v>
      </c>
      <c r="R102" t="s">
        <v>92</v>
      </c>
      <c r="S102" s="12">
        <f>'pm_24.dat '!J350</f>
        <v>1146282.599315</v>
      </c>
      <c r="T102" t="s">
        <v>92</v>
      </c>
      <c r="U102" s="12">
        <f>'pm_24.dat '!K350</f>
        <v>1574203.58214513</v>
      </c>
      <c r="V102" t="s">
        <v>92</v>
      </c>
      <c r="W102" s="12">
        <f>'pm_24.dat '!L350</f>
        <v>1266093.15511427</v>
      </c>
      <c r="X102" t="s">
        <v>92</v>
      </c>
      <c r="Y102" s="12">
        <f>'pm_24.dat '!M350</f>
        <v>1095238.55019785</v>
      </c>
      <c r="Z102" t="s">
        <v>92</v>
      </c>
      <c r="AA102" s="12">
        <f>'pm_24.dat '!N350</f>
        <v>943797.94922364596</v>
      </c>
      <c r="AB102" t="s">
        <v>92</v>
      </c>
      <c r="AC102" s="12">
        <f>'pm_24.dat '!O350</f>
        <v>339095.225926149</v>
      </c>
      <c r="AD102" t="s">
        <v>92</v>
      </c>
      <c r="AE102" s="12">
        <f>'pm_24.dat '!P350</f>
        <v>643001.04705343803</v>
      </c>
      <c r="AF102" t="s">
        <v>92</v>
      </c>
      <c r="AG102" s="12">
        <f t="shared" si="0"/>
        <v>99885084.180114403</v>
      </c>
      <c r="AH102" t="s">
        <v>93</v>
      </c>
    </row>
    <row r="103" spans="1:34" x14ac:dyDescent="0.2">
      <c r="A103">
        <v>2013</v>
      </c>
      <c r="B103" t="s">
        <v>92</v>
      </c>
      <c r="C103" s="12">
        <f>'pm_24.dat '!B351</f>
        <v>12516351.138061</v>
      </c>
      <c r="D103" t="s">
        <v>92</v>
      </c>
      <c r="E103" s="12">
        <f>'pm_24.dat '!C351</f>
        <v>1331414.6955716801</v>
      </c>
      <c r="F103" t="s">
        <v>92</v>
      </c>
      <c r="G103" s="12">
        <f>'pm_24.dat '!D351</f>
        <v>2719135.0689647798</v>
      </c>
      <c r="H103" t="s">
        <v>92</v>
      </c>
      <c r="I103" s="12">
        <f>'pm_24.dat '!E351</f>
        <v>11312127.922041601</v>
      </c>
      <c r="J103" t="s">
        <v>92</v>
      </c>
      <c r="K103" s="12">
        <f>'pm_24.dat '!F351</f>
        <v>54588377.210021503</v>
      </c>
      <c r="L103" t="s">
        <v>92</v>
      </c>
      <c r="M103" s="12">
        <f>'pm_24.dat '!G351</f>
        <v>12315141.3228873</v>
      </c>
      <c r="N103" t="s">
        <v>92</v>
      </c>
      <c r="O103" s="12">
        <f>'pm_24.dat '!H351</f>
        <v>7509078.6865230203</v>
      </c>
      <c r="P103" t="s">
        <v>92</v>
      </c>
      <c r="Q103" s="12">
        <f>'pm_24.dat '!I351</f>
        <v>2626977.4553217799</v>
      </c>
      <c r="R103" t="s">
        <v>92</v>
      </c>
      <c r="S103" s="12">
        <f>'pm_24.dat '!J351</f>
        <v>889696.516048764</v>
      </c>
      <c r="T103" t="s">
        <v>92</v>
      </c>
      <c r="U103" s="12">
        <f>'pm_24.dat '!K351</f>
        <v>795045.41157902498</v>
      </c>
      <c r="V103" t="s">
        <v>92</v>
      </c>
      <c r="W103" s="12">
        <f>'pm_24.dat '!L351</f>
        <v>1044107.47463349</v>
      </c>
      <c r="X103" t="s">
        <v>92</v>
      </c>
      <c r="Y103" s="12">
        <f>'pm_24.dat '!M351</f>
        <v>791614.44890202605</v>
      </c>
      <c r="Z103" t="s">
        <v>92</v>
      </c>
      <c r="AA103" s="12">
        <f>'pm_24.dat '!N351</f>
        <v>761609.53676321497</v>
      </c>
      <c r="AB103" t="s">
        <v>92</v>
      </c>
      <c r="AC103" s="12">
        <f>'pm_24.dat '!O351</f>
        <v>436128.54011752998</v>
      </c>
      <c r="AD103" t="s">
        <v>92</v>
      </c>
      <c r="AE103" s="12">
        <f>'pm_24.dat '!P351</f>
        <v>605760.94629696896</v>
      </c>
      <c r="AF103" t="s">
        <v>92</v>
      </c>
      <c r="AG103" s="12">
        <f t="shared" si="0"/>
        <v>110242566.37373368</v>
      </c>
      <c r="AH103" t="s">
        <v>93</v>
      </c>
    </row>
    <row r="104" spans="1:34" x14ac:dyDescent="0.2">
      <c r="A104">
        <v>2014</v>
      </c>
      <c r="B104" t="s">
        <v>92</v>
      </c>
      <c r="C104" s="12">
        <f>'pm_24.dat '!B352</f>
        <v>25378686.143507101</v>
      </c>
      <c r="D104" t="s">
        <v>92</v>
      </c>
      <c r="E104" s="12">
        <f>'pm_24.dat '!C352</f>
        <v>4876512.2683694996</v>
      </c>
      <c r="F104" t="s">
        <v>92</v>
      </c>
      <c r="G104" s="12">
        <f>'pm_24.dat '!D352</f>
        <v>2785092.37422011</v>
      </c>
      <c r="H104" t="s">
        <v>92</v>
      </c>
      <c r="I104" s="12">
        <f>'pm_24.dat '!E352</f>
        <v>4941127.8173848204</v>
      </c>
      <c r="J104" t="s">
        <v>92</v>
      </c>
      <c r="K104" s="12">
        <f>'pm_24.dat '!F352</f>
        <v>22998938.763282102</v>
      </c>
      <c r="L104" t="s">
        <v>92</v>
      </c>
      <c r="M104" s="12">
        <f>'pm_24.dat '!G352</f>
        <v>77482489.417188898</v>
      </c>
      <c r="N104" t="s">
        <v>92</v>
      </c>
      <c r="O104" s="12">
        <f>'pm_24.dat '!H352</f>
        <v>38209563.5122995</v>
      </c>
      <c r="P104" t="s">
        <v>92</v>
      </c>
      <c r="Q104" s="12">
        <f>'pm_24.dat '!I352</f>
        <v>8022328.7641793201</v>
      </c>
      <c r="R104" t="s">
        <v>92</v>
      </c>
      <c r="S104" s="12">
        <f>'pm_24.dat '!J352</f>
        <v>4363180.8357622596</v>
      </c>
      <c r="T104" t="s">
        <v>92</v>
      </c>
      <c r="U104" s="12">
        <f>'pm_24.dat '!K352</f>
        <v>1576299.4413270201</v>
      </c>
      <c r="V104" t="s">
        <v>92</v>
      </c>
      <c r="W104" s="12">
        <f>'pm_24.dat '!L352</f>
        <v>617041.82808300003</v>
      </c>
      <c r="X104" t="s">
        <v>92</v>
      </c>
      <c r="Y104" s="12">
        <f>'pm_24.dat '!M352</f>
        <v>882338.14918445004</v>
      </c>
      <c r="Z104" t="s">
        <v>92</v>
      </c>
      <c r="AA104" s="12">
        <f>'pm_24.dat '!N352</f>
        <v>917453.62560813001</v>
      </c>
      <c r="AB104" t="s">
        <v>92</v>
      </c>
      <c r="AC104" s="12">
        <f>'pm_24.dat '!O352</f>
        <v>454361.44275968103</v>
      </c>
      <c r="AD104" t="s">
        <v>92</v>
      </c>
      <c r="AE104" s="12">
        <f>'pm_24.dat '!P352</f>
        <v>1355735.16125466</v>
      </c>
      <c r="AF104" t="s">
        <v>92</v>
      </c>
      <c r="AG104" s="12">
        <f t="shared" si="0"/>
        <v>194861149.54441056</v>
      </c>
      <c r="AH104" t="s">
        <v>93</v>
      </c>
    </row>
    <row r="105" spans="1:34" x14ac:dyDescent="0.2">
      <c r="A105">
        <v>2015</v>
      </c>
      <c r="B105" t="s">
        <v>92</v>
      </c>
      <c r="C105" s="12">
        <f>'pm_24.dat '!B353</f>
        <v>14570602.836345701</v>
      </c>
      <c r="D105" t="s">
        <v>92</v>
      </c>
      <c r="E105" s="12">
        <f>'pm_24.dat '!C353</f>
        <v>9287210.0476073995</v>
      </c>
      <c r="F105" t="s">
        <v>92</v>
      </c>
      <c r="G105" s="12">
        <f>'pm_24.dat '!D353</f>
        <v>27666360.964924</v>
      </c>
      <c r="H105" t="s">
        <v>92</v>
      </c>
      <c r="I105" s="12">
        <f>'pm_24.dat '!E353</f>
        <v>7412849.3819824504</v>
      </c>
      <c r="J105" t="s">
        <v>92</v>
      </c>
      <c r="K105" s="12">
        <f>'pm_24.dat '!F353</f>
        <v>15161330.593746999</v>
      </c>
      <c r="L105" t="s">
        <v>92</v>
      </c>
      <c r="M105" s="12">
        <f>'pm_24.dat '!G353</f>
        <v>27357325.580514699</v>
      </c>
      <c r="N105" t="s">
        <v>92</v>
      </c>
      <c r="O105" s="12">
        <f>'pm_24.dat '!H353</f>
        <v>51509441.954418197</v>
      </c>
      <c r="P105" t="s">
        <v>92</v>
      </c>
      <c r="Q105" s="12">
        <f>'pm_24.dat '!I353</f>
        <v>15215181.790152701</v>
      </c>
      <c r="R105" t="s">
        <v>92</v>
      </c>
      <c r="S105" s="12">
        <f>'pm_24.dat '!J353</f>
        <v>3849752.0415055202</v>
      </c>
      <c r="T105" t="s">
        <v>92</v>
      </c>
      <c r="U105" s="12">
        <f>'pm_24.dat '!K353</f>
        <v>1905497.56630907</v>
      </c>
      <c r="V105" t="s">
        <v>92</v>
      </c>
      <c r="W105" s="12">
        <f>'pm_24.dat '!L353</f>
        <v>273243.76532811997</v>
      </c>
      <c r="X105" t="s">
        <v>92</v>
      </c>
      <c r="Y105" s="12">
        <f>'pm_24.dat '!M353</f>
        <v>259660.128001345</v>
      </c>
      <c r="Z105" t="s">
        <v>92</v>
      </c>
      <c r="AA105" s="12">
        <f>'pm_24.dat '!N353</f>
        <v>492805.23946413898</v>
      </c>
      <c r="AB105" t="s">
        <v>92</v>
      </c>
      <c r="AC105" s="12">
        <f>'pm_24.dat '!O353</f>
        <v>301584.41324032203</v>
      </c>
      <c r="AD105" t="s">
        <v>92</v>
      </c>
      <c r="AE105" s="12">
        <f>'pm_24.dat '!P353</f>
        <v>684089.292684488</v>
      </c>
      <c r="AF105" t="s">
        <v>92</v>
      </c>
      <c r="AG105" s="12">
        <f t="shared" si="0"/>
        <v>175946935.59622511</v>
      </c>
      <c r="AH105" t="s">
        <v>93</v>
      </c>
    </row>
    <row r="106" spans="1:34" x14ac:dyDescent="0.2">
      <c r="A106">
        <v>2016</v>
      </c>
      <c r="B106" t="s">
        <v>92</v>
      </c>
      <c r="C106" s="12">
        <f>'pm_24.dat '!B354</f>
        <v>7941441.5278521702</v>
      </c>
      <c r="D106" t="s">
        <v>92</v>
      </c>
      <c r="E106" s="12">
        <f>'pm_24.dat '!C354</f>
        <v>4933720.7832396897</v>
      </c>
      <c r="F106" t="s">
        <v>92</v>
      </c>
      <c r="G106" s="12">
        <f>'pm_24.dat '!D354</f>
        <v>7280966.2906801198</v>
      </c>
      <c r="H106" t="s">
        <v>92</v>
      </c>
      <c r="I106" s="12">
        <f>'pm_24.dat '!E354</f>
        <v>40234752.7736063</v>
      </c>
      <c r="J106" t="s">
        <v>92</v>
      </c>
      <c r="K106" s="12">
        <f>'pm_24.dat '!F354</f>
        <v>16990612.895686999</v>
      </c>
      <c r="L106" t="s">
        <v>92</v>
      </c>
      <c r="M106" s="12">
        <f>'pm_24.dat '!G354</f>
        <v>12002854.0187358</v>
      </c>
      <c r="N106" t="s">
        <v>92</v>
      </c>
      <c r="O106" s="12">
        <f>'pm_24.dat '!H354</f>
        <v>17683480.832810201</v>
      </c>
      <c r="P106" t="s">
        <v>92</v>
      </c>
      <c r="Q106" s="12">
        <f>'pm_24.dat '!I354</f>
        <v>26916812.6824673</v>
      </c>
      <c r="R106" t="s">
        <v>92</v>
      </c>
      <c r="S106" s="12">
        <f>'pm_24.dat '!J354</f>
        <v>5421347.8346778098</v>
      </c>
      <c r="T106" t="s">
        <v>92</v>
      </c>
      <c r="U106" s="12">
        <f>'pm_24.dat '!K354</f>
        <v>2219756.7917613201</v>
      </c>
      <c r="V106" t="s">
        <v>92</v>
      </c>
      <c r="W106" s="12">
        <f>'pm_24.dat '!L354</f>
        <v>800491.83111522696</v>
      </c>
      <c r="X106" t="s">
        <v>92</v>
      </c>
      <c r="Y106" s="12">
        <f>'pm_24.dat '!M354</f>
        <v>175307.05855688301</v>
      </c>
      <c r="Z106" t="s">
        <v>92</v>
      </c>
      <c r="AA106" s="12">
        <f>'pm_24.dat '!N354</f>
        <v>183181.62916087601</v>
      </c>
      <c r="AB106" t="s">
        <v>92</v>
      </c>
      <c r="AC106" s="12">
        <f>'pm_24.dat '!O354</f>
        <v>66413.893460413194</v>
      </c>
      <c r="AD106" t="s">
        <v>92</v>
      </c>
      <c r="AE106" s="12">
        <f>'pm_24.dat '!P354</f>
        <v>138781.083364227</v>
      </c>
      <c r="AF106" t="s">
        <v>92</v>
      </c>
      <c r="AG106" s="12">
        <f t="shared" si="0"/>
        <v>142989921.92717531</v>
      </c>
      <c r="AH106" t="s">
        <v>93</v>
      </c>
    </row>
    <row r="107" spans="1:34" x14ac:dyDescent="0.2">
      <c r="A107">
        <v>2017</v>
      </c>
      <c r="B107" t="s">
        <v>92</v>
      </c>
      <c r="C107" s="12">
        <f>'pm_24.dat '!B355</f>
        <v>7835995.1838214099</v>
      </c>
      <c r="D107" t="s">
        <v>92</v>
      </c>
      <c r="E107" s="12">
        <f>'pm_24.dat '!C355</f>
        <v>3214697.8162231301</v>
      </c>
      <c r="F107" t="s">
        <v>92</v>
      </c>
      <c r="G107" s="12">
        <f>'pm_24.dat '!D355</f>
        <v>5449588.2010550797</v>
      </c>
      <c r="H107" t="s">
        <v>92</v>
      </c>
      <c r="I107" s="12">
        <f>'pm_24.dat '!E355</f>
        <v>26483257.231641099</v>
      </c>
      <c r="J107" t="s">
        <v>92</v>
      </c>
      <c r="K107" s="12">
        <f>'pm_24.dat '!F355</f>
        <v>34955817.768618599</v>
      </c>
      <c r="L107" t="s">
        <v>92</v>
      </c>
      <c r="M107" s="12">
        <f>'pm_24.dat '!G355</f>
        <v>15973015.853458401</v>
      </c>
      <c r="N107" t="s">
        <v>92</v>
      </c>
      <c r="O107" s="12">
        <f>'pm_24.dat '!H355</f>
        <v>12309447.3700897</v>
      </c>
      <c r="P107" t="s">
        <v>92</v>
      </c>
      <c r="Q107" s="12">
        <f>'pm_24.dat '!I355</f>
        <v>11547000.189348301</v>
      </c>
      <c r="R107" t="s">
        <v>92</v>
      </c>
      <c r="S107" s="12">
        <f>'pm_24.dat '!J355</f>
        <v>14759950.209909</v>
      </c>
      <c r="T107" t="s">
        <v>92</v>
      </c>
      <c r="U107" s="12">
        <f>'pm_24.dat '!K355</f>
        <v>4236452.4896050002</v>
      </c>
      <c r="V107" t="s">
        <v>92</v>
      </c>
      <c r="W107" s="12">
        <f>'pm_24.dat '!L355</f>
        <v>1626289.8823387499</v>
      </c>
      <c r="X107" t="s">
        <v>92</v>
      </c>
      <c r="Y107" s="12">
        <f>'pm_24.dat '!M355</f>
        <v>546154.70575948805</v>
      </c>
      <c r="Z107" t="s">
        <v>92</v>
      </c>
      <c r="AA107" s="12">
        <f>'pm_24.dat '!N355</f>
        <v>82885.440540199706</v>
      </c>
      <c r="AB107" t="s">
        <v>92</v>
      </c>
      <c r="AC107" s="12">
        <f>'pm_24.dat '!O355</f>
        <v>48759.4895831049</v>
      </c>
      <c r="AD107" t="s">
        <v>92</v>
      </c>
      <c r="AE107" s="12">
        <f>'pm_24.dat '!P355</f>
        <v>163072.04891548399</v>
      </c>
      <c r="AF107" t="s">
        <v>92</v>
      </c>
      <c r="AG107" s="12">
        <f t="shared" si="0"/>
        <v>139232383.88090676</v>
      </c>
      <c r="AH107" t="s">
        <v>93</v>
      </c>
    </row>
    <row r="108" spans="1:34" x14ac:dyDescent="0.2">
      <c r="A108">
        <v>2018</v>
      </c>
      <c r="B108" t="s">
        <v>92</v>
      </c>
      <c r="C108" s="12">
        <f>'pm_24.dat '!B356</f>
        <v>11286192.270435501</v>
      </c>
      <c r="D108" t="s">
        <v>92</v>
      </c>
      <c r="E108" s="12">
        <f>'pm_24.dat '!C356</f>
        <v>4732793.6619869601</v>
      </c>
      <c r="F108" t="s">
        <v>92</v>
      </c>
      <c r="G108" s="12">
        <f>'pm_24.dat '!D356</f>
        <v>2514980.6017866801</v>
      </c>
      <c r="H108" t="s">
        <v>92</v>
      </c>
      <c r="I108" s="12">
        <f>'pm_24.dat '!E356</f>
        <v>3644291.3317505601</v>
      </c>
      <c r="J108" t="s">
        <v>92</v>
      </c>
      <c r="K108" s="12">
        <f>'pm_24.dat '!F356</f>
        <v>25017136.571692001</v>
      </c>
      <c r="L108" t="s">
        <v>92</v>
      </c>
      <c r="M108" s="12">
        <f>'pm_24.dat '!G356</f>
        <v>15376458.9127289</v>
      </c>
      <c r="N108" t="s">
        <v>92</v>
      </c>
      <c r="O108" s="12">
        <f>'pm_24.dat '!H356</f>
        <v>5329573.7819736497</v>
      </c>
      <c r="P108" t="s">
        <v>92</v>
      </c>
      <c r="Q108" s="12">
        <f>'pm_24.dat '!I356</f>
        <v>3877931.6350245699</v>
      </c>
      <c r="R108" t="s">
        <v>92</v>
      </c>
      <c r="S108" s="12">
        <f>'pm_24.dat '!J356</f>
        <v>3983520.8119236901</v>
      </c>
      <c r="T108" t="s">
        <v>92</v>
      </c>
      <c r="U108" s="12">
        <f>'pm_24.dat '!K356</f>
        <v>3265517.4227273301</v>
      </c>
      <c r="V108" t="s">
        <v>92</v>
      </c>
      <c r="W108" s="12">
        <f>'pm_24.dat '!L356</f>
        <v>914786.24742378702</v>
      </c>
      <c r="X108" t="s">
        <v>92</v>
      </c>
      <c r="Y108" s="12">
        <f>'pm_24.dat '!M356</f>
        <v>142478.710097831</v>
      </c>
      <c r="Z108" t="s">
        <v>92</v>
      </c>
      <c r="AA108" s="12">
        <f>'pm_24.dat '!N356</f>
        <v>18267.3271693155</v>
      </c>
      <c r="AB108" t="s">
        <v>92</v>
      </c>
      <c r="AC108" s="12">
        <f>'pm_24.dat '!O356</f>
        <v>3004.33073055762</v>
      </c>
      <c r="AD108" t="s">
        <v>92</v>
      </c>
      <c r="AE108" s="12">
        <f>'pm_24.dat '!P356</f>
        <v>56514.239858890098</v>
      </c>
      <c r="AF108" t="s">
        <v>92</v>
      </c>
      <c r="AG108" s="12">
        <f t="shared" si="0"/>
        <v>80163447.857310206</v>
      </c>
      <c r="AH108" t="s">
        <v>93</v>
      </c>
    </row>
    <row r="109" spans="1:34" x14ac:dyDescent="0.2">
      <c r="A109">
        <v>2019</v>
      </c>
      <c r="B109" t="s">
        <v>92</v>
      </c>
      <c r="C109" s="12">
        <f>'pm_24.dat '!B357</f>
        <v>26795702.009224299</v>
      </c>
      <c r="D109" t="s">
        <v>92</v>
      </c>
      <c r="E109" s="12">
        <f>'pm_24.dat '!C357</f>
        <v>7133716.5654144697</v>
      </c>
      <c r="F109" t="s">
        <v>92</v>
      </c>
      <c r="G109" s="12">
        <f>'pm_24.dat '!D357</f>
        <v>5930177.0410660496</v>
      </c>
      <c r="H109" t="s">
        <v>92</v>
      </c>
      <c r="I109" s="12">
        <f>'pm_24.dat '!E357</f>
        <v>6152047.19672962</v>
      </c>
      <c r="J109" t="s">
        <v>92</v>
      </c>
      <c r="K109" s="12">
        <f>'pm_24.dat '!F357</f>
        <v>17596778.628679901</v>
      </c>
      <c r="L109" t="s">
        <v>92</v>
      </c>
      <c r="M109" s="12">
        <f>'pm_24.dat '!G357</f>
        <v>62768466.637020603</v>
      </c>
      <c r="N109" t="s">
        <v>92</v>
      </c>
      <c r="O109" s="12">
        <f>'pm_24.dat '!H357</f>
        <v>25067658.534419999</v>
      </c>
      <c r="P109" t="s">
        <v>92</v>
      </c>
      <c r="Q109" s="12">
        <f>'pm_24.dat '!I357</f>
        <v>5958068.9450741997</v>
      </c>
      <c r="R109" t="s">
        <v>92</v>
      </c>
      <c r="S109" s="12">
        <f>'pm_24.dat '!J357</f>
        <v>4295960.4012729004</v>
      </c>
      <c r="T109" t="s">
        <v>92</v>
      </c>
      <c r="U109" s="12">
        <f>'pm_24.dat '!K357</f>
        <v>2541978.3243035902</v>
      </c>
      <c r="V109" t="s">
        <v>92</v>
      </c>
      <c r="W109" s="12">
        <f>'pm_24.dat '!L357</f>
        <v>1336557.43998952</v>
      </c>
      <c r="X109" t="s">
        <v>92</v>
      </c>
      <c r="Y109" s="12">
        <f>'pm_24.dat '!M357</f>
        <v>606917.86426083103</v>
      </c>
      <c r="Z109" t="s">
        <v>92</v>
      </c>
      <c r="AA109" s="12">
        <f>'pm_24.dat '!N357</f>
        <v>239831.759678662</v>
      </c>
      <c r="AB109" t="s">
        <v>92</v>
      </c>
      <c r="AC109" s="12">
        <f>'pm_24.dat '!O357</f>
        <v>69125.767119646902</v>
      </c>
      <c r="AD109" t="s">
        <v>92</v>
      </c>
      <c r="AE109" s="12">
        <f>'pm_24.dat '!P357</f>
        <v>27594.223081028202</v>
      </c>
      <c r="AF109" t="s">
        <v>92</v>
      </c>
      <c r="AG109" s="12">
        <f t="shared" si="0"/>
        <v>166520581.33733532</v>
      </c>
      <c r="AH109" t="s">
        <v>93</v>
      </c>
    </row>
    <row r="110" spans="1:34" x14ac:dyDescent="0.2">
      <c r="A110">
        <v>2020</v>
      </c>
      <c r="B110" t="s">
        <v>92</v>
      </c>
      <c r="C110" t="s">
        <v>94</v>
      </c>
      <c r="D110" t="s">
        <v>92</v>
      </c>
      <c r="E110" t="s">
        <v>94</v>
      </c>
      <c r="F110" t="s">
        <v>92</v>
      </c>
      <c r="G110" t="s">
        <v>94</v>
      </c>
      <c r="H110" t="s">
        <v>92</v>
      </c>
      <c r="I110" t="s">
        <v>94</v>
      </c>
      <c r="J110" t="s">
        <v>92</v>
      </c>
      <c r="K110" t="s">
        <v>94</v>
      </c>
      <c r="L110" t="s">
        <v>92</v>
      </c>
      <c r="M110" t="s">
        <v>94</v>
      </c>
      <c r="N110" t="s">
        <v>92</v>
      </c>
      <c r="O110" t="s">
        <v>94</v>
      </c>
      <c r="P110" t="s">
        <v>92</v>
      </c>
      <c r="Q110" t="s">
        <v>94</v>
      </c>
      <c r="R110" t="s">
        <v>92</v>
      </c>
      <c r="S110" t="s">
        <v>94</v>
      </c>
      <c r="T110" t="s">
        <v>92</v>
      </c>
      <c r="U110" t="s">
        <v>94</v>
      </c>
      <c r="V110" t="s">
        <v>92</v>
      </c>
      <c r="W110" t="s">
        <v>94</v>
      </c>
      <c r="X110" t="s">
        <v>92</v>
      </c>
      <c r="Y110" t="s">
        <v>94</v>
      </c>
      <c r="Z110" t="s">
        <v>92</v>
      </c>
      <c r="AA110" t="s">
        <v>94</v>
      </c>
      <c r="AB110" t="s">
        <v>92</v>
      </c>
      <c r="AC110" t="s">
        <v>94</v>
      </c>
      <c r="AD110" t="s">
        <v>92</v>
      </c>
      <c r="AE110" t="s">
        <v>94</v>
      </c>
      <c r="AF110" t="s">
        <v>92</v>
      </c>
      <c r="AG110" s="12" t="s">
        <v>94</v>
      </c>
      <c r="AH110" t="s">
        <v>93</v>
      </c>
    </row>
    <row r="111" spans="1:34" x14ac:dyDescent="0.2">
      <c r="A111">
        <v>2021</v>
      </c>
      <c r="B111" t="s">
        <v>92</v>
      </c>
      <c r="C111" s="12">
        <f>'pm_24.dat '!B358</f>
        <v>10321941.107230401</v>
      </c>
      <c r="D111" t="s">
        <v>92</v>
      </c>
      <c r="E111" s="12">
        <f>'pm_24.dat '!C358</f>
        <v>7980262.7680814303</v>
      </c>
      <c r="F111" t="s">
        <v>92</v>
      </c>
      <c r="G111" s="12">
        <f>'pm_24.dat '!D358</f>
        <v>19643040.994242501</v>
      </c>
      <c r="H111" t="s">
        <v>92</v>
      </c>
      <c r="I111" s="12">
        <f>'pm_24.dat '!E358</f>
        <v>7534073.0473998496</v>
      </c>
      <c r="J111" t="s">
        <v>92</v>
      </c>
      <c r="K111" s="12">
        <f>'pm_24.dat '!F358</f>
        <v>6888789.5908251097</v>
      </c>
      <c r="L111" t="s">
        <v>92</v>
      </c>
      <c r="M111" s="12">
        <f>'pm_24.dat '!G358</f>
        <v>5019764.1405570898</v>
      </c>
      <c r="N111" t="s">
        <v>92</v>
      </c>
      <c r="O111" s="12">
        <f>'pm_24.dat '!H358</f>
        <v>12791898.633880099</v>
      </c>
      <c r="P111" t="s">
        <v>92</v>
      </c>
      <c r="Q111" s="12">
        <f>'pm_24.dat '!I358</f>
        <v>14770243.6181076</v>
      </c>
      <c r="R111" t="s">
        <v>92</v>
      </c>
      <c r="S111" s="12">
        <f>'pm_24.dat '!J358</f>
        <v>3919545.9709568801</v>
      </c>
      <c r="T111" t="s">
        <v>92</v>
      </c>
      <c r="U111" s="12">
        <f>'pm_24.dat '!K358</f>
        <v>1521761.9978549399</v>
      </c>
      <c r="V111" t="s">
        <v>92</v>
      </c>
      <c r="W111" s="12">
        <f>'pm_24.dat '!L358</f>
        <v>1274924.0175382399</v>
      </c>
      <c r="X111" t="s">
        <v>92</v>
      </c>
      <c r="Y111" s="12">
        <f>'pm_24.dat '!M358</f>
        <v>825848.337958068</v>
      </c>
      <c r="Z111" t="s">
        <v>92</v>
      </c>
      <c r="AA111" s="12">
        <f>'pm_24.dat '!N358</f>
        <v>180076.859317603</v>
      </c>
      <c r="AB111" t="s">
        <v>92</v>
      </c>
      <c r="AC111" s="12">
        <f>'pm_24.dat '!O358</f>
        <v>127919.17277277401</v>
      </c>
      <c r="AD111" t="s">
        <v>92</v>
      </c>
      <c r="AE111" s="12">
        <f>'pm_24.dat '!P358</f>
        <v>43703.854918281198</v>
      </c>
      <c r="AF111" t="s">
        <v>92</v>
      </c>
      <c r="AG111" s="12">
        <f t="shared" si="0"/>
        <v>92843794.111640856</v>
      </c>
      <c r="AH111" t="s">
        <v>93</v>
      </c>
    </row>
    <row r="112" spans="1:34" x14ac:dyDescent="0.2">
      <c r="A112">
        <v>2022</v>
      </c>
      <c r="B112" t="s">
        <v>92</v>
      </c>
      <c r="C112" s="12">
        <f>'pm_24.dat '!B359</f>
        <v>8119155.4789981097</v>
      </c>
      <c r="D112" t="s">
        <v>92</v>
      </c>
      <c r="E112" s="12">
        <f>'pm_24.dat '!C359</f>
        <v>3512415.1722926102</v>
      </c>
      <c r="F112" t="s">
        <v>92</v>
      </c>
      <c r="G112" s="12">
        <f>'pm_24.dat '!D359</f>
        <v>5999539.4952552496</v>
      </c>
      <c r="H112" t="s">
        <v>92</v>
      </c>
      <c r="I112" s="12">
        <f>'pm_24.dat '!E359</f>
        <v>40060934.4575978</v>
      </c>
      <c r="J112" t="s">
        <v>92</v>
      </c>
      <c r="K112" s="12">
        <f>'pm_24.dat '!F359</f>
        <v>18724630.110852499</v>
      </c>
      <c r="L112" t="s">
        <v>92</v>
      </c>
      <c r="M112" s="12">
        <f>'pm_24.dat '!G359</f>
        <v>7295680.6874011699</v>
      </c>
      <c r="N112" t="s">
        <v>92</v>
      </c>
      <c r="O112" s="12">
        <f>'pm_24.dat '!H359</f>
        <v>8107799.0645883</v>
      </c>
      <c r="P112" t="s">
        <v>92</v>
      </c>
      <c r="Q112" s="12">
        <f>'pm_24.dat '!I359</f>
        <v>11423969.807732601</v>
      </c>
      <c r="R112" t="s">
        <v>92</v>
      </c>
      <c r="S112" s="12">
        <f>'pm_24.dat '!J359</f>
        <v>8559664.4369053897</v>
      </c>
      <c r="T112" t="s">
        <v>92</v>
      </c>
      <c r="U112" s="12">
        <f>'pm_24.dat '!K359</f>
        <v>2718413.7017737101</v>
      </c>
      <c r="V112" t="s">
        <v>92</v>
      </c>
      <c r="W112" s="12">
        <f>'pm_24.dat '!L359</f>
        <v>1159337.26925105</v>
      </c>
      <c r="X112" t="s">
        <v>92</v>
      </c>
      <c r="Y112" s="12">
        <f>'pm_24.dat '!M359</f>
        <v>966027.28932664695</v>
      </c>
      <c r="Z112" t="s">
        <v>92</v>
      </c>
      <c r="AA112" s="12">
        <f>'pm_24.dat '!N359</f>
        <v>372666.78153455799</v>
      </c>
      <c r="AB112" t="s">
        <v>92</v>
      </c>
      <c r="AC112" s="12">
        <f>'pm_24.dat '!O359</f>
        <v>213040.35805945299</v>
      </c>
      <c r="AD112" t="s">
        <v>92</v>
      </c>
      <c r="AE112" s="12">
        <f>'pm_24.dat '!P359</f>
        <v>21877.409401341702</v>
      </c>
      <c r="AF112" t="s">
        <v>92</v>
      </c>
      <c r="AG112" s="12">
        <f t="shared" si="0"/>
        <v>117255151.52097046</v>
      </c>
      <c r="AH112" t="s">
        <v>93</v>
      </c>
    </row>
    <row r="113" spans="1:34" x14ac:dyDescent="0.2">
      <c r="A113">
        <v>2023</v>
      </c>
      <c r="B113" t="s">
        <v>92</v>
      </c>
      <c r="C113" s="12">
        <f>'pm_24.dat '!B360</f>
        <v>11137835.3580554</v>
      </c>
      <c r="D113" t="s">
        <v>92</v>
      </c>
      <c r="E113" s="12">
        <f>'pm_24.dat '!C360</f>
        <v>3821529.6571778501</v>
      </c>
      <c r="F113" t="s">
        <v>92</v>
      </c>
      <c r="G113" s="12">
        <f>'pm_24.dat '!D360</f>
        <v>3417362.30158898</v>
      </c>
      <c r="H113" t="s">
        <v>92</v>
      </c>
      <c r="I113" s="12">
        <f>'pm_24.dat '!E360</f>
        <v>6362056.5565748001</v>
      </c>
      <c r="J113" t="s">
        <v>92</v>
      </c>
      <c r="K113" s="12">
        <f>'pm_24.dat '!F360</f>
        <v>27500461.752457101</v>
      </c>
      <c r="L113" t="s">
        <v>92</v>
      </c>
      <c r="M113" s="12">
        <f>'pm_24.dat '!G360</f>
        <v>8082480.3632932799</v>
      </c>
      <c r="N113" t="s">
        <v>92</v>
      </c>
      <c r="O113" s="12">
        <f>'pm_24.dat '!H360</f>
        <v>4453183.5229307897</v>
      </c>
      <c r="P113" t="s">
        <v>92</v>
      </c>
      <c r="Q113" s="12">
        <f>'pm_24.dat '!I360</f>
        <v>4429531.4949839003</v>
      </c>
      <c r="R113" t="s">
        <v>92</v>
      </c>
      <c r="S113" s="12">
        <f>'pm_24.dat '!J360</f>
        <v>7032284.8866445702</v>
      </c>
      <c r="T113" t="s">
        <v>92</v>
      </c>
      <c r="U113" s="12">
        <f>'pm_24.dat '!K360</f>
        <v>4966833.3140758798</v>
      </c>
      <c r="V113" t="s">
        <v>92</v>
      </c>
      <c r="W113" s="12">
        <f>'pm_24.dat '!L360</f>
        <v>1060140.98091226</v>
      </c>
      <c r="X113" t="s">
        <v>92</v>
      </c>
      <c r="Y113" s="12">
        <f>'pm_24.dat '!M360</f>
        <v>439895.46716770198</v>
      </c>
      <c r="Z113" t="s">
        <v>92</v>
      </c>
      <c r="AA113" s="12">
        <f>'pm_24.dat '!N360</f>
        <v>269472.08576631499</v>
      </c>
      <c r="AB113" t="s">
        <v>92</v>
      </c>
      <c r="AC113" s="12">
        <f>'pm_24.dat '!O360</f>
        <v>106526.825823259</v>
      </c>
      <c r="AD113" t="s">
        <v>92</v>
      </c>
      <c r="AE113" s="12">
        <f>'pm_24.dat '!P360</f>
        <v>118836.213890902</v>
      </c>
      <c r="AF113" t="s">
        <v>92</v>
      </c>
      <c r="AG113" s="12">
        <f t="shared" si="0"/>
        <v>83198430.781342998</v>
      </c>
      <c r="AH113" t="s">
        <v>93</v>
      </c>
    </row>
    <row r="114" spans="1:34" x14ac:dyDescent="0.2">
      <c r="A114">
        <v>2024</v>
      </c>
      <c r="B114" t="s">
        <v>92</v>
      </c>
      <c r="C114" s="12">
        <f>'pm_24.dat '!B361</f>
        <v>16262095.5924962</v>
      </c>
      <c r="D114" t="s">
        <v>92</v>
      </c>
      <c r="E114" s="12">
        <f>'pm_24.dat '!C361</f>
        <v>10959913.955809601</v>
      </c>
      <c r="F114" t="s">
        <v>92</v>
      </c>
      <c r="G114" s="12">
        <f>'pm_24.dat '!D361</f>
        <v>9746020.6600887198</v>
      </c>
      <c r="H114" t="s">
        <v>92</v>
      </c>
      <c r="I114" s="12">
        <f>'pm_24.dat '!E361</f>
        <v>6623305.5987449903</v>
      </c>
      <c r="J114" t="s">
        <v>92</v>
      </c>
      <c r="K114" s="12">
        <f>'pm_24.dat '!F361</f>
        <v>20779428.819194701</v>
      </c>
      <c r="L114" t="s">
        <v>92</v>
      </c>
      <c r="M114" s="12">
        <f>'pm_24.dat '!G361</f>
        <v>68044769.383987904</v>
      </c>
      <c r="N114" t="s">
        <v>92</v>
      </c>
      <c r="O114" s="12">
        <f>'pm_24.dat '!H361</f>
        <v>15085251.925883999</v>
      </c>
      <c r="P114" t="s">
        <v>92</v>
      </c>
      <c r="Q114" s="12">
        <f>'pm_24.dat '!I361</f>
        <v>4701781.4321535304</v>
      </c>
      <c r="R114" t="s">
        <v>92</v>
      </c>
      <c r="S114" s="12">
        <f>'pm_24.dat '!J361</f>
        <v>4432455.9634271301</v>
      </c>
      <c r="T114" t="s">
        <v>92</v>
      </c>
      <c r="U114" s="12">
        <f>'pm_24.dat '!K361</f>
        <v>3989283.0266505899</v>
      </c>
      <c r="V114" t="s">
        <v>92</v>
      </c>
      <c r="W114" s="12">
        <f>'pm_24.dat '!L361</f>
        <v>2725271.1924725999</v>
      </c>
      <c r="X114" t="s">
        <v>92</v>
      </c>
      <c r="Y114" s="12">
        <f>'pm_24.dat '!M361</f>
        <v>1025842.99965635</v>
      </c>
      <c r="Z114" t="s">
        <v>92</v>
      </c>
      <c r="AA114" s="12">
        <f>'pm_24.dat '!N361</f>
        <v>324711.81848925003</v>
      </c>
      <c r="AB114" t="s">
        <v>92</v>
      </c>
      <c r="AC114" s="12">
        <f>'pm_24.dat '!O361</f>
        <v>123823.855641377</v>
      </c>
      <c r="AD114" t="s">
        <v>92</v>
      </c>
      <c r="AE114" s="12">
        <f>'pm_24.dat '!P361</f>
        <v>43271.925935078798</v>
      </c>
      <c r="AF114" t="s">
        <v>92</v>
      </c>
      <c r="AG114" s="12">
        <f>SUM(B114:AF114)</f>
        <v>164867228.15063199</v>
      </c>
      <c r="AH114" t="s">
        <v>93</v>
      </c>
    </row>
    <row r="115" spans="1:34" x14ac:dyDescent="0.2">
      <c r="A115" t="s">
        <v>95</v>
      </c>
    </row>
    <row r="116" spans="1:34" x14ac:dyDescent="0.2">
      <c r="A116" t="s">
        <v>96</v>
      </c>
      <c r="B116" t="s">
        <v>92</v>
      </c>
      <c r="C116" s="12">
        <f>AVERAGE(C66:C114)</f>
        <v>15475098.127229933</v>
      </c>
      <c r="D116" t="s">
        <v>92</v>
      </c>
      <c r="E116" s="12">
        <f>AVERAGE(E66:E114)</f>
        <v>5566353.6121040247</v>
      </c>
      <c r="F116" t="s">
        <v>92</v>
      </c>
      <c r="G116" s="12">
        <f>AVERAGE(G66:G114)</f>
        <v>9259162.0328835938</v>
      </c>
      <c r="H116" t="s">
        <v>92</v>
      </c>
      <c r="I116" s="12">
        <f>AVERAGE(I66:I114)</f>
        <v>17412988.032764919</v>
      </c>
      <c r="J116" t="s">
        <v>92</v>
      </c>
      <c r="K116" s="12">
        <f>AVERAGE(K66:K114)</f>
        <v>24134582.044796195</v>
      </c>
      <c r="L116" t="s">
        <v>92</v>
      </c>
      <c r="M116" s="12">
        <f>AVERAGE(M66:M114)</f>
        <v>23070702.415011846</v>
      </c>
      <c r="N116" t="s">
        <v>92</v>
      </c>
      <c r="O116" s="12">
        <f>AVERAGE(O66:O114)</f>
        <v>13857603.966639092</v>
      </c>
      <c r="P116" t="s">
        <v>92</v>
      </c>
      <c r="Q116" s="12">
        <f>AVERAGE(Q66:Q114)</f>
        <v>8297287.0741097759</v>
      </c>
      <c r="R116" t="s">
        <v>92</v>
      </c>
      <c r="S116" s="12">
        <f>AVERAGE(S66:S114)</f>
        <v>4932506.6049521742</v>
      </c>
      <c r="T116" t="s">
        <v>92</v>
      </c>
      <c r="U116" s="12">
        <f>AVERAGE(U66:U114)</f>
        <v>3254544.0954157859</v>
      </c>
      <c r="V116" t="s">
        <v>92</v>
      </c>
      <c r="W116" s="12">
        <f>AVERAGE(W66:W114)</f>
        <v>1962593.7147647706</v>
      </c>
      <c r="X116" t="s">
        <v>92</v>
      </c>
      <c r="Y116" s="12">
        <f>AVERAGE(Y66:Y114)</f>
        <v>1352075.6243196717</v>
      </c>
      <c r="Z116" t="s">
        <v>92</v>
      </c>
      <c r="AA116" s="12">
        <f>AVERAGE(AA66:AA114)</f>
        <v>777917.06206249294</v>
      </c>
      <c r="AB116" t="s">
        <v>92</v>
      </c>
      <c r="AC116" s="12">
        <f>AVERAGE(AC66:AC114)</f>
        <v>407561.28237246338</v>
      </c>
      <c r="AD116" t="s">
        <v>92</v>
      </c>
      <c r="AE116" s="12">
        <f>AVERAGE(AE66:AE114)</f>
        <v>678449.65199881699</v>
      </c>
      <c r="AF116" t="s">
        <v>92</v>
      </c>
      <c r="AG116" s="12">
        <f>AVERAGE(AG66:AG114)</f>
        <v>130439425.34142558</v>
      </c>
      <c r="AH116" t="s">
        <v>93</v>
      </c>
    </row>
    <row r="122" spans="1:34" x14ac:dyDescent="0.2">
      <c r="A122">
        <v>1982</v>
      </c>
      <c r="B122" t="s">
        <v>92</v>
      </c>
      <c r="C122">
        <v>3.2000000000000001E-2</v>
      </c>
      <c r="D122" t="s">
        <v>92</v>
      </c>
      <c r="E122">
        <v>7.6999999999999999E-2</v>
      </c>
      <c r="F122" t="s">
        <v>92</v>
      </c>
      <c r="G122">
        <v>0.18099999999999999</v>
      </c>
      <c r="H122" t="s">
        <v>92</v>
      </c>
      <c r="I122">
        <v>0.34</v>
      </c>
      <c r="J122" t="s">
        <v>92</v>
      </c>
      <c r="K122">
        <v>0.41099999999999998</v>
      </c>
      <c r="L122" t="s">
        <v>92</v>
      </c>
      <c r="M122">
        <v>0.77700000000000002</v>
      </c>
      <c r="N122" t="s">
        <v>92</v>
      </c>
      <c r="O122">
        <v>1.0509999999999999</v>
      </c>
      <c r="P122" t="s">
        <v>92</v>
      </c>
      <c r="Q122">
        <v>1.1879999999999999</v>
      </c>
      <c r="R122" t="s">
        <v>92</v>
      </c>
      <c r="S122">
        <v>1.401</v>
      </c>
      <c r="T122" t="s">
        <v>92</v>
      </c>
      <c r="U122">
        <v>1.5669999999999999</v>
      </c>
      <c r="V122" t="s">
        <v>92</v>
      </c>
      <c r="W122">
        <v>2.2349999999999999</v>
      </c>
      <c r="X122" t="s">
        <v>92</v>
      </c>
      <c r="Y122">
        <v>1.99</v>
      </c>
      <c r="Z122" t="s">
        <v>92</v>
      </c>
      <c r="AA122">
        <v>1.9039999999999999</v>
      </c>
      <c r="AB122" t="s">
        <v>92</v>
      </c>
      <c r="AC122">
        <v>1.524</v>
      </c>
      <c r="AD122" t="s">
        <v>92</v>
      </c>
      <c r="AE122">
        <v>2.9460000000000002</v>
      </c>
      <c r="AF122" t="s">
        <v>93</v>
      </c>
    </row>
    <row r="123" spans="1:34" x14ac:dyDescent="0.2">
      <c r="A123">
        <v>1983</v>
      </c>
      <c r="B123" t="s">
        <v>92</v>
      </c>
      <c r="C123">
        <v>2.1000000000000001E-2</v>
      </c>
      <c r="D123" t="s">
        <v>92</v>
      </c>
      <c r="E123">
        <v>0.10100000000000001</v>
      </c>
      <c r="F123" t="s">
        <v>92</v>
      </c>
      <c r="G123">
        <v>0.20899999999999999</v>
      </c>
      <c r="H123" t="s">
        <v>92</v>
      </c>
      <c r="I123">
        <v>0.34200000000000003</v>
      </c>
      <c r="J123" t="s">
        <v>92</v>
      </c>
      <c r="K123">
        <v>0.53600000000000003</v>
      </c>
      <c r="L123" t="s">
        <v>92</v>
      </c>
      <c r="M123">
        <v>0.77400000000000002</v>
      </c>
      <c r="N123" t="s">
        <v>92</v>
      </c>
      <c r="O123">
        <v>1.016</v>
      </c>
      <c r="P123" t="s">
        <v>92</v>
      </c>
      <c r="Q123">
        <v>1.4530000000000001</v>
      </c>
      <c r="R123" t="s">
        <v>92</v>
      </c>
      <c r="S123">
        <v>1.4059999999999999</v>
      </c>
      <c r="T123" t="s">
        <v>92</v>
      </c>
      <c r="U123">
        <v>1.667</v>
      </c>
      <c r="V123" t="s">
        <v>92</v>
      </c>
      <c r="W123">
        <v>1.5289999999999999</v>
      </c>
      <c r="X123" t="s">
        <v>92</v>
      </c>
      <c r="Y123">
        <v>1.577</v>
      </c>
      <c r="Z123" t="s">
        <v>92</v>
      </c>
      <c r="AA123">
        <v>2.0129999999999999</v>
      </c>
      <c r="AB123" t="s">
        <v>92</v>
      </c>
      <c r="AC123">
        <v>2.1269999999999998</v>
      </c>
      <c r="AD123" t="s">
        <v>92</v>
      </c>
      <c r="AE123">
        <v>1.8340000000000001</v>
      </c>
      <c r="AF123" t="s">
        <v>93</v>
      </c>
    </row>
    <row r="124" spans="1:34" x14ac:dyDescent="0.2">
      <c r="A124">
        <v>1984</v>
      </c>
      <c r="B124" t="s">
        <v>92</v>
      </c>
      <c r="C124">
        <v>1.7000000000000001E-2</v>
      </c>
      <c r="D124" t="s">
        <v>92</v>
      </c>
      <c r="E124">
        <v>8.4000000000000005E-2</v>
      </c>
      <c r="F124" t="s">
        <v>92</v>
      </c>
      <c r="G124">
        <v>0.215</v>
      </c>
      <c r="H124" t="s">
        <v>92</v>
      </c>
      <c r="I124">
        <v>0.314</v>
      </c>
      <c r="J124" t="s">
        <v>92</v>
      </c>
      <c r="K124">
        <v>0.432</v>
      </c>
      <c r="L124" t="s">
        <v>92</v>
      </c>
      <c r="M124">
        <v>0.60299999999999998</v>
      </c>
      <c r="N124" t="s">
        <v>92</v>
      </c>
      <c r="O124">
        <v>0.92600000000000005</v>
      </c>
      <c r="P124" t="s">
        <v>92</v>
      </c>
      <c r="Q124">
        <v>1.3129999999999999</v>
      </c>
      <c r="R124" t="s">
        <v>92</v>
      </c>
      <c r="S124">
        <v>1.268</v>
      </c>
      <c r="T124" t="s">
        <v>92</v>
      </c>
      <c r="U124">
        <v>1.4730000000000001</v>
      </c>
      <c r="V124" t="s">
        <v>92</v>
      </c>
      <c r="W124">
        <v>1.9850000000000001</v>
      </c>
      <c r="X124" t="s">
        <v>92</v>
      </c>
      <c r="Y124">
        <v>1.6879999999999999</v>
      </c>
      <c r="Z124" t="s">
        <v>92</v>
      </c>
      <c r="AA124">
        <v>1.905</v>
      </c>
      <c r="AB124" t="s">
        <v>92</v>
      </c>
      <c r="AC124">
        <v>1.4259999999999999</v>
      </c>
      <c r="AD124" t="s">
        <v>92</v>
      </c>
      <c r="AE124">
        <v>2.1219999999999999</v>
      </c>
      <c r="AF124" t="s">
        <v>93</v>
      </c>
    </row>
    <row r="125" spans="1:34" x14ac:dyDescent="0.2">
      <c r="A125">
        <v>1985</v>
      </c>
      <c r="B125" t="s">
        <v>92</v>
      </c>
      <c r="C125">
        <v>3.1E-2</v>
      </c>
      <c r="D125" t="s">
        <v>92</v>
      </c>
      <c r="E125">
        <v>9.2999999999999999E-2</v>
      </c>
      <c r="F125" t="s">
        <v>92</v>
      </c>
      <c r="G125">
        <v>0.22900000000000001</v>
      </c>
      <c r="H125" t="s">
        <v>92</v>
      </c>
      <c r="I125">
        <v>0.36799999999999999</v>
      </c>
      <c r="J125" t="s">
        <v>92</v>
      </c>
      <c r="K125">
        <v>0.48099999999999998</v>
      </c>
      <c r="L125" t="s">
        <v>92</v>
      </c>
      <c r="M125">
        <v>0.71499999999999997</v>
      </c>
      <c r="N125" t="s">
        <v>92</v>
      </c>
      <c r="O125">
        <v>0.91</v>
      </c>
      <c r="P125" t="s">
        <v>92</v>
      </c>
      <c r="Q125">
        <v>1.2130000000000001</v>
      </c>
      <c r="R125" t="s">
        <v>92</v>
      </c>
      <c r="S125">
        <v>1.7230000000000001</v>
      </c>
      <c r="T125" t="s">
        <v>92</v>
      </c>
      <c r="U125">
        <v>1.4359999999999999</v>
      </c>
      <c r="V125" t="s">
        <v>92</v>
      </c>
      <c r="W125">
        <v>1.532</v>
      </c>
      <c r="X125" t="s">
        <v>92</v>
      </c>
      <c r="Y125">
        <v>1.7769999999999999</v>
      </c>
      <c r="Z125" t="s">
        <v>92</v>
      </c>
      <c r="AA125">
        <v>2.0379999999999998</v>
      </c>
      <c r="AB125" t="s">
        <v>92</v>
      </c>
      <c r="AC125">
        <v>1.6519999999999999</v>
      </c>
      <c r="AD125" t="s">
        <v>92</v>
      </c>
      <c r="AE125">
        <v>2.6339999999999999</v>
      </c>
      <c r="AF125" t="s">
        <v>93</v>
      </c>
    </row>
    <row r="126" spans="1:34" x14ac:dyDescent="0.2">
      <c r="A126">
        <v>1986</v>
      </c>
      <c r="B126" t="s">
        <v>92</v>
      </c>
      <c r="C126">
        <v>1.9E-2</v>
      </c>
      <c r="D126" t="s">
        <v>92</v>
      </c>
      <c r="E126">
        <v>7.2999999999999995E-2</v>
      </c>
      <c r="F126" t="s">
        <v>92</v>
      </c>
      <c r="G126">
        <v>0.16900000000000001</v>
      </c>
      <c r="H126" t="s">
        <v>92</v>
      </c>
      <c r="I126">
        <v>0.31</v>
      </c>
      <c r="J126" t="s">
        <v>92</v>
      </c>
      <c r="K126">
        <v>0.41399999999999998</v>
      </c>
      <c r="L126" t="s">
        <v>92</v>
      </c>
      <c r="M126">
        <v>0.60799999999999998</v>
      </c>
      <c r="N126" t="s">
        <v>92</v>
      </c>
      <c r="O126">
        <v>0.76700000000000002</v>
      </c>
      <c r="P126" t="s">
        <v>92</v>
      </c>
      <c r="Q126">
        <v>1.018</v>
      </c>
      <c r="R126" t="s">
        <v>92</v>
      </c>
      <c r="S126">
        <v>1.304</v>
      </c>
      <c r="T126" t="s">
        <v>92</v>
      </c>
      <c r="U126">
        <v>1.65</v>
      </c>
      <c r="V126" t="s">
        <v>92</v>
      </c>
      <c r="W126">
        <v>1.276</v>
      </c>
      <c r="X126" t="s">
        <v>92</v>
      </c>
      <c r="Y126">
        <v>1.381</v>
      </c>
      <c r="Z126" t="s">
        <v>92</v>
      </c>
      <c r="AA126">
        <v>1.9830000000000001</v>
      </c>
      <c r="AB126" t="s">
        <v>92</v>
      </c>
      <c r="AC126">
        <v>2.2330000000000001</v>
      </c>
      <c r="AD126" t="s">
        <v>92</v>
      </c>
      <c r="AE126">
        <v>2.2229999999999999</v>
      </c>
      <c r="AF126" t="s">
        <v>93</v>
      </c>
    </row>
    <row r="127" spans="1:34" x14ac:dyDescent="0.2">
      <c r="A127">
        <v>1987</v>
      </c>
      <c r="B127" t="s">
        <v>92</v>
      </c>
      <c r="C127">
        <v>2.3E-2</v>
      </c>
      <c r="D127" t="s">
        <v>92</v>
      </c>
      <c r="E127">
        <v>0.123</v>
      </c>
      <c r="F127" t="s">
        <v>92</v>
      </c>
      <c r="G127">
        <v>0.253</v>
      </c>
      <c r="H127" t="s">
        <v>92</v>
      </c>
      <c r="I127">
        <v>0.33200000000000002</v>
      </c>
      <c r="J127" t="s">
        <v>92</v>
      </c>
      <c r="K127">
        <v>0.42199999999999999</v>
      </c>
      <c r="L127" t="s">
        <v>92</v>
      </c>
      <c r="M127">
        <v>0.54700000000000004</v>
      </c>
      <c r="N127" t="s">
        <v>92</v>
      </c>
      <c r="O127">
        <v>0.71799999999999997</v>
      </c>
      <c r="P127" t="s">
        <v>92</v>
      </c>
      <c r="Q127">
        <v>0.84899999999999998</v>
      </c>
      <c r="R127" t="s">
        <v>92</v>
      </c>
      <c r="S127">
        <v>1.008</v>
      </c>
      <c r="T127" t="s">
        <v>92</v>
      </c>
      <c r="U127">
        <v>1.2609999999999999</v>
      </c>
      <c r="V127" t="s">
        <v>92</v>
      </c>
      <c r="W127">
        <v>1.581</v>
      </c>
      <c r="X127" t="s">
        <v>92</v>
      </c>
      <c r="Y127">
        <v>1.6120000000000001</v>
      </c>
      <c r="Z127" t="s">
        <v>92</v>
      </c>
      <c r="AA127">
        <v>2.202</v>
      </c>
      <c r="AB127" t="s">
        <v>92</v>
      </c>
      <c r="AC127">
        <v>2.0449999999999999</v>
      </c>
      <c r="AD127" t="s">
        <v>92</v>
      </c>
      <c r="AE127">
        <v>2.395</v>
      </c>
      <c r="AF127" t="s">
        <v>93</v>
      </c>
    </row>
    <row r="128" spans="1:34" x14ac:dyDescent="0.2">
      <c r="A128">
        <v>1988</v>
      </c>
      <c r="B128" t="s">
        <v>92</v>
      </c>
      <c r="C128">
        <v>1.9E-2</v>
      </c>
      <c r="D128" t="s">
        <v>92</v>
      </c>
      <c r="E128">
        <v>0.13300000000000001</v>
      </c>
      <c r="F128" t="s">
        <v>92</v>
      </c>
      <c r="G128">
        <v>0.28100000000000003</v>
      </c>
      <c r="H128" t="s">
        <v>92</v>
      </c>
      <c r="I128">
        <v>0.33</v>
      </c>
      <c r="J128" t="s">
        <v>92</v>
      </c>
      <c r="K128">
        <v>0.44600000000000001</v>
      </c>
      <c r="L128" t="s">
        <v>92</v>
      </c>
      <c r="M128">
        <v>0.49399999999999999</v>
      </c>
      <c r="N128" t="s">
        <v>92</v>
      </c>
      <c r="O128">
        <v>0.59</v>
      </c>
      <c r="P128" t="s">
        <v>92</v>
      </c>
      <c r="Q128">
        <v>0.81399999999999995</v>
      </c>
      <c r="R128" t="s">
        <v>92</v>
      </c>
      <c r="S128">
        <v>0.90800000000000003</v>
      </c>
      <c r="T128" t="s">
        <v>92</v>
      </c>
      <c r="U128">
        <v>1.04</v>
      </c>
      <c r="V128" t="s">
        <v>92</v>
      </c>
      <c r="W128">
        <v>1.23</v>
      </c>
      <c r="X128" t="s">
        <v>92</v>
      </c>
      <c r="Y128">
        <v>1.2849999999999999</v>
      </c>
      <c r="Z128" t="s">
        <v>92</v>
      </c>
      <c r="AA128">
        <v>1.571</v>
      </c>
      <c r="AB128" t="s">
        <v>92</v>
      </c>
      <c r="AC128">
        <v>0.68600000000000005</v>
      </c>
      <c r="AD128" t="s">
        <v>92</v>
      </c>
      <c r="AE128">
        <v>1.74</v>
      </c>
      <c r="AF128" t="s">
        <v>93</v>
      </c>
    </row>
    <row r="129" spans="1:32" x14ac:dyDescent="0.2">
      <c r="A129">
        <v>1989</v>
      </c>
      <c r="B129" t="s">
        <v>92</v>
      </c>
      <c r="C129">
        <v>2.1999999999999999E-2</v>
      </c>
      <c r="D129" t="s">
        <v>92</v>
      </c>
      <c r="E129">
        <v>8.2000000000000003E-2</v>
      </c>
      <c r="F129" t="s">
        <v>92</v>
      </c>
      <c r="G129">
        <v>0.16900000000000001</v>
      </c>
      <c r="H129" t="s">
        <v>92</v>
      </c>
      <c r="I129">
        <v>0.27700000000000002</v>
      </c>
      <c r="J129" t="s">
        <v>92</v>
      </c>
      <c r="K129">
        <v>0.371</v>
      </c>
      <c r="L129" t="s">
        <v>92</v>
      </c>
      <c r="M129">
        <v>0.54900000000000004</v>
      </c>
      <c r="N129" t="s">
        <v>92</v>
      </c>
      <c r="O129">
        <v>0.66200000000000003</v>
      </c>
      <c r="P129" t="s">
        <v>92</v>
      </c>
      <c r="Q129">
        <v>0.83699999999999997</v>
      </c>
      <c r="R129" t="s">
        <v>92</v>
      </c>
      <c r="S129">
        <v>1.0269999999999999</v>
      </c>
      <c r="T129" t="s">
        <v>92</v>
      </c>
      <c r="U129">
        <v>1</v>
      </c>
      <c r="V129" t="s">
        <v>92</v>
      </c>
      <c r="W129">
        <v>1.115</v>
      </c>
      <c r="X129" t="s">
        <v>92</v>
      </c>
      <c r="Y129">
        <v>1.014</v>
      </c>
      <c r="Z129" t="s">
        <v>92</v>
      </c>
      <c r="AA129">
        <v>1.26</v>
      </c>
      <c r="AB129" t="s">
        <v>92</v>
      </c>
      <c r="AC129">
        <v>1.1439999999999999</v>
      </c>
      <c r="AD129" t="s">
        <v>92</v>
      </c>
      <c r="AE129">
        <v>1.103</v>
      </c>
      <c r="AF129" t="s">
        <v>93</v>
      </c>
    </row>
    <row r="130" spans="1:32" x14ac:dyDescent="0.2">
      <c r="A130">
        <v>1990</v>
      </c>
      <c r="B130" t="s">
        <v>92</v>
      </c>
      <c r="C130">
        <v>2.9000000000000001E-2</v>
      </c>
      <c r="D130" t="s">
        <v>92</v>
      </c>
      <c r="E130">
        <v>9.7000000000000003E-2</v>
      </c>
      <c r="F130" t="s">
        <v>92</v>
      </c>
      <c r="G130">
        <v>0.187</v>
      </c>
      <c r="H130" t="s">
        <v>92</v>
      </c>
      <c r="I130">
        <v>0.35599999999999998</v>
      </c>
      <c r="J130" t="s">
        <v>92</v>
      </c>
      <c r="K130">
        <v>0.47799999999999998</v>
      </c>
      <c r="L130" t="s">
        <v>92</v>
      </c>
      <c r="M130">
        <v>0.54500000000000004</v>
      </c>
      <c r="N130" t="s">
        <v>92</v>
      </c>
      <c r="O130">
        <v>0.61399999999999999</v>
      </c>
      <c r="P130" t="s">
        <v>92</v>
      </c>
      <c r="Q130">
        <v>0.73499999999999999</v>
      </c>
      <c r="R130" t="s">
        <v>92</v>
      </c>
      <c r="S130">
        <v>1.0289999999999999</v>
      </c>
      <c r="T130" t="s">
        <v>92</v>
      </c>
      <c r="U130">
        <v>0.97899999999999998</v>
      </c>
      <c r="V130" t="s">
        <v>92</v>
      </c>
      <c r="W130">
        <v>1.0229999999999999</v>
      </c>
      <c r="X130" t="s">
        <v>92</v>
      </c>
      <c r="Y130">
        <v>1.1879999999999999</v>
      </c>
      <c r="Z130" t="s">
        <v>92</v>
      </c>
      <c r="AA130">
        <v>0.85499999999999998</v>
      </c>
      <c r="AB130" t="s">
        <v>92</v>
      </c>
      <c r="AC130">
        <v>1.39</v>
      </c>
      <c r="AD130" t="s">
        <v>92</v>
      </c>
      <c r="AE130">
        <v>1.714</v>
      </c>
      <c r="AF130" t="s">
        <v>93</v>
      </c>
    </row>
    <row r="131" spans="1:32" x14ac:dyDescent="0.2">
      <c r="A131">
        <v>1991</v>
      </c>
      <c r="B131" t="s">
        <v>92</v>
      </c>
      <c r="C131">
        <v>0.03</v>
      </c>
      <c r="D131" t="s">
        <v>92</v>
      </c>
      <c r="E131">
        <v>0.14499999999999999</v>
      </c>
      <c r="F131" t="s">
        <v>92</v>
      </c>
      <c r="G131">
        <v>0.20100000000000001</v>
      </c>
      <c r="H131" t="s">
        <v>92</v>
      </c>
      <c r="I131">
        <v>0.33300000000000002</v>
      </c>
      <c r="J131" t="s">
        <v>92</v>
      </c>
      <c r="K131">
        <v>0.56499999999999995</v>
      </c>
      <c r="L131" t="s">
        <v>92</v>
      </c>
      <c r="M131">
        <v>0.65</v>
      </c>
      <c r="N131" t="s">
        <v>92</v>
      </c>
      <c r="O131">
        <v>0.77700000000000002</v>
      </c>
      <c r="P131" t="s">
        <v>92</v>
      </c>
      <c r="Q131">
        <v>0.85599999999999998</v>
      </c>
      <c r="R131" t="s">
        <v>92</v>
      </c>
      <c r="S131">
        <v>1.016</v>
      </c>
      <c r="T131" t="s">
        <v>92</v>
      </c>
      <c r="U131">
        <v>1.105</v>
      </c>
      <c r="V131" t="s">
        <v>92</v>
      </c>
      <c r="W131">
        <v>1.2869999999999999</v>
      </c>
      <c r="X131" t="s">
        <v>92</v>
      </c>
      <c r="Y131">
        <v>1.37</v>
      </c>
      <c r="Z131" t="s">
        <v>92</v>
      </c>
      <c r="AA131">
        <v>1.347</v>
      </c>
      <c r="AB131" t="s">
        <v>92</v>
      </c>
      <c r="AC131">
        <v>1.7330000000000001</v>
      </c>
      <c r="AD131" t="s">
        <v>92</v>
      </c>
      <c r="AE131">
        <v>1.6910000000000001</v>
      </c>
      <c r="AF131" t="s">
        <v>93</v>
      </c>
    </row>
    <row r="132" spans="1:32" x14ac:dyDescent="0.2">
      <c r="A132">
        <v>1992</v>
      </c>
      <c r="B132" t="s">
        <v>92</v>
      </c>
      <c r="C132">
        <v>0.03</v>
      </c>
      <c r="D132" t="s">
        <v>92</v>
      </c>
      <c r="E132">
        <v>0.13400000000000001</v>
      </c>
      <c r="F132" t="s">
        <v>92</v>
      </c>
      <c r="G132">
        <v>0.255</v>
      </c>
      <c r="H132" t="s">
        <v>92</v>
      </c>
      <c r="I132">
        <v>0.4</v>
      </c>
      <c r="J132" t="s">
        <v>92</v>
      </c>
      <c r="K132">
        <v>0.46400000000000002</v>
      </c>
      <c r="L132" t="s">
        <v>92</v>
      </c>
      <c r="M132">
        <v>0.56999999999999995</v>
      </c>
      <c r="N132" t="s">
        <v>92</v>
      </c>
      <c r="O132">
        <v>0.75600000000000001</v>
      </c>
      <c r="P132" t="s">
        <v>92</v>
      </c>
      <c r="Q132">
        <v>0.77100000000000002</v>
      </c>
      <c r="R132" t="s">
        <v>92</v>
      </c>
      <c r="S132">
        <v>0.92900000000000005</v>
      </c>
      <c r="T132" t="s">
        <v>92</v>
      </c>
      <c r="U132">
        <v>1.008</v>
      </c>
      <c r="V132" t="s">
        <v>92</v>
      </c>
      <c r="W132">
        <v>1.1379999999999999</v>
      </c>
      <c r="X132" t="s">
        <v>92</v>
      </c>
      <c r="Y132">
        <v>1.52</v>
      </c>
      <c r="Z132" t="s">
        <v>92</v>
      </c>
      <c r="AA132">
        <v>1.5389999999999999</v>
      </c>
      <c r="AB132" t="s">
        <v>92</v>
      </c>
      <c r="AC132">
        <v>1.4259999999999999</v>
      </c>
      <c r="AD132" t="s">
        <v>92</v>
      </c>
      <c r="AE132">
        <v>1.5629999999999999</v>
      </c>
      <c r="AF132" t="s">
        <v>93</v>
      </c>
    </row>
    <row r="133" spans="1:32" x14ac:dyDescent="0.2">
      <c r="A133">
        <v>1993</v>
      </c>
      <c r="B133" t="s">
        <v>92</v>
      </c>
      <c r="C133">
        <v>1.6E-2</v>
      </c>
      <c r="D133" t="s">
        <v>92</v>
      </c>
      <c r="E133">
        <v>9.8000000000000004E-2</v>
      </c>
      <c r="F133" t="s">
        <v>92</v>
      </c>
      <c r="G133">
        <v>0.25</v>
      </c>
      <c r="H133" t="s">
        <v>92</v>
      </c>
      <c r="I133">
        <v>0.40899999999999997</v>
      </c>
      <c r="J133" t="s">
        <v>92</v>
      </c>
      <c r="K133">
        <v>0.46400000000000002</v>
      </c>
      <c r="L133" t="s">
        <v>92</v>
      </c>
      <c r="M133">
        <v>0.54800000000000004</v>
      </c>
      <c r="N133" t="s">
        <v>92</v>
      </c>
      <c r="O133">
        <v>0.66200000000000003</v>
      </c>
      <c r="P133" t="s">
        <v>92</v>
      </c>
      <c r="Q133">
        <v>0.78300000000000003</v>
      </c>
      <c r="R133" t="s">
        <v>92</v>
      </c>
      <c r="S133">
        <v>0.98699999999999999</v>
      </c>
      <c r="T133" t="s">
        <v>92</v>
      </c>
      <c r="U133">
        <v>0.999</v>
      </c>
      <c r="V133" t="s">
        <v>92</v>
      </c>
      <c r="W133">
        <v>1.149</v>
      </c>
      <c r="X133" t="s">
        <v>92</v>
      </c>
      <c r="Y133">
        <v>1.2849999999999999</v>
      </c>
      <c r="Z133" t="s">
        <v>92</v>
      </c>
      <c r="AA133">
        <v>1.5089999999999999</v>
      </c>
      <c r="AB133" t="s">
        <v>92</v>
      </c>
      <c r="AC133">
        <v>1.5760000000000001</v>
      </c>
      <c r="AD133" t="s">
        <v>92</v>
      </c>
      <c r="AE133">
        <v>1.909</v>
      </c>
      <c r="AF133" t="s">
        <v>93</v>
      </c>
    </row>
    <row r="134" spans="1:32" x14ac:dyDescent="0.2">
      <c r="A134">
        <v>1994</v>
      </c>
      <c r="B134" t="s">
        <v>92</v>
      </c>
      <c r="C134">
        <v>2.5000000000000001E-2</v>
      </c>
      <c r="D134" t="s">
        <v>92</v>
      </c>
      <c r="E134">
        <v>0.11700000000000001</v>
      </c>
      <c r="F134" t="s">
        <v>92</v>
      </c>
      <c r="G134">
        <v>0.21199999999999999</v>
      </c>
      <c r="H134" t="s">
        <v>92</v>
      </c>
      <c r="I134">
        <v>0.40100000000000002</v>
      </c>
      <c r="J134" t="s">
        <v>92</v>
      </c>
      <c r="K134">
        <v>0.53600000000000003</v>
      </c>
      <c r="L134" t="s">
        <v>92</v>
      </c>
      <c r="M134">
        <v>0.67200000000000004</v>
      </c>
      <c r="N134" t="s">
        <v>92</v>
      </c>
      <c r="O134">
        <v>0.64800000000000002</v>
      </c>
      <c r="P134" t="s">
        <v>92</v>
      </c>
      <c r="Q134">
        <v>1.046</v>
      </c>
      <c r="R134" t="s">
        <v>92</v>
      </c>
      <c r="S134">
        <v>1.1659999999999999</v>
      </c>
      <c r="T134" t="s">
        <v>92</v>
      </c>
      <c r="U134">
        <v>1.107</v>
      </c>
      <c r="V134" t="s">
        <v>92</v>
      </c>
      <c r="W134">
        <v>1.2190000000000001</v>
      </c>
      <c r="X134" t="s">
        <v>92</v>
      </c>
      <c r="Y134">
        <v>1.2410000000000001</v>
      </c>
      <c r="Z134" t="s">
        <v>92</v>
      </c>
      <c r="AA134">
        <v>1.367</v>
      </c>
      <c r="AB134" t="s">
        <v>92</v>
      </c>
      <c r="AC134">
        <v>1.4359999999999999</v>
      </c>
      <c r="AD134" t="s">
        <v>92</v>
      </c>
      <c r="AE134">
        <v>1.4510000000000001</v>
      </c>
      <c r="AF134" t="s">
        <v>93</v>
      </c>
    </row>
    <row r="135" spans="1:32" x14ac:dyDescent="0.2">
      <c r="A135">
        <v>1995</v>
      </c>
      <c r="B135" t="s">
        <v>92</v>
      </c>
      <c r="C135">
        <v>1.7999999999999999E-2</v>
      </c>
      <c r="D135" t="s">
        <v>92</v>
      </c>
      <c r="E135">
        <v>0.105</v>
      </c>
      <c r="F135" t="s">
        <v>92</v>
      </c>
      <c r="G135">
        <v>0.16900000000000001</v>
      </c>
      <c r="H135" t="s">
        <v>92</v>
      </c>
      <c r="I135">
        <v>0.36299999999999999</v>
      </c>
      <c r="J135" t="s">
        <v>92</v>
      </c>
      <c r="K135">
        <v>0.47799999999999998</v>
      </c>
      <c r="L135" t="s">
        <v>92</v>
      </c>
      <c r="M135">
        <v>0.64800000000000002</v>
      </c>
      <c r="N135" t="s">
        <v>92</v>
      </c>
      <c r="O135">
        <v>0.624</v>
      </c>
      <c r="P135" t="s">
        <v>92</v>
      </c>
      <c r="Q135">
        <v>0.78500000000000003</v>
      </c>
      <c r="R135" t="s">
        <v>92</v>
      </c>
      <c r="S135">
        <v>0.91100000000000003</v>
      </c>
      <c r="T135" t="s">
        <v>92</v>
      </c>
      <c r="U135">
        <v>1.2809999999999999</v>
      </c>
      <c r="V135" t="s">
        <v>92</v>
      </c>
      <c r="W135">
        <v>1.222</v>
      </c>
      <c r="X135" t="s">
        <v>92</v>
      </c>
      <c r="Y135">
        <v>1.254</v>
      </c>
      <c r="Z135" t="s">
        <v>92</v>
      </c>
      <c r="AA135">
        <v>1.399</v>
      </c>
      <c r="AB135" t="s">
        <v>92</v>
      </c>
      <c r="AC135">
        <v>1.4219999999999999</v>
      </c>
      <c r="AD135" t="s">
        <v>92</v>
      </c>
      <c r="AE135">
        <v>1.74</v>
      </c>
      <c r="AF135" t="s">
        <v>93</v>
      </c>
    </row>
    <row r="136" spans="1:32" x14ac:dyDescent="0.2">
      <c r="A136">
        <v>1996</v>
      </c>
      <c r="B136" t="s">
        <v>92</v>
      </c>
      <c r="C136">
        <v>2.1000000000000001E-2</v>
      </c>
      <c r="D136" t="s">
        <v>92</v>
      </c>
      <c r="E136">
        <v>0.112</v>
      </c>
      <c r="F136" t="s">
        <v>92</v>
      </c>
      <c r="G136">
        <v>0.151</v>
      </c>
      <c r="H136" t="s">
        <v>92</v>
      </c>
      <c r="I136">
        <v>0.3</v>
      </c>
      <c r="J136" t="s">
        <v>92</v>
      </c>
      <c r="K136">
        <v>0.48699999999999999</v>
      </c>
      <c r="L136" t="s">
        <v>92</v>
      </c>
      <c r="M136">
        <v>0.58299999999999996</v>
      </c>
      <c r="N136" t="s">
        <v>92</v>
      </c>
      <c r="O136">
        <v>0.75800000000000001</v>
      </c>
      <c r="P136" t="s">
        <v>92</v>
      </c>
      <c r="Q136">
        <v>0.82</v>
      </c>
      <c r="R136" t="s">
        <v>92</v>
      </c>
      <c r="S136">
        <v>0.97899999999999998</v>
      </c>
      <c r="T136" t="s">
        <v>92</v>
      </c>
      <c r="U136">
        <v>1.0229999999999999</v>
      </c>
      <c r="V136" t="s">
        <v>92</v>
      </c>
      <c r="W136">
        <v>1.35</v>
      </c>
      <c r="X136" t="s">
        <v>92</v>
      </c>
      <c r="Y136">
        <v>1.4610000000000001</v>
      </c>
      <c r="Z136" t="s">
        <v>92</v>
      </c>
      <c r="AA136">
        <v>1.4870000000000001</v>
      </c>
      <c r="AB136" t="s">
        <v>92</v>
      </c>
      <c r="AC136">
        <v>1.639</v>
      </c>
      <c r="AD136" t="s">
        <v>92</v>
      </c>
      <c r="AE136">
        <v>1.964</v>
      </c>
      <c r="AF136" t="s">
        <v>93</v>
      </c>
    </row>
    <row r="137" spans="1:32" x14ac:dyDescent="0.2">
      <c r="A137">
        <v>1997</v>
      </c>
      <c r="B137" t="s">
        <v>92</v>
      </c>
      <c r="C137">
        <v>1.7000000000000001E-2</v>
      </c>
      <c r="D137" t="s">
        <v>92</v>
      </c>
      <c r="E137">
        <v>9.5000000000000001E-2</v>
      </c>
      <c r="F137" t="s">
        <v>92</v>
      </c>
      <c r="G137">
        <v>0.189</v>
      </c>
      <c r="H137" t="s">
        <v>92</v>
      </c>
      <c r="I137">
        <v>0.27700000000000002</v>
      </c>
      <c r="J137" t="s">
        <v>92</v>
      </c>
      <c r="K137">
        <v>0.38200000000000001</v>
      </c>
      <c r="L137" t="s">
        <v>92</v>
      </c>
      <c r="M137">
        <v>0.53</v>
      </c>
      <c r="N137" t="s">
        <v>92</v>
      </c>
      <c r="O137">
        <v>0.67400000000000004</v>
      </c>
      <c r="P137" t="s">
        <v>92</v>
      </c>
      <c r="Q137">
        <v>0.77600000000000002</v>
      </c>
      <c r="R137" t="s">
        <v>92</v>
      </c>
      <c r="S137">
        <v>0.996</v>
      </c>
      <c r="T137" t="s">
        <v>92</v>
      </c>
      <c r="U137">
        <v>0.96599999999999997</v>
      </c>
      <c r="V137" t="s">
        <v>92</v>
      </c>
      <c r="W137">
        <v>1.2110000000000001</v>
      </c>
      <c r="X137" t="s">
        <v>92</v>
      </c>
      <c r="Y137">
        <v>1.4650000000000001</v>
      </c>
      <c r="Z137" t="s">
        <v>92</v>
      </c>
      <c r="AA137">
        <v>1.0900000000000001</v>
      </c>
      <c r="AB137" t="s">
        <v>92</v>
      </c>
      <c r="AC137">
        <v>1.5660000000000001</v>
      </c>
      <c r="AD137" t="s">
        <v>92</v>
      </c>
      <c r="AE137">
        <v>1.9510000000000001</v>
      </c>
      <c r="AF137" t="s">
        <v>93</v>
      </c>
    </row>
    <row r="138" spans="1:32" x14ac:dyDescent="0.2">
      <c r="A138">
        <v>1998</v>
      </c>
      <c r="B138" t="s">
        <v>92</v>
      </c>
      <c r="C138">
        <v>1.6E-2</v>
      </c>
      <c r="D138" t="s">
        <v>92</v>
      </c>
      <c r="E138">
        <v>8.1000000000000003E-2</v>
      </c>
      <c r="F138" t="s">
        <v>92</v>
      </c>
      <c r="G138">
        <v>0.21299999999999999</v>
      </c>
      <c r="H138" t="s">
        <v>92</v>
      </c>
      <c r="I138">
        <v>0.33200000000000002</v>
      </c>
      <c r="J138" t="s">
        <v>92</v>
      </c>
      <c r="K138">
        <v>0.44600000000000001</v>
      </c>
      <c r="L138" t="s">
        <v>92</v>
      </c>
      <c r="M138">
        <v>0.51900000000000002</v>
      </c>
      <c r="N138" t="s">
        <v>92</v>
      </c>
      <c r="O138">
        <v>0.81100000000000005</v>
      </c>
      <c r="P138" t="s">
        <v>92</v>
      </c>
      <c r="Q138">
        <v>0.88700000000000001</v>
      </c>
      <c r="R138" t="s">
        <v>92</v>
      </c>
      <c r="S138">
        <v>1.0780000000000001</v>
      </c>
      <c r="T138" t="s">
        <v>92</v>
      </c>
      <c r="U138">
        <v>1.2929999999999999</v>
      </c>
      <c r="V138" t="s">
        <v>92</v>
      </c>
      <c r="W138">
        <v>1.5920000000000001</v>
      </c>
      <c r="X138" t="s">
        <v>92</v>
      </c>
      <c r="Y138">
        <v>1.415</v>
      </c>
      <c r="Z138" t="s">
        <v>92</v>
      </c>
      <c r="AA138">
        <v>1.516</v>
      </c>
      <c r="AB138" t="s">
        <v>92</v>
      </c>
      <c r="AC138">
        <v>1.669</v>
      </c>
      <c r="AD138" t="s">
        <v>92</v>
      </c>
      <c r="AE138">
        <v>1.905</v>
      </c>
      <c r="AF138" t="s">
        <v>93</v>
      </c>
    </row>
    <row r="139" spans="1:32" x14ac:dyDescent="0.2">
      <c r="A139">
        <v>1999</v>
      </c>
      <c r="B139" t="s">
        <v>92</v>
      </c>
      <c r="C139">
        <v>0.02</v>
      </c>
      <c r="D139" t="s">
        <v>92</v>
      </c>
      <c r="E139">
        <v>9.7000000000000003E-2</v>
      </c>
      <c r="F139" t="s">
        <v>92</v>
      </c>
      <c r="G139">
        <v>0.216</v>
      </c>
      <c r="H139" t="s">
        <v>92</v>
      </c>
      <c r="I139">
        <v>0.35099999999999998</v>
      </c>
      <c r="J139" t="s">
        <v>92</v>
      </c>
      <c r="K139">
        <v>0.39200000000000002</v>
      </c>
      <c r="L139" t="s">
        <v>92</v>
      </c>
      <c r="M139">
        <v>0.52600000000000002</v>
      </c>
      <c r="N139" t="s">
        <v>92</v>
      </c>
      <c r="O139">
        <v>0.61599999999999999</v>
      </c>
      <c r="P139" t="s">
        <v>92</v>
      </c>
      <c r="Q139">
        <v>0.88200000000000001</v>
      </c>
      <c r="R139" t="s">
        <v>92</v>
      </c>
      <c r="S139">
        <v>1.038</v>
      </c>
      <c r="T139" t="s">
        <v>92</v>
      </c>
      <c r="U139">
        <v>1.008</v>
      </c>
      <c r="V139" t="s">
        <v>92</v>
      </c>
      <c r="W139">
        <v>1.2789999999999999</v>
      </c>
      <c r="X139" t="s">
        <v>92</v>
      </c>
      <c r="Y139">
        <v>1.1319999999999999</v>
      </c>
      <c r="Z139" t="s">
        <v>92</v>
      </c>
      <c r="AA139">
        <v>1.6659999999999999</v>
      </c>
      <c r="AB139" t="s">
        <v>92</v>
      </c>
      <c r="AC139">
        <v>1.76</v>
      </c>
      <c r="AD139" t="s">
        <v>92</v>
      </c>
      <c r="AE139">
        <v>2.1920000000000002</v>
      </c>
      <c r="AF139" t="s">
        <v>93</v>
      </c>
    </row>
    <row r="140" spans="1:32" x14ac:dyDescent="0.2">
      <c r="A140">
        <v>2000</v>
      </c>
      <c r="B140" t="s">
        <v>92</v>
      </c>
      <c r="C140">
        <v>1.7000000000000001E-2</v>
      </c>
      <c r="D140" t="s">
        <v>92</v>
      </c>
      <c r="E140">
        <v>8.5000000000000006E-2</v>
      </c>
      <c r="F140" t="s">
        <v>92</v>
      </c>
      <c r="G140">
        <v>0.219</v>
      </c>
      <c r="H140" t="s">
        <v>92</v>
      </c>
      <c r="I140">
        <v>0.39800000000000002</v>
      </c>
      <c r="J140" t="s">
        <v>92</v>
      </c>
      <c r="K140">
        <v>0.47</v>
      </c>
      <c r="L140" t="s">
        <v>92</v>
      </c>
      <c r="M140">
        <v>0.52100000000000002</v>
      </c>
      <c r="N140" t="s">
        <v>92</v>
      </c>
      <c r="O140">
        <v>0.72199999999999998</v>
      </c>
      <c r="P140" t="s">
        <v>92</v>
      </c>
      <c r="Q140">
        <v>0.75900000000000001</v>
      </c>
      <c r="R140" t="s">
        <v>92</v>
      </c>
      <c r="S140">
        <v>0.92500000000000004</v>
      </c>
      <c r="T140" t="s">
        <v>92</v>
      </c>
      <c r="U140">
        <v>1.0349999999999999</v>
      </c>
      <c r="V140" t="s">
        <v>92</v>
      </c>
      <c r="W140">
        <v>1.236</v>
      </c>
      <c r="X140" t="s">
        <v>92</v>
      </c>
      <c r="Y140">
        <v>1.3380000000000001</v>
      </c>
      <c r="Z140" t="s">
        <v>92</v>
      </c>
      <c r="AA140">
        <v>1.782</v>
      </c>
      <c r="AB140" t="s">
        <v>92</v>
      </c>
      <c r="AC140">
        <v>1.6259999999999999</v>
      </c>
      <c r="AD140" t="s">
        <v>92</v>
      </c>
      <c r="AE140">
        <v>2.048</v>
      </c>
      <c r="AF140" t="s">
        <v>93</v>
      </c>
    </row>
    <row r="141" spans="1:32" x14ac:dyDescent="0.2">
      <c r="A141">
        <v>2001</v>
      </c>
      <c r="B141" t="s">
        <v>92</v>
      </c>
      <c r="C141">
        <v>2.1999999999999999E-2</v>
      </c>
      <c r="D141" t="s">
        <v>92</v>
      </c>
      <c r="E141">
        <v>9.1999999999999998E-2</v>
      </c>
      <c r="F141" t="s">
        <v>92</v>
      </c>
      <c r="G141">
        <v>0.20100000000000001</v>
      </c>
      <c r="H141" t="s">
        <v>92</v>
      </c>
      <c r="I141">
        <v>0.35599999999999998</v>
      </c>
      <c r="J141" t="s">
        <v>92</v>
      </c>
      <c r="K141">
        <v>0.61699999999999999</v>
      </c>
      <c r="L141" t="s">
        <v>92</v>
      </c>
      <c r="M141">
        <v>0.72899999999999998</v>
      </c>
      <c r="N141" t="s">
        <v>92</v>
      </c>
      <c r="O141">
        <v>0.75</v>
      </c>
      <c r="P141" t="s">
        <v>92</v>
      </c>
      <c r="Q141">
        <v>1</v>
      </c>
      <c r="R141" t="s">
        <v>92</v>
      </c>
      <c r="S141">
        <v>0.98199999999999998</v>
      </c>
      <c r="T141" t="s">
        <v>92</v>
      </c>
      <c r="U141">
        <v>1.0309999999999999</v>
      </c>
      <c r="V141" t="s">
        <v>92</v>
      </c>
      <c r="W141">
        <v>1.278</v>
      </c>
      <c r="X141" t="s">
        <v>92</v>
      </c>
      <c r="Y141">
        <v>1.419</v>
      </c>
      <c r="Z141" t="s">
        <v>92</v>
      </c>
      <c r="AA141">
        <v>1.474</v>
      </c>
      <c r="AB141" t="s">
        <v>92</v>
      </c>
      <c r="AC141">
        <v>1.766</v>
      </c>
      <c r="AD141" t="s">
        <v>92</v>
      </c>
      <c r="AE141">
        <v>1.5389999999999999</v>
      </c>
      <c r="AF141" t="s">
        <v>93</v>
      </c>
    </row>
    <row r="142" spans="1:32" x14ac:dyDescent="0.2">
      <c r="A142">
        <v>2002</v>
      </c>
      <c r="B142" t="s">
        <v>92</v>
      </c>
      <c r="C142">
        <v>2.5000000000000001E-2</v>
      </c>
      <c r="D142" t="s">
        <v>92</v>
      </c>
      <c r="E142">
        <v>0.107</v>
      </c>
      <c r="F142" t="s">
        <v>92</v>
      </c>
      <c r="G142">
        <v>0.26900000000000002</v>
      </c>
      <c r="H142" t="s">
        <v>92</v>
      </c>
      <c r="I142">
        <v>0.40200000000000002</v>
      </c>
      <c r="J142" t="s">
        <v>92</v>
      </c>
      <c r="K142">
        <v>0.54400000000000004</v>
      </c>
      <c r="L142" t="s">
        <v>92</v>
      </c>
      <c r="M142">
        <v>0.68500000000000005</v>
      </c>
      <c r="N142" t="s">
        <v>92</v>
      </c>
      <c r="O142">
        <v>0.71299999999999997</v>
      </c>
      <c r="P142" t="s">
        <v>92</v>
      </c>
      <c r="Q142">
        <v>0.90400000000000003</v>
      </c>
      <c r="R142" t="s">
        <v>92</v>
      </c>
      <c r="S142">
        <v>1.006</v>
      </c>
      <c r="T142" t="s">
        <v>92</v>
      </c>
      <c r="U142">
        <v>1.0529999999999999</v>
      </c>
      <c r="V142" t="s">
        <v>92</v>
      </c>
      <c r="W142">
        <v>1.01</v>
      </c>
      <c r="X142" t="s">
        <v>92</v>
      </c>
      <c r="Y142">
        <v>1.139</v>
      </c>
      <c r="Z142" t="s">
        <v>92</v>
      </c>
      <c r="AA142">
        <v>1.474</v>
      </c>
      <c r="AB142" t="s">
        <v>92</v>
      </c>
      <c r="AC142">
        <v>1.41</v>
      </c>
      <c r="AD142" t="s">
        <v>92</v>
      </c>
      <c r="AE142">
        <v>2.1080000000000001</v>
      </c>
      <c r="AF142" t="s">
        <v>93</v>
      </c>
    </row>
    <row r="143" spans="1:32" x14ac:dyDescent="0.2">
      <c r="A143">
        <v>2003</v>
      </c>
      <c r="B143" t="s">
        <v>92</v>
      </c>
      <c r="C143">
        <v>3.2000000000000001E-2</v>
      </c>
      <c r="D143" t="s">
        <v>92</v>
      </c>
      <c r="E143">
        <v>0.109</v>
      </c>
      <c r="F143" t="s">
        <v>92</v>
      </c>
      <c r="G143">
        <v>0.34200000000000003</v>
      </c>
      <c r="H143" t="s">
        <v>92</v>
      </c>
      <c r="I143">
        <v>0.41899999999999998</v>
      </c>
      <c r="J143" t="s">
        <v>92</v>
      </c>
      <c r="K143">
        <v>0.64800000000000002</v>
      </c>
      <c r="L143" t="s">
        <v>92</v>
      </c>
      <c r="M143">
        <v>0.71</v>
      </c>
      <c r="N143" t="s">
        <v>92</v>
      </c>
      <c r="O143">
        <v>0.88600000000000001</v>
      </c>
      <c r="P143" t="s">
        <v>92</v>
      </c>
      <c r="Q143">
        <v>0.86899999999999999</v>
      </c>
      <c r="R143" t="s">
        <v>92</v>
      </c>
      <c r="S143">
        <v>1.1240000000000001</v>
      </c>
      <c r="T143" t="s">
        <v>92</v>
      </c>
      <c r="U143">
        <v>1.2390000000000001</v>
      </c>
      <c r="V143" t="s">
        <v>92</v>
      </c>
      <c r="W143">
        <v>1.2689999999999999</v>
      </c>
      <c r="X143" t="s">
        <v>92</v>
      </c>
      <c r="Y143">
        <v>1.2849999999999999</v>
      </c>
      <c r="Z143" t="s">
        <v>92</v>
      </c>
      <c r="AA143">
        <v>1.369</v>
      </c>
      <c r="AB143" t="s">
        <v>92</v>
      </c>
      <c r="AC143">
        <v>1.7470000000000001</v>
      </c>
      <c r="AD143" t="s">
        <v>92</v>
      </c>
      <c r="AE143">
        <v>1.78</v>
      </c>
      <c r="AF143" t="s">
        <v>93</v>
      </c>
    </row>
    <row r="144" spans="1:32" x14ac:dyDescent="0.2">
      <c r="A144">
        <v>2004</v>
      </c>
      <c r="B144" t="s">
        <v>92</v>
      </c>
      <c r="C144">
        <v>3.5000000000000003E-2</v>
      </c>
      <c r="D144" t="s">
        <v>92</v>
      </c>
      <c r="E144">
        <v>0.20200000000000001</v>
      </c>
      <c r="F144" t="s">
        <v>92</v>
      </c>
      <c r="G144">
        <v>0.28399999999999997</v>
      </c>
      <c r="H144" t="s">
        <v>92</v>
      </c>
      <c r="I144">
        <v>0.51600000000000001</v>
      </c>
      <c r="J144" t="s">
        <v>92</v>
      </c>
      <c r="K144">
        <v>0.59499999999999997</v>
      </c>
      <c r="L144" t="s">
        <v>92</v>
      </c>
      <c r="M144">
        <v>0.75</v>
      </c>
      <c r="N144" t="s">
        <v>92</v>
      </c>
      <c r="O144">
        <v>0.89500000000000002</v>
      </c>
      <c r="P144" t="s">
        <v>92</v>
      </c>
      <c r="Q144">
        <v>0.93200000000000005</v>
      </c>
      <c r="R144" t="s">
        <v>92</v>
      </c>
      <c r="S144">
        <v>1.119</v>
      </c>
      <c r="T144" t="s">
        <v>92</v>
      </c>
      <c r="U144">
        <v>1.0269999999999999</v>
      </c>
      <c r="V144" t="s">
        <v>92</v>
      </c>
      <c r="W144">
        <v>1.2789999999999999</v>
      </c>
      <c r="X144" t="s">
        <v>92</v>
      </c>
      <c r="Y144">
        <v>1.552</v>
      </c>
      <c r="Z144" t="s">
        <v>92</v>
      </c>
      <c r="AA144">
        <v>1.5369999999999999</v>
      </c>
      <c r="AB144" t="s">
        <v>92</v>
      </c>
      <c r="AC144">
        <v>2.375</v>
      </c>
      <c r="AD144" t="s">
        <v>92</v>
      </c>
      <c r="AE144">
        <v>1.712</v>
      </c>
      <c r="AF144" t="s">
        <v>93</v>
      </c>
    </row>
    <row r="145" spans="1:32" x14ac:dyDescent="0.2">
      <c r="A145">
        <v>2005</v>
      </c>
      <c r="B145" t="s">
        <v>92</v>
      </c>
      <c r="C145">
        <v>3.4000000000000002E-2</v>
      </c>
      <c r="D145" t="s">
        <v>92</v>
      </c>
      <c r="E145">
        <v>0.112</v>
      </c>
      <c r="F145" t="s">
        <v>92</v>
      </c>
      <c r="G145">
        <v>0.23100000000000001</v>
      </c>
      <c r="H145" t="s">
        <v>92</v>
      </c>
      <c r="I145">
        <v>0.39400000000000002</v>
      </c>
      <c r="J145" t="s">
        <v>92</v>
      </c>
      <c r="K145">
        <v>0.53900000000000003</v>
      </c>
      <c r="L145" t="s">
        <v>92</v>
      </c>
      <c r="M145">
        <v>0.69799999999999995</v>
      </c>
      <c r="N145" t="s">
        <v>92</v>
      </c>
      <c r="O145">
        <v>0.85899999999999999</v>
      </c>
      <c r="P145" t="s">
        <v>92</v>
      </c>
      <c r="Q145">
        <v>0.93100000000000005</v>
      </c>
      <c r="R145" t="s">
        <v>92</v>
      </c>
      <c r="S145">
        <v>0.99299999999999999</v>
      </c>
      <c r="T145" t="s">
        <v>92</v>
      </c>
      <c r="U145">
        <v>1.2230000000000001</v>
      </c>
      <c r="V145" t="s">
        <v>92</v>
      </c>
      <c r="W145">
        <v>1.383</v>
      </c>
      <c r="X145" t="s">
        <v>92</v>
      </c>
      <c r="Y145">
        <v>1.2290000000000001</v>
      </c>
      <c r="Z145" t="s">
        <v>92</v>
      </c>
      <c r="AA145">
        <v>1.401</v>
      </c>
      <c r="AB145" t="s">
        <v>92</v>
      </c>
      <c r="AC145">
        <v>1.504</v>
      </c>
      <c r="AD145" t="s">
        <v>92</v>
      </c>
      <c r="AE145">
        <v>1.6819999999999999</v>
      </c>
      <c r="AF145" t="s">
        <v>93</v>
      </c>
    </row>
    <row r="146" spans="1:32" x14ac:dyDescent="0.2">
      <c r="A146">
        <v>2006</v>
      </c>
      <c r="B146" t="s">
        <v>92</v>
      </c>
      <c r="C146">
        <v>0.01</v>
      </c>
      <c r="D146" t="s">
        <v>92</v>
      </c>
      <c r="E146">
        <v>8.6999999999999994E-2</v>
      </c>
      <c r="F146" t="s">
        <v>92</v>
      </c>
      <c r="G146">
        <v>0.17899999999999999</v>
      </c>
      <c r="H146" t="s">
        <v>92</v>
      </c>
      <c r="I146">
        <v>0.45700000000000002</v>
      </c>
      <c r="J146" t="s">
        <v>92</v>
      </c>
      <c r="K146">
        <v>0.60499999999999998</v>
      </c>
      <c r="L146" t="s">
        <v>92</v>
      </c>
      <c r="M146">
        <v>0.67900000000000005</v>
      </c>
      <c r="N146" t="s">
        <v>92</v>
      </c>
      <c r="O146">
        <v>0.78900000000000003</v>
      </c>
      <c r="P146" t="s">
        <v>92</v>
      </c>
      <c r="Q146">
        <v>0.86599999999999999</v>
      </c>
      <c r="R146" t="s">
        <v>92</v>
      </c>
      <c r="S146">
        <v>1.0580000000000001</v>
      </c>
      <c r="T146" t="s">
        <v>92</v>
      </c>
      <c r="U146">
        <v>1.171</v>
      </c>
      <c r="V146" t="s">
        <v>92</v>
      </c>
      <c r="W146">
        <v>1.2789999999999999</v>
      </c>
      <c r="X146" t="s">
        <v>92</v>
      </c>
      <c r="Y146">
        <v>1.3360000000000001</v>
      </c>
      <c r="Z146" t="s">
        <v>92</v>
      </c>
      <c r="AA146">
        <v>1.669</v>
      </c>
      <c r="AB146" t="s">
        <v>92</v>
      </c>
      <c r="AC146">
        <v>1.5189999999999999</v>
      </c>
      <c r="AD146" t="s">
        <v>92</v>
      </c>
      <c r="AE146">
        <v>1.704</v>
      </c>
      <c r="AF146" t="s">
        <v>93</v>
      </c>
    </row>
    <row r="147" spans="1:32" x14ac:dyDescent="0.2">
      <c r="A147">
        <v>2007</v>
      </c>
      <c r="B147" t="s">
        <v>92</v>
      </c>
      <c r="C147">
        <v>1.4999999999999999E-2</v>
      </c>
      <c r="D147" t="s">
        <v>92</v>
      </c>
      <c r="E147">
        <v>0.1</v>
      </c>
      <c r="F147" t="s">
        <v>92</v>
      </c>
      <c r="G147">
        <v>0.29399999999999998</v>
      </c>
      <c r="H147" t="s">
        <v>92</v>
      </c>
      <c r="I147">
        <v>0.49299999999999999</v>
      </c>
      <c r="J147" t="s">
        <v>92</v>
      </c>
      <c r="K147">
        <v>0.63700000000000001</v>
      </c>
      <c r="L147" t="s">
        <v>92</v>
      </c>
      <c r="M147">
        <v>0.81</v>
      </c>
      <c r="N147" t="s">
        <v>92</v>
      </c>
      <c r="O147">
        <v>0.92800000000000005</v>
      </c>
      <c r="P147" t="s">
        <v>92</v>
      </c>
      <c r="Q147">
        <v>1.06</v>
      </c>
      <c r="R147" t="s">
        <v>92</v>
      </c>
      <c r="S147">
        <v>1.002</v>
      </c>
      <c r="T147" t="s">
        <v>92</v>
      </c>
      <c r="U147">
        <v>1.3149999999999999</v>
      </c>
      <c r="V147" t="s">
        <v>92</v>
      </c>
      <c r="W147">
        <v>1.3089999999999999</v>
      </c>
      <c r="X147" t="s">
        <v>92</v>
      </c>
      <c r="Y147">
        <v>1.268</v>
      </c>
      <c r="Z147" t="s">
        <v>92</v>
      </c>
      <c r="AA147">
        <v>1.417</v>
      </c>
      <c r="AB147" t="s">
        <v>92</v>
      </c>
      <c r="AC147">
        <v>1.367</v>
      </c>
      <c r="AD147" t="s">
        <v>92</v>
      </c>
      <c r="AE147">
        <v>1.385</v>
      </c>
      <c r="AF147" t="s">
        <v>93</v>
      </c>
    </row>
    <row r="148" spans="1:32" x14ac:dyDescent="0.2">
      <c r="A148">
        <v>2008</v>
      </c>
      <c r="B148" t="s">
        <v>92</v>
      </c>
      <c r="C148">
        <v>1.9E-2</v>
      </c>
      <c r="D148" t="s">
        <v>92</v>
      </c>
      <c r="E148">
        <v>5.8999999999999997E-2</v>
      </c>
      <c r="F148" t="s">
        <v>92</v>
      </c>
      <c r="G148">
        <v>0.22</v>
      </c>
      <c r="H148" t="s">
        <v>92</v>
      </c>
      <c r="I148">
        <v>0.49099999999999999</v>
      </c>
      <c r="J148" t="s">
        <v>92</v>
      </c>
      <c r="K148">
        <v>0.60099999999999998</v>
      </c>
      <c r="L148" t="s">
        <v>92</v>
      </c>
      <c r="M148">
        <v>0.73</v>
      </c>
      <c r="N148" t="s">
        <v>92</v>
      </c>
      <c r="O148">
        <v>0.85699999999999998</v>
      </c>
      <c r="P148" t="s">
        <v>92</v>
      </c>
      <c r="Q148">
        <v>0.94599999999999995</v>
      </c>
      <c r="R148" t="s">
        <v>92</v>
      </c>
      <c r="S148">
        <v>0.98699999999999999</v>
      </c>
      <c r="T148" t="s">
        <v>92</v>
      </c>
      <c r="U148">
        <v>1.1539999999999999</v>
      </c>
      <c r="V148" t="s">
        <v>92</v>
      </c>
      <c r="W148">
        <v>1.64</v>
      </c>
      <c r="X148" t="s">
        <v>92</v>
      </c>
      <c r="Y148">
        <v>1.3720000000000001</v>
      </c>
      <c r="Z148" t="s">
        <v>92</v>
      </c>
      <c r="AA148">
        <v>1.708</v>
      </c>
      <c r="AB148" t="s">
        <v>92</v>
      </c>
      <c r="AC148">
        <v>1.54</v>
      </c>
      <c r="AD148" t="s">
        <v>92</v>
      </c>
      <c r="AE148">
        <v>1.6819999999999999</v>
      </c>
      <c r="AF148" t="s">
        <v>93</v>
      </c>
    </row>
    <row r="149" spans="1:32" x14ac:dyDescent="0.2">
      <c r="A149">
        <v>2009</v>
      </c>
      <c r="B149" t="s">
        <v>92</v>
      </c>
      <c r="C149">
        <v>1.9E-2</v>
      </c>
      <c r="D149" t="s">
        <v>92</v>
      </c>
      <c r="E149">
        <v>7.0000000000000007E-2</v>
      </c>
      <c r="F149" t="s">
        <v>92</v>
      </c>
      <c r="G149">
        <v>0.24099999999999999</v>
      </c>
      <c r="H149" t="s">
        <v>92</v>
      </c>
      <c r="I149">
        <v>0.50900000000000001</v>
      </c>
      <c r="J149" t="s">
        <v>92</v>
      </c>
      <c r="K149">
        <v>0.68799999999999994</v>
      </c>
      <c r="L149" t="s">
        <v>92</v>
      </c>
      <c r="M149">
        <v>0.81499999999999995</v>
      </c>
      <c r="N149" t="s">
        <v>92</v>
      </c>
      <c r="O149">
        <v>1.01</v>
      </c>
      <c r="P149" t="s">
        <v>92</v>
      </c>
      <c r="Q149">
        <v>1.0680000000000001</v>
      </c>
      <c r="R149" t="s">
        <v>92</v>
      </c>
      <c r="S149">
        <v>1.121</v>
      </c>
      <c r="T149" t="s">
        <v>92</v>
      </c>
      <c r="U149">
        <v>1.359</v>
      </c>
      <c r="V149" t="s">
        <v>92</v>
      </c>
      <c r="W149">
        <v>1.4490000000000001</v>
      </c>
      <c r="X149" t="s">
        <v>92</v>
      </c>
      <c r="Y149">
        <v>1.7689999999999999</v>
      </c>
      <c r="Z149" t="s">
        <v>92</v>
      </c>
      <c r="AA149">
        <v>1.7669999999999999</v>
      </c>
      <c r="AB149" t="s">
        <v>92</v>
      </c>
      <c r="AC149">
        <v>2.0489999999999999</v>
      </c>
      <c r="AD149" t="s">
        <v>92</v>
      </c>
      <c r="AE149">
        <v>2.4860000000000002</v>
      </c>
      <c r="AF149" t="s">
        <v>93</v>
      </c>
    </row>
    <row r="150" spans="1:32" x14ac:dyDescent="0.2">
      <c r="A150">
        <v>2010</v>
      </c>
      <c r="B150" t="s">
        <v>92</v>
      </c>
      <c r="C150">
        <v>2.3E-2</v>
      </c>
      <c r="D150" t="s">
        <v>92</v>
      </c>
      <c r="E150">
        <v>6.9000000000000006E-2</v>
      </c>
      <c r="F150" t="s">
        <v>92</v>
      </c>
      <c r="G150">
        <v>0.24399999999999999</v>
      </c>
      <c r="H150" t="s">
        <v>92</v>
      </c>
      <c r="I150">
        <v>0.496</v>
      </c>
      <c r="J150" t="s">
        <v>92</v>
      </c>
      <c r="K150">
        <v>0.65700000000000003</v>
      </c>
      <c r="L150" t="s">
        <v>92</v>
      </c>
      <c r="M150">
        <v>0.80400000000000005</v>
      </c>
      <c r="N150" t="s">
        <v>92</v>
      </c>
      <c r="O150">
        <v>1.097</v>
      </c>
      <c r="P150" t="s">
        <v>92</v>
      </c>
      <c r="Q150">
        <v>1.1399999999999999</v>
      </c>
      <c r="R150" t="s">
        <v>92</v>
      </c>
      <c r="S150">
        <v>1.26</v>
      </c>
      <c r="T150" t="s">
        <v>92</v>
      </c>
      <c r="U150">
        <v>1.3759999999999999</v>
      </c>
      <c r="V150" t="s">
        <v>92</v>
      </c>
      <c r="W150">
        <v>1.19</v>
      </c>
      <c r="X150" t="s">
        <v>92</v>
      </c>
      <c r="Y150">
        <v>1.389</v>
      </c>
      <c r="Z150" t="s">
        <v>92</v>
      </c>
      <c r="AA150">
        <v>1.629</v>
      </c>
      <c r="AB150" t="s">
        <v>92</v>
      </c>
      <c r="AC150">
        <v>2.161</v>
      </c>
      <c r="AD150" t="s">
        <v>92</v>
      </c>
      <c r="AE150">
        <v>2.2210000000000001</v>
      </c>
      <c r="AF150" t="s">
        <v>93</v>
      </c>
    </row>
    <row r="151" spans="1:32" x14ac:dyDescent="0.2">
      <c r="A151">
        <v>2011</v>
      </c>
      <c r="B151" t="s">
        <v>92</v>
      </c>
      <c r="C151">
        <v>1.7999999999999999E-2</v>
      </c>
      <c r="D151" t="s">
        <v>92</v>
      </c>
      <c r="E151">
        <v>8.1000000000000003E-2</v>
      </c>
      <c r="F151" t="s">
        <v>92</v>
      </c>
      <c r="G151">
        <v>0.216</v>
      </c>
      <c r="H151" t="s">
        <v>92</v>
      </c>
      <c r="I151">
        <v>0.51100000000000001</v>
      </c>
      <c r="J151" t="s">
        <v>92</v>
      </c>
      <c r="K151">
        <v>0.65300000000000002</v>
      </c>
      <c r="L151" t="s">
        <v>92</v>
      </c>
      <c r="M151">
        <v>0.78500000000000003</v>
      </c>
      <c r="N151" t="s">
        <v>92</v>
      </c>
      <c r="O151">
        <v>0.90700000000000003</v>
      </c>
      <c r="P151" t="s">
        <v>92</v>
      </c>
      <c r="Q151">
        <v>1.0660000000000001</v>
      </c>
      <c r="R151" t="s">
        <v>92</v>
      </c>
      <c r="S151">
        <v>1.159</v>
      </c>
      <c r="T151" t="s">
        <v>92</v>
      </c>
      <c r="U151">
        <v>1.246</v>
      </c>
      <c r="V151" t="s">
        <v>92</v>
      </c>
      <c r="W151">
        <v>1.3580000000000001</v>
      </c>
      <c r="X151" t="s">
        <v>92</v>
      </c>
      <c r="Y151">
        <v>1.419</v>
      </c>
      <c r="Z151" t="s">
        <v>92</v>
      </c>
      <c r="AA151">
        <v>1.365</v>
      </c>
      <c r="AB151" t="s">
        <v>92</v>
      </c>
      <c r="AC151">
        <v>1.496</v>
      </c>
      <c r="AD151" t="s">
        <v>92</v>
      </c>
      <c r="AE151">
        <v>2.016</v>
      </c>
      <c r="AF151" t="s">
        <v>93</v>
      </c>
    </row>
    <row r="152" spans="1:32" x14ac:dyDescent="0.2">
      <c r="A152">
        <v>2012</v>
      </c>
      <c r="B152" t="s">
        <v>92</v>
      </c>
      <c r="C152">
        <v>1.7000000000000001E-2</v>
      </c>
      <c r="D152" t="s">
        <v>92</v>
      </c>
      <c r="E152">
        <v>7.5999999999999998E-2</v>
      </c>
      <c r="F152" t="s">
        <v>92</v>
      </c>
      <c r="G152">
        <v>0.28499999999999998</v>
      </c>
      <c r="H152" t="s">
        <v>92</v>
      </c>
      <c r="I152">
        <v>0.41</v>
      </c>
      <c r="J152" t="s">
        <v>92</v>
      </c>
      <c r="K152">
        <v>0.59199999999999997</v>
      </c>
      <c r="L152" t="s">
        <v>92</v>
      </c>
      <c r="M152">
        <v>0.73799999999999999</v>
      </c>
      <c r="N152" t="s">
        <v>92</v>
      </c>
      <c r="O152">
        <v>0.86499999999999999</v>
      </c>
      <c r="P152" t="s">
        <v>92</v>
      </c>
      <c r="Q152">
        <v>1.008</v>
      </c>
      <c r="R152" t="s">
        <v>92</v>
      </c>
      <c r="S152">
        <v>1.3540000000000001</v>
      </c>
      <c r="T152" t="s">
        <v>92</v>
      </c>
      <c r="U152">
        <v>1.2030000000000001</v>
      </c>
      <c r="V152" t="s">
        <v>92</v>
      </c>
      <c r="W152">
        <v>1.34</v>
      </c>
      <c r="X152" t="s">
        <v>92</v>
      </c>
      <c r="Y152">
        <v>1.4239999999999999</v>
      </c>
      <c r="Z152" t="s">
        <v>92</v>
      </c>
      <c r="AA152">
        <v>1.5</v>
      </c>
      <c r="AB152" t="s">
        <v>92</v>
      </c>
      <c r="AC152">
        <v>1.7110000000000001</v>
      </c>
      <c r="AD152" t="s">
        <v>92</v>
      </c>
      <c r="AE152">
        <v>1.9810000000000001</v>
      </c>
      <c r="AF152" t="s">
        <v>93</v>
      </c>
    </row>
    <row r="153" spans="1:32" x14ac:dyDescent="0.2">
      <c r="A153">
        <v>2013</v>
      </c>
      <c r="B153" t="s">
        <v>92</v>
      </c>
      <c r="C153">
        <v>0.02</v>
      </c>
      <c r="D153" t="s">
        <v>92</v>
      </c>
      <c r="E153">
        <v>6.7000000000000004E-2</v>
      </c>
      <c r="F153" t="s">
        <v>92</v>
      </c>
      <c r="G153">
        <v>0.22800000000000001</v>
      </c>
      <c r="H153" t="s">
        <v>92</v>
      </c>
      <c r="I153">
        <v>0.51600000000000001</v>
      </c>
      <c r="J153" t="s">
        <v>92</v>
      </c>
      <c r="K153">
        <v>0.57699999999999996</v>
      </c>
      <c r="L153" t="s">
        <v>92</v>
      </c>
      <c r="M153">
        <v>0.72099999999999997</v>
      </c>
      <c r="N153" t="s">
        <v>92</v>
      </c>
      <c r="O153">
        <v>0.97299999999999998</v>
      </c>
      <c r="P153" t="s">
        <v>92</v>
      </c>
      <c r="Q153">
        <v>1.173</v>
      </c>
      <c r="R153" t="s">
        <v>92</v>
      </c>
      <c r="S153">
        <v>1.2649999999999999</v>
      </c>
      <c r="T153" t="s">
        <v>92</v>
      </c>
      <c r="U153">
        <v>1.4610000000000001</v>
      </c>
      <c r="V153" t="s">
        <v>92</v>
      </c>
      <c r="W153">
        <v>1.5129999999999999</v>
      </c>
      <c r="X153" t="s">
        <v>92</v>
      </c>
      <c r="Y153">
        <v>1.4039999999999999</v>
      </c>
      <c r="Z153" t="s">
        <v>92</v>
      </c>
      <c r="AA153">
        <v>1.7170000000000001</v>
      </c>
      <c r="AB153" t="s">
        <v>92</v>
      </c>
      <c r="AC153">
        <v>1.8220000000000001</v>
      </c>
      <c r="AD153" t="s">
        <v>92</v>
      </c>
      <c r="AE153">
        <v>1.9650000000000001</v>
      </c>
      <c r="AF153" t="s">
        <v>93</v>
      </c>
    </row>
    <row r="154" spans="1:32" x14ac:dyDescent="0.2">
      <c r="A154">
        <v>2014</v>
      </c>
      <c r="B154" t="s">
        <v>92</v>
      </c>
      <c r="C154">
        <v>1.9E-2</v>
      </c>
      <c r="D154" t="s">
        <v>92</v>
      </c>
      <c r="E154">
        <v>0.113</v>
      </c>
      <c r="F154" t="s">
        <v>92</v>
      </c>
      <c r="G154">
        <v>0.39300000000000002</v>
      </c>
      <c r="H154" t="s">
        <v>92</v>
      </c>
      <c r="I154">
        <v>0.44500000000000001</v>
      </c>
      <c r="J154" t="s">
        <v>92</v>
      </c>
      <c r="K154">
        <v>0.56699999999999995</v>
      </c>
      <c r="L154" t="s">
        <v>92</v>
      </c>
      <c r="M154">
        <v>0.69299999999999995</v>
      </c>
      <c r="N154" t="s">
        <v>92</v>
      </c>
      <c r="O154">
        <v>0.73699999999999999</v>
      </c>
      <c r="P154" t="s">
        <v>92</v>
      </c>
      <c r="Q154">
        <v>0.97799999999999998</v>
      </c>
      <c r="R154" t="s">
        <v>92</v>
      </c>
      <c r="S154">
        <v>1.1359999999999999</v>
      </c>
      <c r="T154" t="s">
        <v>92</v>
      </c>
      <c r="U154">
        <v>1.3360000000000001</v>
      </c>
      <c r="V154" t="s">
        <v>92</v>
      </c>
      <c r="W154">
        <v>1.534</v>
      </c>
      <c r="X154" t="s">
        <v>92</v>
      </c>
      <c r="Y154">
        <v>1.484</v>
      </c>
      <c r="Z154" t="s">
        <v>92</v>
      </c>
      <c r="AA154">
        <v>1.6379999999999999</v>
      </c>
      <c r="AB154" t="s">
        <v>92</v>
      </c>
      <c r="AC154">
        <v>1.6379999999999999</v>
      </c>
      <c r="AD154" t="s">
        <v>92</v>
      </c>
      <c r="AE154">
        <v>2.012</v>
      </c>
      <c r="AF154" t="s">
        <v>93</v>
      </c>
    </row>
    <row r="155" spans="1:32" x14ac:dyDescent="0.2">
      <c r="A155">
        <v>2015</v>
      </c>
      <c r="B155" t="s">
        <v>92</v>
      </c>
      <c r="C155">
        <v>0.02</v>
      </c>
      <c r="D155" t="s">
        <v>92</v>
      </c>
      <c r="E155">
        <v>9.0999999999999998E-2</v>
      </c>
      <c r="F155" t="s">
        <v>92</v>
      </c>
      <c r="G155">
        <v>0.34699999999999998</v>
      </c>
      <c r="H155" t="s">
        <v>92</v>
      </c>
      <c r="I155">
        <v>0.442</v>
      </c>
      <c r="J155" t="s">
        <v>92</v>
      </c>
      <c r="K155">
        <v>0.56599999999999995</v>
      </c>
      <c r="L155" t="s">
        <v>92</v>
      </c>
      <c r="M155">
        <v>0.67500000000000004</v>
      </c>
      <c r="N155" t="s">
        <v>92</v>
      </c>
      <c r="O155">
        <v>0.74199999999999999</v>
      </c>
      <c r="P155" t="s">
        <v>92</v>
      </c>
      <c r="Q155">
        <v>0.86399999999999999</v>
      </c>
      <c r="R155" t="s">
        <v>92</v>
      </c>
      <c r="S155">
        <v>1.0640000000000001</v>
      </c>
      <c r="T155" t="s">
        <v>92</v>
      </c>
      <c r="U155">
        <v>1.27</v>
      </c>
      <c r="V155" t="s">
        <v>92</v>
      </c>
      <c r="W155">
        <v>1.5449999999999999</v>
      </c>
      <c r="X155" t="s">
        <v>92</v>
      </c>
      <c r="Y155">
        <v>1.4550000000000001</v>
      </c>
      <c r="Z155" t="s">
        <v>92</v>
      </c>
      <c r="AA155">
        <v>1.446</v>
      </c>
      <c r="AB155" t="s">
        <v>92</v>
      </c>
      <c r="AC155">
        <v>1.482</v>
      </c>
      <c r="AD155" t="s">
        <v>92</v>
      </c>
      <c r="AE155">
        <v>1.5960000000000001</v>
      </c>
      <c r="AF155" t="s">
        <v>93</v>
      </c>
    </row>
    <row r="156" spans="1:32" x14ac:dyDescent="0.2">
      <c r="A156">
        <v>2016</v>
      </c>
      <c r="B156" t="s">
        <v>92</v>
      </c>
      <c r="C156">
        <v>2.1999999999999999E-2</v>
      </c>
      <c r="D156" t="s">
        <v>92</v>
      </c>
      <c r="E156">
        <v>0.09</v>
      </c>
      <c r="F156" t="s">
        <v>92</v>
      </c>
      <c r="G156">
        <v>0.27800000000000002</v>
      </c>
      <c r="H156" t="s">
        <v>92</v>
      </c>
      <c r="I156">
        <v>0.52400000000000002</v>
      </c>
      <c r="J156" t="s">
        <v>92</v>
      </c>
      <c r="K156">
        <v>0.57399999999999995</v>
      </c>
      <c r="L156" t="s">
        <v>92</v>
      </c>
      <c r="M156">
        <v>0.68799999999999994</v>
      </c>
      <c r="N156" t="s">
        <v>92</v>
      </c>
      <c r="O156">
        <v>0.76400000000000001</v>
      </c>
      <c r="P156" t="s">
        <v>92</v>
      </c>
      <c r="Q156">
        <v>0.79500000000000004</v>
      </c>
      <c r="R156" t="s">
        <v>92</v>
      </c>
      <c r="S156">
        <v>0.88300000000000001</v>
      </c>
      <c r="T156" t="s">
        <v>92</v>
      </c>
      <c r="U156">
        <v>0.91900000000000004</v>
      </c>
      <c r="V156" t="s">
        <v>92</v>
      </c>
      <c r="W156">
        <v>1.1930000000000001</v>
      </c>
      <c r="X156" t="s">
        <v>92</v>
      </c>
      <c r="Y156">
        <v>1.8460000000000001</v>
      </c>
      <c r="Z156" t="s">
        <v>92</v>
      </c>
      <c r="AA156">
        <v>1.244</v>
      </c>
      <c r="AB156" t="s">
        <v>92</v>
      </c>
      <c r="AC156">
        <v>1.228</v>
      </c>
      <c r="AD156" t="s">
        <v>92</v>
      </c>
      <c r="AE156">
        <v>1.393</v>
      </c>
      <c r="AF156" t="s">
        <v>93</v>
      </c>
    </row>
    <row r="157" spans="1:32" x14ac:dyDescent="0.2">
      <c r="A157">
        <v>2017</v>
      </c>
      <c r="B157" t="s">
        <v>92</v>
      </c>
      <c r="C157">
        <v>2.5999999999999999E-2</v>
      </c>
      <c r="D157" t="s">
        <v>92</v>
      </c>
      <c r="E157">
        <v>9.6000000000000002E-2</v>
      </c>
      <c r="F157" t="s">
        <v>92</v>
      </c>
      <c r="G157">
        <v>0.24199999999999999</v>
      </c>
      <c r="H157" t="s">
        <v>92</v>
      </c>
      <c r="I157">
        <v>0.48799999999999999</v>
      </c>
      <c r="J157" t="s">
        <v>92</v>
      </c>
      <c r="K157">
        <v>0.621</v>
      </c>
      <c r="L157" t="s">
        <v>92</v>
      </c>
      <c r="M157">
        <v>0.64900000000000002</v>
      </c>
      <c r="N157" t="s">
        <v>92</v>
      </c>
      <c r="O157">
        <v>0.74</v>
      </c>
      <c r="P157" t="s">
        <v>92</v>
      </c>
      <c r="Q157">
        <v>0.78200000000000003</v>
      </c>
      <c r="R157" t="s">
        <v>92</v>
      </c>
      <c r="S157">
        <v>0.88900000000000001</v>
      </c>
      <c r="T157" t="s">
        <v>92</v>
      </c>
      <c r="U157">
        <v>0.92300000000000004</v>
      </c>
      <c r="V157" t="s">
        <v>92</v>
      </c>
      <c r="W157">
        <v>0.998</v>
      </c>
      <c r="X157" t="s">
        <v>92</v>
      </c>
      <c r="Y157">
        <v>1.0129999999999999</v>
      </c>
      <c r="Z157" t="s">
        <v>92</v>
      </c>
      <c r="AA157">
        <v>1.323</v>
      </c>
      <c r="AB157" t="s">
        <v>92</v>
      </c>
      <c r="AC157">
        <v>1.02</v>
      </c>
      <c r="AD157" t="s">
        <v>92</v>
      </c>
      <c r="AE157">
        <v>1.8129999999999999</v>
      </c>
      <c r="AF157" t="s">
        <v>93</v>
      </c>
    </row>
    <row r="158" spans="1:32" x14ac:dyDescent="0.2">
      <c r="A158">
        <v>2018</v>
      </c>
      <c r="B158" t="s">
        <v>92</v>
      </c>
      <c r="C158">
        <v>2.4E-2</v>
      </c>
      <c r="D158" t="s">
        <v>92</v>
      </c>
      <c r="E158">
        <v>0.10100000000000001</v>
      </c>
      <c r="F158" t="s">
        <v>92</v>
      </c>
      <c r="G158">
        <v>0.21</v>
      </c>
      <c r="H158" t="s">
        <v>92</v>
      </c>
      <c r="I158">
        <v>0.442</v>
      </c>
      <c r="J158" t="s">
        <v>92</v>
      </c>
      <c r="K158">
        <v>0.57499999999999996</v>
      </c>
      <c r="L158" t="s">
        <v>92</v>
      </c>
      <c r="M158">
        <v>0.66500000000000004</v>
      </c>
      <c r="N158" t="s">
        <v>92</v>
      </c>
      <c r="O158">
        <v>0.75600000000000001</v>
      </c>
      <c r="P158" t="s">
        <v>92</v>
      </c>
      <c r="Q158">
        <v>0.75</v>
      </c>
      <c r="R158" t="s">
        <v>92</v>
      </c>
      <c r="S158">
        <v>0.84499999999999997</v>
      </c>
      <c r="T158" t="s">
        <v>92</v>
      </c>
      <c r="U158">
        <v>0.88600000000000001</v>
      </c>
      <c r="V158" t="s">
        <v>92</v>
      </c>
      <c r="W158">
        <v>0.72199999999999998</v>
      </c>
      <c r="X158" t="s">
        <v>92</v>
      </c>
      <c r="Y158">
        <v>0.83799999999999997</v>
      </c>
      <c r="Z158" t="s">
        <v>92</v>
      </c>
      <c r="AA158">
        <v>0.876</v>
      </c>
      <c r="AB158" t="s">
        <v>92</v>
      </c>
      <c r="AC158">
        <v>1.0740000000000001</v>
      </c>
      <c r="AD158" t="s">
        <v>92</v>
      </c>
      <c r="AE158">
        <v>0.96399999999999997</v>
      </c>
      <c r="AF158" t="s">
        <v>93</v>
      </c>
    </row>
    <row r="159" spans="1:32" x14ac:dyDescent="0.2">
      <c r="A159">
        <v>2019</v>
      </c>
      <c r="B159" t="s">
        <v>92</v>
      </c>
      <c r="C159">
        <v>2.5999999999999999E-2</v>
      </c>
      <c r="D159" t="s">
        <v>92</v>
      </c>
      <c r="E159">
        <v>0.112</v>
      </c>
      <c r="F159" t="s">
        <v>92</v>
      </c>
      <c r="G159">
        <v>0.29199999999999998</v>
      </c>
      <c r="H159" t="s">
        <v>92</v>
      </c>
      <c r="I159">
        <v>0.505</v>
      </c>
      <c r="J159" t="s">
        <v>92</v>
      </c>
      <c r="K159">
        <v>0.64200000000000002</v>
      </c>
      <c r="L159" t="s">
        <v>92</v>
      </c>
      <c r="M159">
        <v>0.71499999999999997</v>
      </c>
      <c r="N159" t="s">
        <v>92</v>
      </c>
      <c r="O159">
        <v>0.82299999999999995</v>
      </c>
      <c r="P159" t="s">
        <v>92</v>
      </c>
      <c r="Q159">
        <v>0.89900000000000002</v>
      </c>
      <c r="R159" t="s">
        <v>92</v>
      </c>
      <c r="S159">
        <v>0.90100000000000002</v>
      </c>
      <c r="T159" t="s">
        <v>92</v>
      </c>
      <c r="U159">
        <v>0.98899999999999999</v>
      </c>
      <c r="V159" t="s">
        <v>92</v>
      </c>
      <c r="W159">
        <v>0.98599999999999999</v>
      </c>
      <c r="X159" t="s">
        <v>92</v>
      </c>
      <c r="Y159">
        <v>1.0429999999999999</v>
      </c>
      <c r="Z159" t="s">
        <v>92</v>
      </c>
      <c r="AA159">
        <v>1.0680000000000001</v>
      </c>
      <c r="AB159" t="s">
        <v>92</v>
      </c>
      <c r="AC159">
        <v>1.1200000000000001</v>
      </c>
      <c r="AD159" t="s">
        <v>92</v>
      </c>
      <c r="AE159">
        <v>1.39</v>
      </c>
      <c r="AF159" t="s">
        <v>93</v>
      </c>
    </row>
    <row r="160" spans="1:32" x14ac:dyDescent="0.2">
      <c r="A160">
        <v>2020</v>
      </c>
      <c r="B160" t="s">
        <v>92</v>
      </c>
      <c r="C160" t="s">
        <v>653</v>
      </c>
      <c r="D160" t="s">
        <v>92</v>
      </c>
      <c r="E160" t="s">
        <v>653</v>
      </c>
      <c r="F160" t="s">
        <v>92</v>
      </c>
      <c r="G160" t="s">
        <v>653</v>
      </c>
      <c r="H160" t="s">
        <v>92</v>
      </c>
      <c r="I160" t="s">
        <v>653</v>
      </c>
      <c r="J160" t="s">
        <v>92</v>
      </c>
      <c r="K160" t="s">
        <v>653</v>
      </c>
      <c r="L160" t="s">
        <v>92</v>
      </c>
      <c r="M160" t="s">
        <v>653</v>
      </c>
      <c r="N160" t="s">
        <v>92</v>
      </c>
      <c r="O160" t="s">
        <v>653</v>
      </c>
      <c r="P160" t="s">
        <v>92</v>
      </c>
      <c r="Q160" t="s">
        <v>653</v>
      </c>
      <c r="R160" t="s">
        <v>92</v>
      </c>
      <c r="S160" t="s">
        <v>653</v>
      </c>
      <c r="T160" t="s">
        <v>92</v>
      </c>
      <c r="U160" t="s">
        <v>653</v>
      </c>
      <c r="V160" t="s">
        <v>92</v>
      </c>
      <c r="W160" t="s">
        <v>653</v>
      </c>
      <c r="X160" t="s">
        <v>92</v>
      </c>
      <c r="Y160" t="s">
        <v>653</v>
      </c>
      <c r="Z160" t="s">
        <v>92</v>
      </c>
      <c r="AA160" t="s">
        <v>653</v>
      </c>
      <c r="AB160" t="s">
        <v>92</v>
      </c>
      <c r="AC160" t="s">
        <v>653</v>
      </c>
      <c r="AD160" t="s">
        <v>92</v>
      </c>
      <c r="AE160" t="s">
        <v>653</v>
      </c>
      <c r="AF160" t="s">
        <v>93</v>
      </c>
    </row>
    <row r="161" spans="1:33" x14ac:dyDescent="0.2">
      <c r="A161">
        <v>2021</v>
      </c>
      <c r="B161" t="s">
        <v>92</v>
      </c>
      <c r="C161">
        <v>2.3E-2</v>
      </c>
      <c r="D161" t="s">
        <v>92</v>
      </c>
      <c r="E161">
        <v>0.14799999999999999</v>
      </c>
      <c r="F161" t="s">
        <v>92</v>
      </c>
      <c r="G161">
        <v>0.27800000000000002</v>
      </c>
      <c r="H161" t="s">
        <v>92</v>
      </c>
      <c r="I161">
        <v>0.44</v>
      </c>
      <c r="J161" t="s">
        <v>92</v>
      </c>
      <c r="K161">
        <v>0.59</v>
      </c>
      <c r="L161" t="s">
        <v>92</v>
      </c>
      <c r="M161">
        <v>0.69599999999999995</v>
      </c>
      <c r="N161" t="s">
        <v>92</v>
      </c>
      <c r="O161">
        <v>0.77400000000000002</v>
      </c>
      <c r="P161" t="s">
        <v>92</v>
      </c>
      <c r="Q161">
        <v>0.85399999999999998</v>
      </c>
      <c r="R161" t="s">
        <v>92</v>
      </c>
      <c r="S161">
        <v>0.96</v>
      </c>
      <c r="T161" t="s">
        <v>92</v>
      </c>
      <c r="U161">
        <v>1.2330000000000001</v>
      </c>
      <c r="V161" t="s">
        <v>92</v>
      </c>
      <c r="W161">
        <v>1.0229999999999999</v>
      </c>
      <c r="X161" t="s">
        <v>92</v>
      </c>
      <c r="Y161">
        <v>1.35</v>
      </c>
      <c r="Z161" t="s">
        <v>92</v>
      </c>
      <c r="AA161">
        <v>1.3069999999999999</v>
      </c>
      <c r="AB161" t="s">
        <v>92</v>
      </c>
      <c r="AC161">
        <v>0.92700000000000005</v>
      </c>
      <c r="AD161" t="s">
        <v>92</v>
      </c>
      <c r="AE161">
        <v>1.389</v>
      </c>
      <c r="AF161" t="s">
        <v>93</v>
      </c>
    </row>
    <row r="162" spans="1:33" x14ac:dyDescent="0.2">
      <c r="A162">
        <v>2022</v>
      </c>
      <c r="B162" t="s">
        <v>92</v>
      </c>
      <c r="C162">
        <v>0.02</v>
      </c>
      <c r="D162" t="s">
        <v>92</v>
      </c>
      <c r="E162">
        <v>0.104</v>
      </c>
      <c r="F162" t="s">
        <v>92</v>
      </c>
      <c r="G162">
        <v>0.34699999999999998</v>
      </c>
      <c r="H162" t="s">
        <v>92</v>
      </c>
      <c r="I162">
        <v>0.45200000000000001</v>
      </c>
      <c r="J162" t="s">
        <v>92</v>
      </c>
      <c r="K162">
        <v>0.58299999999999996</v>
      </c>
      <c r="L162" t="s">
        <v>92</v>
      </c>
      <c r="M162">
        <v>0.66800000000000004</v>
      </c>
      <c r="N162" t="s">
        <v>92</v>
      </c>
      <c r="O162">
        <v>0.76400000000000001</v>
      </c>
      <c r="P162" t="s">
        <v>92</v>
      </c>
      <c r="Q162">
        <v>0.85299999999999998</v>
      </c>
      <c r="R162" t="s">
        <v>92</v>
      </c>
      <c r="S162">
        <v>0.94499999999999995</v>
      </c>
      <c r="T162" t="s">
        <v>92</v>
      </c>
      <c r="U162">
        <v>0.97199999999999998</v>
      </c>
      <c r="V162" t="s">
        <v>92</v>
      </c>
      <c r="W162">
        <v>1.1220000000000001</v>
      </c>
      <c r="X162" t="s">
        <v>92</v>
      </c>
      <c r="Y162">
        <v>1.474</v>
      </c>
      <c r="Z162" t="s">
        <v>92</v>
      </c>
      <c r="AA162">
        <v>1.242</v>
      </c>
      <c r="AB162" t="s">
        <v>92</v>
      </c>
      <c r="AC162">
        <v>0.89500000000000002</v>
      </c>
      <c r="AD162" t="s">
        <v>92</v>
      </c>
      <c r="AE162">
        <v>1.2470000000000001</v>
      </c>
      <c r="AF162" t="s">
        <v>93</v>
      </c>
    </row>
    <row r="163" spans="1:33" x14ac:dyDescent="0.2">
      <c r="A163">
        <v>2023</v>
      </c>
      <c r="B163" t="s">
        <v>92</v>
      </c>
      <c r="C163">
        <v>0.02</v>
      </c>
      <c r="D163" t="s">
        <v>92</v>
      </c>
      <c r="E163">
        <v>0.104</v>
      </c>
      <c r="F163" t="s">
        <v>92</v>
      </c>
      <c r="G163">
        <v>0.315</v>
      </c>
      <c r="H163" t="s">
        <v>92</v>
      </c>
      <c r="I163">
        <v>0.41799999999999998</v>
      </c>
      <c r="J163" t="s">
        <v>92</v>
      </c>
      <c r="K163">
        <v>0.53</v>
      </c>
      <c r="L163" t="s">
        <v>92</v>
      </c>
      <c r="M163">
        <v>0.64200000000000002</v>
      </c>
      <c r="N163" t="s">
        <v>92</v>
      </c>
      <c r="O163">
        <v>0.78400000000000003</v>
      </c>
      <c r="P163" t="s">
        <v>92</v>
      </c>
      <c r="Q163">
        <v>0.92500000000000004</v>
      </c>
      <c r="R163" t="s">
        <v>92</v>
      </c>
      <c r="S163">
        <v>0.97899999999999998</v>
      </c>
      <c r="T163" t="s">
        <v>92</v>
      </c>
      <c r="U163">
        <v>1.024</v>
      </c>
      <c r="V163" t="s">
        <v>92</v>
      </c>
      <c r="W163">
        <v>1.1659999999999999</v>
      </c>
      <c r="X163" t="s">
        <v>92</v>
      </c>
      <c r="Y163">
        <v>1.137</v>
      </c>
      <c r="Z163" t="s">
        <v>92</v>
      </c>
      <c r="AA163">
        <v>1.4450000000000001</v>
      </c>
      <c r="AB163" t="s">
        <v>92</v>
      </c>
      <c r="AC163">
        <v>1.845</v>
      </c>
      <c r="AD163" t="s">
        <v>92</v>
      </c>
      <c r="AE163">
        <v>1.4279999999999999</v>
      </c>
      <c r="AF163" t="s">
        <v>93</v>
      </c>
    </row>
    <row r="164" spans="1:33" x14ac:dyDescent="0.2">
      <c r="A164" t="s">
        <v>95</v>
      </c>
    </row>
    <row r="165" spans="1:33" x14ac:dyDescent="0.2">
      <c r="A165" t="s">
        <v>654</v>
      </c>
      <c r="B165" t="s">
        <v>92</v>
      </c>
      <c r="C165">
        <v>2.1999999999999999E-2</v>
      </c>
      <c r="D165" t="s">
        <v>92</v>
      </c>
      <c r="E165">
        <v>0.10100000000000001</v>
      </c>
      <c r="F165" t="s">
        <v>92</v>
      </c>
      <c r="G165">
        <v>0.24199999999999999</v>
      </c>
      <c r="H165" t="s">
        <v>92</v>
      </c>
      <c r="I165">
        <v>0.40600000000000003</v>
      </c>
      <c r="J165" t="s">
        <v>92</v>
      </c>
      <c r="K165">
        <v>0.53400000000000003</v>
      </c>
      <c r="L165" t="s">
        <v>92</v>
      </c>
      <c r="M165">
        <v>0.66200000000000003</v>
      </c>
      <c r="N165" t="s">
        <v>92</v>
      </c>
      <c r="O165">
        <v>0.79800000000000004</v>
      </c>
      <c r="P165" t="s">
        <v>92</v>
      </c>
      <c r="Q165">
        <v>0.93799999999999994</v>
      </c>
      <c r="R165" t="s">
        <v>92</v>
      </c>
      <c r="S165">
        <v>1.0760000000000001</v>
      </c>
      <c r="T165" t="s">
        <v>92</v>
      </c>
      <c r="U165">
        <v>1.1779999999999999</v>
      </c>
      <c r="V165" t="s">
        <v>92</v>
      </c>
      <c r="W165">
        <v>1.3120000000000001</v>
      </c>
      <c r="X165" t="s">
        <v>92</v>
      </c>
      <c r="Y165">
        <v>1.381</v>
      </c>
      <c r="Z165" t="s">
        <v>92</v>
      </c>
      <c r="AA165">
        <v>1.5129999999999999</v>
      </c>
      <c r="AB165" t="s">
        <v>92</v>
      </c>
      <c r="AC165">
        <v>1.556</v>
      </c>
      <c r="AD165" t="s">
        <v>92</v>
      </c>
      <c r="AE165">
        <v>1.82</v>
      </c>
      <c r="AF165" t="s">
        <v>93</v>
      </c>
    </row>
    <row r="166" spans="1:33" x14ac:dyDescent="0.2">
      <c r="A166" t="s">
        <v>95</v>
      </c>
    </row>
    <row r="170" spans="1:33" x14ac:dyDescent="0.2">
      <c r="A170">
        <v>1982</v>
      </c>
      <c r="B170" t="s">
        <v>92</v>
      </c>
      <c r="C170" s="21">
        <f>'pm_24.dat '!B275</f>
        <v>2.6205768364266198E-2</v>
      </c>
      <c r="D170" s="21" t="s">
        <v>92</v>
      </c>
      <c r="E170" s="21">
        <f>'pm_24.dat '!C275</f>
        <v>7.7368660781642007E-2</v>
      </c>
      <c r="F170" s="21" t="s">
        <v>92</v>
      </c>
      <c r="G170" s="21">
        <f>'pm_24.dat '!D275</f>
        <v>0.17984087789759201</v>
      </c>
      <c r="H170" s="21" t="s">
        <v>92</v>
      </c>
      <c r="I170" s="21">
        <f>'pm_24.dat '!E275</f>
        <v>0.36696322655290403</v>
      </c>
      <c r="J170" s="21" t="s">
        <v>92</v>
      </c>
      <c r="K170" s="21">
        <f>'pm_24.dat '!F275</f>
        <v>0.54007476786386599</v>
      </c>
      <c r="L170" s="21" t="s">
        <v>92</v>
      </c>
      <c r="M170" s="21">
        <f>'pm_24.dat '!G275</f>
        <v>0.89063094342744098</v>
      </c>
      <c r="N170" s="21" t="s">
        <v>92</v>
      </c>
      <c r="O170" s="21">
        <f>'pm_24.dat '!H275</f>
        <v>1.20376535518445</v>
      </c>
      <c r="P170" s="21" t="s">
        <v>92</v>
      </c>
      <c r="Q170" s="21">
        <f>'pm_24.dat '!I275</f>
        <v>1.36478296920046</v>
      </c>
      <c r="R170" s="21" t="s">
        <v>92</v>
      </c>
      <c r="S170" s="21">
        <f>'pm_24.dat '!J275</f>
        <v>1.5027682449589399</v>
      </c>
      <c r="T170" s="21" t="s">
        <v>92</v>
      </c>
      <c r="U170" s="21">
        <f>'pm_24.dat '!K275</f>
        <v>1.6698665111228299</v>
      </c>
      <c r="V170" s="21" t="s">
        <v>92</v>
      </c>
      <c r="W170" s="21">
        <f>'pm_24.dat '!L275</f>
        <v>1.8208867544651701</v>
      </c>
      <c r="X170" s="21" t="s">
        <v>92</v>
      </c>
      <c r="Y170" s="21">
        <f>'pm_24.dat '!M275</f>
        <v>1.8721143230142701</v>
      </c>
      <c r="Z170" s="21" t="s">
        <v>92</v>
      </c>
      <c r="AA170" s="21">
        <f>'pm_24.dat '!N275</f>
        <v>2.1519163981505698</v>
      </c>
      <c r="AB170" s="21" t="s">
        <v>92</v>
      </c>
      <c r="AC170" s="21">
        <f>'pm_24.dat '!O275</f>
        <v>1.8248514781782401</v>
      </c>
      <c r="AD170" s="21" t="s">
        <v>92</v>
      </c>
      <c r="AE170" s="21">
        <f>'pm_24.dat '!P275</f>
        <v>2.6626429178482298</v>
      </c>
      <c r="AF170" s="21" t="s">
        <v>93</v>
      </c>
      <c r="AG170" s="21"/>
    </row>
    <row r="171" spans="1:33" x14ac:dyDescent="0.2">
      <c r="A171">
        <f>A170+1</f>
        <v>1983</v>
      </c>
      <c r="B171" t="s">
        <v>92</v>
      </c>
      <c r="C171" s="21">
        <f>'pm_24.dat '!B276</f>
        <v>1.6466600545255703E-2</v>
      </c>
      <c r="D171" s="21" t="s">
        <v>92</v>
      </c>
      <c r="E171" s="21">
        <f>'pm_24.dat '!C276</f>
        <v>0.10462804434456</v>
      </c>
      <c r="F171" s="21" t="s">
        <v>92</v>
      </c>
      <c r="G171" s="21">
        <f>'pm_24.dat '!D276</f>
        <v>0.18543451673570602</v>
      </c>
      <c r="H171" s="21" t="s">
        <v>92</v>
      </c>
      <c r="I171" s="21">
        <f>'pm_24.dat '!E276</f>
        <v>0.361183067278183</v>
      </c>
      <c r="J171" s="21" t="s">
        <v>92</v>
      </c>
      <c r="K171" s="21">
        <f>'pm_24.dat '!F276</f>
        <v>0.52095705984015395</v>
      </c>
      <c r="L171" s="21" t="s">
        <v>92</v>
      </c>
      <c r="M171" s="21">
        <f>'pm_24.dat '!G276</f>
        <v>0.71594416244669701</v>
      </c>
      <c r="N171" s="21" t="s">
        <v>92</v>
      </c>
      <c r="O171" s="21">
        <f>'pm_24.dat '!H276</f>
        <v>1.0203394070173701</v>
      </c>
      <c r="P171" s="21" t="s">
        <v>92</v>
      </c>
      <c r="Q171" s="21">
        <f>'pm_24.dat '!I276</f>
        <v>1.3065891866580801</v>
      </c>
      <c r="R171" s="21" t="s">
        <v>92</v>
      </c>
      <c r="S171" s="21">
        <f>'pm_24.dat '!J276</f>
        <v>1.5105197396897299</v>
      </c>
      <c r="T171" s="21" t="s">
        <v>92</v>
      </c>
      <c r="U171" s="21">
        <f>'pm_24.dat '!K276</f>
        <v>1.5784693494062201</v>
      </c>
      <c r="V171" s="21" t="s">
        <v>92</v>
      </c>
      <c r="W171" s="21">
        <f>'pm_24.dat '!L276</f>
        <v>1.63125283389593</v>
      </c>
      <c r="X171" s="21" t="s">
        <v>92</v>
      </c>
      <c r="Y171" s="21">
        <f>'pm_24.dat '!M276</f>
        <v>1.5707958947969001</v>
      </c>
      <c r="Z171" s="21" t="s">
        <v>92</v>
      </c>
      <c r="AA171" s="21">
        <f>'pm_24.dat '!N276</f>
        <v>1.81292165173247</v>
      </c>
      <c r="AB171" s="21" t="s">
        <v>92</v>
      </c>
      <c r="AC171" s="21">
        <f>'pm_24.dat '!O276</f>
        <v>1.5555354689503098</v>
      </c>
      <c r="AD171" s="21" t="s">
        <v>92</v>
      </c>
      <c r="AE171" s="21">
        <f>'pm_24.dat '!P276</f>
        <v>1.9861617606026001</v>
      </c>
      <c r="AF171" s="21" t="s">
        <v>93</v>
      </c>
      <c r="AG171" s="21"/>
    </row>
    <row r="172" spans="1:33" x14ac:dyDescent="0.2">
      <c r="A172">
        <f t="shared" ref="A172:A212" si="1">A171+1</f>
        <v>1984</v>
      </c>
      <c r="B172" t="s">
        <v>92</v>
      </c>
      <c r="C172" s="21">
        <f>'pm_24.dat '!B277</f>
        <v>1.6306697209876302E-2</v>
      </c>
      <c r="D172" s="21" t="s">
        <v>92</v>
      </c>
      <c r="E172" s="21">
        <f>'pm_24.dat '!C277</f>
        <v>6.7560012997084196E-2</v>
      </c>
      <c r="F172" s="21" t="s">
        <v>92</v>
      </c>
      <c r="G172" s="21">
        <f>'pm_24.dat '!D277</f>
        <v>0.19641513374278302</v>
      </c>
      <c r="H172" s="21" t="s">
        <v>92</v>
      </c>
      <c r="I172" s="21">
        <f>'pm_24.dat '!E277</f>
        <v>0.30668409657471701</v>
      </c>
      <c r="J172" s="21" t="s">
        <v>92</v>
      </c>
      <c r="K172" s="21">
        <f>'pm_24.dat '!F277</f>
        <v>0.48488267115630102</v>
      </c>
      <c r="L172" s="21" t="s">
        <v>92</v>
      </c>
      <c r="M172" s="21">
        <f>'pm_24.dat '!G277</f>
        <v>0.59752616392926805</v>
      </c>
      <c r="N172" s="21" t="s">
        <v>92</v>
      </c>
      <c r="O172" s="21">
        <f>'pm_24.dat '!H277</f>
        <v>0.93047187170983403</v>
      </c>
      <c r="P172" s="21" t="s">
        <v>92</v>
      </c>
      <c r="Q172" s="21">
        <f>'pm_24.dat '!I277</f>
        <v>1.37812076035674</v>
      </c>
      <c r="R172" s="21" t="s">
        <v>92</v>
      </c>
      <c r="S172" s="21">
        <f>'pm_24.dat '!J277</f>
        <v>1.51356256090172</v>
      </c>
      <c r="T172" s="21" t="s">
        <v>92</v>
      </c>
      <c r="U172" s="21">
        <f>'pm_24.dat '!K277</f>
        <v>1.73103535871723</v>
      </c>
      <c r="V172" s="21" t="s">
        <v>92</v>
      </c>
      <c r="W172" s="21">
        <f>'pm_24.dat '!L277</f>
        <v>1.86988508093063</v>
      </c>
      <c r="X172" s="21" t="s">
        <v>92</v>
      </c>
      <c r="Y172" s="21">
        <f>'pm_24.dat '!M277</f>
        <v>1.8518142296881399</v>
      </c>
      <c r="Z172" s="21" t="s">
        <v>92</v>
      </c>
      <c r="AA172" s="21">
        <f>'pm_24.dat '!N277</f>
        <v>1.9701181719995</v>
      </c>
      <c r="AB172" s="21" t="s">
        <v>92</v>
      </c>
      <c r="AC172" s="21">
        <f>'pm_24.dat '!O277</f>
        <v>1.7446386118191899</v>
      </c>
      <c r="AD172" s="21" t="s">
        <v>92</v>
      </c>
      <c r="AE172" s="21">
        <f>'pm_24.dat '!P277</f>
        <v>2.1247449724852698</v>
      </c>
      <c r="AF172" s="21" t="s">
        <v>93</v>
      </c>
      <c r="AG172" s="21"/>
    </row>
    <row r="173" spans="1:33" x14ac:dyDescent="0.2">
      <c r="A173">
        <f t="shared" si="1"/>
        <v>1985</v>
      </c>
      <c r="B173" t="s">
        <v>92</v>
      </c>
      <c r="C173" s="21">
        <f>'pm_24.dat '!B278</f>
        <v>1.7032290759062201E-2</v>
      </c>
      <c r="D173" s="21" t="s">
        <v>92</v>
      </c>
      <c r="E173" s="21">
        <f>'pm_24.dat '!C278</f>
        <v>8.2113336681314E-2</v>
      </c>
      <c r="F173" s="21" t="s">
        <v>92</v>
      </c>
      <c r="G173" s="21">
        <f>'pm_24.dat '!D278</f>
        <v>0.21258432216551099</v>
      </c>
      <c r="H173" s="21" t="s">
        <v>92</v>
      </c>
      <c r="I173" s="21">
        <f>'pm_24.dat '!E278</f>
        <v>0.336327375486066</v>
      </c>
      <c r="J173" s="21" t="s">
        <v>92</v>
      </c>
      <c r="K173" s="21">
        <f>'pm_24.dat '!F278</f>
        <v>0.47324341363533901</v>
      </c>
      <c r="L173" s="21" t="s">
        <v>92</v>
      </c>
      <c r="M173" s="21">
        <f>'pm_24.dat '!G278</f>
        <v>0.68096711221311401</v>
      </c>
      <c r="N173" s="21" t="s">
        <v>92</v>
      </c>
      <c r="O173" s="21">
        <f>'pm_24.dat '!H278</f>
        <v>0.89133258231078105</v>
      </c>
      <c r="P173" s="21" t="s">
        <v>92</v>
      </c>
      <c r="Q173" s="21">
        <f>'pm_24.dat '!I278</f>
        <v>1.2315978795675901</v>
      </c>
      <c r="R173" s="21" t="s">
        <v>92</v>
      </c>
      <c r="S173" s="21">
        <f>'pm_24.dat '!J278</f>
        <v>1.64945755425284</v>
      </c>
      <c r="T173" s="21" t="s">
        <v>92</v>
      </c>
      <c r="U173" s="21">
        <f>'pm_24.dat '!K278</f>
        <v>1.60809907215711</v>
      </c>
      <c r="V173" s="21" t="s">
        <v>92</v>
      </c>
      <c r="W173" s="21">
        <f>'pm_24.dat '!L278</f>
        <v>1.72145465419854</v>
      </c>
      <c r="X173" s="21" t="s">
        <v>92</v>
      </c>
      <c r="Y173" s="21">
        <f>'pm_24.dat '!M278</f>
        <v>2.0162687795523802</v>
      </c>
      <c r="Z173" s="21" t="s">
        <v>92</v>
      </c>
      <c r="AA173" s="21">
        <f>'pm_24.dat '!N278</f>
        <v>2.1048367691588599</v>
      </c>
      <c r="AB173" s="21" t="s">
        <v>92</v>
      </c>
      <c r="AC173" s="21">
        <f>'pm_24.dat '!O278</f>
        <v>1.8017955795243199</v>
      </c>
      <c r="AD173" s="21" t="s">
        <v>92</v>
      </c>
      <c r="AE173" s="21">
        <f>'pm_24.dat '!P278</f>
        <v>2.4895722831456299</v>
      </c>
      <c r="AF173" s="21" t="s">
        <v>93</v>
      </c>
      <c r="AG173" s="21"/>
    </row>
    <row r="174" spans="1:33" x14ac:dyDescent="0.2">
      <c r="A174">
        <f t="shared" si="1"/>
        <v>1986</v>
      </c>
      <c r="B174" t="s">
        <v>92</v>
      </c>
      <c r="C174" s="21">
        <f>'pm_24.dat '!B279</f>
        <v>1.2679100930007101E-2</v>
      </c>
      <c r="D174" s="21" t="s">
        <v>92</v>
      </c>
      <c r="E174" s="21">
        <f>'pm_24.dat '!C279</f>
        <v>6.2722584755181401E-2</v>
      </c>
      <c r="F174" s="21" t="s">
        <v>92</v>
      </c>
      <c r="G174" s="21">
        <f>'pm_24.dat '!D279</f>
        <v>0.145053920787659</v>
      </c>
      <c r="H174" s="21" t="s">
        <v>92</v>
      </c>
      <c r="I174" s="21">
        <f>'pm_24.dat '!E279</f>
        <v>0.32711326428707899</v>
      </c>
      <c r="J174" s="21" t="s">
        <v>92</v>
      </c>
      <c r="K174" s="21">
        <f>'pm_24.dat '!F279</f>
        <v>0.41958097808419803</v>
      </c>
      <c r="L174" s="21" t="s">
        <v>92</v>
      </c>
      <c r="M174" s="21">
        <f>'pm_24.dat '!G279</f>
        <v>0.6112776391219199</v>
      </c>
      <c r="N174" s="21" t="s">
        <v>92</v>
      </c>
      <c r="O174" s="21">
        <f>'pm_24.dat '!H279</f>
        <v>0.81913046383286703</v>
      </c>
      <c r="P174" s="21" t="s">
        <v>92</v>
      </c>
      <c r="Q174" s="21">
        <f>'pm_24.dat '!I279</f>
        <v>1.0295669212152501</v>
      </c>
      <c r="R174" s="21" t="s">
        <v>92</v>
      </c>
      <c r="S174" s="21">
        <f>'pm_24.dat '!J279</f>
        <v>1.30974334916014</v>
      </c>
      <c r="T174" s="21" t="s">
        <v>92</v>
      </c>
      <c r="U174" s="21">
        <f>'pm_24.dat '!K279</f>
        <v>1.62534110228218</v>
      </c>
      <c r="V174" s="21" t="s">
        <v>92</v>
      </c>
      <c r="W174" s="21">
        <f>'pm_24.dat '!L279</f>
        <v>1.7353881334800201</v>
      </c>
      <c r="X174" s="21" t="s">
        <v>92</v>
      </c>
      <c r="Y174" s="21">
        <f>'pm_24.dat '!M279</f>
        <v>1.9396120868498399</v>
      </c>
      <c r="Z174" s="21" t="s">
        <v>92</v>
      </c>
      <c r="AA174" s="21">
        <f>'pm_24.dat '!N279</f>
        <v>2.2206107977312297</v>
      </c>
      <c r="AB174" s="21" t="s">
        <v>92</v>
      </c>
      <c r="AC174" s="21">
        <f>'pm_24.dat '!O279</f>
        <v>2.2816760784047303</v>
      </c>
      <c r="AD174" s="21" t="s">
        <v>92</v>
      </c>
      <c r="AE174" s="21">
        <f>'pm_24.dat '!P279</f>
        <v>2.431324563497065</v>
      </c>
      <c r="AF174" s="21" t="s">
        <v>93</v>
      </c>
      <c r="AG174" s="21"/>
    </row>
    <row r="175" spans="1:33" x14ac:dyDescent="0.2">
      <c r="A175">
        <f t="shared" si="1"/>
        <v>1987</v>
      </c>
      <c r="B175" t="s">
        <v>92</v>
      </c>
      <c r="C175" s="21">
        <f>'pm_24.dat '!B280</f>
        <v>2.5633853765877099E-2</v>
      </c>
      <c r="D175" s="21" t="s">
        <v>92</v>
      </c>
      <c r="E175" s="21">
        <f>'pm_24.dat '!C280</f>
        <v>0.106461679611092</v>
      </c>
      <c r="F175" s="21" t="s">
        <v>92</v>
      </c>
      <c r="G175" s="21">
        <f>'pm_24.dat '!D280</f>
        <v>0.24569976022906598</v>
      </c>
      <c r="H175" s="21" t="s">
        <v>92</v>
      </c>
      <c r="I175" s="21">
        <f>'pm_24.dat '!E280</f>
        <v>0.293843101850705</v>
      </c>
      <c r="J175" s="21" t="s">
        <v>92</v>
      </c>
      <c r="K175" s="21">
        <f>'pm_24.dat '!F280</f>
        <v>0.42630491922854202</v>
      </c>
      <c r="L175" s="21" t="s">
        <v>92</v>
      </c>
      <c r="M175" s="21">
        <f>'pm_24.dat '!G280</f>
        <v>0.52330365475881002</v>
      </c>
      <c r="N175" s="21" t="s">
        <v>92</v>
      </c>
      <c r="O175" s="21">
        <f>'pm_24.dat '!H280</f>
        <v>0.69169735568067703</v>
      </c>
      <c r="P175" s="21" t="s">
        <v>92</v>
      </c>
      <c r="Q175" s="21">
        <f>'pm_24.dat '!I280</f>
        <v>0.82563259614139894</v>
      </c>
      <c r="R175" s="21" t="s">
        <v>92</v>
      </c>
      <c r="S175" s="21">
        <f>'pm_24.dat '!J280</f>
        <v>0.97431406948700494</v>
      </c>
      <c r="T175" s="21" t="s">
        <v>92</v>
      </c>
      <c r="U175" s="21">
        <f>'pm_24.dat '!K280</f>
        <v>1.1805090085902901</v>
      </c>
      <c r="V175" s="21" t="s">
        <v>92</v>
      </c>
      <c r="W175" s="21">
        <f>'pm_24.dat '!L280</f>
        <v>1.49369639449772</v>
      </c>
      <c r="X175" s="21" t="s">
        <v>92</v>
      </c>
      <c r="Y175" s="21">
        <f>'pm_24.dat '!M280</f>
        <v>1.5168685731399201</v>
      </c>
      <c r="Z175" s="21" t="s">
        <v>92</v>
      </c>
      <c r="AA175" s="21">
        <f>'pm_24.dat '!N280</f>
        <v>1.9276494798235202</v>
      </c>
      <c r="AB175" s="21" t="s">
        <v>92</v>
      </c>
      <c r="AC175" s="21">
        <f>'pm_24.dat '!O280</f>
        <v>2.22888368783613</v>
      </c>
      <c r="AD175" s="21" t="s">
        <v>92</v>
      </c>
      <c r="AE175" s="21">
        <f>'pm_24.dat '!P280</f>
        <v>2.3730768438485002</v>
      </c>
      <c r="AF175" s="21" t="s">
        <v>93</v>
      </c>
      <c r="AG175" s="21"/>
    </row>
    <row r="176" spans="1:33" x14ac:dyDescent="0.2">
      <c r="A176">
        <f t="shared" si="1"/>
        <v>1988</v>
      </c>
      <c r="B176" t="s">
        <v>92</v>
      </c>
      <c r="C176" s="21">
        <f>'pm_24.dat '!B281</f>
        <v>1.6132697573974699E-2</v>
      </c>
      <c r="D176" s="21" t="s">
        <v>92</v>
      </c>
      <c r="E176" s="21">
        <f>'pm_24.dat '!C281</f>
        <v>9.5171864701778602E-2</v>
      </c>
      <c r="F176" s="21" t="s">
        <v>92</v>
      </c>
      <c r="G176" s="21">
        <f>'pm_24.dat '!D281</f>
        <v>0.27475098279599203</v>
      </c>
      <c r="H176" s="21" t="s">
        <v>92</v>
      </c>
      <c r="I176" s="21">
        <f>'pm_24.dat '!E281</f>
        <v>0.32317442153322801</v>
      </c>
      <c r="J176" s="21" t="s">
        <v>92</v>
      </c>
      <c r="K176" s="21">
        <f>'pm_24.dat '!F281</f>
        <v>0.42643288567465498</v>
      </c>
      <c r="L176" s="21" t="s">
        <v>92</v>
      </c>
      <c r="M176" s="21">
        <f>'pm_24.dat '!G281</f>
        <v>0.50128528271725903</v>
      </c>
      <c r="N176" s="21" t="s">
        <v>92</v>
      </c>
      <c r="O176" s="21">
        <f>'pm_24.dat '!H281</f>
        <v>0.66056901121061007</v>
      </c>
      <c r="P176" s="21" t="s">
        <v>92</v>
      </c>
      <c r="Q176" s="21">
        <f>'pm_24.dat '!I281</f>
        <v>0.87735348497564603</v>
      </c>
      <c r="R176" s="21" t="s">
        <v>92</v>
      </c>
      <c r="S176" s="21">
        <f>'pm_24.dat '!J281</f>
        <v>0.89016780174772392</v>
      </c>
      <c r="T176" s="21" t="s">
        <v>92</v>
      </c>
      <c r="U176" s="21">
        <f>'pm_24.dat '!K281</f>
        <v>1.10794683349835</v>
      </c>
      <c r="V176" s="21" t="s">
        <v>92</v>
      </c>
      <c r="W176" s="21">
        <f>'pm_24.dat '!L281</f>
        <v>1.34409259321145</v>
      </c>
      <c r="X176" s="21" t="s">
        <v>92</v>
      </c>
      <c r="Y176" s="21">
        <f>'pm_24.dat '!M281</f>
        <v>1.3842114496744</v>
      </c>
      <c r="Z176" s="21" t="s">
        <v>92</v>
      </c>
      <c r="AA176" s="21">
        <f>'pm_24.dat '!N281</f>
        <v>1.90466047284648</v>
      </c>
      <c r="AB176" s="21" t="s">
        <v>92</v>
      </c>
      <c r="AC176" s="21">
        <f>'pm_24.dat '!O281</f>
        <v>1.16038275926391</v>
      </c>
      <c r="AD176" s="21" t="s">
        <v>92</v>
      </c>
      <c r="AE176" s="21">
        <f>'pm_24.dat '!P281</f>
        <v>1.74449468902743</v>
      </c>
      <c r="AF176" s="21" t="s">
        <v>93</v>
      </c>
      <c r="AG176" s="21"/>
    </row>
    <row r="177" spans="1:33" x14ac:dyDescent="0.2">
      <c r="A177">
        <f t="shared" si="1"/>
        <v>1989</v>
      </c>
      <c r="B177" t="s">
        <v>92</v>
      </c>
      <c r="C177" s="21">
        <f>'pm_24.dat '!B282</f>
        <v>1.8833545138204903E-2</v>
      </c>
      <c r="D177" s="21" t="s">
        <v>92</v>
      </c>
      <c r="E177" s="21">
        <f>'pm_24.dat '!C282</f>
        <v>8.9662269608068904E-2</v>
      </c>
      <c r="F177" s="21" t="s">
        <v>92</v>
      </c>
      <c r="G177" s="21">
        <f>'pm_24.dat '!D282</f>
        <v>0.16816857129782301</v>
      </c>
      <c r="H177" s="21" t="s">
        <v>92</v>
      </c>
      <c r="I177" s="21">
        <f>'pm_24.dat '!E282</f>
        <v>0.30527029705757297</v>
      </c>
      <c r="J177" s="21" t="s">
        <v>92</v>
      </c>
      <c r="K177" s="21">
        <f>'pm_24.dat '!F282</f>
        <v>0.39071365194677599</v>
      </c>
      <c r="L177" s="21" t="s">
        <v>92</v>
      </c>
      <c r="M177" s="21">
        <f>'pm_24.dat '!G282</f>
        <v>0.50501530247354598</v>
      </c>
      <c r="N177" s="21" t="s">
        <v>92</v>
      </c>
      <c r="O177" s="21">
        <f>'pm_24.dat '!H282</f>
        <v>0.71004223768709795</v>
      </c>
      <c r="P177" s="21" t="s">
        <v>92</v>
      </c>
      <c r="Q177" s="21">
        <f>'pm_24.dat '!I282</f>
        <v>0.80356768305916604</v>
      </c>
      <c r="R177" s="21" t="s">
        <v>92</v>
      </c>
      <c r="S177" s="21">
        <f>'pm_24.dat '!J282</f>
        <v>1.0999787696621</v>
      </c>
      <c r="T177" s="21" t="s">
        <v>92</v>
      </c>
      <c r="U177" s="21">
        <f>'pm_24.dat '!K282</f>
        <v>1.0887267960160001</v>
      </c>
      <c r="V177" s="21" t="s">
        <v>92</v>
      </c>
      <c r="W177" s="21">
        <f>'pm_24.dat '!L282</f>
        <v>1.2255463904675601</v>
      </c>
      <c r="X177" s="21" t="s">
        <v>92</v>
      </c>
      <c r="Y177" s="21">
        <f>'pm_24.dat '!M282</f>
        <v>1.31192552744375</v>
      </c>
      <c r="Z177" s="21" t="s">
        <v>92</v>
      </c>
      <c r="AA177" s="21">
        <f>'pm_24.dat '!N282</f>
        <v>1.2899614218926398</v>
      </c>
      <c r="AB177" s="21" t="s">
        <v>92</v>
      </c>
      <c r="AC177" s="21">
        <f>'pm_24.dat '!O282</f>
        <v>1.2903493766388499</v>
      </c>
      <c r="AD177" s="21" t="s">
        <v>92</v>
      </c>
      <c r="AE177" s="21">
        <f>'pm_24.dat '!P282</f>
        <v>1.4807348354810899</v>
      </c>
      <c r="AF177" s="21" t="s">
        <v>93</v>
      </c>
      <c r="AG177" s="21"/>
    </row>
    <row r="178" spans="1:33" x14ac:dyDescent="0.2">
      <c r="A178">
        <f t="shared" si="1"/>
        <v>1990</v>
      </c>
      <c r="B178" t="s">
        <v>92</v>
      </c>
      <c r="C178" s="21">
        <f>'pm_24.dat '!B283</f>
        <v>1.44132641492724E-2</v>
      </c>
      <c r="D178" s="21" t="s">
        <v>92</v>
      </c>
      <c r="E178" s="21">
        <f>'pm_24.dat '!C283</f>
        <v>0.17105638557615502</v>
      </c>
      <c r="F178" s="21" t="s">
        <v>92</v>
      </c>
      <c r="G178" s="21">
        <f>'pm_24.dat '!D283</f>
        <v>0.18121030985172101</v>
      </c>
      <c r="H178" s="21" t="s">
        <v>92</v>
      </c>
      <c r="I178" s="21">
        <f>'pm_24.dat '!E283</f>
        <v>0.35206067186959999</v>
      </c>
      <c r="J178" s="21" t="s">
        <v>92</v>
      </c>
      <c r="K178" s="21">
        <f>'pm_24.dat '!F283</f>
        <v>0.43324722734765103</v>
      </c>
      <c r="L178" s="21" t="s">
        <v>92</v>
      </c>
      <c r="M178" s="21">
        <f>'pm_24.dat '!G283</f>
        <v>0.54502220175678895</v>
      </c>
      <c r="N178" s="21" t="s">
        <v>92</v>
      </c>
      <c r="O178" s="21">
        <f>'pm_24.dat '!H283</f>
        <v>0.62258190438863592</v>
      </c>
      <c r="P178" s="21" t="s">
        <v>92</v>
      </c>
      <c r="Q178" s="21">
        <f>'pm_24.dat '!I283</f>
        <v>0.761558106201493</v>
      </c>
      <c r="R178" s="21" t="s">
        <v>92</v>
      </c>
      <c r="S178" s="21">
        <f>'pm_24.dat '!J283</f>
        <v>0.89588118388879801</v>
      </c>
      <c r="T178" s="21" t="s">
        <v>92</v>
      </c>
      <c r="U178" s="21">
        <f>'pm_24.dat '!K283</f>
        <v>1.1052711286460601</v>
      </c>
      <c r="V178" s="21" t="s">
        <v>92</v>
      </c>
      <c r="W178" s="21">
        <f>'pm_24.dat '!L283</f>
        <v>1.14248138416348</v>
      </c>
      <c r="X178" s="21" t="s">
        <v>92</v>
      </c>
      <c r="Y178" s="21">
        <f>'pm_24.dat '!M283</f>
        <v>1.3111779770083201</v>
      </c>
      <c r="Z178" s="21" t="s">
        <v>92</v>
      </c>
      <c r="AA178" s="21">
        <f>'pm_24.dat '!N283</f>
        <v>1.3755015811732501</v>
      </c>
      <c r="AB178" s="21" t="s">
        <v>92</v>
      </c>
      <c r="AC178" s="21">
        <f>'pm_24.dat '!O283</f>
        <v>1.4868107069044298</v>
      </c>
      <c r="AD178" s="21" t="s">
        <v>92</v>
      </c>
      <c r="AE178" s="21">
        <f>'pm_24.dat '!P283</f>
        <v>1.77795695397833</v>
      </c>
      <c r="AF178" s="21" t="s">
        <v>93</v>
      </c>
      <c r="AG178" s="21"/>
    </row>
    <row r="179" spans="1:33" x14ac:dyDescent="0.2">
      <c r="A179">
        <f t="shared" si="1"/>
        <v>1991</v>
      </c>
      <c r="B179" t="s">
        <v>92</v>
      </c>
      <c r="C179" s="21">
        <f>'pm_24.dat '!B284</f>
        <v>2.0605993494384699E-2</v>
      </c>
      <c r="D179" s="21" t="s">
        <v>92</v>
      </c>
      <c r="E179" s="21">
        <f>'pm_24.dat '!C284</f>
        <v>0.13638903554405599</v>
      </c>
      <c r="F179" s="21" t="s">
        <v>92</v>
      </c>
      <c r="G179" s="21">
        <f>'pm_24.dat '!D284</f>
        <v>0.19937223564649698</v>
      </c>
      <c r="H179" s="21" t="s">
        <v>92</v>
      </c>
      <c r="I179" s="21">
        <f>'pm_24.dat '!E284</f>
        <v>0.35376234902909998</v>
      </c>
      <c r="J179" s="21" t="s">
        <v>92</v>
      </c>
      <c r="K179" s="21">
        <f>'pm_24.dat '!F284</f>
        <v>0.56350198644562199</v>
      </c>
      <c r="L179" s="21" t="s">
        <v>92</v>
      </c>
      <c r="M179" s="21">
        <f>'pm_24.dat '!G284</f>
        <v>0.637942100386374</v>
      </c>
      <c r="N179" s="21" t="s">
        <v>92</v>
      </c>
      <c r="O179" s="21">
        <f>'pm_24.dat '!H284</f>
        <v>0.72004131259222692</v>
      </c>
      <c r="P179" s="21" t="s">
        <v>92</v>
      </c>
      <c r="Q179" s="21">
        <f>'pm_24.dat '!I284</f>
        <v>0.8170110347737819</v>
      </c>
      <c r="R179" s="21" t="s">
        <v>92</v>
      </c>
      <c r="S179" s="21">
        <f>'pm_24.dat '!J284</f>
        <v>0.98209054129406104</v>
      </c>
      <c r="T179" s="21" t="s">
        <v>92</v>
      </c>
      <c r="U179" s="21">
        <f>'pm_24.dat '!K284</f>
        <v>1.0800510633634799</v>
      </c>
      <c r="V179" s="21" t="s">
        <v>92</v>
      </c>
      <c r="W179" s="21">
        <f>'pm_24.dat '!L284</f>
        <v>1.3277349100793101</v>
      </c>
      <c r="X179" s="21" t="s">
        <v>92</v>
      </c>
      <c r="Y179" s="21">
        <f>'pm_24.dat '!M284</f>
        <v>1.4135750709010699</v>
      </c>
      <c r="Z179" s="21" t="s">
        <v>92</v>
      </c>
      <c r="AA179" s="21">
        <f>'pm_24.dat '!N284</f>
        <v>1.5711975792455</v>
      </c>
      <c r="AB179" s="21" t="s">
        <v>92</v>
      </c>
      <c r="AC179" s="21">
        <f>'pm_24.dat '!O284</f>
        <v>1.8148823265860798</v>
      </c>
      <c r="AD179" s="21" t="s">
        <v>92</v>
      </c>
      <c r="AE179" s="21">
        <f>'pm_24.dat '!P284</f>
        <v>1.97972020974862</v>
      </c>
      <c r="AF179" s="21" t="s">
        <v>93</v>
      </c>
      <c r="AG179" s="21"/>
    </row>
    <row r="180" spans="1:33" x14ac:dyDescent="0.2">
      <c r="A180">
        <f t="shared" si="1"/>
        <v>1992</v>
      </c>
      <c r="B180" t="s">
        <v>92</v>
      </c>
      <c r="C180" s="21">
        <f>'pm_24.dat '!B285</f>
        <v>1.6772385234901103E-2</v>
      </c>
      <c r="D180" s="21" t="s">
        <v>92</v>
      </c>
      <c r="E180" s="21">
        <f>'pm_24.dat '!C285</f>
        <v>0.129732207909415</v>
      </c>
      <c r="F180" s="21" t="s">
        <v>92</v>
      </c>
      <c r="G180" s="21">
        <f>'pm_24.dat '!D285</f>
        <v>0.29996991458359501</v>
      </c>
      <c r="H180" s="21" t="s">
        <v>92</v>
      </c>
      <c r="I180" s="21">
        <f>'pm_24.dat '!E285</f>
        <v>0.40907178774926095</v>
      </c>
      <c r="J180" s="21" t="s">
        <v>92</v>
      </c>
      <c r="K180" s="21">
        <f>'pm_24.dat '!F285</f>
        <v>0.50467968604729596</v>
      </c>
      <c r="L180" s="21" t="s">
        <v>92</v>
      </c>
      <c r="M180" s="21">
        <f>'pm_24.dat '!G285</f>
        <v>0.58947542604562297</v>
      </c>
      <c r="N180" s="21" t="s">
        <v>92</v>
      </c>
      <c r="O180" s="21">
        <f>'pm_24.dat '!H285</f>
        <v>0.77752687424981404</v>
      </c>
      <c r="P180" s="21" t="s">
        <v>92</v>
      </c>
      <c r="Q180" s="21">
        <f>'pm_24.dat '!I285</f>
        <v>0.8699992527433581</v>
      </c>
      <c r="R180" s="21" t="s">
        <v>92</v>
      </c>
      <c r="S180" s="21">
        <f>'pm_24.dat '!J285</f>
        <v>0.97166959320791402</v>
      </c>
      <c r="T180" s="21" t="s">
        <v>92</v>
      </c>
      <c r="U180" s="21">
        <f>'pm_24.dat '!K285</f>
        <v>1.08025598978774</v>
      </c>
      <c r="V180" s="21" t="s">
        <v>92</v>
      </c>
      <c r="W180" s="21">
        <f>'pm_24.dat '!L285</f>
        <v>1.2259851032916198</v>
      </c>
      <c r="X180" s="21" t="s">
        <v>92</v>
      </c>
      <c r="Y180" s="21">
        <f>'pm_24.dat '!M285</f>
        <v>1.4716865121579399</v>
      </c>
      <c r="Z180" s="21" t="s">
        <v>92</v>
      </c>
      <c r="AA180" s="21">
        <f>'pm_24.dat '!N285</f>
        <v>1.6762203311602299</v>
      </c>
      <c r="AB180" s="21" t="s">
        <v>92</v>
      </c>
      <c r="AC180" s="21">
        <f>'pm_24.dat '!O285</f>
        <v>1.7302858685521201</v>
      </c>
      <c r="AD180" s="21" t="s">
        <v>92</v>
      </c>
      <c r="AE180" s="21">
        <f>'pm_24.dat '!P285</f>
        <v>1.6934578149532999</v>
      </c>
      <c r="AF180" s="21" t="s">
        <v>93</v>
      </c>
      <c r="AG180" s="21"/>
    </row>
    <row r="181" spans="1:33" x14ac:dyDescent="0.2">
      <c r="A181">
        <f t="shared" si="1"/>
        <v>1993</v>
      </c>
      <c r="B181" t="s">
        <v>92</v>
      </c>
      <c r="C181" s="21">
        <f>'pm_24.dat '!B286</f>
        <v>1.2209558488244201E-2</v>
      </c>
      <c r="D181" s="21" t="s">
        <v>92</v>
      </c>
      <c r="E181" s="21">
        <f>'pm_24.dat '!C286</f>
        <v>0.10251025717031201</v>
      </c>
      <c r="F181" s="21" t="s">
        <v>92</v>
      </c>
      <c r="G181" s="21">
        <f>'pm_24.dat '!D286</f>
        <v>0.28949641197096299</v>
      </c>
      <c r="H181" s="21" t="s">
        <v>92</v>
      </c>
      <c r="I181" s="21">
        <f>'pm_24.dat '!E286</f>
        <v>0.46988782993348799</v>
      </c>
      <c r="J181" s="21" t="s">
        <v>92</v>
      </c>
      <c r="K181" s="21">
        <f>'pm_24.dat '!F286</f>
        <v>0.52522104180655105</v>
      </c>
      <c r="L181" s="21" t="s">
        <v>92</v>
      </c>
      <c r="M181" s="21">
        <f>'pm_24.dat '!G286</f>
        <v>0.645431589991314</v>
      </c>
      <c r="N181" s="21" t="s">
        <v>92</v>
      </c>
      <c r="O181" s="21">
        <f>'pm_24.dat '!H286</f>
        <v>0.73919060945562209</v>
      </c>
      <c r="P181" s="21" t="s">
        <v>92</v>
      </c>
      <c r="Q181" s="21">
        <f>'pm_24.dat '!I286</f>
        <v>0.86636090131699595</v>
      </c>
      <c r="R181" s="21" t="s">
        <v>92</v>
      </c>
      <c r="S181" s="21">
        <f>'pm_24.dat '!J286</f>
        <v>1.0621985547723101</v>
      </c>
      <c r="T181" s="21" t="s">
        <v>92</v>
      </c>
      <c r="U181" s="21">
        <f>'pm_24.dat '!K286</f>
        <v>1.09907360574625</v>
      </c>
      <c r="V181" s="21" t="s">
        <v>92</v>
      </c>
      <c r="W181" s="21">
        <f>'pm_24.dat '!L286</f>
        <v>1.2925776231441801</v>
      </c>
      <c r="X181" s="21" t="s">
        <v>92</v>
      </c>
      <c r="Y181" s="21">
        <f>'pm_24.dat '!M286</f>
        <v>1.4077627221767</v>
      </c>
      <c r="Z181" s="21" t="s">
        <v>92</v>
      </c>
      <c r="AA181" s="21">
        <f>'pm_24.dat '!N286</f>
        <v>1.60757293396255</v>
      </c>
      <c r="AB181" s="21" t="s">
        <v>92</v>
      </c>
      <c r="AC181" s="21">
        <f>'pm_24.dat '!O286</f>
        <v>1.6890830761884599</v>
      </c>
      <c r="AD181" s="21" t="s">
        <v>92</v>
      </c>
      <c r="AE181" s="21">
        <f>'pm_24.dat '!P286</f>
        <v>1.8109887021993401</v>
      </c>
      <c r="AF181" s="21" t="s">
        <v>93</v>
      </c>
      <c r="AG181" s="21"/>
    </row>
    <row r="182" spans="1:33" x14ac:dyDescent="0.2">
      <c r="A182">
        <f t="shared" si="1"/>
        <v>1994</v>
      </c>
      <c r="B182" t="s">
        <v>92</v>
      </c>
      <c r="C182" s="21">
        <f>'pm_24.dat '!B287</f>
        <v>1.7732800814225701E-2</v>
      </c>
      <c r="D182" s="21" t="s">
        <v>92</v>
      </c>
      <c r="E182" s="21">
        <f>'pm_24.dat '!C287</f>
        <v>8.9098398304678195E-2</v>
      </c>
      <c r="F182" s="21" t="s">
        <v>92</v>
      </c>
      <c r="G182" s="21">
        <f>'pm_24.dat '!D287</f>
        <v>0.227857636232522</v>
      </c>
      <c r="H182" s="21" t="s">
        <v>92</v>
      </c>
      <c r="I182" s="21">
        <f>'pm_24.dat '!E287</f>
        <v>0.41442535474540698</v>
      </c>
      <c r="J182" s="21" t="s">
        <v>92</v>
      </c>
      <c r="K182" s="21">
        <f>'pm_24.dat '!F287</f>
        <v>0.57280505462053</v>
      </c>
      <c r="L182" s="21" t="s">
        <v>92</v>
      </c>
      <c r="M182" s="21">
        <f>'pm_24.dat '!G287</f>
        <v>0.70886323807506302</v>
      </c>
      <c r="N182" s="21" t="s">
        <v>92</v>
      </c>
      <c r="O182" s="21">
        <f>'pm_24.dat '!H287</f>
        <v>0.74684259874294501</v>
      </c>
      <c r="P182" s="21" t="s">
        <v>92</v>
      </c>
      <c r="Q182" s="21">
        <f>'pm_24.dat '!I287</f>
        <v>1.0865221926950901</v>
      </c>
      <c r="R182" s="21" t="s">
        <v>92</v>
      </c>
      <c r="S182" s="21">
        <f>'pm_24.dat '!J287</f>
        <v>1.3033178389523401</v>
      </c>
      <c r="T182" s="21" t="s">
        <v>92</v>
      </c>
      <c r="U182" s="21">
        <f>'pm_24.dat '!K287</f>
        <v>1.2357686033198199</v>
      </c>
      <c r="V182" s="21" t="s">
        <v>92</v>
      </c>
      <c r="W182" s="21">
        <f>'pm_24.dat '!L287</f>
        <v>1.34634487279032</v>
      </c>
      <c r="X182" s="21" t="s">
        <v>92</v>
      </c>
      <c r="Y182" s="21">
        <f>'pm_24.dat '!M287</f>
        <v>1.4400919846717</v>
      </c>
      <c r="Z182" s="21" t="s">
        <v>92</v>
      </c>
      <c r="AA182" s="21">
        <f>'pm_24.dat '!N287</f>
        <v>1.4919087214475302</v>
      </c>
      <c r="AB182" s="21" t="s">
        <v>92</v>
      </c>
      <c r="AC182" s="21">
        <f>'pm_24.dat '!O287</f>
        <v>1.67079744408714</v>
      </c>
      <c r="AD182" s="21" t="s">
        <v>92</v>
      </c>
      <c r="AE182" s="21">
        <f>'pm_24.dat '!P287</f>
        <v>1.7429203711688799</v>
      </c>
      <c r="AF182" s="21" t="s">
        <v>93</v>
      </c>
      <c r="AG182" s="21"/>
    </row>
    <row r="183" spans="1:33" x14ac:dyDescent="0.2">
      <c r="A183">
        <f t="shared" si="1"/>
        <v>1995</v>
      </c>
      <c r="B183" t="s">
        <v>92</v>
      </c>
      <c r="C183" s="21">
        <f>'pm_24.dat '!B288</f>
        <v>1.7411934302708498E-2</v>
      </c>
      <c r="D183" s="21" t="s">
        <v>92</v>
      </c>
      <c r="E183" s="21">
        <f>'pm_24.dat '!C288</f>
        <v>6.3233780724699096E-2</v>
      </c>
      <c r="F183" s="21" t="s">
        <v>92</v>
      </c>
      <c r="G183" s="21">
        <f>'pm_24.dat '!D288</f>
        <v>0.14533530341640802</v>
      </c>
      <c r="H183" s="21" t="s">
        <v>92</v>
      </c>
      <c r="I183" s="21">
        <f>'pm_24.dat '!E288</f>
        <v>0.33988341570147995</v>
      </c>
      <c r="J183" s="21" t="s">
        <v>92</v>
      </c>
      <c r="K183" s="21">
        <f>'pm_24.dat '!F288</f>
        <v>0.48033315774494995</v>
      </c>
      <c r="L183" s="21" t="s">
        <v>92</v>
      </c>
      <c r="M183" s="21">
        <f>'pm_24.dat '!G288</f>
        <v>0.65684407837120895</v>
      </c>
      <c r="N183" s="21" t="s">
        <v>92</v>
      </c>
      <c r="O183" s="21">
        <f>'pm_24.dat '!H288</f>
        <v>0.68022790527037003</v>
      </c>
      <c r="P183" s="21" t="s">
        <v>92</v>
      </c>
      <c r="Q183" s="21">
        <f>'pm_24.dat '!I288</f>
        <v>0.89685029471763</v>
      </c>
      <c r="R183" s="21" t="s">
        <v>92</v>
      </c>
      <c r="S183" s="21">
        <f>'pm_24.dat '!J288</f>
        <v>1.0749126301174099</v>
      </c>
      <c r="T183" s="21" t="s">
        <v>92</v>
      </c>
      <c r="U183" s="21">
        <f>'pm_24.dat '!K288</f>
        <v>1.3630232342646</v>
      </c>
      <c r="V183" s="21" t="s">
        <v>92</v>
      </c>
      <c r="W183" s="21">
        <f>'pm_24.dat '!L288</f>
        <v>1.3076588380752701</v>
      </c>
      <c r="X183" s="21" t="s">
        <v>92</v>
      </c>
      <c r="Y183" s="21">
        <f>'pm_24.dat '!M288</f>
        <v>1.4014582070551902</v>
      </c>
      <c r="Z183" s="21" t="s">
        <v>92</v>
      </c>
      <c r="AA183" s="21">
        <f>'pm_24.dat '!N288</f>
        <v>1.51743229424923</v>
      </c>
      <c r="AB183" s="21" t="s">
        <v>92</v>
      </c>
      <c r="AC183" s="21">
        <f>'pm_24.dat '!O288</f>
        <v>1.51079631256717</v>
      </c>
      <c r="AD183" s="21" t="s">
        <v>92</v>
      </c>
      <c r="AE183" s="21">
        <f>'pm_24.dat '!P288</f>
        <v>1.7658965375331399</v>
      </c>
      <c r="AF183" s="21" t="s">
        <v>93</v>
      </c>
      <c r="AG183" s="21"/>
    </row>
    <row r="184" spans="1:33" x14ac:dyDescent="0.2">
      <c r="A184">
        <f t="shared" si="1"/>
        <v>1996</v>
      </c>
      <c r="B184" t="s">
        <v>92</v>
      </c>
      <c r="C184" s="21">
        <f>'pm_24.dat '!B289</f>
        <v>1.8715706726376201E-2</v>
      </c>
      <c r="D184" s="21" t="s">
        <v>92</v>
      </c>
      <c r="E184" s="21">
        <f>'pm_24.dat '!C289</f>
        <v>8.0421813094313802E-2</v>
      </c>
      <c r="F184" s="21" t="s">
        <v>92</v>
      </c>
      <c r="G184" s="21">
        <f>'pm_24.dat '!D289</f>
        <v>0.15087054440183201</v>
      </c>
      <c r="H184" s="21" t="s">
        <v>92</v>
      </c>
      <c r="I184" s="21">
        <f>'pm_24.dat '!E289</f>
        <v>0.299672504634034</v>
      </c>
      <c r="J184" s="21" t="s">
        <v>92</v>
      </c>
      <c r="K184" s="21">
        <f>'pm_24.dat '!F289</f>
        <v>0.50891044645156602</v>
      </c>
      <c r="L184" s="21" t="s">
        <v>92</v>
      </c>
      <c r="M184" s="21">
        <f>'pm_24.dat '!G289</f>
        <v>0.63350346092492493</v>
      </c>
      <c r="N184" s="21" t="s">
        <v>92</v>
      </c>
      <c r="O184" s="21">
        <f>'pm_24.dat '!H289</f>
        <v>0.78004481540809101</v>
      </c>
      <c r="P184" s="21" t="s">
        <v>92</v>
      </c>
      <c r="Q184" s="21">
        <f>'pm_24.dat '!I289</f>
        <v>0.87126710610321401</v>
      </c>
      <c r="R184" s="21" t="s">
        <v>92</v>
      </c>
      <c r="S184" s="21">
        <f>'pm_24.dat '!J289</f>
        <v>1.02744544886857</v>
      </c>
      <c r="T184" s="21" t="s">
        <v>92</v>
      </c>
      <c r="U184" s="21">
        <f>'pm_24.dat '!K289</f>
        <v>1.1666849233866201</v>
      </c>
      <c r="V184" s="21" t="s">
        <v>92</v>
      </c>
      <c r="W184" s="21">
        <f>'pm_24.dat '!L289</f>
        <v>1.3867580322667701</v>
      </c>
      <c r="X184" s="21" t="s">
        <v>92</v>
      </c>
      <c r="Y184" s="21">
        <f>'pm_24.dat '!M289</f>
        <v>1.5029125799340899</v>
      </c>
      <c r="Z184" s="21" t="s">
        <v>92</v>
      </c>
      <c r="AA184" s="21">
        <f>'pm_24.dat '!N289</f>
        <v>1.6643796480916999</v>
      </c>
      <c r="AB184" s="21" t="s">
        <v>92</v>
      </c>
      <c r="AC184" s="21">
        <f>'pm_24.dat '!O289</f>
        <v>1.69242561600443</v>
      </c>
      <c r="AD184" s="21" t="s">
        <v>92</v>
      </c>
      <c r="AE184" s="21">
        <f>'pm_24.dat '!P289</f>
        <v>1.8215121688823201</v>
      </c>
      <c r="AF184" s="21" t="s">
        <v>93</v>
      </c>
      <c r="AG184" s="21"/>
    </row>
    <row r="185" spans="1:33" x14ac:dyDescent="0.2">
      <c r="A185">
        <f t="shared" si="1"/>
        <v>1997</v>
      </c>
      <c r="B185" t="s">
        <v>92</v>
      </c>
      <c r="C185" s="21">
        <f>'pm_24.dat '!B290</f>
        <v>1.54124721885033E-2</v>
      </c>
      <c r="D185" s="21" t="s">
        <v>92</v>
      </c>
      <c r="E185" s="21">
        <f>'pm_24.dat '!C290</f>
        <v>8.3028836676808396E-2</v>
      </c>
      <c r="F185" s="21" t="s">
        <v>92</v>
      </c>
      <c r="G185" s="21">
        <f>'pm_24.dat '!D290</f>
        <v>0.20099866696827701</v>
      </c>
      <c r="H185" s="21" t="s">
        <v>92</v>
      </c>
      <c r="I185" s="21">
        <f>'pm_24.dat '!E290</f>
        <v>0.30008810306300898</v>
      </c>
      <c r="J185" s="21" t="s">
        <v>92</v>
      </c>
      <c r="K185" s="21">
        <f>'pm_24.dat '!F290</f>
        <v>0.36966813629171297</v>
      </c>
      <c r="L185" s="21" t="s">
        <v>92</v>
      </c>
      <c r="M185" s="21">
        <f>'pm_24.dat '!G290</f>
        <v>0.60630300299542206</v>
      </c>
      <c r="N185" s="21" t="s">
        <v>92</v>
      </c>
      <c r="O185" s="21">
        <f>'pm_24.dat '!H290</f>
        <v>0.749874584609312</v>
      </c>
      <c r="P185" s="21" t="s">
        <v>92</v>
      </c>
      <c r="Q185" s="21">
        <f>'pm_24.dat '!I290</f>
        <v>0.86803150650319605</v>
      </c>
      <c r="R185" s="21" t="s">
        <v>92</v>
      </c>
      <c r="S185" s="21">
        <f>'pm_24.dat '!J290</f>
        <v>1.1443024536827999</v>
      </c>
      <c r="T185" s="21" t="s">
        <v>92</v>
      </c>
      <c r="U185" s="21">
        <f>'pm_24.dat '!K290</f>
        <v>1.2174555057667902</v>
      </c>
      <c r="V185" s="21" t="s">
        <v>92</v>
      </c>
      <c r="W185" s="21">
        <f>'pm_24.dat '!L290</f>
        <v>1.3488556387773001</v>
      </c>
      <c r="X185" s="21" t="s">
        <v>92</v>
      </c>
      <c r="Y185" s="21">
        <f>'pm_24.dat '!M290</f>
        <v>1.5321502521950698</v>
      </c>
      <c r="Z185" s="21" t="s">
        <v>92</v>
      </c>
      <c r="AA185" s="21">
        <f>'pm_24.dat '!N290</f>
        <v>1.6015123590584799</v>
      </c>
      <c r="AB185" s="21" t="s">
        <v>92</v>
      </c>
      <c r="AC185" s="21">
        <f>'pm_24.dat '!O290</f>
        <v>1.6218681376325401</v>
      </c>
      <c r="AD185" s="21" t="s">
        <v>92</v>
      </c>
      <c r="AE185" s="21">
        <f>'pm_24.dat '!P290</f>
        <v>1.79620716930154</v>
      </c>
      <c r="AF185" s="21" t="s">
        <v>93</v>
      </c>
      <c r="AG185" s="21"/>
    </row>
    <row r="186" spans="1:33" x14ac:dyDescent="0.2">
      <c r="A186">
        <f t="shared" si="1"/>
        <v>1998</v>
      </c>
      <c r="B186" t="s">
        <v>92</v>
      </c>
      <c r="C186" s="21">
        <f>'pm_24.dat '!B291</f>
        <v>1.4883778028028701E-2</v>
      </c>
      <c r="D186" s="21" t="s">
        <v>92</v>
      </c>
      <c r="E186" s="21">
        <f>'pm_24.dat '!C291</f>
        <v>7.6274765012391693E-2</v>
      </c>
      <c r="F186" s="21" t="s">
        <v>92</v>
      </c>
      <c r="G186" s="21">
        <f>'pm_24.dat '!D291</f>
        <v>0.194545172811006</v>
      </c>
      <c r="H186" s="21" t="s">
        <v>92</v>
      </c>
      <c r="I186" s="21">
        <f>'pm_24.dat '!E291</f>
        <v>0.315566630711546</v>
      </c>
      <c r="J186" s="21" t="s">
        <v>92</v>
      </c>
      <c r="K186" s="21">
        <f>'pm_24.dat '!F291</f>
        <v>0.45714747388997101</v>
      </c>
      <c r="L186" s="21" t="s">
        <v>92</v>
      </c>
      <c r="M186" s="21">
        <f>'pm_24.dat '!G291</f>
        <v>0.52549741349953005</v>
      </c>
      <c r="N186" s="21" t="s">
        <v>92</v>
      </c>
      <c r="O186" s="21">
        <f>'pm_24.dat '!H291</f>
        <v>0.84027326560066695</v>
      </c>
      <c r="P186" s="21" t="s">
        <v>92</v>
      </c>
      <c r="Q186" s="21">
        <f>'pm_24.dat '!I291</f>
        <v>0.93873483161526305</v>
      </c>
      <c r="R186" s="21" t="s">
        <v>92</v>
      </c>
      <c r="S186" s="21">
        <f>'pm_24.dat '!J291</f>
        <v>1.0123137312727299</v>
      </c>
      <c r="T186" s="21" t="s">
        <v>92</v>
      </c>
      <c r="U186" s="21">
        <f>'pm_24.dat '!K291</f>
        <v>1.0868387751280599</v>
      </c>
      <c r="V186" s="21" t="s">
        <v>92</v>
      </c>
      <c r="W186" s="21">
        <f>'pm_24.dat '!L291</f>
        <v>1.2627063628815398</v>
      </c>
      <c r="X186" s="21" t="s">
        <v>92</v>
      </c>
      <c r="Y186" s="21">
        <f>'pm_24.dat '!M291</f>
        <v>1.39744890303934</v>
      </c>
      <c r="Z186" s="21" t="s">
        <v>92</v>
      </c>
      <c r="AA186" s="21">
        <f>'pm_24.dat '!N291</f>
        <v>1.5188571876167001</v>
      </c>
      <c r="AB186" s="21" t="s">
        <v>92</v>
      </c>
      <c r="AC186" s="21">
        <f>'pm_24.dat '!O291</f>
        <v>1.89661527537818</v>
      </c>
      <c r="AD186" s="21" t="s">
        <v>92</v>
      </c>
      <c r="AE186" s="21">
        <f>'pm_24.dat '!P291</f>
        <v>1.90890766743288</v>
      </c>
      <c r="AF186" s="21" t="s">
        <v>93</v>
      </c>
      <c r="AG186" s="21"/>
    </row>
    <row r="187" spans="1:33" x14ac:dyDescent="0.2">
      <c r="A187">
        <f t="shared" si="1"/>
        <v>1999</v>
      </c>
      <c r="B187" t="s">
        <v>92</v>
      </c>
      <c r="C187" s="21">
        <f>'pm_24.dat '!B292</f>
        <v>1.3097441240666401E-2</v>
      </c>
      <c r="D187" s="21" t="s">
        <v>92</v>
      </c>
      <c r="E187" s="21">
        <f>'pm_24.dat '!C292</f>
        <v>9.0593728091038495E-2</v>
      </c>
      <c r="F187" s="21" t="s">
        <v>92</v>
      </c>
      <c r="G187" s="21">
        <f>'pm_24.dat '!D292</f>
        <v>0.20558330035890698</v>
      </c>
      <c r="H187" s="21" t="s">
        <v>92</v>
      </c>
      <c r="I187" s="21">
        <f>'pm_24.dat '!E292</f>
        <v>0.363419354813868</v>
      </c>
      <c r="J187" s="21" t="s">
        <v>92</v>
      </c>
      <c r="K187" s="21">
        <f>'pm_24.dat '!F292</f>
        <v>0.41993859568111203</v>
      </c>
      <c r="L187" s="21" t="s">
        <v>92</v>
      </c>
      <c r="M187" s="21">
        <f>'pm_24.dat '!G292</f>
        <v>0.572290121019844</v>
      </c>
      <c r="N187" s="21" t="s">
        <v>92</v>
      </c>
      <c r="O187" s="21">
        <f>'pm_24.dat '!H292</f>
        <v>0.685350405970655</v>
      </c>
      <c r="P187" s="21" t="s">
        <v>92</v>
      </c>
      <c r="Q187" s="21">
        <f>'pm_24.dat '!I292</f>
        <v>0.89972289629410396</v>
      </c>
      <c r="R187" s="21" t="s">
        <v>92</v>
      </c>
      <c r="S187" s="21">
        <f>'pm_24.dat '!J292</f>
        <v>1.10906588385752</v>
      </c>
      <c r="T187" s="21" t="s">
        <v>92</v>
      </c>
      <c r="U187" s="21">
        <f>'pm_24.dat '!K292</f>
        <v>1.1608221820506501</v>
      </c>
      <c r="V187" s="21" t="s">
        <v>92</v>
      </c>
      <c r="W187" s="21">
        <f>'pm_24.dat '!L292</f>
        <v>1.3005268670052701</v>
      </c>
      <c r="X187" s="21" t="s">
        <v>92</v>
      </c>
      <c r="Y187" s="21">
        <f>'pm_24.dat '!M292</f>
        <v>1.37431542789921</v>
      </c>
      <c r="Z187" s="21" t="s">
        <v>92</v>
      </c>
      <c r="AA187" s="21">
        <f>'pm_24.dat '!N292</f>
        <v>1.8227476156878499</v>
      </c>
      <c r="AB187" s="21" t="s">
        <v>92</v>
      </c>
      <c r="AC187" s="21">
        <f>'pm_24.dat '!O292</f>
        <v>1.7903409380497601</v>
      </c>
      <c r="AD187" s="21" t="s">
        <v>92</v>
      </c>
      <c r="AE187" s="21">
        <f>'pm_24.dat '!P292</f>
        <v>2.0857900445209396</v>
      </c>
      <c r="AF187" s="21" t="s">
        <v>93</v>
      </c>
      <c r="AG187" s="21"/>
    </row>
    <row r="188" spans="1:33" x14ac:dyDescent="0.2">
      <c r="A188">
        <f t="shared" si="1"/>
        <v>2000</v>
      </c>
      <c r="B188" t="s">
        <v>92</v>
      </c>
      <c r="C188" s="21">
        <f>'pm_24.dat '!B293</f>
        <v>1.1637050412831201E-2</v>
      </c>
      <c r="D188" s="21" t="s">
        <v>92</v>
      </c>
      <c r="E188" s="21">
        <f>'pm_24.dat '!C293</f>
        <v>9.0123892662997904E-2</v>
      </c>
      <c r="F188" s="21" t="s">
        <v>92</v>
      </c>
      <c r="G188" s="21">
        <f>'pm_24.dat '!D293</f>
        <v>0.23149510165580101</v>
      </c>
      <c r="H188" s="21" t="s">
        <v>92</v>
      </c>
      <c r="I188" s="21">
        <f>'pm_24.dat '!E293</f>
        <v>0.43161498121500602</v>
      </c>
      <c r="J188" s="21" t="s">
        <v>92</v>
      </c>
      <c r="K188" s="21">
        <f>'pm_24.dat '!F293</f>
        <v>0.47182515313344997</v>
      </c>
      <c r="L188" s="21" t="s">
        <v>92</v>
      </c>
      <c r="M188" s="21">
        <f>'pm_24.dat '!G293</f>
        <v>0.56671080329900703</v>
      </c>
      <c r="N188" s="21" t="s">
        <v>92</v>
      </c>
      <c r="O188" s="21">
        <f>'pm_24.dat '!H293</f>
        <v>0.70561068723199605</v>
      </c>
      <c r="P188" s="21" t="s">
        <v>92</v>
      </c>
      <c r="Q188" s="21">
        <f>'pm_24.dat '!I293</f>
        <v>0.799947258819664</v>
      </c>
      <c r="R188" s="21" t="s">
        <v>92</v>
      </c>
      <c r="S188" s="21">
        <f>'pm_24.dat '!J293</f>
        <v>0.94677266294526707</v>
      </c>
      <c r="T188" s="21" t="s">
        <v>92</v>
      </c>
      <c r="U188" s="21">
        <f>'pm_24.dat '!K293</f>
        <v>1.1941958255717</v>
      </c>
      <c r="V188" s="21" t="s">
        <v>92</v>
      </c>
      <c r="W188" s="21">
        <f>'pm_24.dat '!L293</f>
        <v>1.4278748016229299</v>
      </c>
      <c r="X188" s="21" t="s">
        <v>92</v>
      </c>
      <c r="Y188" s="21">
        <f>'pm_24.dat '!M293</f>
        <v>1.46994104377358</v>
      </c>
      <c r="Z188" s="21" t="s">
        <v>92</v>
      </c>
      <c r="AA188" s="21">
        <f>'pm_24.dat '!N293</f>
        <v>1.7141410733696101</v>
      </c>
      <c r="AB188" s="21" t="s">
        <v>92</v>
      </c>
      <c r="AC188" s="21">
        <f>'pm_24.dat '!O293</f>
        <v>1.76691923690268</v>
      </c>
      <c r="AD188" s="21" t="s">
        <v>92</v>
      </c>
      <c r="AE188" s="21">
        <f>'pm_24.dat '!P293</f>
        <v>2.01645918027249</v>
      </c>
      <c r="AF188" s="21" t="s">
        <v>93</v>
      </c>
      <c r="AG188" s="21"/>
    </row>
    <row r="189" spans="1:33" x14ac:dyDescent="0.2">
      <c r="A189">
        <f t="shared" si="1"/>
        <v>2001</v>
      </c>
      <c r="B189" t="s">
        <v>92</v>
      </c>
      <c r="C189" s="21">
        <f>'pm_24.dat '!B294</f>
        <v>1.4819031887871099E-2</v>
      </c>
      <c r="D189" s="21" t="s">
        <v>92</v>
      </c>
      <c r="E189" s="21">
        <f>'pm_24.dat '!C294</f>
        <v>7.5871476896642809E-2</v>
      </c>
      <c r="F189" s="21" t="s">
        <v>92</v>
      </c>
      <c r="G189" s="21">
        <f>'pm_24.dat '!D294</f>
        <v>0.18016288095229399</v>
      </c>
      <c r="H189" s="21" t="s">
        <v>92</v>
      </c>
      <c r="I189" s="21">
        <f>'pm_24.dat '!E294</f>
        <v>0.37537758285761297</v>
      </c>
      <c r="J189" s="21" t="s">
        <v>92</v>
      </c>
      <c r="K189" s="21">
        <f>'pm_24.dat '!F294</f>
        <v>0.54885313376823397</v>
      </c>
      <c r="L189" s="21" t="s">
        <v>92</v>
      </c>
      <c r="M189" s="21">
        <f>'pm_24.dat '!G294</f>
        <v>0.69227147030723202</v>
      </c>
      <c r="N189" s="21" t="s">
        <v>92</v>
      </c>
      <c r="O189" s="21">
        <f>'pm_24.dat '!H294</f>
        <v>0.80503041781290408</v>
      </c>
      <c r="P189" s="21" t="s">
        <v>92</v>
      </c>
      <c r="Q189" s="21">
        <f>'pm_24.dat '!I294</f>
        <v>0.87329105390616302</v>
      </c>
      <c r="R189" s="21" t="s">
        <v>92</v>
      </c>
      <c r="S189" s="21">
        <f>'pm_24.dat '!J294</f>
        <v>0.95773300682086493</v>
      </c>
      <c r="T189" s="21" t="s">
        <v>92</v>
      </c>
      <c r="U189" s="21">
        <f>'pm_24.dat '!K294</f>
        <v>1.0988386694820198</v>
      </c>
      <c r="V189" s="21" t="s">
        <v>92</v>
      </c>
      <c r="W189" s="21">
        <f>'pm_24.dat '!L294</f>
        <v>1.3232087630135501</v>
      </c>
      <c r="X189" s="21" t="s">
        <v>92</v>
      </c>
      <c r="Y189" s="21">
        <f>'pm_24.dat '!M294</f>
        <v>1.53516603718225</v>
      </c>
      <c r="Z189" s="21" t="s">
        <v>92</v>
      </c>
      <c r="AA189" s="21">
        <f>'pm_24.dat '!N294</f>
        <v>1.61476088130954</v>
      </c>
      <c r="AB189" s="21" t="s">
        <v>92</v>
      </c>
      <c r="AC189" s="21">
        <f>'pm_24.dat '!O294</f>
        <v>1.8138578033870798</v>
      </c>
      <c r="AD189" s="21" t="s">
        <v>92</v>
      </c>
      <c r="AE189" s="21">
        <f>'pm_24.dat '!P294</f>
        <v>1.9689662661260601</v>
      </c>
      <c r="AF189" s="21" t="s">
        <v>93</v>
      </c>
      <c r="AG189" s="21"/>
    </row>
    <row r="190" spans="1:33" x14ac:dyDescent="0.2">
      <c r="A190">
        <f t="shared" si="1"/>
        <v>2002</v>
      </c>
      <c r="B190" t="s">
        <v>92</v>
      </c>
      <c r="C190" s="21">
        <f>'pm_24.dat '!B295</f>
        <v>1.2825706769882199E-2</v>
      </c>
      <c r="D190" s="21" t="s">
        <v>92</v>
      </c>
      <c r="E190" s="21">
        <f>'pm_24.dat '!C295</f>
        <v>9.3839210887065608E-2</v>
      </c>
      <c r="F190" s="21" t="s">
        <v>92</v>
      </c>
      <c r="G190" s="21">
        <f>'pm_24.dat '!D295</f>
        <v>0.25933848334669102</v>
      </c>
      <c r="H190" s="21" t="s">
        <v>92</v>
      </c>
      <c r="I190" s="21">
        <f>'pm_24.dat '!E295</f>
        <v>0.38673792385268202</v>
      </c>
      <c r="J190" s="21" t="s">
        <v>92</v>
      </c>
      <c r="K190" s="21">
        <f>'pm_24.dat '!F295</f>
        <v>0.53331987104007805</v>
      </c>
      <c r="L190" s="21" t="s">
        <v>92</v>
      </c>
      <c r="M190" s="21">
        <f>'pm_24.dat '!G295</f>
        <v>0.67867990887331997</v>
      </c>
      <c r="N190" s="21" t="s">
        <v>92</v>
      </c>
      <c r="O190" s="21">
        <f>'pm_24.dat '!H295</f>
        <v>0.74603496740305608</v>
      </c>
      <c r="P190" s="21" t="s">
        <v>92</v>
      </c>
      <c r="Q190" s="21">
        <f>'pm_24.dat '!I295</f>
        <v>0.92029674235794101</v>
      </c>
      <c r="R190" s="21" t="s">
        <v>92</v>
      </c>
      <c r="S190" s="21">
        <f>'pm_24.dat '!J295</f>
        <v>1.0333867867461199</v>
      </c>
      <c r="T190" s="21" t="s">
        <v>92</v>
      </c>
      <c r="U190" s="21">
        <f>'pm_24.dat '!K295</f>
        <v>1.1270084695132501</v>
      </c>
      <c r="V190" s="21" t="s">
        <v>92</v>
      </c>
      <c r="W190" s="21">
        <f>'pm_24.dat '!L295</f>
        <v>1.1459053845097</v>
      </c>
      <c r="X190" s="21" t="s">
        <v>92</v>
      </c>
      <c r="Y190" s="21">
        <f>'pm_24.dat '!M295</f>
        <v>1.4447696698377699</v>
      </c>
      <c r="Z190" s="21" t="s">
        <v>92</v>
      </c>
      <c r="AA190" s="21">
        <f>'pm_24.dat '!N295</f>
        <v>1.6310632971476999</v>
      </c>
      <c r="AB190" s="21" t="s">
        <v>92</v>
      </c>
      <c r="AC190" s="21">
        <f>'pm_24.dat '!O295</f>
        <v>1.7958416659262699</v>
      </c>
      <c r="AD190" s="21" t="s">
        <v>92</v>
      </c>
      <c r="AE190" s="21">
        <f>'pm_24.dat '!P295</f>
        <v>1.9792396742251002</v>
      </c>
      <c r="AF190" s="21" t="s">
        <v>93</v>
      </c>
      <c r="AG190" s="21"/>
    </row>
    <row r="191" spans="1:33" x14ac:dyDescent="0.2">
      <c r="A191">
        <f t="shared" si="1"/>
        <v>2003</v>
      </c>
      <c r="B191" t="s">
        <v>92</v>
      </c>
      <c r="C191" s="21">
        <f>'pm_24.dat '!B296</f>
        <v>2.1351905232043302E-2</v>
      </c>
      <c r="D191" s="21" t="s">
        <v>92</v>
      </c>
      <c r="E191" s="21">
        <f>'pm_24.dat '!C296</f>
        <v>0.11382481626350599</v>
      </c>
      <c r="F191" s="21" t="s">
        <v>92</v>
      </c>
      <c r="G191" s="21">
        <f>'pm_24.dat '!D296</f>
        <v>0.287772766098782</v>
      </c>
      <c r="H191" s="21" t="s">
        <v>92</v>
      </c>
      <c r="I191" s="21">
        <f>'pm_24.dat '!E296</f>
        <v>0.45095919944241897</v>
      </c>
      <c r="J191" s="21" t="s">
        <v>92</v>
      </c>
      <c r="K191" s="21">
        <f>'pm_24.dat '!F296</f>
        <v>0.64469695009781802</v>
      </c>
      <c r="L191" s="21" t="s">
        <v>92</v>
      </c>
      <c r="M191" s="21">
        <f>'pm_24.dat '!G296</f>
        <v>0.75425557112243402</v>
      </c>
      <c r="N191" s="21" t="s">
        <v>92</v>
      </c>
      <c r="O191" s="21">
        <f>'pm_24.dat '!H296</f>
        <v>0.83725454139808198</v>
      </c>
      <c r="P191" s="21" t="s">
        <v>92</v>
      </c>
      <c r="Q191" s="21">
        <f>'pm_24.dat '!I296</f>
        <v>0.96355008364152195</v>
      </c>
      <c r="R191" s="21" t="s">
        <v>92</v>
      </c>
      <c r="S191" s="21">
        <f>'pm_24.dat '!J296</f>
        <v>1.0391813496147799</v>
      </c>
      <c r="T191" s="21" t="s">
        <v>92</v>
      </c>
      <c r="U191" s="21">
        <f>'pm_24.dat '!K296</f>
        <v>1.2105844426924901</v>
      </c>
      <c r="V191" s="21" t="s">
        <v>92</v>
      </c>
      <c r="W191" s="21">
        <f>'pm_24.dat '!L296</f>
        <v>1.21879469615509</v>
      </c>
      <c r="X191" s="21" t="s">
        <v>92</v>
      </c>
      <c r="Y191" s="21">
        <f>'pm_24.dat '!M296</f>
        <v>1.4005882593399199</v>
      </c>
      <c r="Z191" s="21" t="s">
        <v>92</v>
      </c>
      <c r="AA191" s="21">
        <f>'pm_24.dat '!N296</f>
        <v>1.5918505988979099</v>
      </c>
      <c r="AB191" s="21" t="s">
        <v>92</v>
      </c>
      <c r="AC191" s="21">
        <f>'pm_24.dat '!O296</f>
        <v>1.5283883291291098</v>
      </c>
      <c r="AD191" s="21" t="s">
        <v>92</v>
      </c>
      <c r="AE191" s="21">
        <f>'pm_24.dat '!P296</f>
        <v>1.86755537131239</v>
      </c>
      <c r="AF191" s="21" t="s">
        <v>93</v>
      </c>
      <c r="AG191" s="21"/>
    </row>
    <row r="192" spans="1:33" x14ac:dyDescent="0.2">
      <c r="A192">
        <f t="shared" si="1"/>
        <v>2004</v>
      </c>
      <c r="B192" t="s">
        <v>92</v>
      </c>
      <c r="C192" s="21">
        <f>'pm_24.dat '!B297</f>
        <v>1.9468920937720201E-2</v>
      </c>
      <c r="D192" s="21" t="s">
        <v>92</v>
      </c>
      <c r="E192" s="21">
        <f>'pm_24.dat '!C297</f>
        <v>0.103594552201352</v>
      </c>
      <c r="F192" s="21" t="s">
        <v>92</v>
      </c>
      <c r="G192" s="21">
        <f>'pm_24.dat '!D297</f>
        <v>0.28146998093200604</v>
      </c>
      <c r="H192" s="21" t="s">
        <v>92</v>
      </c>
      <c r="I192" s="21">
        <f>'pm_24.dat '!E297</f>
        <v>0.449640783956059</v>
      </c>
      <c r="J192" s="21" t="s">
        <v>92</v>
      </c>
      <c r="K192" s="21">
        <f>'pm_24.dat '!F297</f>
        <v>0.591866428512558</v>
      </c>
      <c r="L192" s="21" t="s">
        <v>92</v>
      </c>
      <c r="M192" s="21">
        <f>'pm_24.dat '!G297</f>
        <v>0.72534732833353299</v>
      </c>
      <c r="N192" s="21" t="s">
        <v>92</v>
      </c>
      <c r="O192" s="21">
        <f>'pm_24.dat '!H297</f>
        <v>0.84710008209584697</v>
      </c>
      <c r="P192" s="21" t="s">
        <v>92</v>
      </c>
      <c r="Q192" s="21">
        <f>'pm_24.dat '!I297</f>
        <v>0.96588868931069394</v>
      </c>
      <c r="R192" s="21" t="s">
        <v>92</v>
      </c>
      <c r="S192" s="21">
        <f>'pm_24.dat '!J297</f>
        <v>1.0764126902108502</v>
      </c>
      <c r="T192" s="21" t="s">
        <v>92</v>
      </c>
      <c r="U192" s="21">
        <f>'pm_24.dat '!K297</f>
        <v>1.1468187278641899</v>
      </c>
      <c r="V192" s="21" t="s">
        <v>92</v>
      </c>
      <c r="W192" s="21">
        <f>'pm_24.dat '!L297</f>
        <v>1.19192665829819</v>
      </c>
      <c r="X192" s="21" t="s">
        <v>92</v>
      </c>
      <c r="Y192" s="21">
        <f>'pm_24.dat '!M297</f>
        <v>1.3048035934494</v>
      </c>
      <c r="Z192" s="21" t="s">
        <v>92</v>
      </c>
      <c r="AA192" s="21">
        <f>'pm_24.dat '!N297</f>
        <v>1.5072477102576298</v>
      </c>
      <c r="AB192" s="21" t="s">
        <v>92</v>
      </c>
      <c r="AC192" s="21">
        <f>'pm_24.dat '!O297</f>
        <v>1.8070747877623101</v>
      </c>
      <c r="AD192" s="21" t="s">
        <v>92</v>
      </c>
      <c r="AE192" s="21">
        <f>'pm_24.dat '!P297</f>
        <v>1.82725971596968</v>
      </c>
      <c r="AF192" s="21" t="s">
        <v>93</v>
      </c>
      <c r="AG192" s="21"/>
    </row>
    <row r="193" spans="1:34" x14ac:dyDescent="0.2">
      <c r="A193">
        <f t="shared" si="1"/>
        <v>2005</v>
      </c>
      <c r="B193" t="s">
        <v>92</v>
      </c>
      <c r="C193" s="21">
        <f>'pm_24.dat '!B298</f>
        <v>2.0195642553592102E-2</v>
      </c>
      <c r="D193" s="21" t="s">
        <v>92</v>
      </c>
      <c r="E193" s="21">
        <f>'pm_24.dat '!C298</f>
        <v>0.10749328969810899</v>
      </c>
      <c r="F193" s="21" t="s">
        <v>92</v>
      </c>
      <c r="G193" s="21">
        <f>'pm_24.dat '!D298</f>
        <v>0.237541588419903</v>
      </c>
      <c r="H193" s="21" t="s">
        <v>92</v>
      </c>
      <c r="I193" s="21">
        <f>'pm_24.dat '!E298</f>
        <v>0.41234004748751502</v>
      </c>
      <c r="J193" s="21" t="s">
        <v>92</v>
      </c>
      <c r="K193" s="21">
        <f>'pm_24.dat '!F298</f>
        <v>0.553781217024505</v>
      </c>
      <c r="L193" s="21" t="s">
        <v>92</v>
      </c>
      <c r="M193" s="21">
        <f>'pm_24.dat '!G298</f>
        <v>0.66987158075921194</v>
      </c>
      <c r="N193" s="21" t="s">
        <v>92</v>
      </c>
      <c r="O193" s="21">
        <f>'pm_24.dat '!H298</f>
        <v>0.84306256869985596</v>
      </c>
      <c r="P193" s="21" t="s">
        <v>92</v>
      </c>
      <c r="Q193" s="21">
        <f>'pm_24.dat '!I298</f>
        <v>0.95761748119274903</v>
      </c>
      <c r="R193" s="21" t="s">
        <v>92</v>
      </c>
      <c r="S193" s="21">
        <f>'pm_24.dat '!J298</f>
        <v>1.0186007976124101</v>
      </c>
      <c r="T193" s="21" t="s">
        <v>92</v>
      </c>
      <c r="U193" s="21">
        <f>'pm_24.dat '!K298</f>
        <v>1.0822203366203</v>
      </c>
      <c r="V193" s="21" t="s">
        <v>92</v>
      </c>
      <c r="W193" s="21">
        <f>'pm_24.dat '!L298</f>
        <v>1.33574327150573</v>
      </c>
      <c r="X193" s="21" t="s">
        <v>92</v>
      </c>
      <c r="Y193" s="21">
        <f>'pm_24.dat '!M298</f>
        <v>1.28010515195997</v>
      </c>
      <c r="Z193" s="21" t="s">
        <v>92</v>
      </c>
      <c r="AA193" s="21">
        <f>'pm_24.dat '!N298</f>
        <v>1.3045111162808201</v>
      </c>
      <c r="AB193" s="21" t="s">
        <v>92</v>
      </c>
      <c r="AC193" s="21">
        <f>'pm_24.dat '!O298</f>
        <v>1.48280789562381</v>
      </c>
      <c r="AD193" s="21" t="s">
        <v>92</v>
      </c>
      <c r="AE193" s="21">
        <f>'pm_24.dat '!P298</f>
        <v>1.6038478866915999</v>
      </c>
      <c r="AF193" s="21" t="s">
        <v>93</v>
      </c>
      <c r="AG193" s="21"/>
    </row>
    <row r="194" spans="1:34" x14ac:dyDescent="0.2">
      <c r="A194">
        <f t="shared" si="1"/>
        <v>2006</v>
      </c>
      <c r="B194" t="s">
        <v>92</v>
      </c>
      <c r="C194" s="21">
        <f>'pm_24.dat '!B299</f>
        <v>9.3771807921347386E-3</v>
      </c>
      <c r="D194" s="21" t="s">
        <v>92</v>
      </c>
      <c r="E194" s="21">
        <f>'pm_24.dat '!C299</f>
        <v>9.9581012409287989E-2</v>
      </c>
      <c r="F194" s="21" t="s">
        <v>92</v>
      </c>
      <c r="G194" s="21">
        <f>'pm_24.dat '!D299</f>
        <v>0.18948027826053201</v>
      </c>
      <c r="H194" s="21" t="s">
        <v>92</v>
      </c>
      <c r="I194" s="21">
        <f>'pm_24.dat '!E299</f>
        <v>0.43836275376263001</v>
      </c>
      <c r="J194" s="21" t="s">
        <v>92</v>
      </c>
      <c r="K194" s="21">
        <f>'pm_24.dat '!F299</f>
        <v>0.61177803495514504</v>
      </c>
      <c r="L194" s="21" t="s">
        <v>92</v>
      </c>
      <c r="M194" s="21">
        <f>'pm_24.dat '!G299</f>
        <v>0.6894121222865861</v>
      </c>
      <c r="N194" s="21" t="s">
        <v>92</v>
      </c>
      <c r="O194" s="21">
        <f>'pm_24.dat '!H299</f>
        <v>0.82408302138409795</v>
      </c>
      <c r="P194" s="21" t="s">
        <v>92</v>
      </c>
      <c r="Q194" s="21">
        <f>'pm_24.dat '!I299</f>
        <v>0.90074247054023293</v>
      </c>
      <c r="R194" s="21" t="s">
        <v>92</v>
      </c>
      <c r="S194" s="21">
        <f>'pm_24.dat '!J299</f>
        <v>1.0494041616329901</v>
      </c>
      <c r="T194" s="21" t="s">
        <v>92</v>
      </c>
      <c r="U194" s="21">
        <f>'pm_24.dat '!K299</f>
        <v>1.17710190979302</v>
      </c>
      <c r="V194" s="21" t="s">
        <v>92</v>
      </c>
      <c r="W194" s="21">
        <f>'pm_24.dat '!L299</f>
        <v>1.2602828300789399</v>
      </c>
      <c r="X194" s="21" t="s">
        <v>92</v>
      </c>
      <c r="Y194" s="21">
        <f>'pm_24.dat '!M299</f>
        <v>1.3780132889341901</v>
      </c>
      <c r="Z194" s="21" t="s">
        <v>92</v>
      </c>
      <c r="AA194" s="21">
        <f>'pm_24.dat '!N299</f>
        <v>1.4481496453938001</v>
      </c>
      <c r="AB194" s="21" t="s">
        <v>92</v>
      </c>
      <c r="AC194" s="21">
        <f>'pm_24.dat '!O299</f>
        <v>1.4361416799834898</v>
      </c>
      <c r="AD194" s="21" t="s">
        <v>92</v>
      </c>
      <c r="AE194" s="21">
        <f>'pm_24.dat '!P299</f>
        <v>1.50946924756618</v>
      </c>
      <c r="AF194" s="21" t="s">
        <v>93</v>
      </c>
      <c r="AG194" s="21"/>
    </row>
    <row r="195" spans="1:34" x14ac:dyDescent="0.2">
      <c r="A195">
        <f t="shared" si="1"/>
        <v>2007</v>
      </c>
      <c r="B195" t="s">
        <v>92</v>
      </c>
      <c r="C195" s="21">
        <f>'pm_24.dat '!B300</f>
        <v>1.25130475669441E-2</v>
      </c>
      <c r="D195" s="21" t="s">
        <v>92</v>
      </c>
      <c r="E195" s="21">
        <f>'pm_24.dat '!C300</f>
        <v>0.102927192098167</v>
      </c>
      <c r="F195" s="21" t="s">
        <v>92</v>
      </c>
      <c r="G195" s="21">
        <f>'pm_24.dat '!D300</f>
        <v>0.28960623473035002</v>
      </c>
      <c r="H195" s="21" t="s">
        <v>92</v>
      </c>
      <c r="I195" s="21">
        <f>'pm_24.dat '!E300</f>
        <v>0.51464886438966007</v>
      </c>
      <c r="J195" s="21" t="s">
        <v>92</v>
      </c>
      <c r="K195" s="21">
        <f>'pm_24.dat '!F300</f>
        <v>0.63919193826757892</v>
      </c>
      <c r="L195" s="21" t="s">
        <v>92</v>
      </c>
      <c r="M195" s="21">
        <f>'pm_24.dat '!G300</f>
        <v>0.80280689443846698</v>
      </c>
      <c r="N195" s="21" t="s">
        <v>92</v>
      </c>
      <c r="O195" s="21">
        <f>'pm_24.dat '!H300</f>
        <v>0.90530019920125093</v>
      </c>
      <c r="P195" s="21" t="s">
        <v>92</v>
      </c>
      <c r="Q195" s="21">
        <f>'pm_24.dat '!I300</f>
        <v>1.0275735465162499</v>
      </c>
      <c r="R195" s="21" t="s">
        <v>92</v>
      </c>
      <c r="S195" s="21">
        <f>'pm_24.dat '!J300</f>
        <v>1.1223742731611202</v>
      </c>
      <c r="T195" s="21" t="s">
        <v>92</v>
      </c>
      <c r="U195" s="21">
        <f>'pm_24.dat '!K300</f>
        <v>1.3919689333966401</v>
      </c>
      <c r="V195" s="21" t="s">
        <v>92</v>
      </c>
      <c r="W195" s="21">
        <f>'pm_24.dat '!L300</f>
        <v>1.34858660172432</v>
      </c>
      <c r="X195" s="21" t="s">
        <v>92</v>
      </c>
      <c r="Y195" s="21">
        <f>'pm_24.dat '!M300</f>
        <v>1.38546629282512</v>
      </c>
      <c r="Z195" s="21" t="s">
        <v>92</v>
      </c>
      <c r="AA195" s="21">
        <f>'pm_24.dat '!N300</f>
        <v>1.6990055396141699</v>
      </c>
      <c r="AB195" s="21" t="s">
        <v>92</v>
      </c>
      <c r="AC195" s="21">
        <f>'pm_24.dat '!O300</f>
        <v>1.5937535077968901</v>
      </c>
      <c r="AD195" s="21" t="s">
        <v>92</v>
      </c>
      <c r="AE195" s="21">
        <f>'pm_24.dat '!P300</f>
        <v>1.6582967088551799</v>
      </c>
      <c r="AF195" s="21" t="s">
        <v>93</v>
      </c>
      <c r="AG195" s="21"/>
    </row>
    <row r="196" spans="1:34" x14ac:dyDescent="0.2">
      <c r="A196">
        <f t="shared" si="1"/>
        <v>2008</v>
      </c>
      <c r="B196" t="s">
        <v>92</v>
      </c>
      <c r="C196" s="21">
        <f>'pm_24.dat '!B301</f>
        <v>1.2618843909317799E-2</v>
      </c>
      <c r="D196" s="21" t="s">
        <v>92</v>
      </c>
      <c r="E196" s="21">
        <f>'pm_24.dat '!C301</f>
        <v>6.0552624872757498E-2</v>
      </c>
      <c r="F196" s="21" t="s">
        <v>92</v>
      </c>
      <c r="G196" s="21">
        <f>'pm_24.dat '!D301</f>
        <v>0.25535377969918799</v>
      </c>
      <c r="H196" s="21" t="s">
        <v>92</v>
      </c>
      <c r="I196" s="21">
        <f>'pm_24.dat '!E301</f>
        <v>0.47399979563515399</v>
      </c>
      <c r="J196" s="21" t="s">
        <v>92</v>
      </c>
      <c r="K196" s="21">
        <f>'pm_24.dat '!F301</f>
        <v>0.61003273314189399</v>
      </c>
      <c r="L196" s="21" t="s">
        <v>92</v>
      </c>
      <c r="M196" s="21">
        <f>'pm_24.dat '!G301</f>
        <v>0.74239033290383205</v>
      </c>
      <c r="N196" s="21" t="s">
        <v>92</v>
      </c>
      <c r="O196" s="21">
        <f>'pm_24.dat '!H301</f>
        <v>0.86404741692115294</v>
      </c>
      <c r="P196" s="21" t="s">
        <v>92</v>
      </c>
      <c r="Q196" s="21">
        <f>'pm_24.dat '!I301</f>
        <v>0.99537622783724811</v>
      </c>
      <c r="R196" s="21" t="s">
        <v>92</v>
      </c>
      <c r="S196" s="21">
        <f>'pm_24.dat '!J301</f>
        <v>1.06552108307879</v>
      </c>
      <c r="T196" s="21" t="s">
        <v>92</v>
      </c>
      <c r="U196" s="21">
        <f>'pm_24.dat '!K301</f>
        <v>1.19970131139013</v>
      </c>
      <c r="V196" s="21" t="s">
        <v>92</v>
      </c>
      <c r="W196" s="21">
        <f>'pm_24.dat '!L301</f>
        <v>1.4778601461574201</v>
      </c>
      <c r="X196" s="21" t="s">
        <v>92</v>
      </c>
      <c r="Y196" s="21">
        <f>'pm_24.dat '!M301</f>
        <v>1.4311636335934599</v>
      </c>
      <c r="Z196" s="21" t="s">
        <v>92</v>
      </c>
      <c r="AA196" s="21">
        <f>'pm_24.dat '!N301</f>
        <v>1.65020706709359</v>
      </c>
      <c r="AB196" s="21" t="s">
        <v>92</v>
      </c>
      <c r="AC196" s="21">
        <f>'pm_24.dat '!O301</f>
        <v>1.7922241960155099</v>
      </c>
      <c r="AD196" s="21" t="s">
        <v>92</v>
      </c>
      <c r="AE196" s="21">
        <f>'pm_24.dat '!P301</f>
        <v>1.8772478982902701</v>
      </c>
      <c r="AF196" s="21" t="s">
        <v>93</v>
      </c>
      <c r="AG196" s="21"/>
    </row>
    <row r="197" spans="1:34" x14ac:dyDescent="0.2">
      <c r="A197">
        <f t="shared" si="1"/>
        <v>2009</v>
      </c>
      <c r="B197" t="s">
        <v>92</v>
      </c>
      <c r="C197" s="21">
        <f>'pm_24.dat '!B302</f>
        <v>1.10475791946679E-2</v>
      </c>
      <c r="D197" s="21" t="s">
        <v>92</v>
      </c>
      <c r="E197" s="21">
        <f>'pm_24.dat '!C302</f>
        <v>6.6319807055085903E-2</v>
      </c>
      <c r="F197" s="21" t="s">
        <v>92</v>
      </c>
      <c r="G197" s="21">
        <f>'pm_24.dat '!D302</f>
        <v>0.249929732676478</v>
      </c>
      <c r="H197" s="21" t="s">
        <v>92</v>
      </c>
      <c r="I197" s="21">
        <f>'pm_24.dat '!E302</f>
        <v>0.50350271817468895</v>
      </c>
      <c r="J197" s="21" t="s">
        <v>92</v>
      </c>
      <c r="K197" s="21">
        <f>'pm_24.dat '!F302</f>
        <v>0.69671087470706006</v>
      </c>
      <c r="L197" s="21" t="s">
        <v>92</v>
      </c>
      <c r="M197" s="21">
        <f>'pm_24.dat '!G302</f>
        <v>0.79058750932285604</v>
      </c>
      <c r="N197" s="21" t="s">
        <v>92</v>
      </c>
      <c r="O197" s="21">
        <f>'pm_24.dat '!H302</f>
        <v>0.99411662900086606</v>
      </c>
      <c r="P197" s="21" t="s">
        <v>92</v>
      </c>
      <c r="Q197" s="21">
        <f>'pm_24.dat '!I302</f>
        <v>1.10712695373407</v>
      </c>
      <c r="R197" s="21" t="s">
        <v>92</v>
      </c>
      <c r="S197" s="21">
        <f>'pm_24.dat '!J302</f>
        <v>1.1793417626900899</v>
      </c>
      <c r="T197" s="21" t="s">
        <v>92</v>
      </c>
      <c r="U197" s="21">
        <f>'pm_24.dat '!K302</f>
        <v>1.4432048629746301</v>
      </c>
      <c r="V197" s="21" t="s">
        <v>92</v>
      </c>
      <c r="W197" s="21">
        <f>'pm_24.dat '!L302</f>
        <v>1.5245784267004401</v>
      </c>
      <c r="X197" s="21" t="s">
        <v>92</v>
      </c>
      <c r="Y197" s="21">
        <f>'pm_24.dat '!M302</f>
        <v>1.6869990859180801</v>
      </c>
      <c r="Z197" s="21" t="s">
        <v>92</v>
      </c>
      <c r="AA197" s="21">
        <f>'pm_24.dat '!N302</f>
        <v>1.9426008341546601</v>
      </c>
      <c r="AB197" s="21" t="s">
        <v>92</v>
      </c>
      <c r="AC197" s="21">
        <f>'pm_24.dat '!O302</f>
        <v>2.2266515191325102</v>
      </c>
      <c r="AD197" s="21" t="s">
        <v>92</v>
      </c>
      <c r="AE197" s="21">
        <f>'pm_24.dat '!P302</f>
        <v>2.3172332275629399</v>
      </c>
      <c r="AF197" s="21" t="s">
        <v>93</v>
      </c>
      <c r="AG197" s="21"/>
    </row>
    <row r="198" spans="1:34" x14ac:dyDescent="0.2">
      <c r="A198">
        <f t="shared" si="1"/>
        <v>2010</v>
      </c>
      <c r="B198" t="s">
        <v>92</v>
      </c>
      <c r="C198" s="21">
        <f>'pm_24.dat '!B303</f>
        <v>1.75370994367555E-2</v>
      </c>
      <c r="D198" s="21" t="s">
        <v>92</v>
      </c>
      <c r="E198" s="21">
        <f>'pm_24.dat '!C303</f>
        <v>8.4274742792885604E-2</v>
      </c>
      <c r="F198" s="21" t="s">
        <v>92</v>
      </c>
      <c r="G198" s="21">
        <f>'pm_24.dat '!D303</f>
        <v>0.26608799640658903</v>
      </c>
      <c r="H198" s="21" t="s">
        <v>92</v>
      </c>
      <c r="I198" s="21">
        <f>'pm_24.dat '!E303</f>
        <v>0.51878576457361203</v>
      </c>
      <c r="J198" s="21" t="s">
        <v>92</v>
      </c>
      <c r="K198" s="21">
        <f>'pm_24.dat '!F303</f>
        <v>0.69009796610841201</v>
      </c>
      <c r="L198" s="21" t="s">
        <v>92</v>
      </c>
      <c r="M198" s="21">
        <f>'pm_24.dat '!G303</f>
        <v>0.88848652686940499</v>
      </c>
      <c r="N198" s="21" t="s">
        <v>92</v>
      </c>
      <c r="O198" s="21">
        <f>'pm_24.dat '!H303</f>
        <v>1.08394352288088</v>
      </c>
      <c r="P198" s="21" t="s">
        <v>92</v>
      </c>
      <c r="Q198" s="21">
        <f>'pm_24.dat '!I303</f>
        <v>1.1810656094757401</v>
      </c>
      <c r="R198" s="21" t="s">
        <v>92</v>
      </c>
      <c r="S198" s="21">
        <f>'pm_24.dat '!J303</f>
        <v>1.2236274540049501</v>
      </c>
      <c r="T198" s="21" t="s">
        <v>92</v>
      </c>
      <c r="U198" s="21">
        <f>'pm_24.dat '!K303</f>
        <v>1.3106357204491501</v>
      </c>
      <c r="V198" s="21" t="s">
        <v>92</v>
      </c>
      <c r="W198" s="21">
        <f>'pm_24.dat '!L303</f>
        <v>1.4314389785237198</v>
      </c>
      <c r="X198" s="21" t="s">
        <v>92</v>
      </c>
      <c r="Y198" s="21">
        <f>'pm_24.dat '!M303</f>
        <v>1.59946590308889</v>
      </c>
      <c r="Z198" s="21" t="s">
        <v>92</v>
      </c>
      <c r="AA198" s="21">
        <f>'pm_24.dat '!N303</f>
        <v>1.81831679263908</v>
      </c>
      <c r="AB198" s="21" t="s">
        <v>92</v>
      </c>
      <c r="AC198" s="21">
        <f>'pm_24.dat '!O303</f>
        <v>2.13947810142965</v>
      </c>
      <c r="AD198" s="21" t="s">
        <v>92</v>
      </c>
      <c r="AE198" s="21">
        <f>'pm_24.dat '!P303</f>
        <v>2.44388406738575</v>
      </c>
      <c r="AF198" s="21" t="s">
        <v>93</v>
      </c>
      <c r="AG198" s="21"/>
    </row>
    <row r="199" spans="1:34" x14ac:dyDescent="0.2">
      <c r="A199">
        <f t="shared" si="1"/>
        <v>2011</v>
      </c>
      <c r="B199" t="s">
        <v>92</v>
      </c>
      <c r="C199" s="21">
        <f>'pm_24.dat '!B304</f>
        <v>1.49076731625563E-2</v>
      </c>
      <c r="D199" s="21" t="s">
        <v>92</v>
      </c>
      <c r="E199" s="21">
        <f>'pm_24.dat '!C304</f>
        <v>8.2344510607901503E-2</v>
      </c>
      <c r="F199" s="21" t="s">
        <v>92</v>
      </c>
      <c r="G199" s="21">
        <f>'pm_24.dat '!D304</f>
        <v>0.22974241056456299</v>
      </c>
      <c r="H199" s="21" t="s">
        <v>92</v>
      </c>
      <c r="I199" s="21">
        <f>'pm_24.dat '!E304</f>
        <v>0.511851880164921</v>
      </c>
      <c r="J199" s="21" t="s">
        <v>92</v>
      </c>
      <c r="K199" s="21">
        <f>'pm_24.dat '!F304</f>
        <v>0.66165793520262395</v>
      </c>
      <c r="L199" s="21" t="s">
        <v>92</v>
      </c>
      <c r="M199" s="21">
        <f>'pm_24.dat '!G304</f>
        <v>0.77502012389043606</v>
      </c>
      <c r="N199" s="21" t="s">
        <v>92</v>
      </c>
      <c r="O199" s="21">
        <f>'pm_24.dat '!H304</f>
        <v>0.92435939630290598</v>
      </c>
      <c r="P199" s="21" t="s">
        <v>92</v>
      </c>
      <c r="Q199" s="21">
        <f>'pm_24.dat '!I304</f>
        <v>1.09673710663728</v>
      </c>
      <c r="R199" s="21" t="s">
        <v>92</v>
      </c>
      <c r="S199" s="21">
        <f>'pm_24.dat '!J304</f>
        <v>1.23190788609678</v>
      </c>
      <c r="T199" s="21" t="s">
        <v>92</v>
      </c>
      <c r="U199" s="21">
        <f>'pm_24.dat '!K304</f>
        <v>1.2770545184970499</v>
      </c>
      <c r="V199" s="21" t="s">
        <v>92</v>
      </c>
      <c r="W199" s="21">
        <f>'pm_24.dat '!L304</f>
        <v>1.4259580462035599</v>
      </c>
      <c r="X199" s="21" t="s">
        <v>92</v>
      </c>
      <c r="Y199" s="21">
        <f>'pm_24.dat '!M304</f>
        <v>1.4890254062878101</v>
      </c>
      <c r="Z199" s="21" t="s">
        <v>92</v>
      </c>
      <c r="AA199" s="21">
        <f>'pm_24.dat '!N304</f>
        <v>1.6109202801436899</v>
      </c>
      <c r="AB199" s="21" t="s">
        <v>92</v>
      </c>
      <c r="AC199" s="21">
        <f>'pm_24.dat '!O304</f>
        <v>1.7573364343000701</v>
      </c>
      <c r="AD199" s="21" t="s">
        <v>92</v>
      </c>
      <c r="AE199" s="21">
        <f>'pm_24.dat '!P304</f>
        <v>2.0580836142018204</v>
      </c>
      <c r="AF199" s="21" t="s">
        <v>93</v>
      </c>
      <c r="AG199" s="21"/>
    </row>
    <row r="200" spans="1:34" x14ac:dyDescent="0.2">
      <c r="A200">
        <f t="shared" si="1"/>
        <v>2012</v>
      </c>
      <c r="B200" t="s">
        <v>92</v>
      </c>
      <c r="C200" s="21">
        <f>'pm_24.dat '!B305</f>
        <v>1.3099156160992401E-2</v>
      </c>
      <c r="D200" s="21" t="s">
        <v>92</v>
      </c>
      <c r="E200" s="21">
        <f>'pm_24.dat '!C305</f>
        <v>7.92773651107858E-2</v>
      </c>
      <c r="F200" s="21" t="s">
        <v>92</v>
      </c>
      <c r="G200" s="21">
        <f>'pm_24.dat '!D305</f>
        <v>0.20164656830532299</v>
      </c>
      <c r="H200" s="21" t="s">
        <v>92</v>
      </c>
      <c r="I200" s="21">
        <f>'pm_24.dat '!E305</f>
        <v>0.42138328447582596</v>
      </c>
      <c r="J200" s="21" t="s">
        <v>92</v>
      </c>
      <c r="K200" s="21">
        <f>'pm_24.dat '!F305</f>
        <v>0.61116787481050405</v>
      </c>
      <c r="L200" s="21" t="s">
        <v>92</v>
      </c>
      <c r="M200" s="21">
        <f>'pm_24.dat '!G305</f>
        <v>0.77438195742780291</v>
      </c>
      <c r="N200" s="21" t="s">
        <v>92</v>
      </c>
      <c r="O200" s="21">
        <f>'pm_24.dat '!H305</f>
        <v>0.92079346953730501</v>
      </c>
      <c r="P200" s="21" t="s">
        <v>92</v>
      </c>
      <c r="Q200" s="21">
        <f>'pm_24.dat '!I305</f>
        <v>1.1325586597853301</v>
      </c>
      <c r="R200" s="21" t="s">
        <v>92</v>
      </c>
      <c r="S200" s="21">
        <f>'pm_24.dat '!J305</f>
        <v>1.30915907127265</v>
      </c>
      <c r="T200" s="21" t="s">
        <v>92</v>
      </c>
      <c r="U200" s="21">
        <f>'pm_24.dat '!K305</f>
        <v>1.37938234805475</v>
      </c>
      <c r="V200" s="21" t="s">
        <v>92</v>
      </c>
      <c r="W200" s="21">
        <f>'pm_24.dat '!L305</f>
        <v>1.41750761034876</v>
      </c>
      <c r="X200" s="21" t="s">
        <v>92</v>
      </c>
      <c r="Y200" s="21">
        <f>'pm_24.dat '!M305</f>
        <v>1.48060097007808</v>
      </c>
      <c r="Z200" s="21" t="s">
        <v>92</v>
      </c>
      <c r="AA200" s="21">
        <f>'pm_24.dat '!N305</f>
        <v>1.5438558662553801</v>
      </c>
      <c r="AB200" s="21" t="s">
        <v>92</v>
      </c>
      <c r="AC200" s="21">
        <f>'pm_24.dat '!O305</f>
        <v>1.8390101894027</v>
      </c>
      <c r="AD200" s="21" t="s">
        <v>92</v>
      </c>
      <c r="AE200" s="21">
        <f>'pm_24.dat '!P305</f>
        <v>2.0709838536452798</v>
      </c>
      <c r="AF200" s="21" t="s">
        <v>93</v>
      </c>
      <c r="AG200" s="21"/>
    </row>
    <row r="201" spans="1:34" x14ac:dyDescent="0.2">
      <c r="A201">
        <f t="shared" si="1"/>
        <v>2013</v>
      </c>
      <c r="B201" t="s">
        <v>92</v>
      </c>
      <c r="C201" s="21">
        <f>'pm_24.dat '!B306</f>
        <v>1.5229169150546401E-2</v>
      </c>
      <c r="D201" s="21" t="s">
        <v>92</v>
      </c>
      <c r="E201" s="21">
        <f>'pm_24.dat '!C306</f>
        <v>8.0877861310907309E-2</v>
      </c>
      <c r="F201" s="21" t="s">
        <v>92</v>
      </c>
      <c r="G201" s="21">
        <f>'pm_24.dat '!D306</f>
        <v>0.21232815950970998</v>
      </c>
      <c r="H201" s="21" t="s">
        <v>92</v>
      </c>
      <c r="I201" s="21">
        <f>'pm_24.dat '!E306</f>
        <v>0.50512228336271103</v>
      </c>
      <c r="J201" s="21" t="s">
        <v>92</v>
      </c>
      <c r="K201" s="21">
        <f>'pm_24.dat '!F306</f>
        <v>0.58176433935109906</v>
      </c>
      <c r="L201" s="21" t="s">
        <v>92</v>
      </c>
      <c r="M201" s="21">
        <f>'pm_24.dat '!G306</f>
        <v>0.736182536677226</v>
      </c>
      <c r="N201" s="21" t="s">
        <v>92</v>
      </c>
      <c r="O201" s="21">
        <f>'pm_24.dat '!H306</f>
        <v>0.97732283947128995</v>
      </c>
      <c r="P201" s="21" t="s">
        <v>92</v>
      </c>
      <c r="Q201" s="21">
        <f>'pm_24.dat '!I306</f>
        <v>1.1637561439094799</v>
      </c>
      <c r="R201" s="21" t="s">
        <v>92</v>
      </c>
      <c r="S201" s="21">
        <f>'pm_24.dat '!J306</f>
        <v>1.3240096643222001</v>
      </c>
      <c r="T201" s="21" t="s">
        <v>92</v>
      </c>
      <c r="U201" s="21">
        <f>'pm_24.dat '!K306</f>
        <v>1.41481388728719</v>
      </c>
      <c r="V201" s="21" t="s">
        <v>92</v>
      </c>
      <c r="W201" s="21">
        <f>'pm_24.dat '!L306</f>
        <v>1.5147018698551</v>
      </c>
      <c r="X201" s="21" t="s">
        <v>92</v>
      </c>
      <c r="Y201" s="21">
        <f>'pm_24.dat '!M306</f>
        <v>1.5422469301624602</v>
      </c>
      <c r="Z201" s="21" t="s">
        <v>92</v>
      </c>
      <c r="AA201" s="21">
        <f>'pm_24.dat '!N306</f>
        <v>1.69256141790157</v>
      </c>
      <c r="AB201" s="21" t="s">
        <v>92</v>
      </c>
      <c r="AC201" s="21">
        <f>'pm_24.dat '!O306</f>
        <v>1.9132571396723599</v>
      </c>
      <c r="AD201" s="21" t="s">
        <v>92</v>
      </c>
      <c r="AE201" s="21">
        <f>'pm_24.dat '!P306</f>
        <v>1.9960119915686001</v>
      </c>
      <c r="AF201" s="21" t="s">
        <v>93</v>
      </c>
      <c r="AG201" s="21"/>
    </row>
    <row r="202" spans="1:34" x14ac:dyDescent="0.2">
      <c r="A202">
        <f t="shared" si="1"/>
        <v>2014</v>
      </c>
      <c r="B202" t="s">
        <v>92</v>
      </c>
      <c r="C202" s="21">
        <f>'pm_24.dat '!B307</f>
        <v>1.66069102402552E-2</v>
      </c>
      <c r="D202" s="21" t="s">
        <v>92</v>
      </c>
      <c r="E202" s="21">
        <f>'pm_24.dat '!C307</f>
        <v>0.113968322273358</v>
      </c>
      <c r="F202" s="21" t="s">
        <v>92</v>
      </c>
      <c r="G202" s="21">
        <f>'pm_24.dat '!D307</f>
        <v>0.25779954753867101</v>
      </c>
      <c r="H202" s="21" t="s">
        <v>92</v>
      </c>
      <c r="I202" s="21">
        <f>'pm_24.dat '!E307</f>
        <v>0.45087539746701799</v>
      </c>
      <c r="J202" s="21" t="s">
        <v>92</v>
      </c>
      <c r="K202" s="21">
        <f>'pm_24.dat '!F307</f>
        <v>0.58217253684707493</v>
      </c>
      <c r="L202" s="21" t="s">
        <v>92</v>
      </c>
      <c r="M202" s="21">
        <f>'pm_24.dat '!G307</f>
        <v>0.72889451597298605</v>
      </c>
      <c r="N202" s="21" t="s">
        <v>92</v>
      </c>
      <c r="O202" s="21">
        <f>'pm_24.dat '!H307</f>
        <v>0.80253578436823203</v>
      </c>
      <c r="P202" s="21" t="s">
        <v>92</v>
      </c>
      <c r="Q202" s="21">
        <f>'pm_24.dat '!I307</f>
        <v>1.1136074312415898</v>
      </c>
      <c r="R202" s="21" t="s">
        <v>92</v>
      </c>
      <c r="S202" s="21">
        <f>'pm_24.dat '!J307</f>
        <v>1.24590008752212</v>
      </c>
      <c r="T202" s="21" t="s">
        <v>92</v>
      </c>
      <c r="U202" s="21">
        <f>'pm_24.dat '!K307</f>
        <v>1.4623503072975901</v>
      </c>
      <c r="V202" s="21" t="s">
        <v>92</v>
      </c>
      <c r="W202" s="21">
        <f>'pm_24.dat '!L307</f>
        <v>1.7057377295214702</v>
      </c>
      <c r="X202" s="21" t="s">
        <v>92</v>
      </c>
      <c r="Y202" s="21">
        <f>'pm_24.dat '!M307</f>
        <v>1.6186680654508201</v>
      </c>
      <c r="Z202" s="21" t="s">
        <v>92</v>
      </c>
      <c r="AA202" s="21">
        <f>'pm_24.dat '!N307</f>
        <v>1.7117289931436701</v>
      </c>
      <c r="AB202" s="21" t="s">
        <v>92</v>
      </c>
      <c r="AC202" s="21">
        <f>'pm_24.dat '!O307</f>
        <v>1.9325002410835901</v>
      </c>
      <c r="AD202" s="21" t="s">
        <v>92</v>
      </c>
      <c r="AE202" s="21">
        <f>'pm_24.dat '!P307</f>
        <v>1.99686018993815</v>
      </c>
      <c r="AF202" s="21" t="s">
        <v>93</v>
      </c>
      <c r="AG202" s="21"/>
    </row>
    <row r="203" spans="1:34" x14ac:dyDescent="0.2">
      <c r="A203">
        <f t="shared" si="1"/>
        <v>2015</v>
      </c>
      <c r="B203" t="s">
        <v>92</v>
      </c>
      <c r="C203" s="21">
        <f>'pm_24.dat '!B308</f>
        <v>1.7457806788171101E-2</v>
      </c>
      <c r="D203" s="21" t="s">
        <v>92</v>
      </c>
      <c r="E203" s="21">
        <f>'pm_24.dat '!C308</f>
        <v>8.7281454053534796E-2</v>
      </c>
      <c r="F203" s="21" t="s">
        <v>92</v>
      </c>
      <c r="G203" s="21">
        <f>'pm_24.dat '!D308</f>
        <v>0.332406769419481</v>
      </c>
      <c r="H203" s="21" t="s">
        <v>92</v>
      </c>
      <c r="I203" s="21">
        <f>'pm_24.dat '!E308</f>
        <v>0.44892154926996397</v>
      </c>
      <c r="J203" s="21" t="s">
        <v>92</v>
      </c>
      <c r="K203" s="21">
        <f>'pm_24.dat '!F308</f>
        <v>0.590334733200374</v>
      </c>
      <c r="L203" s="21" t="s">
        <v>92</v>
      </c>
      <c r="M203" s="21">
        <f>'pm_24.dat '!G308</f>
        <v>0.68935600956626797</v>
      </c>
      <c r="N203" s="21" t="s">
        <v>92</v>
      </c>
      <c r="O203" s="21">
        <f>'pm_24.dat '!H308</f>
        <v>0.795072872581293</v>
      </c>
      <c r="P203" s="21" t="s">
        <v>92</v>
      </c>
      <c r="Q203" s="21">
        <f>'pm_24.dat '!I308</f>
        <v>0.92242361390189997</v>
      </c>
      <c r="R203" s="21" t="s">
        <v>92</v>
      </c>
      <c r="S203" s="21">
        <f>'pm_24.dat '!J308</f>
        <v>1.21632052520312</v>
      </c>
      <c r="T203" s="21" t="s">
        <v>92</v>
      </c>
      <c r="U203" s="21">
        <f>'pm_24.dat '!K308</f>
        <v>1.2428098479575</v>
      </c>
      <c r="V203" s="21" t="s">
        <v>92</v>
      </c>
      <c r="W203" s="21">
        <f>'pm_24.dat '!L308</f>
        <v>1.58386262116719</v>
      </c>
      <c r="X203" s="21" t="s">
        <v>92</v>
      </c>
      <c r="Y203" s="21">
        <f>'pm_24.dat '!M308</f>
        <v>1.5267266054233199</v>
      </c>
      <c r="Z203" s="21" t="s">
        <v>92</v>
      </c>
      <c r="AA203" s="21">
        <f>'pm_24.dat '!N308</f>
        <v>1.49315818773503</v>
      </c>
      <c r="AB203" s="21" t="s">
        <v>92</v>
      </c>
      <c r="AC203" s="21">
        <f>'pm_24.dat '!O308</f>
        <v>1.5547108994230301</v>
      </c>
      <c r="AD203" s="21" t="s">
        <v>92</v>
      </c>
      <c r="AE203" s="21">
        <f>'pm_24.dat '!P308</f>
        <v>1.8107580854776499</v>
      </c>
      <c r="AF203" s="21" t="s">
        <v>93</v>
      </c>
      <c r="AG203" s="21"/>
    </row>
    <row r="204" spans="1:34" x14ac:dyDescent="0.2">
      <c r="A204">
        <f t="shared" si="1"/>
        <v>2016</v>
      </c>
      <c r="B204" t="s">
        <v>92</v>
      </c>
      <c r="C204" s="21">
        <f>'pm_24.dat '!B309</f>
        <v>2.1930008867307501E-2</v>
      </c>
      <c r="D204" s="21" t="s">
        <v>92</v>
      </c>
      <c r="E204" s="21">
        <f>'pm_24.dat '!C309</f>
        <v>8.1925660253933108E-2</v>
      </c>
      <c r="F204" s="21" t="s">
        <v>92</v>
      </c>
      <c r="G204" s="21">
        <f>'pm_24.dat '!D309</f>
        <v>0.29884989882413499</v>
      </c>
      <c r="H204" s="21" t="s">
        <v>92</v>
      </c>
      <c r="I204" s="21">
        <f>'pm_24.dat '!E309</f>
        <v>0.53027141052084203</v>
      </c>
      <c r="J204" s="21" t="s">
        <v>92</v>
      </c>
      <c r="K204" s="21">
        <f>'pm_24.dat '!F309</f>
        <v>0.60493638433691299</v>
      </c>
      <c r="L204" s="21" t="s">
        <v>92</v>
      </c>
      <c r="M204" s="21">
        <f>'pm_24.dat '!G309</f>
        <v>0.700503908397349</v>
      </c>
      <c r="N204" s="21" t="s">
        <v>92</v>
      </c>
      <c r="O204" s="21">
        <f>'pm_24.dat '!H309</f>
        <v>0.77865002879816092</v>
      </c>
      <c r="P204" s="21" t="s">
        <v>92</v>
      </c>
      <c r="Q204" s="21">
        <f>'pm_24.dat '!I309</f>
        <v>0.83573939297146294</v>
      </c>
      <c r="R204" s="21" t="s">
        <v>92</v>
      </c>
      <c r="S204" s="21">
        <f>'pm_24.dat '!J309</f>
        <v>0.94074926578379803</v>
      </c>
      <c r="T204" s="21" t="s">
        <v>92</v>
      </c>
      <c r="U204" s="21">
        <f>'pm_24.dat '!K309</f>
        <v>0.99969551458846795</v>
      </c>
      <c r="V204" s="21" t="s">
        <v>92</v>
      </c>
      <c r="W204" s="21">
        <f>'pm_24.dat '!L309</f>
        <v>1.21421306960385</v>
      </c>
      <c r="X204" s="21" t="s">
        <v>92</v>
      </c>
      <c r="Y204" s="21">
        <f>'pm_24.dat '!M309</f>
        <v>1.59425247320374</v>
      </c>
      <c r="Z204" s="21" t="s">
        <v>92</v>
      </c>
      <c r="AA204" s="21">
        <f>'pm_24.dat '!N309</f>
        <v>1.4009801273628799</v>
      </c>
      <c r="AB204" s="21" t="s">
        <v>92</v>
      </c>
      <c r="AC204" s="21">
        <f>'pm_24.dat '!O309</f>
        <v>1.6820231113225601</v>
      </c>
      <c r="AD204" s="21" t="s">
        <v>92</v>
      </c>
      <c r="AE204" s="21">
        <f>'pm_24.dat '!P309</f>
        <v>1.4709501092908599</v>
      </c>
      <c r="AF204" s="21" t="s">
        <v>93</v>
      </c>
      <c r="AG204" s="21"/>
    </row>
    <row r="205" spans="1:34" x14ac:dyDescent="0.2">
      <c r="A205">
        <f t="shared" si="1"/>
        <v>2017</v>
      </c>
      <c r="B205" t="s">
        <v>92</v>
      </c>
      <c r="C205" s="21">
        <f>'pm_24.dat '!B310</f>
        <v>2.0955313855185502E-2</v>
      </c>
      <c r="D205" s="21" t="s">
        <v>92</v>
      </c>
      <c r="E205" s="21">
        <f>'pm_24.dat '!C310</f>
        <v>0.104074519010863</v>
      </c>
      <c r="F205" s="21" t="s">
        <v>92</v>
      </c>
      <c r="G205" s="21">
        <f>'pm_24.dat '!D310</f>
        <v>0.25368745350981298</v>
      </c>
      <c r="H205" s="21" t="s">
        <v>92</v>
      </c>
      <c r="I205" s="21">
        <f>'pm_24.dat '!E310</f>
        <v>0.47203782276432005</v>
      </c>
      <c r="J205" s="21" t="s">
        <v>92</v>
      </c>
      <c r="K205" s="21">
        <f>'pm_24.dat '!F310</f>
        <v>0.63360878671444798</v>
      </c>
      <c r="L205" s="21" t="s">
        <v>92</v>
      </c>
      <c r="M205" s="21">
        <f>'pm_24.dat '!G310</f>
        <v>0.67283381048850699</v>
      </c>
      <c r="N205" s="21" t="s">
        <v>92</v>
      </c>
      <c r="O205" s="21">
        <f>'pm_24.dat '!H310</f>
        <v>0.75734475165732296</v>
      </c>
      <c r="P205" s="21" t="s">
        <v>92</v>
      </c>
      <c r="Q205" s="21">
        <f>'pm_24.dat '!I310</f>
        <v>0.82078781237722398</v>
      </c>
      <c r="R205" s="21" t="s">
        <v>92</v>
      </c>
      <c r="S205" s="21">
        <f>'pm_24.dat '!J310</f>
        <v>0.90365742508831504</v>
      </c>
      <c r="T205" s="21" t="s">
        <v>92</v>
      </c>
      <c r="U205" s="21">
        <f>'pm_24.dat '!K310</f>
        <v>0.92189874109930303</v>
      </c>
      <c r="V205" s="21" t="s">
        <v>92</v>
      </c>
      <c r="W205" s="21">
        <f>'pm_24.dat '!L310</f>
        <v>1.07674415486174</v>
      </c>
      <c r="X205" s="21" t="s">
        <v>92</v>
      </c>
      <c r="Y205" s="21">
        <f>'pm_24.dat '!M310</f>
        <v>1.03117366748677</v>
      </c>
      <c r="Z205" s="21" t="s">
        <v>92</v>
      </c>
      <c r="AA205" s="21">
        <f>'pm_24.dat '!N310</f>
        <v>1.27390057263406</v>
      </c>
      <c r="AB205" s="21" t="s">
        <v>92</v>
      </c>
      <c r="AC205" s="21">
        <f>'pm_24.dat '!O310</f>
        <v>1.1479984399293401</v>
      </c>
      <c r="AD205" s="21" t="s">
        <v>92</v>
      </c>
      <c r="AE205" s="21">
        <f>'pm_24.dat '!P310</f>
        <v>1.54896523402191</v>
      </c>
      <c r="AF205" s="21" t="s">
        <v>93</v>
      </c>
      <c r="AG205" s="21"/>
    </row>
    <row r="206" spans="1:34" x14ac:dyDescent="0.2">
      <c r="A206">
        <f t="shared" si="1"/>
        <v>2018</v>
      </c>
      <c r="B206" t="s">
        <v>92</v>
      </c>
      <c r="C206" s="21">
        <f>'pm_24.dat '!B311</f>
        <v>2.2427235127942598E-2</v>
      </c>
      <c r="D206" s="21" t="s">
        <v>92</v>
      </c>
      <c r="E206" s="21">
        <f>'pm_24.dat '!C311</f>
        <v>9.5396352387455197E-2</v>
      </c>
      <c r="F206" s="21" t="s">
        <v>92</v>
      </c>
      <c r="G206" s="21">
        <f>'pm_24.dat '!D311</f>
        <v>0.225729313732495</v>
      </c>
      <c r="H206" s="21" t="s">
        <v>92</v>
      </c>
      <c r="I206" s="21">
        <f>'pm_24.dat '!E311</f>
        <v>0.43454261822538504</v>
      </c>
      <c r="J206" s="21" t="s">
        <v>92</v>
      </c>
      <c r="K206" s="21">
        <f>'pm_24.dat '!F311</f>
        <v>0.59955498778441407</v>
      </c>
      <c r="L206" s="21" t="s">
        <v>92</v>
      </c>
      <c r="M206" s="21">
        <f>'pm_24.dat '!G311</f>
        <v>0.695866062213085</v>
      </c>
      <c r="N206" s="21" t="s">
        <v>92</v>
      </c>
      <c r="O206" s="21">
        <f>'pm_24.dat '!H311</f>
        <v>0.77650391912567707</v>
      </c>
      <c r="P206" s="21" t="s">
        <v>92</v>
      </c>
      <c r="Q206" s="21">
        <f>'pm_24.dat '!I311</f>
        <v>0.82630539137439307</v>
      </c>
      <c r="R206" s="21" t="s">
        <v>92</v>
      </c>
      <c r="S206" s="21">
        <f>'pm_24.dat '!J311</f>
        <v>0.93655476920510206</v>
      </c>
      <c r="T206" s="21" t="s">
        <v>92</v>
      </c>
      <c r="U206" s="21">
        <f>'pm_24.dat '!K311</f>
        <v>0.95807751030890997</v>
      </c>
      <c r="V206" s="21" t="s">
        <v>92</v>
      </c>
      <c r="W206" s="21">
        <f>'pm_24.dat '!L311</f>
        <v>1.0842714919884699</v>
      </c>
      <c r="X206" s="21" t="s">
        <v>92</v>
      </c>
      <c r="Y206" s="21">
        <f>'pm_24.dat '!M311</f>
        <v>0.93573701444384505</v>
      </c>
      <c r="Z206" s="21" t="s">
        <v>92</v>
      </c>
      <c r="AA206" s="21">
        <f>'pm_24.dat '!N311</f>
        <v>1.5071627360667201</v>
      </c>
      <c r="AB206" s="21" t="s">
        <v>92</v>
      </c>
      <c r="AC206" s="21">
        <f>'pm_24.dat '!O311</f>
        <v>1.2152703929983653</v>
      </c>
      <c r="AD206" s="21" t="s">
        <v>92</v>
      </c>
      <c r="AE206" s="21">
        <f>'pm_24.dat '!P311</f>
        <v>1.51941456520298</v>
      </c>
      <c r="AF206" s="21" t="s">
        <v>93</v>
      </c>
      <c r="AG206" s="21"/>
    </row>
    <row r="207" spans="1:34" x14ac:dyDescent="0.2">
      <c r="A207">
        <f t="shared" si="1"/>
        <v>2019</v>
      </c>
      <c r="B207" t="s">
        <v>92</v>
      </c>
      <c r="C207" s="21">
        <f>'pm_24.dat '!B312</f>
        <v>2.1557385851708299E-2</v>
      </c>
      <c r="D207" s="21" t="s">
        <v>92</v>
      </c>
      <c r="E207" s="21">
        <f>'pm_24.dat '!C312</f>
        <v>0.11335570364678201</v>
      </c>
      <c r="F207" s="21" t="s">
        <v>92</v>
      </c>
      <c r="G207" s="21">
        <f>'pm_24.dat '!D312</f>
        <v>0.29701389118909399</v>
      </c>
      <c r="H207" s="21" t="s">
        <v>92</v>
      </c>
      <c r="I207" s="21">
        <f>'pm_24.dat '!E312</f>
        <v>0.50094768444623794</v>
      </c>
      <c r="J207" s="21" t="s">
        <v>92</v>
      </c>
      <c r="K207" s="21">
        <f>'pm_24.dat '!F312</f>
        <v>0.63674065435848404</v>
      </c>
      <c r="L207" s="21" t="s">
        <v>92</v>
      </c>
      <c r="M207" s="21">
        <f>'pm_24.dat '!G312</f>
        <v>0.74142538910803102</v>
      </c>
      <c r="N207" s="21" t="s">
        <v>92</v>
      </c>
      <c r="O207" s="21">
        <f>'pm_24.dat '!H312</f>
        <v>0.83064097017957794</v>
      </c>
      <c r="P207" s="21" t="s">
        <v>92</v>
      </c>
      <c r="Q207" s="21">
        <f>'pm_24.dat '!I312</f>
        <v>0.94639468142813798</v>
      </c>
      <c r="R207" s="21" t="s">
        <v>92</v>
      </c>
      <c r="S207" s="21">
        <f>'pm_24.dat '!J312</f>
        <v>0.95985969046140096</v>
      </c>
      <c r="T207" s="21" t="s">
        <v>92</v>
      </c>
      <c r="U207" s="21">
        <f>'pm_24.dat '!K312</f>
        <v>1.0437957289964599</v>
      </c>
      <c r="V207" s="21" t="s">
        <v>92</v>
      </c>
      <c r="W207" s="21">
        <f>'pm_24.dat '!L312</f>
        <v>1.01247457398871</v>
      </c>
      <c r="X207" s="21" t="s">
        <v>92</v>
      </c>
      <c r="Y207" s="21">
        <f>'pm_24.dat '!M312</f>
        <v>1.0564221761897599</v>
      </c>
      <c r="Z207" s="21" t="s">
        <v>92</v>
      </c>
      <c r="AA207" s="21">
        <f>'pm_24.dat '!N312</f>
        <v>1.0424253848404401</v>
      </c>
      <c r="AB207" s="21" t="s">
        <v>92</v>
      </c>
      <c r="AC207" s="21">
        <f>'pm_24.dat '!O312</f>
        <v>1.2825423460673901</v>
      </c>
      <c r="AD207" s="21" t="s">
        <v>92</v>
      </c>
      <c r="AE207" s="21">
        <f>'pm_24.dat '!P312</f>
        <v>1.4509489120310302</v>
      </c>
      <c r="AF207" s="21" t="s">
        <v>93</v>
      </c>
      <c r="AG207" s="21"/>
    </row>
    <row r="208" spans="1:34" x14ac:dyDescent="0.2">
      <c r="A208">
        <v>2020</v>
      </c>
      <c r="B208" t="s">
        <v>92</v>
      </c>
      <c r="C208" s="21" t="s">
        <v>653</v>
      </c>
      <c r="D208" s="21" t="s">
        <v>92</v>
      </c>
      <c r="E208" s="21" t="s">
        <v>653</v>
      </c>
      <c r="F208" s="21" t="s">
        <v>92</v>
      </c>
      <c r="G208" s="21" t="s">
        <v>653</v>
      </c>
      <c r="H208" s="21" t="s">
        <v>92</v>
      </c>
      <c r="I208" s="21" t="s">
        <v>653</v>
      </c>
      <c r="J208" s="21" t="s">
        <v>92</v>
      </c>
      <c r="K208" s="21" t="s">
        <v>653</v>
      </c>
      <c r="L208" s="21" t="s">
        <v>92</v>
      </c>
      <c r="M208" s="21" t="s">
        <v>653</v>
      </c>
      <c r="N208" s="21" t="s">
        <v>92</v>
      </c>
      <c r="O208" s="21" t="s">
        <v>653</v>
      </c>
      <c r="P208" s="21" t="s">
        <v>92</v>
      </c>
      <c r="Q208" s="21" t="s">
        <v>653</v>
      </c>
      <c r="R208" s="21" t="s">
        <v>92</v>
      </c>
      <c r="S208" s="21" t="s">
        <v>653</v>
      </c>
      <c r="T208" s="21" t="s">
        <v>92</v>
      </c>
      <c r="U208" s="21" t="s">
        <v>653</v>
      </c>
      <c r="V208" s="21" t="s">
        <v>92</v>
      </c>
      <c r="W208" s="21" t="s">
        <v>653</v>
      </c>
      <c r="X208" s="21" t="s">
        <v>92</v>
      </c>
      <c r="Y208" s="21" t="s">
        <v>653</v>
      </c>
      <c r="Z208" s="21" t="s">
        <v>92</v>
      </c>
      <c r="AA208" s="21" t="s">
        <v>653</v>
      </c>
      <c r="AB208" s="21" t="s">
        <v>92</v>
      </c>
      <c r="AC208" s="21" t="s">
        <v>653</v>
      </c>
      <c r="AD208" s="21" t="s">
        <v>92</v>
      </c>
      <c r="AE208" s="21" t="s">
        <v>653</v>
      </c>
      <c r="AF208" s="21" t="s">
        <v>93</v>
      </c>
      <c r="AG208" s="21"/>
      <c r="AH208" s="21"/>
    </row>
    <row r="209" spans="1:33" x14ac:dyDescent="0.2">
      <c r="A209">
        <f t="shared" si="1"/>
        <v>2021</v>
      </c>
      <c r="B209" t="s">
        <v>92</v>
      </c>
      <c r="C209" s="21">
        <f>'pm_24.dat '!B313</f>
        <v>2.2498680976554802E-2</v>
      </c>
      <c r="D209" s="21" t="s">
        <v>92</v>
      </c>
      <c r="E209" s="21">
        <f>'pm_24.dat '!C313</f>
        <v>0.10247386266333901</v>
      </c>
      <c r="F209" s="21" t="s">
        <v>92</v>
      </c>
      <c r="G209" s="21">
        <f>'pm_24.dat '!D313</f>
        <v>0.23874587130102401</v>
      </c>
      <c r="H209" s="21" t="s">
        <v>92</v>
      </c>
      <c r="I209" s="21">
        <f>'pm_24.dat '!E313</f>
        <v>0.446959989078489</v>
      </c>
      <c r="J209" s="21" t="s">
        <v>92</v>
      </c>
      <c r="K209" s="21">
        <f>'pm_24.dat '!F313</f>
        <v>0.58457981401805204</v>
      </c>
      <c r="L209" s="21" t="s">
        <v>92</v>
      </c>
      <c r="M209" s="21">
        <f>'pm_24.dat '!G313</f>
        <v>0.71277142822520501</v>
      </c>
      <c r="N209" s="21" t="s">
        <v>92</v>
      </c>
      <c r="O209" s="21">
        <f>'pm_24.dat '!H313</f>
        <v>0.80419877305086007</v>
      </c>
      <c r="P209" s="21" t="s">
        <v>92</v>
      </c>
      <c r="Q209" s="21">
        <f>'pm_24.dat '!I313</f>
        <v>0.85590951563885298</v>
      </c>
      <c r="R209" s="21" t="s">
        <v>92</v>
      </c>
      <c r="S209" s="21">
        <f>'pm_24.dat '!J313</f>
        <v>0.98023942557203603</v>
      </c>
      <c r="T209" s="21" t="s">
        <v>92</v>
      </c>
      <c r="U209" s="21">
        <f>'pm_24.dat '!K313</f>
        <v>1.15010081986108</v>
      </c>
      <c r="V209" s="21" t="s">
        <v>92</v>
      </c>
      <c r="W209" s="21">
        <f>'pm_24.dat '!L313</f>
        <v>1.0649628011096799</v>
      </c>
      <c r="X209" s="21" t="s">
        <v>92</v>
      </c>
      <c r="Y209" s="21">
        <f>'pm_24.dat '!M313</f>
        <v>1.15146376736208</v>
      </c>
      <c r="Z209" s="21" t="s">
        <v>92</v>
      </c>
      <c r="AA209" s="21">
        <f>'pm_24.dat '!N313</f>
        <v>1.3125885677295099</v>
      </c>
      <c r="AB209" s="21" t="s">
        <v>92</v>
      </c>
      <c r="AC209" s="21">
        <f>'pm_24.dat '!O313</f>
        <v>1.02608760296179</v>
      </c>
      <c r="AD209" s="21" t="s">
        <v>92</v>
      </c>
      <c r="AE209" s="21">
        <f>'pm_24.dat '!P313</f>
        <v>1.3824832588590801</v>
      </c>
      <c r="AF209" s="21" t="s">
        <v>93</v>
      </c>
      <c r="AG209" s="21"/>
    </row>
    <row r="210" spans="1:33" x14ac:dyDescent="0.2">
      <c r="A210">
        <f t="shared" si="1"/>
        <v>2022</v>
      </c>
      <c r="B210" t="s">
        <v>92</v>
      </c>
      <c r="C210" s="21">
        <f>'pm_24.dat '!B314</f>
        <v>1.7285352006024102E-2</v>
      </c>
      <c r="D210" s="21" t="s">
        <v>92</v>
      </c>
      <c r="E210" s="21">
        <f>'pm_24.dat '!C314</f>
        <v>0.117262349619111</v>
      </c>
      <c r="F210" s="21" t="s">
        <v>92</v>
      </c>
      <c r="G210" s="21">
        <f>'pm_24.dat '!D314</f>
        <v>0.26733573087300799</v>
      </c>
      <c r="H210" s="21" t="s">
        <v>92</v>
      </c>
      <c r="I210" s="21">
        <f>'pm_24.dat '!E314</f>
        <v>0.443188646870046</v>
      </c>
      <c r="J210" s="21" t="s">
        <v>92</v>
      </c>
      <c r="K210" s="21">
        <f>'pm_24.dat '!F314</f>
        <v>0.59097485324630095</v>
      </c>
      <c r="L210" s="21" t="s">
        <v>92</v>
      </c>
      <c r="M210" s="21">
        <f>'pm_24.dat '!G314</f>
        <v>0.70946782361152705</v>
      </c>
      <c r="N210" s="21" t="s">
        <v>92</v>
      </c>
      <c r="O210" s="21">
        <f>'pm_24.dat '!H314</f>
        <v>0.78059251084425296</v>
      </c>
      <c r="P210" s="21" t="s">
        <v>92</v>
      </c>
      <c r="Q210" s="21">
        <f>'pm_24.dat '!I314</f>
        <v>0.8811950550210601</v>
      </c>
      <c r="R210" s="21" t="s">
        <v>92</v>
      </c>
      <c r="S210" s="21">
        <f>'pm_24.dat '!J314</f>
        <v>0.97573352002699798</v>
      </c>
      <c r="T210" s="21" t="s">
        <v>92</v>
      </c>
      <c r="U210" s="21">
        <f>'pm_24.dat '!K314</f>
        <v>1.07011583944786</v>
      </c>
      <c r="V210" s="21" t="s">
        <v>92</v>
      </c>
      <c r="W210" s="21">
        <f>'pm_24.dat '!L314</f>
        <v>1.32708583977223</v>
      </c>
      <c r="X210" s="21" t="s">
        <v>92</v>
      </c>
      <c r="Y210" s="21">
        <f>'pm_24.dat '!M314</f>
        <v>1.3051274281799299</v>
      </c>
      <c r="Z210" s="21" t="s">
        <v>92</v>
      </c>
      <c r="AA210" s="21">
        <f>'pm_24.dat '!N314</f>
        <v>1.35624918707772</v>
      </c>
      <c r="AB210" s="21" t="s">
        <v>92</v>
      </c>
      <c r="AC210" s="21">
        <f>'pm_24.dat '!O314</f>
        <v>1.2389392025254999</v>
      </c>
      <c r="AD210" s="21" t="s">
        <v>92</v>
      </c>
      <c r="AE210" s="21">
        <f>'pm_24.dat '!P314</f>
        <v>1.86234083540825</v>
      </c>
      <c r="AF210" s="21" t="s">
        <v>93</v>
      </c>
      <c r="AG210" s="21"/>
    </row>
    <row r="211" spans="1:33" x14ac:dyDescent="0.2">
      <c r="A211">
        <f t="shared" si="1"/>
        <v>2023</v>
      </c>
      <c r="B211" t="s">
        <v>92</v>
      </c>
      <c r="C211" s="21">
        <f>'pm_24.dat '!B315</f>
        <v>1.6290282683347201E-2</v>
      </c>
      <c r="D211" s="21" t="s">
        <v>92</v>
      </c>
      <c r="E211" s="21">
        <f>'pm_24.dat '!C315</f>
        <v>0.117301585858891</v>
      </c>
      <c r="F211" s="21" t="s">
        <v>92</v>
      </c>
      <c r="G211" s="21">
        <f>'pm_24.dat '!D315</f>
        <v>0.27139620164422601</v>
      </c>
      <c r="H211" s="21" t="s">
        <v>92</v>
      </c>
      <c r="I211" s="21">
        <f>'pm_24.dat '!E315</f>
        <v>0.41687564723238801</v>
      </c>
      <c r="J211" s="21" t="s">
        <v>92</v>
      </c>
      <c r="K211" s="21">
        <f>'pm_24.dat '!F315</f>
        <v>0.533431940571792</v>
      </c>
      <c r="L211" s="21" t="s">
        <v>92</v>
      </c>
      <c r="M211" s="21">
        <f>'pm_24.dat '!G315</f>
        <v>0.66030587433237897</v>
      </c>
      <c r="N211" s="21" t="s">
        <v>92</v>
      </c>
      <c r="O211" s="21">
        <f>'pm_24.dat '!H315</f>
        <v>0.80251331570593698</v>
      </c>
      <c r="P211" s="21" t="s">
        <v>92</v>
      </c>
      <c r="Q211" s="21">
        <f>'pm_24.dat '!I315</f>
        <v>0.93535797021226297</v>
      </c>
      <c r="R211" s="21" t="s">
        <v>92</v>
      </c>
      <c r="S211" s="21">
        <f>'pm_24.dat '!J315</f>
        <v>0.96296479121097001</v>
      </c>
      <c r="T211" s="21" t="s">
        <v>92</v>
      </c>
      <c r="U211" s="21">
        <f>'pm_24.dat '!K315</f>
        <v>1.0104948726462699</v>
      </c>
      <c r="V211" s="21" t="s">
        <v>92</v>
      </c>
      <c r="W211" s="21">
        <f>'pm_24.dat '!L315</f>
        <v>1.15033315058786</v>
      </c>
      <c r="X211" s="21" t="s">
        <v>92</v>
      </c>
      <c r="Y211" s="21">
        <f>'pm_24.dat '!M315</f>
        <v>1.14026577685919</v>
      </c>
      <c r="Z211" s="21" t="s">
        <v>92</v>
      </c>
      <c r="AA211" s="21">
        <f>'pm_24.dat '!N315</f>
        <v>1.4628116836187901</v>
      </c>
      <c r="AB211" s="21" t="s">
        <v>92</v>
      </c>
      <c r="AC211" s="21">
        <f>'pm_24.dat '!O315</f>
        <v>1.89263231739019</v>
      </c>
      <c r="AD211" s="21" t="s">
        <v>92</v>
      </c>
      <c r="AE211" s="21">
        <f>'pm_24.dat '!P315</f>
        <v>1.5068638000717398</v>
      </c>
      <c r="AF211" s="21" t="s">
        <v>93</v>
      </c>
      <c r="AG211" s="21"/>
    </row>
    <row r="212" spans="1:33" x14ac:dyDescent="0.2">
      <c r="A212">
        <f t="shared" si="1"/>
        <v>2024</v>
      </c>
      <c r="B212" t="s">
        <v>92</v>
      </c>
      <c r="C212" s="21">
        <f>'pm_24.dat '!B316</f>
        <v>1.7541583297838698E-2</v>
      </c>
      <c r="D212" s="21" t="s">
        <v>92</v>
      </c>
      <c r="E212" s="21">
        <f>'pm_24.dat '!C316</f>
        <v>9.4822856331877009E-2</v>
      </c>
      <c r="F212" s="21" t="s">
        <v>92</v>
      </c>
      <c r="G212" s="21">
        <f>'pm_24.dat '!D316</f>
        <v>0.32923135977132301</v>
      </c>
      <c r="H212" s="21" t="s">
        <v>92</v>
      </c>
      <c r="I212" s="21">
        <f>'pm_24.dat '!E316</f>
        <v>0.47575691883218002</v>
      </c>
      <c r="J212" s="21" t="s">
        <v>92</v>
      </c>
      <c r="K212" s="21">
        <f>'pm_24.dat '!F316</f>
        <v>0.578288017254322</v>
      </c>
      <c r="L212" s="21" t="s">
        <v>92</v>
      </c>
      <c r="M212" s="21">
        <f>'pm_24.dat '!G316</f>
        <v>0.61925245935637196</v>
      </c>
      <c r="N212" s="21" t="s">
        <v>92</v>
      </c>
      <c r="O212" s="21">
        <f>'pm_24.dat '!H316</f>
        <v>0.70358279240673904</v>
      </c>
      <c r="P212" s="21" t="s">
        <v>92</v>
      </c>
      <c r="Q212" s="21">
        <f>'pm_24.dat '!I316</f>
        <v>0.94511421394361406</v>
      </c>
      <c r="R212" s="21" t="s">
        <v>92</v>
      </c>
      <c r="S212" s="21">
        <f>'pm_24.dat '!J316</f>
        <v>1.00505993939466</v>
      </c>
      <c r="T212" s="21" t="s">
        <v>92</v>
      </c>
      <c r="U212" s="21">
        <f>'pm_24.dat '!K316</f>
        <v>1.0410178798254301</v>
      </c>
      <c r="V212" s="21" t="s">
        <v>92</v>
      </c>
      <c r="W212" s="21">
        <f>'pm_24.dat '!L316</f>
        <v>1.1376506579941199</v>
      </c>
      <c r="X212" s="21" t="s">
        <v>92</v>
      </c>
      <c r="Y212" s="21">
        <f>'pm_24.dat '!M316</f>
        <v>1.2058032188323999</v>
      </c>
      <c r="Z212" s="21" t="s">
        <v>92</v>
      </c>
      <c r="AA212" s="21">
        <f>'pm_24.dat '!N316</f>
        <v>1.31408289612497</v>
      </c>
      <c r="AB212" s="21" t="s">
        <v>92</v>
      </c>
      <c r="AC212" s="21">
        <f>'pm_24.dat '!O316</f>
        <v>1.4355219711254898</v>
      </c>
      <c r="AD212" s="21" t="s">
        <v>92</v>
      </c>
      <c r="AE212" s="21">
        <f>'pm_24.dat '!P316</f>
        <v>1.7913662168836499</v>
      </c>
      <c r="AF212" s="21" t="s">
        <v>93</v>
      </c>
      <c r="AG212" s="21"/>
    </row>
    <row r="214" spans="1:33" x14ac:dyDescent="0.2">
      <c r="A214" t="s">
        <v>96</v>
      </c>
      <c r="B214" t="s">
        <v>92</v>
      </c>
      <c r="C214" s="21">
        <f>AVERAGE(C170:C212)</f>
        <v>1.6945820376572038E-2</v>
      </c>
      <c r="D214" t="s">
        <v>92</v>
      </c>
      <c r="E214" s="21">
        <f t="shared" ref="E214" si="2">AVERAGE(E170:E212)</f>
        <v>9.4685540060742493E-2</v>
      </c>
      <c r="F214" t="s">
        <v>92</v>
      </c>
      <c r="G214" s="21">
        <f t="shared" ref="G214" si="3">AVERAGE(G170:G212)</f>
        <v>0.23446046622036518</v>
      </c>
      <c r="H214" t="s">
        <v>92</v>
      </c>
      <c r="I214" s="21">
        <f t="shared" ref="I214" si="4">AVERAGE(I170:I212)</f>
        <v>0.41078815240306216</v>
      </c>
      <c r="J214" t="s">
        <v>92</v>
      </c>
      <c r="K214" s="21">
        <f t="shared" ref="K214" si="5">AVERAGE(K170:K212)</f>
        <v>0.54521453124309371</v>
      </c>
      <c r="L214" t="s">
        <v>92</v>
      </c>
      <c r="M214" s="21">
        <f t="shared" ref="M214" si="6">AVERAGE(M170:M212)</f>
        <v>0.67533821052231413</v>
      </c>
      <c r="N214" t="s">
        <v>92</v>
      </c>
      <c r="O214" s="21">
        <f t="shared" ref="O214" si="7">AVERAGE(O170:O212)</f>
        <v>0.81854757235670395</v>
      </c>
      <c r="P214" t="s">
        <v>92</v>
      </c>
      <c r="Q214" s="21">
        <f t="shared" ref="Q214" si="8">AVERAGE(Q170:Q212)</f>
        <v>0.97289601690269834</v>
      </c>
      <c r="R214" t="s">
        <v>92</v>
      </c>
      <c r="S214" s="21">
        <f t="shared" ref="S214" si="9">AVERAGE(S170:S212)</f>
        <v>1.1128138580822153</v>
      </c>
      <c r="T214" t="s">
        <v>92</v>
      </c>
      <c r="U214" s="21">
        <f t="shared" ref="U214" si="10">AVERAGE(U170:U212)</f>
        <v>1.2271220492587063</v>
      </c>
      <c r="V214" t="s">
        <v>92</v>
      </c>
      <c r="W214" s="21">
        <f t="shared" ref="W214" si="11">AVERAGE(W170:W212)</f>
        <v>1.3615603962598777</v>
      </c>
      <c r="X214" t="s">
        <v>92</v>
      </c>
      <c r="Y214" s="21">
        <f t="shared" ref="Y214" si="12">AVERAGE(Y170:Y212)</f>
        <v>1.4454806181205015</v>
      </c>
      <c r="Z214" t="s">
        <v>92</v>
      </c>
      <c r="AA214" s="21">
        <f t="shared" ref="AA214" si="13">AVERAGE(AA170:AA212)</f>
        <v>1.616054425519553</v>
      </c>
      <c r="AB214" t="s">
        <v>92</v>
      </c>
      <c r="AC214" s="21">
        <f t="shared" ref="AC214" si="14">AVERAGE(AC170:AC212)</f>
        <v>1.6688806608061353</v>
      </c>
      <c r="AD214" t="s">
        <v>92</v>
      </c>
      <c r="AE214" s="21">
        <f t="shared" ref="AE214" si="15">AVERAGE(AE170:AE212)</f>
        <v>1.8859904861074694</v>
      </c>
      <c r="AF214" s="21" t="s">
        <v>93</v>
      </c>
      <c r="AG214" s="21"/>
    </row>
    <row r="223" spans="1:33" x14ac:dyDescent="0.2">
      <c r="A223" t="s">
        <v>85</v>
      </c>
      <c r="B223" t="s">
        <v>92</v>
      </c>
      <c r="C223">
        <v>1</v>
      </c>
      <c r="D223" t="s">
        <v>92</v>
      </c>
      <c r="E223">
        <v>2</v>
      </c>
      <c r="F223" t="s">
        <v>92</v>
      </c>
      <c r="G223">
        <v>3</v>
      </c>
      <c r="H223" t="s">
        <v>92</v>
      </c>
      <c r="I223">
        <v>4</v>
      </c>
      <c r="J223" t="s">
        <v>92</v>
      </c>
      <c r="K223">
        <v>5</v>
      </c>
      <c r="L223" t="s">
        <v>92</v>
      </c>
      <c r="M223">
        <v>6</v>
      </c>
      <c r="N223" t="s">
        <v>92</v>
      </c>
      <c r="O223">
        <v>7</v>
      </c>
      <c r="P223" t="s">
        <v>92</v>
      </c>
      <c r="Q223">
        <v>8</v>
      </c>
      <c r="R223" t="s">
        <v>92</v>
      </c>
      <c r="S223">
        <v>9</v>
      </c>
      <c r="T223" t="s">
        <v>92</v>
      </c>
      <c r="U223" t="s">
        <v>655</v>
      </c>
      <c r="V223" t="s">
        <v>92</v>
      </c>
      <c r="W223" t="s">
        <v>656</v>
      </c>
      <c r="X223" t="s">
        <v>92</v>
      </c>
      <c r="Y223" t="s">
        <v>657</v>
      </c>
      <c r="Z223" t="s">
        <v>93</v>
      </c>
    </row>
    <row r="224" spans="1:33" x14ac:dyDescent="0.2">
      <c r="A224" t="s">
        <v>95</v>
      </c>
    </row>
    <row r="225" spans="1:26" x14ac:dyDescent="0.2">
      <c r="A225">
        <v>1979</v>
      </c>
      <c r="B225" t="s">
        <v>92</v>
      </c>
      <c r="C225" s="12">
        <v>69110</v>
      </c>
      <c r="D225" t="s">
        <v>92</v>
      </c>
      <c r="E225" s="12">
        <v>41132</v>
      </c>
      <c r="F225" t="s">
        <v>92</v>
      </c>
      <c r="G225" s="12">
        <v>3884</v>
      </c>
      <c r="H225" t="s">
        <v>92</v>
      </c>
      <c r="I225">
        <v>413</v>
      </c>
      <c r="J225" t="s">
        <v>92</v>
      </c>
      <c r="K225">
        <v>534</v>
      </c>
      <c r="L225" t="s">
        <v>92</v>
      </c>
      <c r="M225">
        <v>128</v>
      </c>
      <c r="N225" t="s">
        <v>92</v>
      </c>
      <c r="O225">
        <v>30</v>
      </c>
      <c r="P225" t="s">
        <v>92</v>
      </c>
      <c r="Q225">
        <v>4</v>
      </c>
      <c r="R225" t="s">
        <v>92</v>
      </c>
      <c r="S225">
        <v>28</v>
      </c>
      <c r="T225" t="s">
        <v>92</v>
      </c>
      <c r="U225">
        <v>161</v>
      </c>
      <c r="V225" t="s">
        <v>92</v>
      </c>
      <c r="W225" s="12">
        <v>46314</v>
      </c>
      <c r="X225" t="s">
        <v>92</v>
      </c>
      <c r="Y225" s="12">
        <v>115424</v>
      </c>
      <c r="Z225" t="s">
        <v>93</v>
      </c>
    </row>
    <row r="226" spans="1:26" x14ac:dyDescent="0.2">
      <c r="A226">
        <v>1982</v>
      </c>
      <c r="B226" t="s">
        <v>92</v>
      </c>
      <c r="C226">
        <v>108</v>
      </c>
      <c r="D226" t="s">
        <v>92</v>
      </c>
      <c r="E226" s="12">
        <v>3401</v>
      </c>
      <c r="F226" t="s">
        <v>92</v>
      </c>
      <c r="G226" s="12">
        <v>4108</v>
      </c>
      <c r="H226" t="s">
        <v>92</v>
      </c>
      <c r="I226" s="12">
        <v>7637</v>
      </c>
      <c r="J226" t="s">
        <v>92</v>
      </c>
      <c r="K226" s="12">
        <v>1790</v>
      </c>
      <c r="L226" t="s">
        <v>92</v>
      </c>
      <c r="M226">
        <v>283</v>
      </c>
      <c r="N226" t="s">
        <v>92</v>
      </c>
      <c r="O226">
        <v>141</v>
      </c>
      <c r="P226" t="s">
        <v>92</v>
      </c>
      <c r="Q226">
        <v>178</v>
      </c>
      <c r="R226" t="s">
        <v>92</v>
      </c>
      <c r="S226">
        <v>90</v>
      </c>
      <c r="T226" t="s">
        <v>92</v>
      </c>
      <c r="U226">
        <v>177</v>
      </c>
      <c r="V226" t="s">
        <v>92</v>
      </c>
      <c r="W226" s="12">
        <v>17805</v>
      </c>
      <c r="X226" t="s">
        <v>92</v>
      </c>
      <c r="Y226" s="12">
        <v>17913</v>
      </c>
      <c r="Z226" t="s">
        <v>93</v>
      </c>
    </row>
    <row r="227" spans="1:26" x14ac:dyDescent="0.2">
      <c r="A227">
        <v>1985</v>
      </c>
      <c r="B227" t="s">
        <v>92</v>
      </c>
      <c r="C227" s="12">
        <v>2076</v>
      </c>
      <c r="D227" t="s">
        <v>92</v>
      </c>
      <c r="E227">
        <v>929</v>
      </c>
      <c r="F227" t="s">
        <v>92</v>
      </c>
      <c r="G227" s="12">
        <v>8149</v>
      </c>
      <c r="H227" t="s">
        <v>92</v>
      </c>
      <c r="I227">
        <v>898</v>
      </c>
      <c r="J227" t="s">
        <v>92</v>
      </c>
      <c r="K227" s="12">
        <v>2186</v>
      </c>
      <c r="L227" t="s">
        <v>92</v>
      </c>
      <c r="M227" s="12">
        <v>1510</v>
      </c>
      <c r="N227" t="s">
        <v>92</v>
      </c>
      <c r="O227" s="12">
        <v>1127</v>
      </c>
      <c r="P227" t="s">
        <v>92</v>
      </c>
      <c r="Q227">
        <v>130</v>
      </c>
      <c r="R227" t="s">
        <v>92</v>
      </c>
      <c r="S227">
        <v>21</v>
      </c>
      <c r="T227" t="s">
        <v>92</v>
      </c>
      <c r="U227">
        <v>15</v>
      </c>
      <c r="V227" t="s">
        <v>92</v>
      </c>
      <c r="W227" s="12">
        <v>14965</v>
      </c>
      <c r="X227" t="s">
        <v>92</v>
      </c>
      <c r="Y227" s="12">
        <v>17041</v>
      </c>
      <c r="Z227" t="s">
        <v>93</v>
      </c>
    </row>
    <row r="228" spans="1:26" x14ac:dyDescent="0.2">
      <c r="A228">
        <v>1988</v>
      </c>
      <c r="B228" t="s">
        <v>92</v>
      </c>
      <c r="C228">
        <v>11</v>
      </c>
      <c r="D228" t="s">
        <v>92</v>
      </c>
      <c r="E228" s="12">
        <v>1112</v>
      </c>
      <c r="F228" t="s">
        <v>92</v>
      </c>
      <c r="G228" s="12">
        <v>3586</v>
      </c>
      <c r="H228" t="s">
        <v>92</v>
      </c>
      <c r="I228" s="12">
        <v>3864</v>
      </c>
      <c r="J228" t="s">
        <v>92</v>
      </c>
      <c r="K228">
        <v>739</v>
      </c>
      <c r="L228" t="s">
        <v>92</v>
      </c>
      <c r="M228" s="12">
        <v>1882</v>
      </c>
      <c r="N228" t="s">
        <v>92</v>
      </c>
      <c r="O228">
        <v>403</v>
      </c>
      <c r="P228" t="s">
        <v>92</v>
      </c>
      <c r="Q228">
        <v>151</v>
      </c>
      <c r="R228" t="s">
        <v>92</v>
      </c>
      <c r="S228">
        <v>130</v>
      </c>
      <c r="T228" t="s">
        <v>92</v>
      </c>
      <c r="U228">
        <v>414</v>
      </c>
      <c r="V228" t="s">
        <v>92</v>
      </c>
      <c r="W228" s="12">
        <v>12280</v>
      </c>
      <c r="X228" t="s">
        <v>92</v>
      </c>
      <c r="Y228" s="12">
        <v>12292</v>
      </c>
      <c r="Z228" t="s">
        <v>93</v>
      </c>
    </row>
    <row r="229" spans="1:26" x14ac:dyDescent="0.2">
      <c r="A229">
        <v>1991</v>
      </c>
      <c r="B229" t="s">
        <v>92</v>
      </c>
      <c r="C229">
        <v>639</v>
      </c>
      <c r="D229" t="s">
        <v>92</v>
      </c>
      <c r="E229" s="12">
        <v>5942</v>
      </c>
      <c r="F229" t="s">
        <v>92</v>
      </c>
      <c r="G229">
        <v>967</v>
      </c>
      <c r="H229" t="s">
        <v>92</v>
      </c>
      <c r="I229">
        <v>215</v>
      </c>
      <c r="J229" t="s">
        <v>92</v>
      </c>
      <c r="K229">
        <v>224</v>
      </c>
      <c r="L229" t="s">
        <v>92</v>
      </c>
      <c r="M229">
        <v>133</v>
      </c>
      <c r="N229" t="s">
        <v>92</v>
      </c>
      <c r="O229">
        <v>120</v>
      </c>
      <c r="P229" t="s">
        <v>92</v>
      </c>
      <c r="Q229">
        <v>39</v>
      </c>
      <c r="R229" t="s">
        <v>92</v>
      </c>
      <c r="S229">
        <v>37</v>
      </c>
      <c r="T229" t="s">
        <v>92</v>
      </c>
      <c r="U229">
        <v>53</v>
      </c>
      <c r="V229" t="s">
        <v>92</v>
      </c>
      <c r="W229" s="12">
        <v>7730</v>
      </c>
      <c r="X229" t="s">
        <v>92</v>
      </c>
      <c r="Y229" s="12">
        <v>8369</v>
      </c>
      <c r="Z229" t="s">
        <v>93</v>
      </c>
    </row>
    <row r="230" spans="1:26" x14ac:dyDescent="0.2">
      <c r="A230">
        <v>1994</v>
      </c>
      <c r="B230" t="s">
        <v>92</v>
      </c>
      <c r="C230" s="23">
        <f>'pm_24.dat '!B365</f>
        <v>1140.0851399999999</v>
      </c>
      <c r="D230" s="23" t="s">
        <v>92</v>
      </c>
      <c r="E230" s="23">
        <f>'pm_24.dat '!C365</f>
        <v>4969.0522559999999</v>
      </c>
      <c r="F230" s="23" t="s">
        <v>92</v>
      </c>
      <c r="G230" s="23">
        <f>'pm_24.dat '!D365</f>
        <v>1424.4732690000001</v>
      </c>
      <c r="H230" s="23" t="s">
        <v>92</v>
      </c>
      <c r="I230" s="23">
        <f>'pm_24.dat '!E365</f>
        <v>1818.5809260000001</v>
      </c>
      <c r="J230" s="23" t="s">
        <v>92</v>
      </c>
      <c r="K230" s="23">
        <f>'pm_24.dat '!F365</f>
        <v>2251.768172</v>
      </c>
      <c r="L230" s="23" t="s">
        <v>92</v>
      </c>
      <c r="M230" s="23">
        <f>'pm_24.dat '!G365</f>
        <v>389.1130852</v>
      </c>
      <c r="N230" s="23" t="s">
        <v>92</v>
      </c>
      <c r="O230" s="23">
        <f>'pm_24.dat '!H365</f>
        <v>108.5917858</v>
      </c>
      <c r="P230" s="23" t="s">
        <v>92</v>
      </c>
      <c r="Q230" s="23">
        <f>'pm_24.dat '!I365</f>
        <v>95.88827757</v>
      </c>
      <c r="R230" s="23" t="s">
        <v>92</v>
      </c>
      <c r="S230" s="23">
        <f>'pm_24.dat '!J365</f>
        <v>56.201938560000002</v>
      </c>
      <c r="T230" s="23" t="s">
        <v>92</v>
      </c>
      <c r="U230" s="23">
        <f t="shared" ref="U230:U247" si="16">SUM(AA256:AK256)</f>
        <v>221.20553767999999</v>
      </c>
      <c r="V230" s="23" t="s">
        <v>92</v>
      </c>
      <c r="W230" s="23">
        <f>SUM(D230:U230)</f>
        <v>11334.87524781</v>
      </c>
      <c r="X230" s="23" t="s">
        <v>92</v>
      </c>
      <c r="Y230" s="23">
        <f>W230+C230</f>
        <v>12474.960387809999</v>
      </c>
      <c r="Z230" t="s">
        <v>93</v>
      </c>
    </row>
    <row r="231" spans="1:26" x14ac:dyDescent="0.2">
      <c r="A231">
        <v>1996</v>
      </c>
      <c r="B231" t="s">
        <v>92</v>
      </c>
      <c r="C231" s="23">
        <f>'pm_24.dat '!B366</f>
        <v>1800.2540550000001</v>
      </c>
      <c r="D231" s="23" t="s">
        <v>92</v>
      </c>
      <c r="E231" s="23">
        <f>'pm_24.dat '!C366</f>
        <v>566.66512890000001</v>
      </c>
      <c r="F231" s="23" t="s">
        <v>92</v>
      </c>
      <c r="G231" s="23">
        <f>'pm_24.dat '!D366</f>
        <v>552.1605677</v>
      </c>
      <c r="H231" s="23" t="s">
        <v>92</v>
      </c>
      <c r="I231" s="23">
        <f>'pm_24.dat '!E366</f>
        <v>2741.05969</v>
      </c>
      <c r="J231" s="23" t="s">
        <v>92</v>
      </c>
      <c r="K231" s="23">
        <f>'pm_24.dat '!F366</f>
        <v>914.96275760000003</v>
      </c>
      <c r="L231" s="23" t="s">
        <v>92</v>
      </c>
      <c r="M231" s="23">
        <f>'pm_24.dat '!G366</f>
        <v>633.53149229999997</v>
      </c>
      <c r="N231" s="23" t="s">
        <v>92</v>
      </c>
      <c r="O231" s="23">
        <f>'pm_24.dat '!H366</f>
        <v>585.04104989999996</v>
      </c>
      <c r="P231" s="23" t="s">
        <v>92</v>
      </c>
      <c r="Q231" s="23">
        <f>'pm_24.dat '!I366</f>
        <v>141.69026349999999</v>
      </c>
      <c r="R231" s="23" t="s">
        <v>92</v>
      </c>
      <c r="S231" s="23">
        <f>'pm_24.dat '!J366</f>
        <v>38.61581297</v>
      </c>
      <c r="T231" s="23" t="s">
        <v>92</v>
      </c>
      <c r="U231" s="23">
        <f t="shared" si="16"/>
        <v>164.56844145000002</v>
      </c>
      <c r="V231" s="23" t="s">
        <v>92</v>
      </c>
      <c r="W231" s="23">
        <f t="shared" ref="W231:W247" si="17">SUM(D231:U231)</f>
        <v>6338.2952043199994</v>
      </c>
      <c r="X231" s="23" t="s">
        <v>92</v>
      </c>
      <c r="Y231" s="23">
        <f t="shared" ref="Y231:Y247" si="18">W231+C231</f>
        <v>8138.5492593199997</v>
      </c>
      <c r="Z231" t="s">
        <v>93</v>
      </c>
    </row>
    <row r="232" spans="1:26" x14ac:dyDescent="0.2">
      <c r="A232">
        <v>1997</v>
      </c>
      <c r="B232" t="s">
        <v>92</v>
      </c>
      <c r="C232" s="23">
        <f>'pm_24.dat '!B367</f>
        <v>13226.7894</v>
      </c>
      <c r="D232" s="23" t="s">
        <v>92</v>
      </c>
      <c r="E232" s="23">
        <f>'pm_24.dat '!C367</f>
        <v>2881.0381910000001</v>
      </c>
      <c r="F232" s="23" t="s">
        <v>92</v>
      </c>
      <c r="G232" s="23">
        <f>'pm_24.dat '!D367</f>
        <v>440.49410610000001</v>
      </c>
      <c r="H232" s="23" t="s">
        <v>92</v>
      </c>
      <c r="I232" s="23">
        <f>'pm_24.dat '!E367</f>
        <v>535.64101100000005</v>
      </c>
      <c r="J232" s="23" t="s">
        <v>92</v>
      </c>
      <c r="K232" s="23">
        <f>'pm_24.dat '!F367</f>
        <v>2330.3172880000002</v>
      </c>
      <c r="L232" s="23" t="s">
        <v>92</v>
      </c>
      <c r="M232" s="23">
        <f>'pm_24.dat '!G367</f>
        <v>546.44430469999998</v>
      </c>
      <c r="N232" s="23" t="s">
        <v>92</v>
      </c>
      <c r="O232" s="23">
        <f>'pm_24.dat '!H367</f>
        <v>313.01169629999998</v>
      </c>
      <c r="P232" s="23" t="s">
        <v>92</v>
      </c>
      <c r="Q232" s="23">
        <f>'pm_24.dat '!I367</f>
        <v>290.36236860000002</v>
      </c>
      <c r="R232" s="23" t="s">
        <v>92</v>
      </c>
      <c r="S232" s="23">
        <f>'pm_24.dat '!J367</f>
        <v>75.110043140000002</v>
      </c>
      <c r="T232" s="23" t="s">
        <v>92</v>
      </c>
      <c r="U232" s="23">
        <f t="shared" si="16"/>
        <v>220.40509631</v>
      </c>
      <c r="V232" s="23" t="s">
        <v>92</v>
      </c>
      <c r="W232" s="23">
        <f t="shared" si="17"/>
        <v>7632.8241051500008</v>
      </c>
      <c r="X232" s="23" t="s">
        <v>92</v>
      </c>
      <c r="Y232" s="23">
        <f t="shared" si="18"/>
        <v>20859.613505150002</v>
      </c>
      <c r="Z232" t="s">
        <v>93</v>
      </c>
    </row>
    <row r="233" spans="1:26" x14ac:dyDescent="0.2">
      <c r="A233">
        <v>1999</v>
      </c>
      <c r="B233" t="s">
        <v>92</v>
      </c>
      <c r="C233" s="23">
        <f>'pm_24.dat '!B368</f>
        <v>607.20365200000003</v>
      </c>
      <c r="D233" s="23" t="s">
        <v>92</v>
      </c>
      <c r="E233" s="23">
        <f>'pm_24.dat '!C368</f>
        <v>1779.9949570000001</v>
      </c>
      <c r="F233" s="23" t="s">
        <v>92</v>
      </c>
      <c r="G233" s="23">
        <f>'pm_24.dat '!D368</f>
        <v>3717.060555</v>
      </c>
      <c r="H233" s="23" t="s">
        <v>92</v>
      </c>
      <c r="I233" s="23">
        <f>'pm_24.dat '!E368</f>
        <v>1809.6749420000001</v>
      </c>
      <c r="J233" s="23" t="s">
        <v>92</v>
      </c>
      <c r="K233" s="23">
        <f>'pm_24.dat '!F368</f>
        <v>651.86233589999995</v>
      </c>
      <c r="L233" s="23" t="s">
        <v>92</v>
      </c>
      <c r="M233" s="23">
        <f>'pm_24.dat '!G368</f>
        <v>397.52067219999998</v>
      </c>
      <c r="N233" s="23" t="s">
        <v>92</v>
      </c>
      <c r="O233" s="23">
        <f>'pm_24.dat '!H368</f>
        <v>1548.0324539999999</v>
      </c>
      <c r="P233" s="23" t="s">
        <v>92</v>
      </c>
      <c r="Q233" s="23">
        <f>'pm_24.dat '!I368</f>
        <v>526.25221790000001</v>
      </c>
      <c r="R233" s="23" t="s">
        <v>92</v>
      </c>
      <c r="S233" s="23">
        <f>'pm_24.dat '!J368</f>
        <v>180.02083870000001</v>
      </c>
      <c r="T233" s="23" t="s">
        <v>92</v>
      </c>
      <c r="U233" s="23">
        <f t="shared" si="16"/>
        <v>248.53870746500004</v>
      </c>
      <c r="V233" s="23" t="s">
        <v>92</v>
      </c>
      <c r="W233" s="23">
        <f t="shared" si="17"/>
        <v>10858.957680165002</v>
      </c>
      <c r="X233" s="23" t="s">
        <v>92</v>
      </c>
      <c r="Y233" s="23">
        <f t="shared" si="18"/>
        <v>11466.161332165002</v>
      </c>
      <c r="Z233" t="s">
        <v>93</v>
      </c>
    </row>
    <row r="234" spans="1:26" x14ac:dyDescent="0.2">
      <c r="A234">
        <v>2000</v>
      </c>
      <c r="B234" t="s">
        <v>92</v>
      </c>
      <c r="C234" s="23">
        <f>'pm_24.dat '!B369</f>
        <v>460.36640310000001</v>
      </c>
      <c r="D234" s="23" t="s">
        <v>92</v>
      </c>
      <c r="E234" s="23">
        <f>'pm_24.dat '!C369</f>
        <v>1322.0302790000001</v>
      </c>
      <c r="F234" s="23" t="s">
        <v>92</v>
      </c>
      <c r="G234" s="23">
        <f>'pm_24.dat '!D369</f>
        <v>1230.0548590000001</v>
      </c>
      <c r="H234" s="23" t="s">
        <v>92</v>
      </c>
      <c r="I234" s="23">
        <f>'pm_24.dat '!E369</f>
        <v>2588.0272890000001</v>
      </c>
      <c r="J234" s="23" t="s">
        <v>92</v>
      </c>
      <c r="K234" s="23">
        <f>'pm_24.dat '!F369</f>
        <v>1011.827791</v>
      </c>
      <c r="L234" s="23" t="s">
        <v>92</v>
      </c>
      <c r="M234" s="23">
        <f>'pm_24.dat '!G369</f>
        <v>326.61534289999997</v>
      </c>
      <c r="N234" s="23" t="s">
        <v>92</v>
      </c>
      <c r="O234" s="23">
        <f>'pm_24.dat '!H369</f>
        <v>308.36422210000001</v>
      </c>
      <c r="P234" s="23" t="s">
        <v>92</v>
      </c>
      <c r="Q234" s="23">
        <f>'pm_24.dat '!I369</f>
        <v>949.55203489999997</v>
      </c>
      <c r="R234" s="23" t="s">
        <v>92</v>
      </c>
      <c r="S234" s="23">
        <f>'pm_24.dat '!J369</f>
        <v>277.58517160000002</v>
      </c>
      <c r="T234" s="23" t="s">
        <v>92</v>
      </c>
      <c r="U234" s="23">
        <f t="shared" si="16"/>
        <v>251.70926242300004</v>
      </c>
      <c r="V234" s="23" t="s">
        <v>92</v>
      </c>
      <c r="W234" s="23">
        <f t="shared" si="17"/>
        <v>8265.7662519229998</v>
      </c>
      <c r="X234" s="23" t="s">
        <v>92</v>
      </c>
      <c r="Y234" s="23">
        <f t="shared" si="18"/>
        <v>8726.1326550230006</v>
      </c>
      <c r="Z234" t="s">
        <v>93</v>
      </c>
    </row>
    <row r="235" spans="1:26" x14ac:dyDescent="0.2">
      <c r="A235">
        <v>2002</v>
      </c>
      <c r="B235" t="s">
        <v>92</v>
      </c>
      <c r="C235" s="23">
        <f>'pm_24.dat '!B370</f>
        <v>796.39685029999998</v>
      </c>
      <c r="D235" s="23" t="s">
        <v>92</v>
      </c>
      <c r="E235" s="23">
        <f>'pm_24.dat '!C370</f>
        <v>4943.941366</v>
      </c>
      <c r="F235" s="23" t="s">
        <v>92</v>
      </c>
      <c r="G235" s="23">
        <f>'pm_24.dat '!D370</f>
        <v>3385.1004800000001</v>
      </c>
      <c r="H235" s="23" t="s">
        <v>92</v>
      </c>
      <c r="I235" s="23">
        <f>'pm_24.dat '!E370</f>
        <v>1294.9325980000001</v>
      </c>
      <c r="J235" s="23" t="s">
        <v>92</v>
      </c>
      <c r="K235" s="23">
        <f>'pm_24.dat '!F370</f>
        <v>660.61841949999996</v>
      </c>
      <c r="L235" s="23" t="s">
        <v>92</v>
      </c>
      <c r="M235" s="23">
        <f>'pm_24.dat '!G370</f>
        <v>935.29347289999998</v>
      </c>
      <c r="N235" s="23" t="s">
        <v>92</v>
      </c>
      <c r="O235" s="23">
        <f>'pm_24.dat '!H370</f>
        <v>538.44206770000005</v>
      </c>
      <c r="P235" s="23" t="s">
        <v>92</v>
      </c>
      <c r="Q235" s="23">
        <f>'pm_24.dat '!I370</f>
        <v>140.35786479999999</v>
      </c>
      <c r="R235" s="23" t="s">
        <v>92</v>
      </c>
      <c r="S235" s="23">
        <f>'pm_24.dat '!J370</f>
        <v>162.4464571</v>
      </c>
      <c r="T235" s="23" t="s">
        <v>92</v>
      </c>
      <c r="U235" s="23">
        <f t="shared" si="16"/>
        <v>493.10097407199999</v>
      </c>
      <c r="V235" s="23" t="s">
        <v>92</v>
      </c>
      <c r="W235" s="23">
        <f t="shared" si="17"/>
        <v>12554.233700072002</v>
      </c>
      <c r="X235" s="23" t="s">
        <v>92</v>
      </c>
      <c r="Y235" s="23">
        <f t="shared" si="18"/>
        <v>13350.630550372001</v>
      </c>
      <c r="Z235" t="s">
        <v>93</v>
      </c>
    </row>
    <row r="236" spans="1:26" x14ac:dyDescent="0.2">
      <c r="A236">
        <v>2004</v>
      </c>
      <c r="B236" t="s">
        <v>92</v>
      </c>
      <c r="C236" s="23">
        <f>'pm_24.dat '!B371</f>
        <v>83.054497420000004</v>
      </c>
      <c r="D236" s="23" t="s">
        <v>92</v>
      </c>
      <c r="E236" s="23">
        <f>'pm_24.dat '!C371</f>
        <v>313.46852799999999</v>
      </c>
      <c r="F236" s="23" t="s">
        <v>92</v>
      </c>
      <c r="G236" s="23">
        <f>'pm_24.dat '!D371</f>
        <v>1216.887645</v>
      </c>
      <c r="H236" s="23" t="s">
        <v>92</v>
      </c>
      <c r="I236" s="23">
        <f>'pm_24.dat '!E371</f>
        <v>3122.587708</v>
      </c>
      <c r="J236" s="23" t="s">
        <v>92</v>
      </c>
      <c r="K236" s="23">
        <f>'pm_24.dat '!F371</f>
        <v>1634.3134190000001</v>
      </c>
      <c r="L236" s="23" t="s">
        <v>92</v>
      </c>
      <c r="M236" s="23">
        <f>'pm_24.dat '!G371</f>
        <v>567.11590469999999</v>
      </c>
      <c r="N236" s="23" t="s">
        <v>92</v>
      </c>
      <c r="O236" s="23">
        <f>'pm_24.dat '!H371</f>
        <v>287.70947890000002</v>
      </c>
      <c r="P236" s="23" t="s">
        <v>92</v>
      </c>
      <c r="Q236" s="23">
        <f>'pm_24.dat '!I371</f>
        <v>282.71122029999998</v>
      </c>
      <c r="R236" s="23" t="s">
        <v>92</v>
      </c>
      <c r="S236" s="23">
        <f>'pm_24.dat '!J371</f>
        <v>120.9099574</v>
      </c>
      <c r="T236" s="23" t="s">
        <v>92</v>
      </c>
      <c r="U236" s="23">
        <f t="shared" si="16"/>
        <v>264.93364773000002</v>
      </c>
      <c r="V236" s="23" t="s">
        <v>92</v>
      </c>
      <c r="W236" s="23">
        <f t="shared" si="17"/>
        <v>7810.6375090300007</v>
      </c>
      <c r="X236" s="23" t="s">
        <v>92</v>
      </c>
      <c r="Y236" s="23">
        <f t="shared" si="18"/>
        <v>7893.6920064500009</v>
      </c>
      <c r="Z236" t="s">
        <v>93</v>
      </c>
    </row>
    <row r="237" spans="1:26" x14ac:dyDescent="0.2">
      <c r="A237">
        <v>2006</v>
      </c>
      <c r="B237" t="s">
        <v>92</v>
      </c>
      <c r="C237" s="23">
        <f>'pm_24.dat '!B372</f>
        <v>524.71095969999999</v>
      </c>
      <c r="D237" s="23" t="s">
        <v>92</v>
      </c>
      <c r="E237" s="23">
        <f>'pm_24.dat '!C372</f>
        <v>216.99598520000001</v>
      </c>
      <c r="F237" s="23" t="s">
        <v>92</v>
      </c>
      <c r="G237" s="23">
        <f>'pm_24.dat '!D372</f>
        <v>291.2456803</v>
      </c>
      <c r="H237" s="23" t="s">
        <v>92</v>
      </c>
      <c r="I237" s="23">
        <f>'pm_24.dat '!E372</f>
        <v>654.09685420000005</v>
      </c>
      <c r="J237" s="23" t="s">
        <v>92</v>
      </c>
      <c r="K237" s="23">
        <f>'pm_24.dat '!F372</f>
        <v>783.37609299999997</v>
      </c>
      <c r="L237" s="23" t="s">
        <v>92</v>
      </c>
      <c r="M237" s="23">
        <f>'pm_24.dat '!G372</f>
        <v>658.55630099999996</v>
      </c>
      <c r="N237" s="23" t="s">
        <v>92</v>
      </c>
      <c r="O237" s="23">
        <f>'pm_24.dat '!H372</f>
        <v>390.20024899999999</v>
      </c>
      <c r="P237" s="23" t="s">
        <v>92</v>
      </c>
      <c r="Q237" s="23">
        <f>'pm_24.dat '!I372</f>
        <v>144.88895460000001</v>
      </c>
      <c r="R237" s="23" t="s">
        <v>92</v>
      </c>
      <c r="S237" s="23">
        <f>'pm_24.dat '!J372</f>
        <v>74.79552563</v>
      </c>
      <c r="T237" s="23" t="s">
        <v>92</v>
      </c>
      <c r="U237" s="23">
        <f t="shared" si="16"/>
        <v>171.43008286999998</v>
      </c>
      <c r="V237" s="23" t="s">
        <v>92</v>
      </c>
      <c r="W237" s="23">
        <f t="shared" si="17"/>
        <v>3385.5857258000005</v>
      </c>
      <c r="X237" s="23" t="s">
        <v>92</v>
      </c>
      <c r="Y237" s="23">
        <f t="shared" si="18"/>
        <v>3910.2966855000004</v>
      </c>
      <c r="Z237" t="s">
        <v>93</v>
      </c>
    </row>
    <row r="238" spans="1:26" x14ac:dyDescent="0.2">
      <c r="A238">
        <v>2007</v>
      </c>
      <c r="B238" t="s">
        <v>92</v>
      </c>
      <c r="C238" s="23">
        <f>'pm_24.dat '!B373</f>
        <v>5775.2941449999998</v>
      </c>
      <c r="D238" s="23" t="s">
        <v>92</v>
      </c>
      <c r="E238" s="23">
        <f>'pm_24.dat '!C373</f>
        <v>1040.5871460000001</v>
      </c>
      <c r="F238" s="23" t="s">
        <v>92</v>
      </c>
      <c r="G238" s="23">
        <f>'pm_24.dat '!D373</f>
        <v>345.09752650000001</v>
      </c>
      <c r="H238" s="23" t="s">
        <v>92</v>
      </c>
      <c r="I238" s="23">
        <f>'pm_24.dat '!E373</f>
        <v>477.80343290000002</v>
      </c>
      <c r="J238" s="23" t="s">
        <v>92</v>
      </c>
      <c r="K238" s="23">
        <f>'pm_24.dat '!F373</f>
        <v>793.68820619999997</v>
      </c>
      <c r="L238" s="23" t="s">
        <v>92</v>
      </c>
      <c r="M238" s="23">
        <f>'pm_24.dat '!G373</f>
        <v>729.4436647</v>
      </c>
      <c r="N238" s="23" t="s">
        <v>92</v>
      </c>
      <c r="O238" s="23">
        <f>'pm_24.dat '!H373</f>
        <v>406.88807780000002</v>
      </c>
      <c r="P238" s="23" t="s">
        <v>92</v>
      </c>
      <c r="Q238" s="23">
        <f>'pm_24.dat '!I373</f>
        <v>240.79008139999999</v>
      </c>
      <c r="R238" s="23" t="s">
        <v>92</v>
      </c>
      <c r="S238" s="23">
        <f>'pm_24.dat '!J373</f>
        <v>97.686941759999996</v>
      </c>
      <c r="T238" s="23" t="s">
        <v>92</v>
      </c>
      <c r="U238" s="23">
        <f t="shared" si="16"/>
        <v>135.09015143199997</v>
      </c>
      <c r="V238" s="23" t="s">
        <v>92</v>
      </c>
      <c r="W238" s="23">
        <f t="shared" si="17"/>
        <v>4267.0752286920006</v>
      </c>
      <c r="X238" s="23" t="s">
        <v>92</v>
      </c>
      <c r="Y238" s="23">
        <f t="shared" si="18"/>
        <v>10042.369373691999</v>
      </c>
      <c r="Z238" t="s">
        <v>93</v>
      </c>
    </row>
    <row r="239" spans="1:26" x14ac:dyDescent="0.2">
      <c r="A239">
        <v>2008</v>
      </c>
      <c r="B239" t="s">
        <v>92</v>
      </c>
      <c r="C239" s="23">
        <f>'pm_24.dat '!B374</f>
        <v>70.869874030000005</v>
      </c>
      <c r="D239" s="23" t="s">
        <v>92</v>
      </c>
      <c r="E239" s="23">
        <f>'pm_24.dat '!C374</f>
        <v>2914.7813299999998</v>
      </c>
      <c r="F239" s="23" t="s">
        <v>92</v>
      </c>
      <c r="G239" s="23">
        <f>'pm_24.dat '!D374</f>
        <v>1046.982702</v>
      </c>
      <c r="H239" s="23" t="s">
        <v>92</v>
      </c>
      <c r="I239" s="23">
        <f>'pm_24.dat '!E374</f>
        <v>166.03642120000001</v>
      </c>
      <c r="J239" s="23" t="s">
        <v>92</v>
      </c>
      <c r="K239" s="23">
        <f>'pm_24.dat '!F374</f>
        <v>160.8390551</v>
      </c>
      <c r="L239" s="23" t="s">
        <v>92</v>
      </c>
      <c r="M239" s="23">
        <f>'pm_24.dat '!G374</f>
        <v>287.56999400000001</v>
      </c>
      <c r="N239" s="23" t="s">
        <v>92</v>
      </c>
      <c r="O239" s="23">
        <f>'pm_24.dat '!H374</f>
        <v>234.90743119999999</v>
      </c>
      <c r="P239" s="23" t="s">
        <v>92</v>
      </c>
      <c r="Q239" s="23">
        <f>'pm_24.dat '!I374</f>
        <v>136.08854969999999</v>
      </c>
      <c r="R239" s="23" t="s">
        <v>92</v>
      </c>
      <c r="S239" s="23">
        <f>'pm_24.dat '!J374</f>
        <v>101.8481235</v>
      </c>
      <c r="T239" s="23" t="s">
        <v>92</v>
      </c>
      <c r="U239" s="23">
        <f t="shared" si="16"/>
        <v>120.098795864</v>
      </c>
      <c r="V239" s="23" t="s">
        <v>92</v>
      </c>
      <c r="W239" s="23">
        <f t="shared" si="17"/>
        <v>5169.152402564001</v>
      </c>
      <c r="X239" s="23" t="s">
        <v>92</v>
      </c>
      <c r="Y239" s="23">
        <f t="shared" si="18"/>
        <v>5240.0222765940007</v>
      </c>
      <c r="Z239" t="s">
        <v>93</v>
      </c>
    </row>
    <row r="240" spans="1:26" x14ac:dyDescent="0.2">
      <c r="A240">
        <v>2009</v>
      </c>
      <c r="B240" t="s">
        <v>92</v>
      </c>
      <c r="C240" s="23">
        <f>'pm_24.dat '!B375</f>
        <v>5196.7862720000003</v>
      </c>
      <c r="D240" s="23" t="s">
        <v>92</v>
      </c>
      <c r="E240" s="23">
        <f>'pm_24.dat '!C375</f>
        <v>815.82891099999995</v>
      </c>
      <c r="F240" s="23" t="s">
        <v>92</v>
      </c>
      <c r="G240" s="23">
        <f>'pm_24.dat '!D375</f>
        <v>1734.132089</v>
      </c>
      <c r="H240" s="23" t="s">
        <v>92</v>
      </c>
      <c r="I240" s="23">
        <f>'pm_24.dat '!E375</f>
        <v>281.2670693</v>
      </c>
      <c r="J240" s="23" t="s">
        <v>92</v>
      </c>
      <c r="K240" s="23">
        <f>'pm_24.dat '!F375</f>
        <v>76.694509479999994</v>
      </c>
      <c r="L240" s="23" t="s">
        <v>92</v>
      </c>
      <c r="M240" s="23">
        <f>'pm_24.dat '!G375</f>
        <v>94.104663790000004</v>
      </c>
      <c r="N240" s="23" t="s">
        <v>92</v>
      </c>
      <c r="O240" s="23">
        <f>'pm_24.dat '!H375</f>
        <v>128.87727380000001</v>
      </c>
      <c r="P240" s="23" t="s">
        <v>92</v>
      </c>
      <c r="Q240" s="23">
        <f>'pm_24.dat '!I375</f>
        <v>110.7631581</v>
      </c>
      <c r="R240" s="23" t="s">
        <v>92</v>
      </c>
      <c r="S240" s="23">
        <f>'pm_24.dat '!J375</f>
        <v>76.720420290000007</v>
      </c>
      <c r="T240" s="23" t="s">
        <v>92</v>
      </c>
      <c r="U240" s="23">
        <f t="shared" si="16"/>
        <v>114.434770724</v>
      </c>
      <c r="V240" s="23" t="s">
        <v>92</v>
      </c>
      <c r="W240" s="23">
        <f t="shared" si="17"/>
        <v>3432.8228654839995</v>
      </c>
      <c r="X240" s="23" t="s">
        <v>92</v>
      </c>
      <c r="Y240" s="23">
        <f t="shared" si="18"/>
        <v>8629.6091374839998</v>
      </c>
      <c r="Z240" t="s">
        <v>93</v>
      </c>
    </row>
    <row r="241" spans="1:40" x14ac:dyDescent="0.2">
      <c r="A241">
        <v>2010</v>
      </c>
      <c r="B241" t="s">
        <v>92</v>
      </c>
      <c r="C241" s="23">
        <f>'pm_24.dat '!B376</f>
        <v>2567.932041</v>
      </c>
      <c r="D241" s="23" t="s">
        <v>92</v>
      </c>
      <c r="E241" s="23">
        <f>'pm_24.dat '!C376</f>
        <v>6404.1275569999998</v>
      </c>
      <c r="F241" s="23" t="s">
        <v>92</v>
      </c>
      <c r="G241" s="23">
        <f>'pm_24.dat '!D376</f>
        <v>983.55517599999996</v>
      </c>
      <c r="H241" s="23" t="s">
        <v>92</v>
      </c>
      <c r="I241" s="23">
        <f>'pm_24.dat '!E376</f>
        <v>2294.894996</v>
      </c>
      <c r="J241" s="23" t="s">
        <v>92</v>
      </c>
      <c r="K241" s="23">
        <f>'pm_24.dat '!F376</f>
        <v>445.87511439999997</v>
      </c>
      <c r="L241" s="23" t="s">
        <v>92</v>
      </c>
      <c r="M241" s="23">
        <f>'pm_24.dat '!G376</f>
        <v>73.082948389999999</v>
      </c>
      <c r="N241" s="23" t="s">
        <v>92</v>
      </c>
      <c r="O241" s="23">
        <f>'pm_24.dat '!H376</f>
        <v>33.246447269999997</v>
      </c>
      <c r="P241" s="23" t="s">
        <v>92</v>
      </c>
      <c r="Q241" s="23">
        <f>'pm_24.dat '!I376</f>
        <v>36.887298229999999</v>
      </c>
      <c r="R241" s="23" t="s">
        <v>92</v>
      </c>
      <c r="S241" s="23">
        <f>'pm_24.dat '!J376</f>
        <v>37.752843140000003</v>
      </c>
      <c r="T241" s="23" t="s">
        <v>92</v>
      </c>
      <c r="U241" s="23">
        <f t="shared" si="16"/>
        <v>90.720463397000003</v>
      </c>
      <c r="V241" s="23" t="s">
        <v>92</v>
      </c>
      <c r="W241" s="23">
        <f t="shared" si="17"/>
        <v>10400.142843827</v>
      </c>
      <c r="X241" s="23" t="s">
        <v>92</v>
      </c>
      <c r="Y241" s="23">
        <f t="shared" si="18"/>
        <v>12968.074884827</v>
      </c>
      <c r="Z241" t="s">
        <v>93</v>
      </c>
    </row>
    <row r="242" spans="1:40" x14ac:dyDescent="0.2">
      <c r="A242">
        <v>2012</v>
      </c>
      <c r="B242" t="s">
        <v>92</v>
      </c>
      <c r="C242" s="23">
        <f>'pm_24.dat '!B377</f>
        <v>177.3461428</v>
      </c>
      <c r="D242" s="23" t="s">
        <v>92</v>
      </c>
      <c r="E242" s="23">
        <f>'pm_24.dat '!C377</f>
        <v>1988.6601330000001</v>
      </c>
      <c r="F242" s="23" t="s">
        <v>92</v>
      </c>
      <c r="G242" s="23">
        <f>'pm_24.dat '!D377</f>
        <v>1692.89158</v>
      </c>
      <c r="H242" s="23" t="s">
        <v>92</v>
      </c>
      <c r="I242" s="23">
        <f>'pm_24.dat '!E377</f>
        <v>2710.228204</v>
      </c>
      <c r="J242" s="23" t="s">
        <v>92</v>
      </c>
      <c r="K242" s="23">
        <f>'pm_24.dat '!F377</f>
        <v>279.68625370000001</v>
      </c>
      <c r="L242" s="23" t="s">
        <v>92</v>
      </c>
      <c r="M242" s="23">
        <f>'pm_24.dat '!G377</f>
        <v>366.66840280000002</v>
      </c>
      <c r="N242" s="23" t="s">
        <v>92</v>
      </c>
      <c r="O242" s="23">
        <f>'pm_24.dat '!H377</f>
        <v>113.14035490000001</v>
      </c>
      <c r="P242" s="23" t="s">
        <v>92</v>
      </c>
      <c r="Q242" s="23">
        <f>'pm_24.dat '!I377</f>
        <v>35.687332980000001</v>
      </c>
      <c r="R242" s="23" t="s">
        <v>92</v>
      </c>
      <c r="S242" s="23">
        <f>'pm_24.dat '!J377</f>
        <v>24.894591999999999</v>
      </c>
      <c r="T242" s="23" t="s">
        <v>92</v>
      </c>
      <c r="U242" s="23">
        <f t="shared" si="16"/>
        <v>102.84373301900001</v>
      </c>
      <c r="V242" s="23" t="s">
        <v>92</v>
      </c>
      <c r="W242" s="23">
        <f t="shared" si="17"/>
        <v>7314.7005863989989</v>
      </c>
      <c r="X242" s="23" t="s">
        <v>92</v>
      </c>
      <c r="Y242" s="23">
        <f t="shared" si="18"/>
        <v>7492.0467291989989</v>
      </c>
      <c r="Z242" t="s">
        <v>93</v>
      </c>
    </row>
    <row r="243" spans="1:40" x14ac:dyDescent="0.2">
      <c r="A243">
        <v>2014</v>
      </c>
      <c r="B243" t="s">
        <v>92</v>
      </c>
      <c r="C243" s="23">
        <f>'pm_24.dat '!B378</f>
        <v>4750.826376</v>
      </c>
      <c r="D243" s="23" t="s">
        <v>92</v>
      </c>
      <c r="E243" s="23">
        <f>'pm_24.dat '!C378</f>
        <v>8655.1263670000008</v>
      </c>
      <c r="F243" s="23" t="s">
        <v>92</v>
      </c>
      <c r="G243" s="23">
        <f>'pm_24.dat '!D378</f>
        <v>969.46123390000002</v>
      </c>
      <c r="H243" s="23" t="s">
        <v>92</v>
      </c>
      <c r="I243" s="23">
        <f>'pm_24.dat '!E378</f>
        <v>1161.049534</v>
      </c>
      <c r="J243" s="23" t="s">
        <v>92</v>
      </c>
      <c r="K243" s="23">
        <f>'pm_24.dat '!F378</f>
        <v>1118.694291</v>
      </c>
      <c r="L243" s="23" t="s">
        <v>92</v>
      </c>
      <c r="M243" s="23">
        <f>'pm_24.dat '!G378</f>
        <v>1769.616489</v>
      </c>
      <c r="N243" s="23" t="s">
        <v>92</v>
      </c>
      <c r="O243" s="23">
        <f>'pm_24.dat '!H378</f>
        <v>740.11967319999997</v>
      </c>
      <c r="P243" s="23" t="s">
        <v>92</v>
      </c>
      <c r="Q243" s="23">
        <f>'pm_24.dat '!I378</f>
        <v>170.14623449999999</v>
      </c>
      <c r="R243" s="23" t="s">
        <v>92</v>
      </c>
      <c r="S243" s="23">
        <f>'pm_24.dat '!J378</f>
        <v>78.810030260000005</v>
      </c>
      <c r="T243" s="23" t="s">
        <v>92</v>
      </c>
      <c r="U243" s="23">
        <f t="shared" si="16"/>
        <v>98.803561159000012</v>
      </c>
      <c r="V243" s="23" t="s">
        <v>92</v>
      </c>
      <c r="W243" s="23">
        <f t="shared" si="17"/>
        <v>14761.827414019001</v>
      </c>
      <c r="X243" s="23" t="s">
        <v>92</v>
      </c>
      <c r="Y243" s="23">
        <f t="shared" si="18"/>
        <v>19512.653790019001</v>
      </c>
      <c r="Z243" t="s">
        <v>93</v>
      </c>
    </row>
    <row r="244" spans="1:40" x14ac:dyDescent="0.2">
      <c r="A244">
        <v>2016</v>
      </c>
      <c r="B244" t="s">
        <v>92</v>
      </c>
      <c r="C244" s="23">
        <f>'pm_24.dat '!B379</f>
        <v>173.75231439999999</v>
      </c>
      <c r="D244" s="23" t="s">
        <v>92</v>
      </c>
      <c r="E244" s="23">
        <f>'pm_24.dat '!C379</f>
        <v>1037.867561</v>
      </c>
      <c r="F244" s="23" t="s">
        <v>92</v>
      </c>
      <c r="G244" s="23">
        <f>'pm_24.dat '!D379</f>
        <v>4496.0586929999999</v>
      </c>
      <c r="H244" s="23" t="s">
        <v>92</v>
      </c>
      <c r="I244" s="23">
        <f>'pm_24.dat '!E379</f>
        <v>4476.3974740000003</v>
      </c>
      <c r="J244" s="23" t="s">
        <v>92</v>
      </c>
      <c r="K244" s="23">
        <f>'pm_24.dat '!F379</f>
        <v>715.46514920000004</v>
      </c>
      <c r="L244" s="23" t="s">
        <v>92</v>
      </c>
      <c r="M244" s="23">
        <f>'pm_24.dat '!G379</f>
        <v>348.09875110000002</v>
      </c>
      <c r="N244" s="23" t="s">
        <v>92</v>
      </c>
      <c r="O244" s="23">
        <f>'pm_24.dat '!H379</f>
        <v>392.19569949999999</v>
      </c>
      <c r="P244" s="23" t="s">
        <v>92</v>
      </c>
      <c r="Q244" s="23">
        <f>'pm_24.dat '!I379</f>
        <v>420.28668090000002</v>
      </c>
      <c r="R244" s="23" t="s">
        <v>92</v>
      </c>
      <c r="S244" s="23">
        <f>'pm_24.dat '!J379</f>
        <v>95.667050090000004</v>
      </c>
      <c r="T244" s="23" t="s">
        <v>92</v>
      </c>
      <c r="U244" s="23">
        <f t="shared" si="16"/>
        <v>63.835273790000002</v>
      </c>
      <c r="V244" s="23" t="s">
        <v>92</v>
      </c>
      <c r="W244" s="23">
        <f t="shared" si="17"/>
        <v>12045.87233258</v>
      </c>
      <c r="X244" s="23" t="s">
        <v>92</v>
      </c>
      <c r="Y244" s="23">
        <f t="shared" si="18"/>
        <v>12219.624646980001</v>
      </c>
      <c r="Z244" t="s">
        <v>93</v>
      </c>
    </row>
    <row r="245" spans="1:40" x14ac:dyDescent="0.2">
      <c r="A245">
        <v>2018</v>
      </c>
      <c r="B245" t="s">
        <v>92</v>
      </c>
      <c r="C245" s="23">
        <f>'pm_24.dat '!B380</f>
        <v>449.9560697</v>
      </c>
      <c r="D245" s="23" t="s">
        <v>92</v>
      </c>
      <c r="E245" s="23">
        <f>'pm_24.dat '!C380</f>
        <v>516.60935610000001</v>
      </c>
      <c r="F245" s="23" t="s">
        <v>92</v>
      </c>
      <c r="G245" s="23">
        <f>'pm_24.dat '!D380</f>
        <v>248.6421369</v>
      </c>
      <c r="H245" s="23" t="s">
        <v>92</v>
      </c>
      <c r="I245" s="23">
        <f>'pm_24.dat '!E380</f>
        <v>621.18175280000003</v>
      </c>
      <c r="J245" s="23" t="s">
        <v>92</v>
      </c>
      <c r="K245" s="23">
        <f>'pm_24.dat '!F380</f>
        <v>2267.541471</v>
      </c>
      <c r="L245" s="23" t="s">
        <v>92</v>
      </c>
      <c r="M245" s="23">
        <f>'pm_24.dat '!G380</f>
        <v>944.10345310000002</v>
      </c>
      <c r="N245" s="23" t="s">
        <v>92</v>
      </c>
      <c r="O245" s="23">
        <f>'pm_24.dat '!H380</f>
        <v>198.37848009999999</v>
      </c>
      <c r="P245" s="23" t="s">
        <v>92</v>
      </c>
      <c r="Q245" s="23">
        <f>'pm_24.dat '!I380</f>
        <v>111.75346140000001</v>
      </c>
      <c r="R245" s="23" t="s">
        <v>92</v>
      </c>
      <c r="S245" s="23">
        <f>'pm_24.dat '!J380</f>
        <v>107.3072124</v>
      </c>
      <c r="T245" s="23" t="s">
        <v>92</v>
      </c>
      <c r="U245" s="23">
        <f t="shared" si="16"/>
        <v>104.374938296</v>
      </c>
      <c r="V245" s="23" t="s">
        <v>92</v>
      </c>
      <c r="W245" s="23">
        <f t="shared" si="17"/>
        <v>5119.8922620960002</v>
      </c>
      <c r="X245" s="23" t="s">
        <v>92</v>
      </c>
      <c r="Y245" s="23">
        <f t="shared" si="18"/>
        <v>5569.8483317959999</v>
      </c>
      <c r="Z245" t="s">
        <v>93</v>
      </c>
    </row>
    <row r="246" spans="1:40" x14ac:dyDescent="0.2">
      <c r="A246">
        <v>2022</v>
      </c>
      <c r="B246" t="s">
        <v>92</v>
      </c>
      <c r="C246" s="23">
        <f>'pm_24.dat '!B382</f>
        <v>141.55993710000001</v>
      </c>
      <c r="D246" s="23" t="s">
        <v>92</v>
      </c>
      <c r="E246" s="23">
        <f>'pm_24.dat '!C382</f>
        <v>332.3180686</v>
      </c>
      <c r="F246" s="23" t="s">
        <v>92</v>
      </c>
      <c r="G246" s="23">
        <f>'pm_24.dat '!D382</f>
        <v>975.2239558</v>
      </c>
      <c r="H246" s="23" t="s">
        <v>92</v>
      </c>
      <c r="I246" s="23">
        <f>'pm_24.dat '!E382</f>
        <v>6577.7283360000001</v>
      </c>
      <c r="J246" s="23" t="s">
        <v>92</v>
      </c>
      <c r="K246" s="23">
        <f>'pm_24.dat '!F382</f>
        <v>819.42248919999997</v>
      </c>
      <c r="L246" s="23" t="s">
        <v>92</v>
      </c>
      <c r="M246" s="23">
        <f>'pm_24.dat '!G382</f>
        <v>211.0354178</v>
      </c>
      <c r="N246" s="23" t="s">
        <v>92</v>
      </c>
      <c r="O246" s="23">
        <f>'pm_24.dat '!H382</f>
        <v>132.9748998</v>
      </c>
      <c r="P246" s="23" t="s">
        <v>92</v>
      </c>
      <c r="Q246" s="23">
        <f>'pm_24.dat '!I382</f>
        <v>239.12243620000001</v>
      </c>
      <c r="R246" s="23" t="s">
        <v>92</v>
      </c>
      <c r="S246" s="23">
        <f>'pm_24.dat '!J382</f>
        <v>166.25072309999999</v>
      </c>
      <c r="T246" s="23" t="s">
        <v>92</v>
      </c>
      <c r="U246" s="23">
        <f t="shared" si="16"/>
        <v>78.765508237999995</v>
      </c>
      <c r="V246" s="23" t="s">
        <v>92</v>
      </c>
      <c r="W246" s="23">
        <f t="shared" si="17"/>
        <v>9532.8418347379993</v>
      </c>
      <c r="X246" s="23" t="s">
        <v>92</v>
      </c>
      <c r="Y246" s="23">
        <f t="shared" si="18"/>
        <v>9674.4017718380001</v>
      </c>
      <c r="Z246" t="s">
        <v>93</v>
      </c>
    </row>
    <row r="247" spans="1:40" x14ac:dyDescent="0.2">
      <c r="A247">
        <v>2024</v>
      </c>
      <c r="B247" t="s">
        <v>92</v>
      </c>
      <c r="C247" s="23">
        <f>'pm_24.dat '!B383</f>
        <v>5074.8172258820614</v>
      </c>
      <c r="D247" s="23" t="s">
        <v>92</v>
      </c>
      <c r="E247" s="23">
        <f>'pm_24.dat '!C383</f>
        <v>1146.363794175641</v>
      </c>
      <c r="F247" s="23" t="s">
        <v>92</v>
      </c>
      <c r="G247" s="23">
        <f>'pm_24.dat '!D383</f>
        <v>680.58221017369851</v>
      </c>
      <c r="H247" s="23" t="s">
        <v>92</v>
      </c>
      <c r="I247" s="23">
        <f>'pm_24.dat '!E383</f>
        <v>379.34652255278274</v>
      </c>
      <c r="J247" s="23" t="s">
        <v>92</v>
      </c>
      <c r="K247" s="23">
        <f>'pm_24.dat '!F383</f>
        <v>820.12204516353449</v>
      </c>
      <c r="L247" s="23" t="s">
        <v>92</v>
      </c>
      <c r="M247" s="23">
        <f>'pm_24.dat '!G383</f>
        <v>2485.0123600608745</v>
      </c>
      <c r="N247" s="23" t="s">
        <v>92</v>
      </c>
      <c r="O247" s="23">
        <f>'pm_24.dat '!H383</f>
        <v>449.9546161300982</v>
      </c>
      <c r="P247" s="23" t="s">
        <v>92</v>
      </c>
      <c r="Q247" s="23">
        <f>'pm_24.dat '!I383</f>
        <v>109.80323691178894</v>
      </c>
      <c r="R247" s="23" t="s">
        <v>92</v>
      </c>
      <c r="S247" s="23">
        <f>'pm_24.dat '!J383</f>
        <v>86.062392800342309</v>
      </c>
      <c r="T247" s="23" t="s">
        <v>92</v>
      </c>
      <c r="U247" s="23">
        <f t="shared" si="16"/>
        <v>126.56479469594353</v>
      </c>
      <c r="V247" s="23" t="s">
        <v>92</v>
      </c>
      <c r="W247" s="23">
        <f t="shared" si="17"/>
        <v>6283.8119726647046</v>
      </c>
      <c r="X247" s="23" t="s">
        <v>92</v>
      </c>
      <c r="Y247" s="23">
        <f t="shared" si="18"/>
        <v>11358.629198546765</v>
      </c>
      <c r="Z247" t="s">
        <v>93</v>
      </c>
    </row>
    <row r="248" spans="1:40" x14ac:dyDescent="0.2">
      <c r="A248" t="s">
        <v>95</v>
      </c>
    </row>
    <row r="249" spans="1:40" x14ac:dyDescent="0.2">
      <c r="A249" t="s">
        <v>96</v>
      </c>
      <c r="B249" t="s">
        <v>92</v>
      </c>
      <c r="C249" s="12">
        <f>AVERAGE(C230:C247)</f>
        <v>2389.8889641906699</v>
      </c>
      <c r="D249" t="s">
        <v>92</v>
      </c>
      <c r="E249" s="12">
        <f t="shared" ref="E249" si="19">AVERAGE(E230:E247)</f>
        <v>2324.7476063875356</v>
      </c>
      <c r="F249" t="s">
        <v>92</v>
      </c>
      <c r="G249" s="12">
        <f t="shared" ref="G249" si="20">AVERAGE(G230:G247)</f>
        <v>1412.78358140965</v>
      </c>
      <c r="H249" t="s">
        <v>92</v>
      </c>
      <c r="I249" s="12">
        <f t="shared" ref="I249" si="21">AVERAGE(I230:I247)</f>
        <v>1872.8074867195994</v>
      </c>
      <c r="J249" t="s">
        <v>92</v>
      </c>
      <c r="K249" s="12">
        <f t="shared" ref="K249" si="22">AVERAGE(K230:K247)</f>
        <v>985.39304780241844</v>
      </c>
      <c r="L249" t="s">
        <v>92</v>
      </c>
      <c r="M249" s="12">
        <f t="shared" ref="M249" si="23">AVERAGE(M230:M247)</f>
        <v>653.495928924493</v>
      </c>
      <c r="N249" t="s">
        <v>92</v>
      </c>
      <c r="O249" s="12">
        <f t="shared" ref="O249" si="24">AVERAGE(O230:O247)</f>
        <v>383.89310874444993</v>
      </c>
      <c r="P249" t="s">
        <v>92</v>
      </c>
      <c r="Q249" s="12">
        <f t="shared" ref="Q249" si="25">AVERAGE(Q230:Q247)</f>
        <v>232.39064847176601</v>
      </c>
      <c r="R249" t="s">
        <v>92</v>
      </c>
      <c r="S249" s="12">
        <f t="shared" ref="S249" si="26">AVERAGE(S230:S247)</f>
        <v>103.26033746890792</v>
      </c>
      <c r="T249" t="s">
        <v>92</v>
      </c>
      <c r="U249" s="12">
        <f t="shared" ref="U249" si="27">AVERAGE(U230:U247)</f>
        <v>170.63465225638572</v>
      </c>
      <c r="V249" t="s">
        <v>92</v>
      </c>
      <c r="W249" s="12">
        <f t="shared" ref="W249" si="28">AVERAGE(W230:W247)</f>
        <v>8139.406398185205</v>
      </c>
      <c r="X249" t="s">
        <v>92</v>
      </c>
      <c r="Y249" s="12">
        <f t="shared" ref="Y249" si="29">AVERAGE(Y230:Y247)</f>
        <v>10529.295362375873</v>
      </c>
      <c r="Z249" t="s">
        <v>93</v>
      </c>
    </row>
    <row r="250" spans="1:40" x14ac:dyDescent="0.2">
      <c r="A250" t="s">
        <v>658</v>
      </c>
      <c r="B250" t="s">
        <v>92</v>
      </c>
      <c r="C250" s="24">
        <f>MEDIAN(C230:C247)</f>
        <v>701.80025115000001</v>
      </c>
      <c r="D250" t="s">
        <v>92</v>
      </c>
      <c r="E250" s="24">
        <f t="shared" ref="E250" si="30">MEDIAN(E230:E247)</f>
        <v>1234.1970365878205</v>
      </c>
      <c r="F250" t="s">
        <v>92</v>
      </c>
      <c r="G250" s="24">
        <f t="shared" ref="G250" si="31">MEDIAN(G230:G247)</f>
        <v>1015.268939</v>
      </c>
      <c r="H250" t="s">
        <v>92</v>
      </c>
      <c r="I250" s="24">
        <f t="shared" ref="I250" si="32">MEDIAN(I230:I247)</f>
        <v>1552.30377</v>
      </c>
      <c r="J250" t="s">
        <v>92</v>
      </c>
      <c r="K250" s="24">
        <f t="shared" ref="K250" si="33">MEDIAN(K230:K247)</f>
        <v>806.55534769999997</v>
      </c>
      <c r="L250" t="s">
        <v>92</v>
      </c>
      <c r="M250" s="24">
        <f t="shared" ref="M250" si="34">MEDIAN(M230:M247)</f>
        <v>471.98248845000001</v>
      </c>
      <c r="N250" t="s">
        <v>92</v>
      </c>
      <c r="O250" s="24">
        <f t="shared" ref="O250" si="35">MEDIAN(O230:O247)</f>
        <v>310.68795920000002</v>
      </c>
      <c r="P250" t="s">
        <v>92</v>
      </c>
      <c r="Q250" s="24">
        <f t="shared" ref="Q250" si="36">MEDIAN(Q230:Q247)</f>
        <v>143.28960905</v>
      </c>
      <c r="R250" t="s">
        <v>92</v>
      </c>
      <c r="S250" s="24">
        <f t="shared" ref="S250" si="37">MEDIAN(S230:S247)</f>
        <v>90.864721445171156</v>
      </c>
      <c r="T250" t="s">
        <v>92</v>
      </c>
      <c r="U250" s="24">
        <f t="shared" ref="U250" si="38">MEDIAN(U230:U247)</f>
        <v>130.82747306397175</v>
      </c>
      <c r="V250" t="s">
        <v>92</v>
      </c>
      <c r="W250" s="24">
        <f t="shared" ref="W250" si="39">MEDIAN(W230:W247)</f>
        <v>7721.7308070900008</v>
      </c>
      <c r="X250" t="s">
        <v>92</v>
      </c>
      <c r="Y250" s="24">
        <f t="shared" ref="Y250" si="40">MEDIAN(Y230:Y247)</f>
        <v>9858.3855727650007</v>
      </c>
      <c r="Z250" t="s">
        <v>93</v>
      </c>
    </row>
    <row r="255" spans="1:40" x14ac:dyDescent="0.2">
      <c r="B255" t="s">
        <v>92</v>
      </c>
      <c r="C255" s="21" t="str">
        <f>'pm_24.dat '!B364</f>
        <v>#oac_ats</v>
      </c>
      <c r="D255" s="21" t="s">
        <v>92</v>
      </c>
      <c r="E255" s="21">
        <f>'pm_24.dat '!C364</f>
        <v>0</v>
      </c>
      <c r="F255" s="21" t="s">
        <v>92</v>
      </c>
      <c r="G255" s="21">
        <f>'pm_24.dat '!D364</f>
        <v>0</v>
      </c>
      <c r="H255" s="21" t="s">
        <v>92</v>
      </c>
      <c r="I255" s="21">
        <f>'pm_24.dat '!E364</f>
        <v>0</v>
      </c>
      <c r="J255" s="21" t="s">
        <v>92</v>
      </c>
      <c r="K255" s="21">
        <f>'pm_24.dat '!F364</f>
        <v>0</v>
      </c>
      <c r="L255" s="21" t="s">
        <v>92</v>
      </c>
      <c r="M255" s="21">
        <f>'pm_24.dat '!G364</f>
        <v>0</v>
      </c>
      <c r="N255" s="21" t="s">
        <v>92</v>
      </c>
      <c r="O255" s="21">
        <f>'pm_24.dat '!H364</f>
        <v>0</v>
      </c>
      <c r="P255" s="21" t="s">
        <v>92</v>
      </c>
      <c r="Q255" s="21">
        <f>'pm_24.dat '!I364</f>
        <v>0</v>
      </c>
      <c r="R255" s="21" t="s">
        <v>92</v>
      </c>
      <c r="S255" s="21">
        <f>'pm_24.dat '!J364</f>
        <v>0</v>
      </c>
      <c r="T255" s="21" t="s">
        <v>92</v>
      </c>
      <c r="U255" s="21">
        <f>SUM(AA255:AK255)</f>
        <v>0</v>
      </c>
      <c r="V255" s="21" t="s">
        <v>92</v>
      </c>
      <c r="AA255" s="21">
        <f>'pm_24.dat '!K364</f>
        <v>0</v>
      </c>
      <c r="AB255" s="21" t="s">
        <v>92</v>
      </c>
      <c r="AC255" s="21">
        <f>'pm_24.dat '!L364</f>
        <v>0</v>
      </c>
      <c r="AD255" s="21" t="s">
        <v>92</v>
      </c>
      <c r="AE255" s="21">
        <f>'pm_24.dat '!M364</f>
        <v>0</v>
      </c>
      <c r="AF255" s="21" t="s">
        <v>92</v>
      </c>
      <c r="AG255" s="21">
        <f>'pm_24.dat '!N364</f>
        <v>0</v>
      </c>
      <c r="AH255" s="21" t="s">
        <v>92</v>
      </c>
      <c r="AI255" s="21">
        <f>'pm_24.dat '!O364</f>
        <v>0</v>
      </c>
      <c r="AJ255" s="21" t="s">
        <v>92</v>
      </c>
      <c r="AK255" s="21">
        <f>'pm_24.dat '!P364</f>
        <v>0</v>
      </c>
      <c r="AL255" s="21" t="s">
        <v>92</v>
      </c>
      <c r="AM255" s="21">
        <f t="shared" ref="AM255:AM273" si="41">SUM(B255:AL255)</f>
        <v>0</v>
      </c>
      <c r="AN255" s="21" t="s">
        <v>93</v>
      </c>
    </row>
    <row r="256" spans="1:40" x14ac:dyDescent="0.2">
      <c r="A256">
        <v>1994</v>
      </c>
      <c r="B256" t="s">
        <v>92</v>
      </c>
      <c r="Z256" t="s">
        <v>93</v>
      </c>
      <c r="AA256" s="21">
        <f>'pm_24.dat '!K365</f>
        <v>67.125239690000001</v>
      </c>
      <c r="AB256" s="21" t="s">
        <v>92</v>
      </c>
      <c r="AC256" s="21">
        <f>'pm_24.dat '!L365</f>
        <v>30.325586779999998</v>
      </c>
      <c r="AD256" s="21" t="s">
        <v>92</v>
      </c>
      <c r="AE256" s="21">
        <f>'pm_24.dat '!M365</f>
        <v>51.13689729</v>
      </c>
      <c r="AF256" s="21" t="s">
        <v>92</v>
      </c>
      <c r="AG256" s="21">
        <f>'pm_24.dat '!N365</f>
        <v>20.633513789999999</v>
      </c>
      <c r="AH256" s="21" t="s">
        <v>92</v>
      </c>
      <c r="AI256" s="21">
        <f>'pm_24.dat '!O365</f>
        <v>17.628238899999999</v>
      </c>
      <c r="AJ256" s="21" t="s">
        <v>92</v>
      </c>
      <c r="AK256" s="21">
        <f>'pm_24.dat '!P365</f>
        <v>34.356061230000002</v>
      </c>
      <c r="AL256" s="21" t="s">
        <v>92</v>
      </c>
      <c r="AM256" s="21">
        <f t="shared" si="41"/>
        <v>221.20553767999999</v>
      </c>
      <c r="AN256" s="21" t="s">
        <v>93</v>
      </c>
    </row>
    <row r="257" spans="1:40" x14ac:dyDescent="0.2">
      <c r="A257">
        <v>1996</v>
      </c>
      <c r="B257" t="s">
        <v>92</v>
      </c>
      <c r="Z257" t="s">
        <v>93</v>
      </c>
      <c r="AA257" s="21">
        <f>'pm_24.dat '!K366</f>
        <v>28.170044690000001</v>
      </c>
      <c r="AB257" s="21" t="s">
        <v>92</v>
      </c>
      <c r="AC257" s="21">
        <f>'pm_24.dat '!L366</f>
        <v>22.42098893</v>
      </c>
      <c r="AD257" s="21" t="s">
        <v>92</v>
      </c>
      <c r="AE257" s="21">
        <f>'pm_24.dat '!M366</f>
        <v>39.471901750000001</v>
      </c>
      <c r="AF257" s="21" t="s">
        <v>92</v>
      </c>
      <c r="AG257" s="21">
        <f>'pm_24.dat '!N366</f>
        <v>13.931626980000001</v>
      </c>
      <c r="AH257" s="21" t="s">
        <v>92</v>
      </c>
      <c r="AI257" s="21">
        <f>'pm_24.dat '!O366</f>
        <v>24.815192199999998</v>
      </c>
      <c r="AJ257" s="21" t="s">
        <v>92</v>
      </c>
      <c r="AK257" s="21">
        <f>'pm_24.dat '!P366</f>
        <v>35.758686900000001</v>
      </c>
      <c r="AL257" s="21" t="s">
        <v>92</v>
      </c>
      <c r="AM257" s="21">
        <f t="shared" si="41"/>
        <v>164.56844145000002</v>
      </c>
      <c r="AN257" s="21" t="s">
        <v>93</v>
      </c>
    </row>
    <row r="258" spans="1:40" x14ac:dyDescent="0.2">
      <c r="A258">
        <v>1997</v>
      </c>
      <c r="B258" t="s">
        <v>92</v>
      </c>
      <c r="Z258" t="s">
        <v>93</v>
      </c>
      <c r="AA258" s="21">
        <f>'pm_24.dat '!K367</f>
        <v>27.829137540000001</v>
      </c>
      <c r="AB258" s="21" t="s">
        <v>92</v>
      </c>
      <c r="AC258" s="21">
        <f>'pm_24.dat '!L367</f>
        <v>30.8666707</v>
      </c>
      <c r="AD258" s="21" t="s">
        <v>92</v>
      </c>
      <c r="AE258" s="21">
        <f>'pm_24.dat '!M367</f>
        <v>35.150965890000002</v>
      </c>
      <c r="AF258" s="21" t="s">
        <v>92</v>
      </c>
      <c r="AG258" s="21">
        <f>'pm_24.dat '!N367</f>
        <v>38.921928800000003</v>
      </c>
      <c r="AH258" s="21" t="s">
        <v>92</v>
      </c>
      <c r="AI258" s="21">
        <f>'pm_24.dat '!O367</f>
        <v>18.714737329999998</v>
      </c>
      <c r="AJ258" s="21" t="s">
        <v>92</v>
      </c>
      <c r="AK258" s="21">
        <f>'pm_24.dat '!P367</f>
        <v>68.921656049999996</v>
      </c>
      <c r="AL258" s="21" t="s">
        <v>92</v>
      </c>
      <c r="AM258" s="21">
        <f t="shared" si="41"/>
        <v>220.40509631</v>
      </c>
      <c r="AN258" s="21" t="s">
        <v>93</v>
      </c>
    </row>
    <row r="259" spans="1:40" x14ac:dyDescent="0.2">
      <c r="A259">
        <v>1999</v>
      </c>
      <c r="B259" t="s">
        <v>92</v>
      </c>
      <c r="Z259" t="s">
        <v>93</v>
      </c>
      <c r="AA259" s="21">
        <f>'pm_24.dat '!K368</f>
        <v>141.64589910000001</v>
      </c>
      <c r="AB259" s="21" t="s">
        <v>92</v>
      </c>
      <c r="AC259" s="21">
        <f>'pm_24.dat '!L368</f>
        <v>48.242948499999997</v>
      </c>
      <c r="AD259" s="21" t="s">
        <v>92</v>
      </c>
      <c r="AE259" s="21">
        <f>'pm_24.dat '!M368</f>
        <v>20.49954722</v>
      </c>
      <c r="AF259" s="21" t="s">
        <v>92</v>
      </c>
      <c r="AG259" s="21">
        <f>'pm_24.dat '!N368</f>
        <v>10.26681262</v>
      </c>
      <c r="AH259" s="21" t="s">
        <v>92</v>
      </c>
      <c r="AI259" s="21">
        <f>'pm_24.dat '!O368</f>
        <v>7.7953667949999996</v>
      </c>
      <c r="AJ259" s="21" t="s">
        <v>92</v>
      </c>
      <c r="AK259" s="21">
        <f>'pm_24.dat '!P368</f>
        <v>20.08813323</v>
      </c>
      <c r="AL259" s="21" t="s">
        <v>92</v>
      </c>
      <c r="AM259" s="21">
        <f t="shared" si="41"/>
        <v>248.53870746500004</v>
      </c>
      <c r="AN259" s="21" t="s">
        <v>93</v>
      </c>
    </row>
    <row r="260" spans="1:40" x14ac:dyDescent="0.2">
      <c r="A260">
        <v>2000</v>
      </c>
      <c r="B260" t="s">
        <v>92</v>
      </c>
      <c r="Z260" t="s">
        <v>93</v>
      </c>
      <c r="AA260" s="21">
        <f>'pm_24.dat '!K369</f>
        <v>134.09810970000001</v>
      </c>
      <c r="AB260" s="21" t="s">
        <v>92</v>
      </c>
      <c r="AC260" s="21">
        <f>'pm_24.dat '!L369</f>
        <v>60.258588899999999</v>
      </c>
      <c r="AD260" s="21" t="s">
        <v>92</v>
      </c>
      <c r="AE260" s="21">
        <f>'pm_24.dat '!M369</f>
        <v>35.599602249999997</v>
      </c>
      <c r="AF260" s="21" t="s">
        <v>92</v>
      </c>
      <c r="AG260" s="21">
        <f>'pm_24.dat '!N369</f>
        <v>6.9873676480000002</v>
      </c>
      <c r="AH260" s="21" t="s">
        <v>92</v>
      </c>
      <c r="AI260" s="21">
        <f>'pm_24.dat '!O369</f>
        <v>4.555128345</v>
      </c>
      <c r="AJ260" s="21" t="s">
        <v>92</v>
      </c>
      <c r="AK260" s="21">
        <f>'pm_24.dat '!P369</f>
        <v>10.210465579999999</v>
      </c>
      <c r="AL260" s="21" t="s">
        <v>92</v>
      </c>
      <c r="AM260" s="21">
        <f t="shared" si="41"/>
        <v>251.70926242300004</v>
      </c>
      <c r="AN260" s="21" t="s">
        <v>93</v>
      </c>
    </row>
    <row r="261" spans="1:40" x14ac:dyDescent="0.2">
      <c r="A261">
        <v>2002</v>
      </c>
      <c r="B261" t="s">
        <v>92</v>
      </c>
      <c r="Z261" t="s">
        <v>93</v>
      </c>
      <c r="AA261" s="21">
        <f>'pm_24.dat '!K370</f>
        <v>304.46125019999999</v>
      </c>
      <c r="AB261" s="21" t="s">
        <v>92</v>
      </c>
      <c r="AC261" s="21">
        <f>'pm_24.dat '!L370</f>
        <v>103.61153</v>
      </c>
      <c r="AD261" s="21" t="s">
        <v>92</v>
      </c>
      <c r="AE261" s="21">
        <f>'pm_24.dat '!M370</f>
        <v>45.372169960000001</v>
      </c>
      <c r="AF261" s="21" t="s">
        <v>92</v>
      </c>
      <c r="AG261" s="21">
        <f>'pm_24.dat '!N370</f>
        <v>20.195607760000001</v>
      </c>
      <c r="AH261" s="21" t="s">
        <v>92</v>
      </c>
      <c r="AI261" s="21">
        <f>'pm_24.dat '!O370</f>
        <v>12.17925292</v>
      </c>
      <c r="AJ261" s="21" t="s">
        <v>92</v>
      </c>
      <c r="AK261" s="21">
        <f>'pm_24.dat '!P370</f>
        <v>7.2811632319999999</v>
      </c>
      <c r="AL261" s="21" t="s">
        <v>92</v>
      </c>
      <c r="AM261" s="21">
        <f t="shared" si="41"/>
        <v>493.10097407199999</v>
      </c>
      <c r="AN261" s="21" t="s">
        <v>93</v>
      </c>
    </row>
    <row r="262" spans="1:40" x14ac:dyDescent="0.2">
      <c r="A262">
        <v>2004</v>
      </c>
      <c r="B262" t="s">
        <v>92</v>
      </c>
      <c r="Z262" t="s">
        <v>93</v>
      </c>
      <c r="AA262" s="21">
        <f>'pm_24.dat '!K371</f>
        <v>68.490474460000001</v>
      </c>
      <c r="AB262" s="21" t="s">
        <v>92</v>
      </c>
      <c r="AC262" s="21">
        <f>'pm_24.dat '!L371</f>
        <v>58.851892059999997</v>
      </c>
      <c r="AD262" s="21" t="s">
        <v>92</v>
      </c>
      <c r="AE262" s="21">
        <f>'pm_24.dat '!M371</f>
        <v>77.005276300000006</v>
      </c>
      <c r="AF262" s="21" t="s">
        <v>92</v>
      </c>
      <c r="AG262" s="21">
        <f>'pm_24.dat '!N371</f>
        <v>37.421352769999999</v>
      </c>
      <c r="AH262" s="21" t="s">
        <v>92</v>
      </c>
      <c r="AI262" s="21">
        <f>'pm_24.dat '!O371</f>
        <v>12.53381701</v>
      </c>
      <c r="AJ262" s="21" t="s">
        <v>92</v>
      </c>
      <c r="AK262" s="21">
        <f>'pm_24.dat '!P371</f>
        <v>10.630835129999999</v>
      </c>
      <c r="AL262" s="21" t="s">
        <v>92</v>
      </c>
      <c r="AM262" s="21">
        <f t="shared" si="41"/>
        <v>264.93364773000002</v>
      </c>
      <c r="AN262" s="21" t="s">
        <v>93</v>
      </c>
    </row>
    <row r="263" spans="1:40" x14ac:dyDescent="0.2">
      <c r="A263">
        <v>2006</v>
      </c>
      <c r="B263" t="s">
        <v>92</v>
      </c>
      <c r="Z263" t="s">
        <v>93</v>
      </c>
      <c r="AA263" s="21">
        <f>'pm_24.dat '!K372</f>
        <v>58.553903579999997</v>
      </c>
      <c r="AB263" s="21" t="s">
        <v>92</v>
      </c>
      <c r="AC263" s="21">
        <f>'pm_24.dat '!L372</f>
        <v>32.824918349999997</v>
      </c>
      <c r="AD263" s="21" t="s">
        <v>92</v>
      </c>
      <c r="AE263" s="21">
        <f>'pm_24.dat '!M372</f>
        <v>21.719213159999999</v>
      </c>
      <c r="AF263" s="21" t="s">
        <v>92</v>
      </c>
      <c r="AG263" s="21">
        <f>'pm_24.dat '!N372</f>
        <v>16.492805369999999</v>
      </c>
      <c r="AH263" s="21" t="s">
        <v>92</v>
      </c>
      <c r="AI263" s="21">
        <f>'pm_24.dat '!O372</f>
        <v>19.794140970000001</v>
      </c>
      <c r="AJ263" s="21" t="s">
        <v>92</v>
      </c>
      <c r="AK263" s="21">
        <f>'pm_24.dat '!P372</f>
        <v>22.04510144</v>
      </c>
      <c r="AL263" s="21" t="s">
        <v>92</v>
      </c>
      <c r="AM263" s="21">
        <f t="shared" si="41"/>
        <v>171.43008286999998</v>
      </c>
      <c r="AN263" s="21" t="s">
        <v>93</v>
      </c>
    </row>
    <row r="264" spans="1:40" x14ac:dyDescent="0.2">
      <c r="A264">
        <v>2007</v>
      </c>
      <c r="B264" t="s">
        <v>92</v>
      </c>
      <c r="Z264" t="s">
        <v>93</v>
      </c>
      <c r="AA264" s="21">
        <f>'pm_24.dat '!K373</f>
        <v>39.261616619999998</v>
      </c>
      <c r="AB264" s="21" t="s">
        <v>92</v>
      </c>
      <c r="AC264" s="21">
        <f>'pm_24.dat '!L373</f>
        <v>37.240400149999999</v>
      </c>
      <c r="AD264" s="21" t="s">
        <v>92</v>
      </c>
      <c r="AE264" s="21">
        <f>'pm_24.dat '!M373</f>
        <v>18.81644455</v>
      </c>
      <c r="AF264" s="21" t="s">
        <v>92</v>
      </c>
      <c r="AG264" s="21">
        <f>'pm_24.dat '!N373</f>
        <v>9.1721203960000004</v>
      </c>
      <c r="AH264" s="21" t="s">
        <v>92</v>
      </c>
      <c r="AI264" s="21">
        <f>'pm_24.dat '!O373</f>
        <v>9.5783720559999992</v>
      </c>
      <c r="AJ264" s="21" t="s">
        <v>92</v>
      </c>
      <c r="AK264" s="21">
        <f>'pm_24.dat '!P373</f>
        <v>21.021197659999999</v>
      </c>
      <c r="AL264" s="21" t="s">
        <v>92</v>
      </c>
      <c r="AM264" s="21">
        <f t="shared" si="41"/>
        <v>135.09015143199997</v>
      </c>
      <c r="AN264" s="21" t="s">
        <v>93</v>
      </c>
    </row>
    <row r="265" spans="1:40" x14ac:dyDescent="0.2">
      <c r="A265">
        <v>2008</v>
      </c>
      <c r="B265" t="s">
        <v>92</v>
      </c>
      <c r="Z265" t="s">
        <v>93</v>
      </c>
      <c r="AA265" s="21">
        <f>'pm_24.dat '!K374</f>
        <v>31.995840619999999</v>
      </c>
      <c r="AB265" s="21" t="s">
        <v>92</v>
      </c>
      <c r="AC265" s="21">
        <f>'pm_24.dat '!L374</f>
        <v>30.135659059999998</v>
      </c>
      <c r="AD265" s="21" t="s">
        <v>92</v>
      </c>
      <c r="AE265" s="21">
        <f>'pm_24.dat '!M374</f>
        <v>19.00020739</v>
      </c>
      <c r="AF265" s="21" t="s">
        <v>92</v>
      </c>
      <c r="AG265" s="21">
        <f>'pm_24.dat '!N374</f>
        <v>10.87302568</v>
      </c>
      <c r="AH265" s="21" t="s">
        <v>92</v>
      </c>
      <c r="AI265" s="21">
        <f>'pm_24.dat '!O374</f>
        <v>5.6228518940000001</v>
      </c>
      <c r="AJ265" s="21" t="s">
        <v>92</v>
      </c>
      <c r="AK265" s="21">
        <f>'pm_24.dat '!P374</f>
        <v>22.471211220000001</v>
      </c>
      <c r="AL265" s="21" t="s">
        <v>92</v>
      </c>
      <c r="AM265" s="21">
        <f t="shared" si="41"/>
        <v>120.098795864</v>
      </c>
      <c r="AN265" s="21" t="s">
        <v>93</v>
      </c>
    </row>
    <row r="266" spans="1:40" x14ac:dyDescent="0.2">
      <c r="A266">
        <v>2009</v>
      </c>
      <c r="B266" t="s">
        <v>92</v>
      </c>
      <c r="Z266" t="s">
        <v>93</v>
      </c>
      <c r="AA266" s="21">
        <f>'pm_24.dat '!K375</f>
        <v>44.225916609999999</v>
      </c>
      <c r="AB266" s="21" t="s">
        <v>92</v>
      </c>
      <c r="AC266" s="21">
        <f>'pm_24.dat '!L375</f>
        <v>25.174215019999998</v>
      </c>
      <c r="AD266" s="21" t="s">
        <v>92</v>
      </c>
      <c r="AE266" s="21">
        <f>'pm_24.dat '!M375</f>
        <v>11.28920278</v>
      </c>
      <c r="AF266" s="21" t="s">
        <v>92</v>
      </c>
      <c r="AG266" s="21">
        <f>'pm_24.dat '!N375</f>
        <v>10.05579329</v>
      </c>
      <c r="AH266" s="21" t="s">
        <v>92</v>
      </c>
      <c r="AI266" s="21">
        <f>'pm_24.dat '!O375</f>
        <v>5.5001058839999999</v>
      </c>
      <c r="AJ266" s="21" t="s">
        <v>92</v>
      </c>
      <c r="AK266" s="21">
        <f>'pm_24.dat '!P375</f>
        <v>18.189537139999999</v>
      </c>
      <c r="AL266" s="21" t="s">
        <v>92</v>
      </c>
      <c r="AM266" s="21">
        <f t="shared" si="41"/>
        <v>114.434770724</v>
      </c>
      <c r="AN266" s="21" t="s">
        <v>93</v>
      </c>
    </row>
    <row r="267" spans="1:40" x14ac:dyDescent="0.2">
      <c r="A267">
        <v>2010</v>
      </c>
      <c r="B267" t="s">
        <v>92</v>
      </c>
      <c r="Z267" t="s">
        <v>93</v>
      </c>
      <c r="AA267" s="21">
        <f>'pm_24.dat '!K376</f>
        <v>28.93219886</v>
      </c>
      <c r="AB267" s="21" t="s">
        <v>92</v>
      </c>
      <c r="AC267" s="21">
        <f>'pm_24.dat '!L376</f>
        <v>25.956083540000002</v>
      </c>
      <c r="AD267" s="21" t="s">
        <v>92</v>
      </c>
      <c r="AE267" s="21">
        <f>'pm_24.dat '!M376</f>
        <v>13.14394723</v>
      </c>
      <c r="AF267" s="21" t="s">
        <v>92</v>
      </c>
      <c r="AG267" s="21">
        <f>'pm_24.dat '!N376</f>
        <v>8.0262054999999997</v>
      </c>
      <c r="AH267" s="21" t="s">
        <v>92</v>
      </c>
      <c r="AI267" s="21">
        <f>'pm_24.dat '!O376</f>
        <v>4.8905865229999996</v>
      </c>
      <c r="AJ267" s="21" t="s">
        <v>92</v>
      </c>
      <c r="AK267" s="21">
        <f>'pm_24.dat '!P376</f>
        <v>9.7714417440000005</v>
      </c>
      <c r="AL267" s="21" t="s">
        <v>92</v>
      </c>
      <c r="AM267" s="21">
        <f t="shared" si="41"/>
        <v>90.720463397000003</v>
      </c>
      <c r="AN267" s="21" t="s">
        <v>93</v>
      </c>
    </row>
    <row r="268" spans="1:40" x14ac:dyDescent="0.2">
      <c r="A268">
        <v>2012</v>
      </c>
      <c r="B268" t="s">
        <v>92</v>
      </c>
      <c r="Z268" t="s">
        <v>93</v>
      </c>
      <c r="AA268" s="21">
        <f>'pm_24.dat '!K377</f>
        <v>28.74222129</v>
      </c>
      <c r="AB268" s="21" t="s">
        <v>92</v>
      </c>
      <c r="AC268" s="21">
        <f>'pm_24.dat '!L377</f>
        <v>25.056611</v>
      </c>
      <c r="AD268" s="21" t="s">
        <v>92</v>
      </c>
      <c r="AE268" s="21">
        <f>'pm_24.dat '!M377</f>
        <v>17.894431229999999</v>
      </c>
      <c r="AF268" s="21" t="s">
        <v>92</v>
      </c>
      <c r="AG268" s="21">
        <f>'pm_24.dat '!N377</f>
        <v>16.169349969999999</v>
      </c>
      <c r="AH268" s="21" t="s">
        <v>92</v>
      </c>
      <c r="AI268" s="21">
        <f>'pm_24.dat '!O377</f>
        <v>5.0759217850000002</v>
      </c>
      <c r="AJ268" s="21" t="s">
        <v>92</v>
      </c>
      <c r="AK268" s="21">
        <f>'pm_24.dat '!P377</f>
        <v>9.9051977440000005</v>
      </c>
      <c r="AL268" s="21" t="s">
        <v>92</v>
      </c>
      <c r="AM268" s="21">
        <f t="shared" si="41"/>
        <v>102.84373301900001</v>
      </c>
      <c r="AN268" s="21" t="s">
        <v>93</v>
      </c>
    </row>
    <row r="269" spans="1:40" x14ac:dyDescent="0.2">
      <c r="A269">
        <v>2014</v>
      </c>
      <c r="B269" t="s">
        <v>92</v>
      </c>
      <c r="Z269" t="s">
        <v>93</v>
      </c>
      <c r="AA269" s="21">
        <f>'pm_24.dat '!K378</f>
        <v>31.519963990000001</v>
      </c>
      <c r="AB269" s="21" t="s">
        <v>92</v>
      </c>
      <c r="AC269" s="21">
        <f>'pm_24.dat '!L378</f>
        <v>12.57992471</v>
      </c>
      <c r="AD269" s="21" t="s">
        <v>92</v>
      </c>
      <c r="AE269" s="21">
        <f>'pm_24.dat '!M378</f>
        <v>13.86996375</v>
      </c>
      <c r="AF269" s="21" t="s">
        <v>92</v>
      </c>
      <c r="AG269" s="21">
        <f>'pm_24.dat '!N378</f>
        <v>14.05970784</v>
      </c>
      <c r="AH269" s="21" t="s">
        <v>92</v>
      </c>
      <c r="AI269" s="21">
        <f>'pm_24.dat '!O378</f>
        <v>7.7035707990000004</v>
      </c>
      <c r="AJ269" s="21" t="s">
        <v>92</v>
      </c>
      <c r="AK269" s="21">
        <f>'pm_24.dat '!P378</f>
        <v>19.07043007</v>
      </c>
      <c r="AL269" s="21" t="s">
        <v>92</v>
      </c>
      <c r="AM269" s="21">
        <f t="shared" si="41"/>
        <v>98.803561159000012</v>
      </c>
      <c r="AN269" s="21" t="s">
        <v>93</v>
      </c>
    </row>
    <row r="270" spans="1:40" x14ac:dyDescent="0.2">
      <c r="A270">
        <v>2016</v>
      </c>
      <c r="B270" t="s">
        <v>92</v>
      </c>
      <c r="Z270" t="s">
        <v>93</v>
      </c>
      <c r="AA270" s="21">
        <f>'pm_24.dat '!K379</f>
        <v>30.74347277</v>
      </c>
      <c r="AB270" s="21" t="s">
        <v>92</v>
      </c>
      <c r="AC270" s="21">
        <f>'pm_24.dat '!L379</f>
        <v>17.982651109999999</v>
      </c>
      <c r="AD270" s="21" t="s">
        <v>92</v>
      </c>
      <c r="AE270" s="21">
        <f>'pm_24.dat '!M379</f>
        <v>5.8435077839999998</v>
      </c>
      <c r="AF270" s="21" t="s">
        <v>92</v>
      </c>
      <c r="AG270" s="21">
        <f>'pm_24.dat '!N379</f>
        <v>3.5520013060000002</v>
      </c>
      <c r="AH270" s="21" t="s">
        <v>92</v>
      </c>
      <c r="AI270" s="21">
        <f>'pm_24.dat '!O379</f>
        <v>2.24751704</v>
      </c>
      <c r="AJ270" s="21" t="s">
        <v>92</v>
      </c>
      <c r="AK270" s="21">
        <f>'pm_24.dat '!P379</f>
        <v>3.4661237800000002</v>
      </c>
      <c r="AL270" s="21" t="s">
        <v>92</v>
      </c>
      <c r="AM270" s="21">
        <f t="shared" si="41"/>
        <v>63.835273790000002</v>
      </c>
      <c r="AN270" s="21" t="s">
        <v>93</v>
      </c>
    </row>
    <row r="271" spans="1:40" x14ac:dyDescent="0.2">
      <c r="A271">
        <v>2018</v>
      </c>
      <c r="B271" t="s">
        <v>92</v>
      </c>
      <c r="Z271" t="s">
        <v>93</v>
      </c>
      <c r="AA271" s="21">
        <f>'pm_24.dat '!K380</f>
        <v>74.910888819999997</v>
      </c>
      <c r="AB271" s="21" t="s">
        <v>92</v>
      </c>
      <c r="AC271" s="21">
        <f>'pm_24.dat '!L380</f>
        <v>19.72410485</v>
      </c>
      <c r="AD271" s="21" t="s">
        <v>92</v>
      </c>
      <c r="AE271" s="21">
        <f>'pm_24.dat '!M380</f>
        <v>5.5064802530000003</v>
      </c>
      <c r="AF271" s="21" t="s">
        <v>92</v>
      </c>
      <c r="AG271" s="21">
        <f>'pm_24.dat '!N380</f>
        <v>2.8538340980000001</v>
      </c>
      <c r="AH271" s="21" t="s">
        <v>92</v>
      </c>
      <c r="AI271" s="21">
        <f>'pm_24.dat '!O380</f>
        <v>0</v>
      </c>
      <c r="AJ271" s="21" t="s">
        <v>92</v>
      </c>
      <c r="AK271" s="21">
        <f>'pm_24.dat '!P380</f>
        <v>1.379630275</v>
      </c>
      <c r="AL271" s="21" t="s">
        <v>92</v>
      </c>
      <c r="AM271" s="21">
        <f t="shared" si="41"/>
        <v>104.374938296</v>
      </c>
      <c r="AN271" s="21" t="s">
        <v>93</v>
      </c>
    </row>
    <row r="272" spans="1:40" x14ac:dyDescent="0.2">
      <c r="A272">
        <v>2022</v>
      </c>
      <c r="B272" t="s">
        <v>92</v>
      </c>
      <c r="Z272" t="s">
        <v>93</v>
      </c>
      <c r="AA272" s="21">
        <f>'pm_24.dat '!K382</f>
        <v>33.859152139999999</v>
      </c>
      <c r="AB272" s="21" t="s">
        <v>92</v>
      </c>
      <c r="AC272" s="21">
        <f>'pm_24.dat '!L382</f>
        <v>16.726261139999998</v>
      </c>
      <c r="AD272" s="21" t="s">
        <v>92</v>
      </c>
      <c r="AE272" s="21">
        <f>'pm_24.dat '!M382</f>
        <v>17.897776409999999</v>
      </c>
      <c r="AF272" s="21" t="s">
        <v>92</v>
      </c>
      <c r="AG272" s="21">
        <f>'pm_24.dat '!N382</f>
        <v>6.5767711320000002</v>
      </c>
      <c r="AH272" s="21" t="s">
        <v>92</v>
      </c>
      <c r="AI272" s="21">
        <f>'pm_24.dat '!O382</f>
        <v>2.1390213710000001</v>
      </c>
      <c r="AJ272" s="21" t="s">
        <v>92</v>
      </c>
      <c r="AK272" s="21">
        <f>'pm_24.dat '!P382</f>
        <v>1.566526045</v>
      </c>
      <c r="AL272" s="21" t="s">
        <v>92</v>
      </c>
      <c r="AM272" s="21">
        <f t="shared" si="41"/>
        <v>78.765508237999995</v>
      </c>
      <c r="AN272" s="21" t="s">
        <v>93</v>
      </c>
    </row>
    <row r="273" spans="1:40" x14ac:dyDescent="0.2">
      <c r="A273">
        <v>2024</v>
      </c>
      <c r="B273" t="s">
        <v>92</v>
      </c>
      <c r="Z273" t="s">
        <v>93</v>
      </c>
      <c r="AA273" s="21">
        <f>'pm_24.dat '!K383</f>
        <v>69.71616604296392</v>
      </c>
      <c r="AB273" s="21" t="s">
        <v>92</v>
      </c>
      <c r="AC273" s="21">
        <f>'pm_24.dat '!L383</f>
        <v>37.761125577487412</v>
      </c>
      <c r="AD273" s="21" t="s">
        <v>92</v>
      </c>
      <c r="AE273" s="21">
        <f>'pm_24.dat '!M383</f>
        <v>13.88930220602397</v>
      </c>
      <c r="AF273" s="21" t="s">
        <v>92</v>
      </c>
      <c r="AG273" s="21">
        <f>'pm_24.dat '!N383</f>
        <v>3.3965576951246805</v>
      </c>
      <c r="AH273" s="21" t="s">
        <v>92</v>
      </c>
      <c r="AI273" s="21">
        <f>'pm_24.dat '!O383</f>
        <v>1.0954886012162097</v>
      </c>
      <c r="AJ273" s="21" t="s">
        <v>92</v>
      </c>
      <c r="AK273" s="21">
        <f>'pm_24.dat '!P383</f>
        <v>0.70615457312735019</v>
      </c>
      <c r="AL273" s="21" t="s">
        <v>92</v>
      </c>
      <c r="AM273" s="21">
        <f t="shared" si="41"/>
        <v>126.56479469594353</v>
      </c>
      <c r="AN273" s="21" t="s">
        <v>93</v>
      </c>
    </row>
    <row r="274" spans="1:40" x14ac:dyDescent="0.2">
      <c r="A274" t="s">
        <v>95</v>
      </c>
    </row>
    <row r="275" spans="1:40" x14ac:dyDescent="0.2">
      <c r="A275" t="s">
        <v>96</v>
      </c>
      <c r="B275" t="s">
        <v>92</v>
      </c>
      <c r="C275" s="21" t="str">
        <f>'pm_24.dat '!B384</f>
        <v>#ob_ats</v>
      </c>
      <c r="D275" s="21" t="s">
        <v>92</v>
      </c>
      <c r="E275" s="21">
        <f>'pm_24.dat '!C324</f>
        <v>9771055.2670827601</v>
      </c>
      <c r="F275" s="21" t="s">
        <v>92</v>
      </c>
      <c r="G275" s="21">
        <f>'pm_24.dat '!D324</f>
        <v>7912883.3308116104</v>
      </c>
      <c r="H275" s="21" t="s">
        <v>92</v>
      </c>
      <c r="I275" s="21">
        <f>'pm_24.dat '!E324</f>
        <v>33510131.100490101</v>
      </c>
      <c r="J275" s="21" t="s">
        <v>92</v>
      </c>
      <c r="K275" s="21">
        <f>'pm_24.dat '!F324</f>
        <v>17077324.716115098</v>
      </c>
      <c r="L275" s="21" t="s">
        <v>92</v>
      </c>
      <c r="M275" s="21">
        <f>'pm_24.dat '!G324</f>
        <v>25786652.466188502</v>
      </c>
      <c r="N275" s="21" t="s">
        <v>92</v>
      </c>
      <c r="O275" s="21">
        <f>'pm_24.dat '!H324</f>
        <v>21402885.625976499</v>
      </c>
      <c r="P275" s="21" t="s">
        <v>92</v>
      </c>
      <c r="Q275" s="21">
        <f>'pm_24.dat '!I324</f>
        <v>17865634.080354601</v>
      </c>
      <c r="R275" s="21" t="s">
        <v>92</v>
      </c>
      <c r="S275" s="21">
        <f>'pm_24.dat '!J324</f>
        <v>5324409.4465166796</v>
      </c>
      <c r="T275" s="21" t="s">
        <v>92</v>
      </c>
      <c r="U275" s="21">
        <f>'pm_24.dat '!K324</f>
        <v>822842.70269317296</v>
      </c>
      <c r="V275" s="21" t="s">
        <v>92</v>
      </c>
      <c r="W275" s="21">
        <f>'pm_24.dat '!L324</f>
        <v>369154.61353154801</v>
      </c>
      <c r="X275" s="21" t="s">
        <v>92</v>
      </c>
      <c r="Y275" s="21">
        <f>'pm_24.dat '!M324</f>
        <v>162599.266826762</v>
      </c>
      <c r="Z275" s="21" t="s">
        <v>92</v>
      </c>
      <c r="AA275" s="21">
        <f>'pm_24.dat '!N324</f>
        <v>14854.907261005499</v>
      </c>
      <c r="AB275" s="21" t="s">
        <v>92</v>
      </c>
      <c r="AC275" s="21">
        <f>'pm_24.dat '!O324</f>
        <v>45447.414694632098</v>
      </c>
      <c r="AD275" s="21" t="s">
        <v>92</v>
      </c>
      <c r="AE275" s="21">
        <f>'pm_24.dat '!P324</f>
        <v>16391.890040594</v>
      </c>
      <c r="AF275" s="21" t="s">
        <v>92</v>
      </c>
      <c r="AG275" s="21">
        <f t="shared" ref="AG275:AG276" si="42">SUM(B275:AF275)</f>
        <v>140082266.8285836</v>
      </c>
      <c r="AH275" s="21" t="s">
        <v>93</v>
      </c>
    </row>
    <row r="276" spans="1:40" x14ac:dyDescent="0.2">
      <c r="A276" t="s">
        <v>658</v>
      </c>
      <c r="B276" t="s">
        <v>92</v>
      </c>
      <c r="C276" s="21">
        <f>'pm_24.dat '!B385</f>
        <v>3628.9292999999998</v>
      </c>
      <c r="D276" s="21" t="s">
        <v>92</v>
      </c>
      <c r="E276" s="21">
        <f>'pm_24.dat '!C325</f>
        <v>6880152.20894437</v>
      </c>
      <c r="F276" s="21" t="s">
        <v>92</v>
      </c>
      <c r="G276" s="21">
        <f>'pm_24.dat '!D325</f>
        <v>11747969.221029799</v>
      </c>
      <c r="H276" s="21" t="s">
        <v>92</v>
      </c>
      <c r="I276" s="21">
        <f>'pm_24.dat '!E325</f>
        <v>9240663.5220039897</v>
      </c>
      <c r="J276" s="21" t="s">
        <v>92</v>
      </c>
      <c r="K276" s="21">
        <f>'pm_24.dat '!F325</f>
        <v>55681133.402808003</v>
      </c>
      <c r="L276" s="21" t="s">
        <v>92</v>
      </c>
      <c r="M276" s="21">
        <f>'pm_24.dat '!G325</f>
        <v>14563847.775801999</v>
      </c>
      <c r="N276" s="21" t="s">
        <v>92</v>
      </c>
      <c r="O276" s="21">
        <f>'pm_24.dat '!H325</f>
        <v>13287612.689125899</v>
      </c>
      <c r="P276" s="21" t="s">
        <v>92</v>
      </c>
      <c r="Q276" s="21">
        <f>'pm_24.dat '!I325</f>
        <v>5162855.0036796099</v>
      </c>
      <c r="R276" s="21" t="s">
        <v>92</v>
      </c>
      <c r="S276" s="21">
        <f>'pm_24.dat '!J325</f>
        <v>16110202.947726</v>
      </c>
      <c r="T276" s="21" t="s">
        <v>92</v>
      </c>
      <c r="U276" s="21">
        <f>'pm_24.dat '!K325</f>
        <v>2540705.4346674001</v>
      </c>
      <c r="V276" s="21" t="s">
        <v>92</v>
      </c>
      <c r="W276" s="21">
        <f>'pm_24.dat '!L325</f>
        <v>778630.04198421596</v>
      </c>
      <c r="X276" s="21" t="s">
        <v>92</v>
      </c>
      <c r="Y276" s="21">
        <f>'pm_24.dat '!M325</f>
        <v>296073.17455559003</v>
      </c>
      <c r="Z276" s="21" t="s">
        <v>92</v>
      </c>
      <c r="AA276" s="21">
        <f>'pm_24.dat '!N325</f>
        <v>58611.2690307597</v>
      </c>
      <c r="AB276" s="21" t="s">
        <v>92</v>
      </c>
      <c r="AC276" s="21">
        <f>'pm_24.dat '!O325</f>
        <v>28788.9143305125</v>
      </c>
      <c r="AD276" s="21" t="s">
        <v>92</v>
      </c>
      <c r="AE276" s="21">
        <f>'pm_24.dat '!P325</f>
        <v>25840.481072242299</v>
      </c>
      <c r="AF276" s="21" t="s">
        <v>92</v>
      </c>
      <c r="AG276" s="21">
        <f t="shared" si="42"/>
        <v>136406715.01606041</v>
      </c>
      <c r="AH276" s="21" t="s">
        <v>93</v>
      </c>
    </row>
    <row r="277" spans="1:40" x14ac:dyDescent="0.2">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row>
    <row r="278" spans="1:40" x14ac:dyDescent="0.2">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row>
    <row r="279" spans="1:40" x14ac:dyDescent="0.2">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row>
    <row r="280" spans="1:40" x14ac:dyDescent="0.2">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row>
    <row r="281" spans="1:40" x14ac:dyDescent="0.2">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row>
    <row r="282" spans="1:40" x14ac:dyDescent="0.2">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row>
    <row r="283" spans="1:40" x14ac:dyDescent="0.2">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row>
    <row r="284" spans="1:40" x14ac:dyDescent="0.2">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row>
    <row r="285" spans="1:40" x14ac:dyDescent="0.2">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row>
    <row r="286" spans="1:40" x14ac:dyDescent="0.2">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row>
    <row r="287" spans="1:40" x14ac:dyDescent="0.2">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row>
    <row r="288" spans="1:40" x14ac:dyDescent="0.2">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row>
    <row r="289" spans="3:34" x14ac:dyDescent="0.2">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row>
    <row r="290" spans="3:34" x14ac:dyDescent="0.2">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row>
    <row r="291" spans="3:34" x14ac:dyDescent="0.2">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row>
    <row r="292" spans="3:34" x14ac:dyDescent="0.2">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row>
    <row r="293" spans="3:34" x14ac:dyDescent="0.2">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row>
    <row r="294" spans="3:34" x14ac:dyDescent="0.2">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row>
    <row r="295" spans="3:34" x14ac:dyDescent="0.2">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row>
    <row r="296" spans="3:34" x14ac:dyDescent="0.2">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row>
    <row r="297" spans="3:34" x14ac:dyDescent="0.2">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row>
    <row r="298" spans="3:34" x14ac:dyDescent="0.2">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row>
    <row r="299" spans="3:34" x14ac:dyDescent="0.2">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row>
    <row r="300" spans="3:34" x14ac:dyDescent="0.2">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row>
    <row r="301" spans="3:34" x14ac:dyDescent="0.2">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row>
    <row r="302" spans="3:34" x14ac:dyDescent="0.2">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row>
    <row r="303" spans="3:34" x14ac:dyDescent="0.2">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row>
    <row r="304" spans="3:34" x14ac:dyDescent="0.2">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row>
    <row r="305" spans="3:34" x14ac:dyDescent="0.2">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row>
    <row r="306" spans="3:34" x14ac:dyDescent="0.2">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row>
    <row r="307" spans="3:34" x14ac:dyDescent="0.2">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row>
    <row r="308" spans="3:34" x14ac:dyDescent="0.2">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row>
    <row r="309" spans="3:34" x14ac:dyDescent="0.2">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row>
    <row r="310" spans="3:34" x14ac:dyDescent="0.2">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row>
    <row r="311" spans="3:34" x14ac:dyDescent="0.2">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row>
    <row r="312" spans="3:34" x14ac:dyDescent="0.2">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row>
    <row r="313" spans="3:34" x14ac:dyDescent="0.2">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row>
    <row r="314" spans="3:34" x14ac:dyDescent="0.2">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row>
    <row r="335" spans="1:34" x14ac:dyDescent="0.2">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row>
    <row r="336" spans="1:34" x14ac:dyDescent="0.2">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row>
    <row r="337" spans="2:2" x14ac:dyDescent="0.2">
      <c r="B337" s="21"/>
    </row>
    <row r="338" spans="2:2" x14ac:dyDescent="0.2">
      <c r="B338" s="21" t="str">
        <f>'pm_24.dat '!A387</f>
        <v>Mean .2</v>
      </c>
    </row>
    <row r="339" spans="2:2" x14ac:dyDescent="0.2">
      <c r="B339" s="21">
        <f>'pm_24.dat '!A388</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50A2-2A36-7C47-BFD5-A7CD96447FA8}">
  <dimension ref="A1:N44"/>
  <sheetViews>
    <sheetView workbookViewId="0">
      <selection activeCell="L44" sqref="L44"/>
    </sheetView>
  </sheetViews>
  <sheetFormatPr baseColWidth="10" defaultRowHeight="16" x14ac:dyDescent="0.2"/>
  <sheetData>
    <row r="1" spans="1:13" x14ac:dyDescent="0.2">
      <c r="A1" s="25" t="s">
        <v>659</v>
      </c>
      <c r="B1">
        <v>2023</v>
      </c>
      <c r="C1">
        <v>2024</v>
      </c>
      <c r="D1">
        <v>2024</v>
      </c>
      <c r="E1">
        <v>2025</v>
      </c>
    </row>
    <row r="2" spans="1:13" x14ac:dyDescent="0.2">
      <c r="A2" s="25" t="s">
        <v>660</v>
      </c>
      <c r="B2" t="s">
        <v>661</v>
      </c>
      <c r="C2" t="s">
        <v>662</v>
      </c>
      <c r="D2" t="s">
        <v>663</v>
      </c>
      <c r="E2" t="s">
        <v>76</v>
      </c>
      <c r="F2" t="s">
        <v>664</v>
      </c>
      <c r="G2">
        <v>0.3</v>
      </c>
      <c r="H2">
        <v>0.3</v>
      </c>
      <c r="I2">
        <v>0.3</v>
      </c>
      <c r="J2">
        <v>0.3</v>
      </c>
    </row>
    <row r="3" spans="1:13" x14ac:dyDescent="0.2">
      <c r="A3" s="25" t="s">
        <v>665</v>
      </c>
      <c r="B3" t="s">
        <v>666</v>
      </c>
      <c r="C3" t="s">
        <v>666</v>
      </c>
      <c r="D3" t="s">
        <v>666</v>
      </c>
      <c r="E3" t="s">
        <v>666</v>
      </c>
    </row>
    <row r="4" spans="1:13" x14ac:dyDescent="0.2">
      <c r="A4" s="25" t="s">
        <v>667</v>
      </c>
      <c r="D4" s="12">
        <v>12389000</v>
      </c>
      <c r="E4" s="12">
        <v>11445000</v>
      </c>
      <c r="F4" s="12">
        <v>10184000</v>
      </c>
      <c r="G4" s="12">
        <v>9437000</v>
      </c>
      <c r="H4" t="s">
        <v>668</v>
      </c>
      <c r="I4" t="s">
        <v>668</v>
      </c>
    </row>
    <row r="5" spans="1:13" x14ac:dyDescent="0.2">
      <c r="A5" s="25" t="s">
        <v>667</v>
      </c>
      <c r="B5" t="s">
        <v>322</v>
      </c>
      <c r="C5" t="s">
        <v>669</v>
      </c>
      <c r="D5" s="12">
        <v>4171000</v>
      </c>
      <c r="E5" s="12">
        <v>3944000</v>
      </c>
      <c r="F5" s="12">
        <v>3518000</v>
      </c>
      <c r="G5" s="12">
        <v>3255000</v>
      </c>
      <c r="M5" t="s">
        <v>668</v>
      </c>
    </row>
    <row r="6" spans="1:13" x14ac:dyDescent="0.2">
      <c r="A6" s="25" t="s">
        <v>670</v>
      </c>
      <c r="D6" s="12">
        <v>6653000</v>
      </c>
      <c r="E6" s="12">
        <v>6653000</v>
      </c>
      <c r="F6" s="12">
        <v>6728000</v>
      </c>
      <c r="G6" s="12">
        <v>6728000</v>
      </c>
      <c r="I6" t="s">
        <v>668</v>
      </c>
    </row>
    <row r="7" spans="1:13" x14ac:dyDescent="0.2">
      <c r="A7" s="25" t="s">
        <v>671</v>
      </c>
      <c r="D7" s="12">
        <v>2674000</v>
      </c>
      <c r="E7" s="12">
        <v>2674000</v>
      </c>
      <c r="F7" s="12">
        <v>2689000</v>
      </c>
      <c r="G7" s="12">
        <v>2689000</v>
      </c>
      <c r="I7" t="s">
        <v>668</v>
      </c>
    </row>
    <row r="8" spans="1:13" x14ac:dyDescent="0.2">
      <c r="A8" s="25" t="s">
        <v>672</v>
      </c>
      <c r="B8" t="s">
        <v>673</v>
      </c>
      <c r="D8">
        <v>0.49099999999999999</v>
      </c>
      <c r="E8">
        <v>0.49099999999999999</v>
      </c>
      <c r="F8">
        <v>0.42199999999999999</v>
      </c>
    </row>
    <row r="9" spans="1:13" x14ac:dyDescent="0.2">
      <c r="A9" s="25" t="s">
        <v>674</v>
      </c>
      <c r="D9">
        <v>0.434</v>
      </c>
      <c r="E9">
        <v>0.434</v>
      </c>
      <c r="F9">
        <v>0.379</v>
      </c>
      <c r="G9">
        <v>0.379</v>
      </c>
    </row>
    <row r="10" spans="1:13" x14ac:dyDescent="0.2">
      <c r="A10" s="25" t="s">
        <v>675</v>
      </c>
      <c r="D10">
        <v>0.36499999999999999</v>
      </c>
      <c r="E10">
        <v>0.36499999999999999</v>
      </c>
      <c r="F10">
        <v>0.33</v>
      </c>
      <c r="G10">
        <v>0.33</v>
      </c>
    </row>
    <row r="11" spans="1:13" x14ac:dyDescent="0.2">
      <c r="A11" s="25" t="s">
        <v>676</v>
      </c>
      <c r="B11" t="s">
        <v>673</v>
      </c>
      <c r="D11" s="12">
        <v>3381000</v>
      </c>
      <c r="E11" s="12">
        <v>4639000</v>
      </c>
      <c r="F11" s="12">
        <v>3162000</v>
      </c>
      <c r="G11" s="12">
        <v>3449000</v>
      </c>
      <c r="H11" t="s">
        <v>668</v>
      </c>
      <c r="J11" t="s">
        <v>668</v>
      </c>
    </row>
    <row r="12" spans="1:13" x14ac:dyDescent="0.2">
      <c r="A12" s="25" t="s">
        <v>677</v>
      </c>
      <c r="D12" s="12">
        <v>2987000</v>
      </c>
      <c r="E12" s="12">
        <v>4099000</v>
      </c>
      <c r="F12" s="12">
        <v>2837000</v>
      </c>
      <c r="G12" s="12">
        <v>3095000</v>
      </c>
      <c r="I12" t="s">
        <v>668</v>
      </c>
    </row>
    <row r="13" spans="1:13" x14ac:dyDescent="0.2">
      <c r="A13" s="25" t="s">
        <v>678</v>
      </c>
      <c r="D13" s="12">
        <v>1910000</v>
      </c>
      <c r="E13" s="12">
        <v>2275000</v>
      </c>
      <c r="F13" s="12">
        <v>2313000</v>
      </c>
      <c r="G13" s="12">
        <v>2401000</v>
      </c>
      <c r="I13" t="s">
        <v>668</v>
      </c>
    </row>
    <row r="14" spans="1:13" x14ac:dyDescent="0.2">
      <c r="A14" s="25" t="s">
        <v>679</v>
      </c>
      <c r="D14">
        <v>2021</v>
      </c>
      <c r="E14">
        <v>2022</v>
      </c>
    </row>
    <row r="15" spans="1:13" x14ac:dyDescent="0.2">
      <c r="A15" s="25" t="s">
        <v>680</v>
      </c>
      <c r="B15" t="s">
        <v>681</v>
      </c>
      <c r="C15" t="s">
        <v>682</v>
      </c>
      <c r="D15" t="s">
        <v>681</v>
      </c>
      <c r="E15" t="s">
        <v>682</v>
      </c>
    </row>
    <row r="16" spans="1:13" x14ac:dyDescent="0.2">
      <c r="A16" s="25" t="s">
        <v>683</v>
      </c>
      <c r="B16" t="s">
        <v>682</v>
      </c>
      <c r="C16" t="s">
        <v>681</v>
      </c>
      <c r="D16" t="s">
        <v>682</v>
      </c>
      <c r="E16" t="s">
        <v>681</v>
      </c>
    </row>
    <row r="17" spans="1:14" x14ac:dyDescent="0.2">
      <c r="A17" s="25" t="s">
        <v>684</v>
      </c>
      <c r="B17" t="s">
        <v>685</v>
      </c>
      <c r="C17" t="s">
        <v>682</v>
      </c>
      <c r="D17" t="s">
        <v>681</v>
      </c>
      <c r="E17" t="s">
        <v>682</v>
      </c>
      <c r="F17" t="s">
        <v>681</v>
      </c>
    </row>
    <row r="20" spans="1:14" x14ac:dyDescent="0.2">
      <c r="B20" t="s">
        <v>85</v>
      </c>
      <c r="C20" t="s">
        <v>660</v>
      </c>
      <c r="D20" t="s">
        <v>665</v>
      </c>
      <c r="E20" t="s">
        <v>686</v>
      </c>
      <c r="F20" t="s">
        <v>687</v>
      </c>
      <c r="G20" t="s">
        <v>688</v>
      </c>
      <c r="H20" t="s">
        <v>689</v>
      </c>
      <c r="I20" t="s">
        <v>690</v>
      </c>
      <c r="J20" t="s">
        <v>691</v>
      </c>
      <c r="K20" t="s">
        <v>692</v>
      </c>
      <c r="L20" t="s">
        <v>693</v>
      </c>
      <c r="M20" t="s">
        <v>694</v>
      </c>
      <c r="N20" t="s">
        <v>695</v>
      </c>
    </row>
    <row r="21" spans="1:14" x14ac:dyDescent="0.2">
      <c r="B21" t="s">
        <v>696</v>
      </c>
      <c r="C21">
        <v>0.3</v>
      </c>
      <c r="D21" t="s">
        <v>666</v>
      </c>
      <c r="E21" cm="1">
        <f t="array" ref="E21:E22">TRANSPOSE(F4:G4)</f>
        <v>10184000</v>
      </c>
      <c r="F21" cm="1">
        <f t="array" ref="F21:F22">TRANSPOSE(F5:G5)</f>
        <v>3518000</v>
      </c>
      <c r="G21" cm="1">
        <f t="array" ref="G21:G22">TRANSPOSE(F6:G6)</f>
        <v>6728000</v>
      </c>
      <c r="H21" cm="1">
        <f t="array" ref="H21:H22">TRANSPOSE(F7:G7)</f>
        <v>2689000</v>
      </c>
      <c r="I21">
        <v>0.49099999999999999</v>
      </c>
      <c r="J21">
        <v>0.379</v>
      </c>
      <c r="K21">
        <v>0.33</v>
      </c>
      <c r="L21" cm="1">
        <f t="array" ref="L21:L22">TRANSPOSE(F11:G11)</f>
        <v>3162000</v>
      </c>
      <c r="M21" cm="1">
        <f t="array" ref="M21:M22">TRANSPOSE(F12:G12)</f>
        <v>2837000</v>
      </c>
      <c r="N21" cm="1">
        <f t="array" ref="N21:N22">TRANSPOSE(F13:G13)</f>
        <v>2313000</v>
      </c>
    </row>
    <row r="22" spans="1:14" x14ac:dyDescent="0.2">
      <c r="B22" t="s">
        <v>697</v>
      </c>
      <c r="C22">
        <v>0.3</v>
      </c>
      <c r="D22" t="s">
        <v>666</v>
      </c>
      <c r="E22">
        <v>9437000</v>
      </c>
      <c r="F22">
        <v>3255000</v>
      </c>
      <c r="G22">
        <v>6728000</v>
      </c>
      <c r="H22">
        <v>2689000</v>
      </c>
      <c r="I22">
        <v>0.49099999999999999</v>
      </c>
      <c r="J22">
        <v>0.379</v>
      </c>
      <c r="K22">
        <v>0.33</v>
      </c>
      <c r="L22">
        <v>3449000</v>
      </c>
      <c r="M22">
        <v>3095000</v>
      </c>
      <c r="N22">
        <v>2401000</v>
      </c>
    </row>
    <row r="25" spans="1:14" x14ac:dyDescent="0.2">
      <c r="F25">
        <v>4171000</v>
      </c>
      <c r="G25">
        <v>6653000</v>
      </c>
      <c r="H25">
        <v>2674000</v>
      </c>
      <c r="I25">
        <v>0.49099999999999999</v>
      </c>
      <c r="J25">
        <v>0.434</v>
      </c>
      <c r="K25">
        <v>0.36499999999999999</v>
      </c>
      <c r="L25">
        <v>3381000</v>
      </c>
      <c r="M25">
        <v>2987000</v>
      </c>
      <c r="N25">
        <v>1910000</v>
      </c>
    </row>
    <row r="26" spans="1:14" x14ac:dyDescent="0.2">
      <c r="F26">
        <v>3944000</v>
      </c>
      <c r="G26">
        <v>6653000</v>
      </c>
      <c r="H26">
        <v>2674000</v>
      </c>
      <c r="I26">
        <v>0.49099999999999999</v>
      </c>
      <c r="J26">
        <v>0.434</v>
      </c>
      <c r="K26">
        <v>0.36499999999999999</v>
      </c>
      <c r="L26">
        <v>4639000</v>
      </c>
      <c r="M26">
        <v>4099000</v>
      </c>
      <c r="N26">
        <v>2275000</v>
      </c>
    </row>
    <row r="35" spans="8:9" ht="17" thickBot="1" x14ac:dyDescent="0.25">
      <c r="H35" s="26">
        <v>2025</v>
      </c>
      <c r="I35" s="27">
        <v>2026</v>
      </c>
    </row>
    <row r="36" spans="8:9" x14ac:dyDescent="0.2">
      <c r="H36" s="28">
        <v>0.313</v>
      </c>
      <c r="I36" s="29">
        <v>0.313</v>
      </c>
    </row>
    <row r="37" spans="8:9" x14ac:dyDescent="0.2">
      <c r="H37" s="28">
        <v>5</v>
      </c>
      <c r="I37" s="29">
        <v>5</v>
      </c>
    </row>
    <row r="38" spans="8:9" x14ac:dyDescent="0.2">
      <c r="H38" s="30">
        <v>247137</v>
      </c>
      <c r="I38" s="31">
        <v>247137</v>
      </c>
    </row>
    <row r="39" spans="8:9" x14ac:dyDescent="0.2">
      <c r="H39" s="28">
        <v>0.313</v>
      </c>
      <c r="I39" s="29">
        <v>0.313</v>
      </c>
    </row>
    <row r="40" spans="8:9" x14ac:dyDescent="0.2">
      <c r="H40" s="28">
        <v>0.23474999999999999</v>
      </c>
      <c r="I40" s="29">
        <v>0.23474999999999999</v>
      </c>
    </row>
    <row r="41" spans="8:9" x14ac:dyDescent="0.2">
      <c r="H41" s="28">
        <v>0.23474999999999999</v>
      </c>
      <c r="I41" s="29">
        <v>0.23474999999999999</v>
      </c>
    </row>
    <row r="42" spans="8:9" x14ac:dyDescent="0.2">
      <c r="H42" s="32">
        <f>H38*M</f>
        <v>77353.880999999994</v>
      </c>
      <c r="I42" s="33">
        <f>H42</f>
        <v>77353.880999999994</v>
      </c>
    </row>
    <row r="43" spans="8:9" x14ac:dyDescent="0.2">
      <c r="H43" s="32">
        <f>$H$40*H38</f>
        <v>58015.410749999995</v>
      </c>
      <c r="I43" s="33">
        <f>H43</f>
        <v>58015.410749999995</v>
      </c>
    </row>
    <row r="44" spans="8:9" ht="17" thickBot="1" x14ac:dyDescent="0.25">
      <c r="H44" s="34">
        <f>H43</f>
        <v>58015.410749999995</v>
      </c>
      <c r="I44" s="35">
        <f>I43</f>
        <v>58015.410749999995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8C44-CF28-824B-AAF7-626BFB8A32B8}">
  <dimension ref="A1:BJ449"/>
  <sheetViews>
    <sheetView showGridLines="0" topLeftCell="A177" zoomScale="125" zoomScaleNormal="89" workbookViewId="0">
      <selection activeCell="B202" sqref="B202:T202"/>
    </sheetView>
  </sheetViews>
  <sheetFormatPr baseColWidth="10" defaultRowHeight="16" x14ac:dyDescent="0.2"/>
  <cols>
    <col min="1" max="1" width="10.83203125" style="3"/>
    <col min="2" max="3" width="11" bestFit="1" customWidth="1"/>
    <col min="4" max="6" width="11.1640625" bestFit="1" customWidth="1"/>
    <col min="7" max="7" width="13.33203125" customWidth="1"/>
    <col min="8" max="8" width="12.6640625" customWidth="1"/>
    <col min="9" max="10" width="11" bestFit="1" customWidth="1"/>
    <col min="11" max="11" width="12.1640625" bestFit="1" customWidth="1"/>
    <col min="12" max="62" width="11" bestFit="1" customWidth="1"/>
  </cols>
  <sheetData>
    <row r="1" spans="1:62" s="5" customFormat="1" x14ac:dyDescent="0.2">
      <c r="A1" s="4"/>
      <c r="B1" s="5" t="s">
        <v>0</v>
      </c>
    </row>
    <row r="2" spans="1:62" x14ac:dyDescent="0.2">
      <c r="B2">
        <v>1964</v>
      </c>
    </row>
    <row r="3" spans="1:62" s="5" customFormat="1" x14ac:dyDescent="0.2">
      <c r="A3" s="4"/>
      <c r="B3" s="5" t="s">
        <v>1</v>
      </c>
    </row>
    <row r="4" spans="1:62" x14ac:dyDescent="0.2">
      <c r="B4">
        <v>1982</v>
      </c>
    </row>
    <row r="5" spans="1:62" s="5" customFormat="1" x14ac:dyDescent="0.2">
      <c r="A5" s="4"/>
      <c r="B5" s="5" t="s">
        <v>2</v>
      </c>
    </row>
    <row r="6" spans="1:62" x14ac:dyDescent="0.2">
      <c r="B6">
        <v>1994</v>
      </c>
    </row>
    <row r="7" spans="1:62" s="5" customFormat="1" x14ac:dyDescent="0.2">
      <c r="A7" s="4"/>
      <c r="B7" s="5" t="s">
        <v>3</v>
      </c>
    </row>
    <row r="8" spans="1:62" x14ac:dyDescent="0.2">
      <c r="B8" s="2">
        <v>2024</v>
      </c>
    </row>
    <row r="9" spans="1:62" s="5" customFormat="1" x14ac:dyDescent="0.2">
      <c r="A9" s="4"/>
      <c r="B9" s="5" t="s">
        <v>4</v>
      </c>
    </row>
    <row r="10" spans="1:62" x14ac:dyDescent="0.2">
      <c r="B10">
        <v>1</v>
      </c>
    </row>
    <row r="11" spans="1:62" s="5" customFormat="1" x14ac:dyDescent="0.2">
      <c r="A11" s="4"/>
      <c r="B11" s="5" t="s">
        <v>5</v>
      </c>
    </row>
    <row r="12" spans="1:62" x14ac:dyDescent="0.2">
      <c r="B12">
        <v>15</v>
      </c>
    </row>
    <row r="13" spans="1:62" s="5" customFormat="1" x14ac:dyDescent="0.2">
      <c r="A13" s="4"/>
      <c r="B13" s="5" t="s">
        <v>6</v>
      </c>
    </row>
    <row r="14" spans="1:62" x14ac:dyDescent="0.2">
      <c r="B14">
        <v>0</v>
      </c>
      <c r="C14">
        <v>8.0000000000000002E-3</v>
      </c>
      <c r="D14">
        <v>0.28899999999999998</v>
      </c>
      <c r="E14">
        <v>0.64100000000000001</v>
      </c>
      <c r="F14">
        <v>0.84199999999999997</v>
      </c>
      <c r="G14">
        <v>0.90100000000000002</v>
      </c>
      <c r="H14">
        <v>0.94699999999999995</v>
      </c>
      <c r="I14">
        <v>0.96299999999999997</v>
      </c>
      <c r="J14">
        <v>0.97</v>
      </c>
      <c r="K14">
        <v>1</v>
      </c>
      <c r="L14">
        <v>1</v>
      </c>
      <c r="M14">
        <v>1</v>
      </c>
      <c r="N14">
        <v>1</v>
      </c>
      <c r="O14">
        <v>1</v>
      </c>
      <c r="P14">
        <v>1</v>
      </c>
    </row>
    <row r="15" spans="1:62" s="5" customFormat="1" x14ac:dyDescent="0.2">
      <c r="A15" s="4"/>
      <c r="B15" s="5" t="s">
        <v>7</v>
      </c>
    </row>
    <row r="16" spans="1:62" x14ac:dyDescent="0.2">
      <c r="B16">
        <v>8</v>
      </c>
      <c r="C16">
        <v>7</v>
      </c>
      <c r="D16">
        <v>2</v>
      </c>
      <c r="E16">
        <v>9</v>
      </c>
      <c r="F16">
        <v>7</v>
      </c>
      <c r="G16">
        <v>7</v>
      </c>
      <c r="H16">
        <v>7</v>
      </c>
      <c r="I16">
        <v>7</v>
      </c>
      <c r="J16">
        <v>8</v>
      </c>
      <c r="K16">
        <v>6</v>
      </c>
      <c r="L16">
        <v>5</v>
      </c>
      <c r="M16">
        <v>7</v>
      </c>
      <c r="N16">
        <v>8</v>
      </c>
      <c r="O16">
        <v>8</v>
      </c>
      <c r="P16">
        <v>7</v>
      </c>
      <c r="Q16">
        <v>5</v>
      </c>
      <c r="R16">
        <v>4</v>
      </c>
      <c r="S16">
        <v>6</v>
      </c>
      <c r="T16">
        <v>7</v>
      </c>
      <c r="U16">
        <v>8</v>
      </c>
      <c r="V16">
        <v>3</v>
      </c>
      <c r="W16">
        <v>7</v>
      </c>
      <c r="X16">
        <v>7</v>
      </c>
      <c r="Y16">
        <v>7</v>
      </c>
      <c r="Z16">
        <v>7</v>
      </c>
      <c r="AA16">
        <v>8</v>
      </c>
      <c r="AB16">
        <v>4</v>
      </c>
      <c r="AC16">
        <v>6</v>
      </c>
      <c r="AD16">
        <v>2</v>
      </c>
      <c r="AE16">
        <v>1</v>
      </c>
      <c r="AF16">
        <v>6</v>
      </c>
      <c r="AG16">
        <v>6</v>
      </c>
      <c r="AH16">
        <v>4</v>
      </c>
      <c r="AI16">
        <v>4</v>
      </c>
      <c r="AJ16">
        <v>10</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c r="BI16">
        <v>4</v>
      </c>
      <c r="BJ16" s="2">
        <v>4</v>
      </c>
    </row>
    <row r="17" spans="1:62" x14ac:dyDescent="0.2">
      <c r="B17">
        <v>5</v>
      </c>
      <c r="C17">
        <v>6</v>
      </c>
      <c r="D17">
        <v>6</v>
      </c>
      <c r="E17">
        <v>8</v>
      </c>
      <c r="F17">
        <v>5</v>
      </c>
      <c r="G17">
        <v>8</v>
      </c>
      <c r="H17">
        <v>5</v>
      </c>
      <c r="I17">
        <v>4</v>
      </c>
      <c r="J17">
        <v>8</v>
      </c>
      <c r="K17">
        <v>4</v>
      </c>
      <c r="L17">
        <v>5</v>
      </c>
      <c r="M17">
        <v>5</v>
      </c>
      <c r="N17">
        <v>6</v>
      </c>
      <c r="O17">
        <v>5</v>
      </c>
      <c r="P17">
        <v>8</v>
      </c>
      <c r="Q17">
        <v>11</v>
      </c>
      <c r="R17">
        <v>6</v>
      </c>
      <c r="S17">
        <v>7</v>
      </c>
      <c r="T17">
        <v>9</v>
      </c>
      <c r="U17">
        <v>10</v>
      </c>
      <c r="V17">
        <v>4</v>
      </c>
      <c r="W17">
        <v>4</v>
      </c>
      <c r="X17">
        <v>6</v>
      </c>
      <c r="Y17">
        <v>5</v>
      </c>
      <c r="Z17">
        <v>7</v>
      </c>
      <c r="AA17">
        <v>9</v>
      </c>
      <c r="AB17">
        <v>5</v>
      </c>
      <c r="AC17">
        <v>7</v>
      </c>
      <c r="AD17">
        <v>3</v>
      </c>
      <c r="AE17">
        <v>5</v>
      </c>
      <c r="AF17">
        <v>3</v>
      </c>
      <c r="AG17">
        <v>5</v>
      </c>
      <c r="AH17">
        <v>4</v>
      </c>
      <c r="AI17">
        <v>6</v>
      </c>
      <c r="AJ17">
        <v>11</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s="2">
        <v>4</v>
      </c>
    </row>
    <row r="18" spans="1:62" s="5" customFormat="1" x14ac:dyDescent="0.2">
      <c r="A18" s="4"/>
      <c r="B18" s="5" t="s">
        <v>8</v>
      </c>
    </row>
    <row r="19" spans="1:62" x14ac:dyDescent="0.2">
      <c r="A19" s="3">
        <v>1964</v>
      </c>
      <c r="B19">
        <v>6.6E-3</v>
      </c>
      <c r="C19">
        <v>0.17</v>
      </c>
      <c r="D19">
        <v>0.30299999999999999</v>
      </c>
      <c r="E19">
        <v>0.44700000000000001</v>
      </c>
      <c r="F19">
        <v>0.58899999999999997</v>
      </c>
      <c r="G19">
        <v>0.72199999999999998</v>
      </c>
      <c r="H19">
        <v>0.84</v>
      </c>
      <c r="I19">
        <v>0.94199999999999995</v>
      </c>
      <c r="J19">
        <v>1.0289999999999999</v>
      </c>
      <c r="K19">
        <v>1.1020000000000001</v>
      </c>
      <c r="L19">
        <v>1.163</v>
      </c>
      <c r="M19">
        <v>1.212</v>
      </c>
      <c r="N19">
        <v>1.2529999999999999</v>
      </c>
      <c r="O19">
        <v>1.286</v>
      </c>
      <c r="P19">
        <v>1.3120000000000001</v>
      </c>
    </row>
    <row r="20" spans="1:62" x14ac:dyDescent="0.2">
      <c r="A20" s="3">
        <f>A19+1</f>
        <v>1965</v>
      </c>
      <c r="B20">
        <v>6.6E-3</v>
      </c>
      <c r="C20">
        <v>0.17</v>
      </c>
      <c r="D20">
        <v>0.30299999999999999</v>
      </c>
      <c r="E20">
        <v>0.44700000000000001</v>
      </c>
      <c r="F20">
        <v>0.58899999999999997</v>
      </c>
      <c r="G20">
        <v>0.72199999999999998</v>
      </c>
      <c r="H20">
        <v>0.84</v>
      </c>
      <c r="I20">
        <v>0.94199999999999995</v>
      </c>
      <c r="J20">
        <v>1.0289999999999999</v>
      </c>
      <c r="K20">
        <v>1.1020000000000001</v>
      </c>
      <c r="L20">
        <v>1.163</v>
      </c>
      <c r="M20">
        <v>1.212</v>
      </c>
      <c r="N20">
        <v>1.2529999999999999</v>
      </c>
      <c r="O20">
        <v>1.286</v>
      </c>
      <c r="P20">
        <v>1.3120000000000001</v>
      </c>
    </row>
    <row r="21" spans="1:62" x14ac:dyDescent="0.2">
      <c r="A21" s="3">
        <f t="shared" ref="A21:A79" si="0">A20+1</f>
        <v>1966</v>
      </c>
      <c r="B21">
        <v>6.6E-3</v>
      </c>
      <c r="C21">
        <v>0.17</v>
      </c>
      <c r="D21">
        <v>0.30299999999999999</v>
      </c>
      <c r="E21">
        <v>0.44700000000000001</v>
      </c>
      <c r="F21">
        <v>0.58899999999999997</v>
      </c>
      <c r="G21">
        <v>0.72199999999999998</v>
      </c>
      <c r="H21">
        <v>0.84</v>
      </c>
      <c r="I21">
        <v>0.94199999999999995</v>
      </c>
      <c r="J21">
        <v>1.0289999999999999</v>
      </c>
      <c r="K21">
        <v>1.1020000000000001</v>
      </c>
      <c r="L21">
        <v>1.163</v>
      </c>
      <c r="M21">
        <v>1.212</v>
      </c>
      <c r="N21">
        <v>1.2529999999999999</v>
      </c>
      <c r="O21">
        <v>1.286</v>
      </c>
      <c r="P21">
        <v>1.3120000000000001</v>
      </c>
    </row>
    <row r="22" spans="1:62" x14ac:dyDescent="0.2">
      <c r="A22" s="3">
        <f t="shared" si="0"/>
        <v>1967</v>
      </c>
      <c r="B22">
        <v>6.6E-3</v>
      </c>
      <c r="C22">
        <v>0.17</v>
      </c>
      <c r="D22">
        <v>0.30299999999999999</v>
      </c>
      <c r="E22">
        <v>0.44700000000000001</v>
      </c>
      <c r="F22">
        <v>0.58899999999999997</v>
      </c>
      <c r="G22">
        <v>0.72199999999999998</v>
      </c>
      <c r="H22">
        <v>0.84</v>
      </c>
      <c r="I22">
        <v>0.94199999999999995</v>
      </c>
      <c r="J22">
        <v>1.0289999999999999</v>
      </c>
      <c r="K22">
        <v>1.1020000000000001</v>
      </c>
      <c r="L22">
        <v>1.163</v>
      </c>
      <c r="M22">
        <v>1.212</v>
      </c>
      <c r="N22">
        <v>1.2529999999999999</v>
      </c>
      <c r="O22">
        <v>1.286</v>
      </c>
      <c r="P22">
        <v>1.3120000000000001</v>
      </c>
    </row>
    <row r="23" spans="1:62" x14ac:dyDescent="0.2">
      <c r="A23" s="3">
        <f t="shared" si="0"/>
        <v>1968</v>
      </c>
      <c r="B23">
        <v>6.6E-3</v>
      </c>
      <c r="C23">
        <v>0.17</v>
      </c>
      <c r="D23">
        <v>0.30299999999999999</v>
      </c>
      <c r="E23">
        <v>0.44700000000000001</v>
      </c>
      <c r="F23">
        <v>0.58899999999999997</v>
      </c>
      <c r="G23">
        <v>0.72199999999999998</v>
      </c>
      <c r="H23">
        <v>0.84</v>
      </c>
      <c r="I23">
        <v>0.94199999999999995</v>
      </c>
      <c r="J23">
        <v>1.0289999999999999</v>
      </c>
      <c r="K23">
        <v>1.1020000000000001</v>
      </c>
      <c r="L23">
        <v>1.163</v>
      </c>
      <c r="M23">
        <v>1.212</v>
      </c>
      <c r="N23">
        <v>1.2529999999999999</v>
      </c>
      <c r="O23">
        <v>1.286</v>
      </c>
      <c r="P23">
        <v>1.3120000000000001</v>
      </c>
    </row>
    <row r="24" spans="1:62" x14ac:dyDescent="0.2">
      <c r="A24" s="3">
        <f t="shared" si="0"/>
        <v>1969</v>
      </c>
      <c r="B24">
        <v>6.6E-3</v>
      </c>
      <c r="C24">
        <v>0.17</v>
      </c>
      <c r="D24">
        <v>0.30299999999999999</v>
      </c>
      <c r="E24">
        <v>0.44700000000000001</v>
      </c>
      <c r="F24">
        <v>0.58899999999999997</v>
      </c>
      <c r="G24">
        <v>0.72199999999999998</v>
      </c>
      <c r="H24">
        <v>0.84</v>
      </c>
      <c r="I24">
        <v>0.94199999999999995</v>
      </c>
      <c r="J24">
        <v>1.0289999999999999</v>
      </c>
      <c r="K24">
        <v>1.1020000000000001</v>
      </c>
      <c r="L24">
        <v>1.163</v>
      </c>
      <c r="M24">
        <v>1.212</v>
      </c>
      <c r="N24">
        <v>1.2529999999999999</v>
      </c>
      <c r="O24">
        <v>1.286</v>
      </c>
      <c r="P24">
        <v>1.3120000000000001</v>
      </c>
    </row>
    <row r="25" spans="1:62" x14ac:dyDescent="0.2">
      <c r="A25" s="3">
        <f t="shared" si="0"/>
        <v>1970</v>
      </c>
      <c r="B25">
        <v>6.6E-3</v>
      </c>
      <c r="C25">
        <v>0.17</v>
      </c>
      <c r="D25">
        <v>0.30299999999999999</v>
      </c>
      <c r="E25">
        <v>0.44700000000000001</v>
      </c>
      <c r="F25">
        <v>0.58899999999999997</v>
      </c>
      <c r="G25">
        <v>0.72199999999999998</v>
      </c>
      <c r="H25">
        <v>0.84</v>
      </c>
      <c r="I25">
        <v>0.94199999999999995</v>
      </c>
      <c r="J25">
        <v>1.0289999999999999</v>
      </c>
      <c r="K25">
        <v>1.1020000000000001</v>
      </c>
      <c r="L25">
        <v>1.163</v>
      </c>
      <c r="M25">
        <v>1.212</v>
      </c>
      <c r="N25">
        <v>1.2529999999999999</v>
      </c>
      <c r="O25">
        <v>1.286</v>
      </c>
      <c r="P25">
        <v>1.3120000000000001</v>
      </c>
    </row>
    <row r="26" spans="1:62" x14ac:dyDescent="0.2">
      <c r="A26" s="3">
        <f t="shared" si="0"/>
        <v>1971</v>
      </c>
      <c r="B26">
        <v>6.6E-3</v>
      </c>
      <c r="C26">
        <v>0.17</v>
      </c>
      <c r="D26">
        <v>0.30299999999999999</v>
      </c>
      <c r="E26">
        <v>0.44700000000000001</v>
      </c>
      <c r="F26">
        <v>0.58899999999999997</v>
      </c>
      <c r="G26">
        <v>0.72199999999999998</v>
      </c>
      <c r="H26">
        <v>0.84</v>
      </c>
      <c r="I26">
        <v>0.94199999999999995</v>
      </c>
      <c r="J26">
        <v>1.0289999999999999</v>
      </c>
      <c r="K26">
        <v>1.1020000000000001</v>
      </c>
      <c r="L26">
        <v>1.163</v>
      </c>
      <c r="M26">
        <v>1.212</v>
      </c>
      <c r="N26">
        <v>1.2529999999999999</v>
      </c>
      <c r="O26">
        <v>1.286</v>
      </c>
      <c r="P26">
        <v>1.3120000000000001</v>
      </c>
    </row>
    <row r="27" spans="1:62" x14ac:dyDescent="0.2">
      <c r="A27" s="3">
        <f t="shared" si="0"/>
        <v>1972</v>
      </c>
      <c r="B27">
        <v>6.6E-3</v>
      </c>
      <c r="C27">
        <v>0.17</v>
      </c>
      <c r="D27">
        <v>0.30299999999999999</v>
      </c>
      <c r="E27">
        <v>0.44700000000000001</v>
      </c>
      <c r="F27">
        <v>0.58899999999999997</v>
      </c>
      <c r="G27">
        <v>0.72199999999999998</v>
      </c>
      <c r="H27">
        <v>0.84</v>
      </c>
      <c r="I27">
        <v>0.94199999999999995</v>
      </c>
      <c r="J27">
        <v>1.0289999999999999</v>
      </c>
      <c r="K27">
        <v>1.1020000000000001</v>
      </c>
      <c r="L27">
        <v>1.163</v>
      </c>
      <c r="M27">
        <v>1.212</v>
      </c>
      <c r="N27">
        <v>1.2529999999999999</v>
      </c>
      <c r="O27">
        <v>1.286</v>
      </c>
      <c r="P27">
        <v>1.3120000000000001</v>
      </c>
    </row>
    <row r="28" spans="1:62" x14ac:dyDescent="0.2">
      <c r="A28" s="3">
        <f t="shared" si="0"/>
        <v>1973</v>
      </c>
      <c r="B28">
        <v>6.6E-3</v>
      </c>
      <c r="C28">
        <v>0.17</v>
      </c>
      <c r="D28">
        <v>0.30299999999999999</v>
      </c>
      <c r="E28">
        <v>0.44700000000000001</v>
      </c>
      <c r="F28">
        <v>0.58899999999999997</v>
      </c>
      <c r="G28">
        <v>0.72199999999999998</v>
      </c>
      <c r="H28">
        <v>0.84</v>
      </c>
      <c r="I28">
        <v>0.94199999999999995</v>
      </c>
      <c r="J28">
        <v>1.0289999999999999</v>
      </c>
      <c r="K28">
        <v>1.1020000000000001</v>
      </c>
      <c r="L28">
        <v>1.163</v>
      </c>
      <c r="M28">
        <v>1.212</v>
      </c>
      <c r="N28">
        <v>1.2529999999999999</v>
      </c>
      <c r="O28">
        <v>1.286</v>
      </c>
      <c r="P28">
        <v>1.3120000000000001</v>
      </c>
    </row>
    <row r="29" spans="1:62" x14ac:dyDescent="0.2">
      <c r="A29" s="3">
        <f t="shared" si="0"/>
        <v>1974</v>
      </c>
      <c r="B29">
        <v>6.6E-3</v>
      </c>
      <c r="C29">
        <v>0.17</v>
      </c>
      <c r="D29">
        <v>0.30299999999999999</v>
      </c>
      <c r="E29">
        <v>0.44700000000000001</v>
      </c>
      <c r="F29">
        <v>0.58899999999999997</v>
      </c>
      <c r="G29">
        <v>0.72199999999999998</v>
      </c>
      <c r="H29">
        <v>0.84</v>
      </c>
      <c r="I29">
        <v>0.94199999999999995</v>
      </c>
      <c r="J29">
        <v>1.0289999999999999</v>
      </c>
      <c r="K29">
        <v>1.1020000000000001</v>
      </c>
      <c r="L29">
        <v>1.163</v>
      </c>
      <c r="M29">
        <v>1.212</v>
      </c>
      <c r="N29">
        <v>1.2529999999999999</v>
      </c>
      <c r="O29">
        <v>1.286</v>
      </c>
      <c r="P29">
        <v>1.3120000000000001</v>
      </c>
    </row>
    <row r="30" spans="1:62" x14ac:dyDescent="0.2">
      <c r="A30" s="3">
        <f t="shared" si="0"/>
        <v>1975</v>
      </c>
      <c r="B30">
        <v>6.6E-3</v>
      </c>
      <c r="C30">
        <v>0.17</v>
      </c>
      <c r="D30">
        <v>0.30299999999999999</v>
      </c>
      <c r="E30">
        <v>0.44700000000000001</v>
      </c>
      <c r="F30">
        <v>0.58899999999999997</v>
      </c>
      <c r="G30">
        <v>0.72199999999999998</v>
      </c>
      <c r="H30">
        <v>0.84</v>
      </c>
      <c r="I30">
        <v>0.94199999999999995</v>
      </c>
      <c r="J30">
        <v>1.0289999999999999</v>
      </c>
      <c r="K30">
        <v>1.1020000000000001</v>
      </c>
      <c r="L30">
        <v>1.163</v>
      </c>
      <c r="M30">
        <v>1.212</v>
      </c>
      <c r="N30">
        <v>1.2529999999999999</v>
      </c>
      <c r="O30">
        <v>1.286</v>
      </c>
      <c r="P30">
        <v>1.3120000000000001</v>
      </c>
    </row>
    <row r="31" spans="1:62" x14ac:dyDescent="0.2">
      <c r="A31" s="3">
        <f t="shared" si="0"/>
        <v>1976</v>
      </c>
      <c r="B31">
        <v>6.6E-3</v>
      </c>
      <c r="C31">
        <v>0.17</v>
      </c>
      <c r="D31">
        <v>0.30299999999999999</v>
      </c>
      <c r="E31">
        <v>0.44700000000000001</v>
      </c>
      <c r="F31">
        <v>0.58899999999999997</v>
      </c>
      <c r="G31">
        <v>0.72199999999999998</v>
      </c>
      <c r="H31">
        <v>0.84</v>
      </c>
      <c r="I31">
        <v>0.94199999999999995</v>
      </c>
      <c r="J31">
        <v>1.0289999999999999</v>
      </c>
      <c r="K31">
        <v>1.1020000000000001</v>
      </c>
      <c r="L31">
        <v>1.163</v>
      </c>
      <c r="M31">
        <v>1.212</v>
      </c>
      <c r="N31">
        <v>1.2529999999999999</v>
      </c>
      <c r="O31">
        <v>1.286</v>
      </c>
      <c r="P31">
        <v>1.3120000000000001</v>
      </c>
    </row>
    <row r="32" spans="1:62" x14ac:dyDescent="0.2">
      <c r="A32" s="3">
        <f t="shared" si="0"/>
        <v>1977</v>
      </c>
      <c r="B32">
        <v>6.6E-3</v>
      </c>
      <c r="C32">
        <v>0.17</v>
      </c>
      <c r="D32">
        <v>0.30299999999999999</v>
      </c>
      <c r="E32">
        <v>0.44700000000000001</v>
      </c>
      <c r="F32">
        <v>0.58899999999999997</v>
      </c>
      <c r="G32">
        <v>0.72199999999999998</v>
      </c>
      <c r="H32">
        <v>0.84</v>
      </c>
      <c r="I32">
        <v>0.94199999999999995</v>
      </c>
      <c r="J32">
        <v>1.0289999999999999</v>
      </c>
      <c r="K32">
        <v>1.1020000000000001</v>
      </c>
      <c r="L32">
        <v>1.163</v>
      </c>
      <c r="M32">
        <v>1.212</v>
      </c>
      <c r="N32">
        <v>1.2529999999999999</v>
      </c>
      <c r="O32">
        <v>1.286</v>
      </c>
      <c r="P32">
        <v>1.3120000000000001</v>
      </c>
    </row>
    <row r="33" spans="1:16" x14ac:dyDescent="0.2">
      <c r="A33" s="3">
        <f t="shared" si="0"/>
        <v>1978</v>
      </c>
      <c r="B33">
        <v>6.6E-3</v>
      </c>
      <c r="C33">
        <v>0.17</v>
      </c>
      <c r="D33">
        <v>0.30299999999999999</v>
      </c>
      <c r="E33">
        <v>0.44700000000000001</v>
      </c>
      <c r="F33">
        <v>0.58899999999999997</v>
      </c>
      <c r="G33">
        <v>0.72199999999999998</v>
      </c>
      <c r="H33">
        <v>0.84</v>
      </c>
      <c r="I33">
        <v>0.94199999999999995</v>
      </c>
      <c r="J33">
        <v>1.0289999999999999</v>
      </c>
      <c r="K33">
        <v>1.1020000000000001</v>
      </c>
      <c r="L33">
        <v>1.163</v>
      </c>
      <c r="M33">
        <v>1.212</v>
      </c>
      <c r="N33">
        <v>1.2529999999999999</v>
      </c>
      <c r="O33">
        <v>1.286</v>
      </c>
      <c r="P33">
        <v>1.3120000000000001</v>
      </c>
    </row>
    <row r="34" spans="1:16" x14ac:dyDescent="0.2">
      <c r="A34" s="3">
        <f t="shared" si="0"/>
        <v>1979</v>
      </c>
      <c r="B34">
        <v>6.6E-3</v>
      </c>
      <c r="C34">
        <v>0.17</v>
      </c>
      <c r="D34">
        <v>0.30299999999999999</v>
      </c>
      <c r="E34">
        <v>0.44700000000000001</v>
      </c>
      <c r="F34">
        <v>0.58899999999999997</v>
      </c>
      <c r="G34">
        <v>0.72199999999999998</v>
      </c>
      <c r="H34">
        <v>0.84</v>
      </c>
      <c r="I34">
        <v>0.94199999999999995</v>
      </c>
      <c r="J34">
        <v>1.0289999999999999</v>
      </c>
      <c r="K34">
        <v>1.1020000000000001</v>
      </c>
      <c r="L34">
        <v>1.163</v>
      </c>
      <c r="M34">
        <v>1.212</v>
      </c>
      <c r="N34">
        <v>1.2529999999999999</v>
      </c>
      <c r="O34">
        <v>1.286</v>
      </c>
      <c r="P34">
        <v>1.3120000000000001</v>
      </c>
    </row>
    <row r="35" spans="1:16" x14ac:dyDescent="0.2">
      <c r="A35" s="3">
        <f t="shared" si="0"/>
        <v>1980</v>
      </c>
      <c r="B35">
        <v>6.6E-3</v>
      </c>
      <c r="C35">
        <v>0.17</v>
      </c>
      <c r="D35">
        <v>0.30299999999999999</v>
      </c>
      <c r="E35">
        <v>0.44700000000000001</v>
      </c>
      <c r="F35">
        <v>0.58899999999999997</v>
      </c>
      <c r="G35">
        <v>0.72199999999999998</v>
      </c>
      <c r="H35">
        <v>0.84</v>
      </c>
      <c r="I35">
        <v>0.94199999999999995</v>
      </c>
      <c r="J35">
        <v>1.0289999999999999</v>
      </c>
      <c r="K35">
        <v>1.1020000000000001</v>
      </c>
      <c r="L35">
        <v>1.163</v>
      </c>
      <c r="M35">
        <v>1.212</v>
      </c>
      <c r="N35">
        <v>1.2529999999999999</v>
      </c>
      <c r="O35">
        <v>1.286</v>
      </c>
      <c r="P35">
        <v>1.3120000000000001</v>
      </c>
    </row>
    <row r="36" spans="1:16" x14ac:dyDescent="0.2">
      <c r="A36" s="3">
        <f t="shared" si="0"/>
        <v>1981</v>
      </c>
      <c r="B36">
        <v>6.6E-3</v>
      </c>
      <c r="C36">
        <v>0.17</v>
      </c>
      <c r="D36">
        <v>0.30299999999999999</v>
      </c>
      <c r="E36">
        <v>0.44700000000000001</v>
      </c>
      <c r="F36">
        <v>0.58899999999999997</v>
      </c>
      <c r="G36">
        <v>0.72199999999999998</v>
      </c>
      <c r="H36">
        <v>0.84</v>
      </c>
      <c r="I36">
        <v>0.94199999999999995</v>
      </c>
      <c r="J36">
        <v>1.0289999999999999</v>
      </c>
      <c r="K36">
        <v>1.1020000000000001</v>
      </c>
      <c r="L36">
        <v>1.163</v>
      </c>
      <c r="M36">
        <v>1.212</v>
      </c>
      <c r="N36">
        <v>1.2529999999999999</v>
      </c>
      <c r="O36">
        <v>1.286</v>
      </c>
      <c r="P36">
        <v>1.3120000000000001</v>
      </c>
    </row>
    <row r="37" spans="1:16" x14ac:dyDescent="0.2">
      <c r="A37" s="3">
        <f t="shared" si="0"/>
        <v>1982</v>
      </c>
      <c r="B37">
        <v>6.6E-3</v>
      </c>
      <c r="C37">
        <v>0.17</v>
      </c>
      <c r="D37">
        <v>0.30299999999999999</v>
      </c>
      <c r="E37">
        <v>0.44700000000000001</v>
      </c>
      <c r="F37">
        <v>0.58899999999999997</v>
      </c>
      <c r="G37">
        <v>0.72199999999999998</v>
      </c>
      <c r="H37">
        <v>0.84</v>
      </c>
      <c r="I37">
        <v>0.94199999999999995</v>
      </c>
      <c r="J37">
        <v>1.0289999999999999</v>
      </c>
      <c r="K37">
        <v>1.1020000000000001</v>
      </c>
      <c r="L37">
        <v>1.163</v>
      </c>
      <c r="M37">
        <v>1.212</v>
      </c>
      <c r="N37">
        <v>1.2529999999999999</v>
      </c>
      <c r="O37">
        <v>1.286</v>
      </c>
      <c r="P37">
        <v>1.3120000000000001</v>
      </c>
    </row>
    <row r="38" spans="1:16" x14ac:dyDescent="0.2">
      <c r="A38" s="3">
        <f t="shared" si="0"/>
        <v>1983</v>
      </c>
      <c r="B38">
        <v>6.6E-3</v>
      </c>
      <c r="C38">
        <v>0.17</v>
      </c>
      <c r="D38">
        <v>0.30299999999999999</v>
      </c>
      <c r="E38">
        <v>0.44700000000000001</v>
      </c>
      <c r="F38">
        <v>0.58899999999999997</v>
      </c>
      <c r="G38">
        <v>0.72199999999999998</v>
      </c>
      <c r="H38">
        <v>0.84</v>
      </c>
      <c r="I38">
        <v>0.94199999999999995</v>
      </c>
      <c r="J38">
        <v>1.0289999999999999</v>
      </c>
      <c r="K38">
        <v>1.1020000000000001</v>
      </c>
      <c r="L38">
        <v>1.163</v>
      </c>
      <c r="M38">
        <v>1.212</v>
      </c>
      <c r="N38">
        <v>1.2529999999999999</v>
      </c>
      <c r="O38">
        <v>1.286</v>
      </c>
      <c r="P38">
        <v>1.3120000000000001</v>
      </c>
    </row>
    <row r="39" spans="1:16" x14ac:dyDescent="0.2">
      <c r="A39" s="3">
        <f t="shared" si="0"/>
        <v>1984</v>
      </c>
      <c r="B39">
        <v>6.6E-3</v>
      </c>
      <c r="C39">
        <v>0.17</v>
      </c>
      <c r="D39">
        <v>0.30299999999999999</v>
      </c>
      <c r="E39">
        <v>0.44700000000000001</v>
      </c>
      <c r="F39">
        <v>0.58899999999999997</v>
      </c>
      <c r="G39">
        <v>0.72199999999999998</v>
      </c>
      <c r="H39">
        <v>0.84</v>
      </c>
      <c r="I39">
        <v>0.94199999999999995</v>
      </c>
      <c r="J39">
        <v>1.0289999999999999</v>
      </c>
      <c r="K39">
        <v>1.1020000000000001</v>
      </c>
      <c r="L39">
        <v>1.163</v>
      </c>
      <c r="M39">
        <v>1.212</v>
      </c>
      <c r="N39">
        <v>1.2529999999999999</v>
      </c>
      <c r="O39">
        <v>1.286</v>
      </c>
      <c r="P39">
        <v>1.3120000000000001</v>
      </c>
    </row>
    <row r="40" spans="1:16" x14ac:dyDescent="0.2">
      <c r="A40" s="3">
        <f t="shared" si="0"/>
        <v>1985</v>
      </c>
      <c r="B40">
        <v>6.6E-3</v>
      </c>
      <c r="C40">
        <v>0.17</v>
      </c>
      <c r="D40">
        <v>0.30299999999999999</v>
      </c>
      <c r="E40">
        <v>0.44700000000000001</v>
      </c>
      <c r="F40">
        <v>0.58899999999999997</v>
      </c>
      <c r="G40">
        <v>0.72199999999999998</v>
      </c>
      <c r="H40">
        <v>0.84</v>
      </c>
      <c r="I40">
        <v>0.94199999999999995</v>
      </c>
      <c r="J40">
        <v>1.0289999999999999</v>
      </c>
      <c r="K40">
        <v>1.1020000000000001</v>
      </c>
      <c r="L40">
        <v>1.163</v>
      </c>
      <c r="M40">
        <v>1.212</v>
      </c>
      <c r="N40">
        <v>1.2529999999999999</v>
      </c>
      <c r="O40">
        <v>1.286</v>
      </c>
      <c r="P40">
        <v>1.3120000000000001</v>
      </c>
    </row>
    <row r="41" spans="1:16" x14ac:dyDescent="0.2">
      <c r="A41" s="3">
        <f t="shared" si="0"/>
        <v>1986</v>
      </c>
      <c r="B41">
        <v>6.6E-3</v>
      </c>
      <c r="C41">
        <v>0.17</v>
      </c>
      <c r="D41">
        <v>0.30299999999999999</v>
      </c>
      <c r="E41">
        <v>0.44700000000000001</v>
      </c>
      <c r="F41">
        <v>0.58899999999999997</v>
      </c>
      <c r="G41">
        <v>0.72199999999999998</v>
      </c>
      <c r="H41">
        <v>0.84</v>
      </c>
      <c r="I41">
        <v>0.94199999999999995</v>
      </c>
      <c r="J41">
        <v>1.0289999999999999</v>
      </c>
      <c r="K41">
        <v>1.1020000000000001</v>
      </c>
      <c r="L41">
        <v>1.163</v>
      </c>
      <c r="M41">
        <v>1.212</v>
      </c>
      <c r="N41">
        <v>1.2529999999999999</v>
      </c>
      <c r="O41">
        <v>1.286</v>
      </c>
      <c r="P41">
        <v>1.3120000000000001</v>
      </c>
    </row>
    <row r="42" spans="1:16" x14ac:dyDescent="0.2">
      <c r="A42" s="3">
        <f t="shared" si="0"/>
        <v>1987</v>
      </c>
      <c r="B42">
        <v>6.6E-3</v>
      </c>
      <c r="C42">
        <v>0.17</v>
      </c>
      <c r="D42">
        <v>0.30299999999999999</v>
      </c>
      <c r="E42">
        <v>0.44700000000000001</v>
      </c>
      <c r="F42">
        <v>0.58899999999999997</v>
      </c>
      <c r="G42">
        <v>0.72199999999999998</v>
      </c>
      <c r="H42">
        <v>0.84</v>
      </c>
      <c r="I42">
        <v>0.94199999999999995</v>
      </c>
      <c r="J42">
        <v>1.0289999999999999</v>
      </c>
      <c r="K42">
        <v>1.1020000000000001</v>
      </c>
      <c r="L42">
        <v>1.163</v>
      </c>
      <c r="M42">
        <v>1.212</v>
      </c>
      <c r="N42">
        <v>1.2529999999999999</v>
      </c>
      <c r="O42">
        <v>1.286</v>
      </c>
      <c r="P42">
        <v>1.3120000000000001</v>
      </c>
    </row>
    <row r="43" spans="1:16" x14ac:dyDescent="0.2">
      <c r="A43" s="3">
        <f t="shared" si="0"/>
        <v>1988</v>
      </c>
      <c r="B43">
        <v>6.6E-3</v>
      </c>
      <c r="C43">
        <v>0.17</v>
      </c>
      <c r="D43">
        <v>0.30299999999999999</v>
      </c>
      <c r="E43">
        <v>0.44700000000000001</v>
      </c>
      <c r="F43">
        <v>0.58899999999999997</v>
      </c>
      <c r="G43">
        <v>0.72199999999999998</v>
      </c>
      <c r="H43">
        <v>0.84</v>
      </c>
      <c r="I43">
        <v>0.94199999999999995</v>
      </c>
      <c r="J43">
        <v>1.0289999999999999</v>
      </c>
      <c r="K43">
        <v>1.1020000000000001</v>
      </c>
      <c r="L43">
        <v>1.163</v>
      </c>
      <c r="M43">
        <v>1.212</v>
      </c>
      <c r="N43">
        <v>1.2529999999999999</v>
      </c>
      <c r="O43">
        <v>1.286</v>
      </c>
      <c r="P43">
        <v>1.3120000000000001</v>
      </c>
    </row>
    <row r="44" spans="1:16" x14ac:dyDescent="0.2">
      <c r="A44" s="3">
        <f t="shared" si="0"/>
        <v>1989</v>
      </c>
      <c r="B44">
        <v>6.6E-3</v>
      </c>
      <c r="C44">
        <v>0.17</v>
      </c>
      <c r="D44">
        <v>0.30299999999999999</v>
      </c>
      <c r="E44">
        <v>0.44700000000000001</v>
      </c>
      <c r="F44">
        <v>0.58899999999999997</v>
      </c>
      <c r="G44">
        <v>0.72199999999999998</v>
      </c>
      <c r="H44">
        <v>0.84</v>
      </c>
      <c r="I44">
        <v>0.94199999999999995</v>
      </c>
      <c r="J44">
        <v>1.0289999999999999</v>
      </c>
      <c r="K44">
        <v>1.1020000000000001</v>
      </c>
      <c r="L44">
        <v>1.163</v>
      </c>
      <c r="M44">
        <v>1.212</v>
      </c>
      <c r="N44">
        <v>1.2529999999999999</v>
      </c>
      <c r="O44">
        <v>1.286</v>
      </c>
      <c r="P44">
        <v>1.3120000000000001</v>
      </c>
    </row>
    <row r="45" spans="1:16" x14ac:dyDescent="0.2">
      <c r="A45" s="3">
        <f t="shared" si="0"/>
        <v>1990</v>
      </c>
      <c r="B45">
        <v>6.6E-3</v>
      </c>
      <c r="C45">
        <v>0.17</v>
      </c>
      <c r="D45">
        <v>0.30299999999999999</v>
      </c>
      <c r="E45">
        <v>0.44700000000000001</v>
      </c>
      <c r="F45">
        <v>0.58899999999999997</v>
      </c>
      <c r="G45">
        <v>0.72199999999999998</v>
      </c>
      <c r="H45">
        <v>0.84</v>
      </c>
      <c r="I45">
        <v>0.94199999999999995</v>
      </c>
      <c r="J45">
        <v>1.0289999999999999</v>
      </c>
      <c r="K45">
        <v>1.1020000000000001</v>
      </c>
      <c r="L45">
        <v>1.163</v>
      </c>
      <c r="M45">
        <v>1.212</v>
      </c>
      <c r="N45">
        <v>1.2529999999999999</v>
      </c>
      <c r="O45">
        <v>1.286</v>
      </c>
      <c r="P45">
        <v>1.3120000000000001</v>
      </c>
    </row>
    <row r="46" spans="1:16" x14ac:dyDescent="0.2">
      <c r="A46" s="3">
        <f t="shared" si="0"/>
        <v>1991</v>
      </c>
      <c r="B46">
        <v>6.6E-3</v>
      </c>
      <c r="C46">
        <v>0.149613</v>
      </c>
      <c r="D46">
        <v>0.28452300000000003</v>
      </c>
      <c r="E46">
        <v>0.48249999999999998</v>
      </c>
      <c r="F46">
        <v>0.60438899999999995</v>
      </c>
      <c r="G46">
        <v>0.72995900000000002</v>
      </c>
      <c r="H46">
        <v>0.84377100000000005</v>
      </c>
      <c r="I46">
        <v>0.88239199999999995</v>
      </c>
      <c r="J46">
        <v>1.0201260000000001</v>
      </c>
      <c r="K46">
        <v>1.1225909999999999</v>
      </c>
      <c r="L46">
        <v>1.134854</v>
      </c>
      <c r="M46">
        <v>1.2371589999999999</v>
      </c>
      <c r="N46">
        <v>1.235978</v>
      </c>
      <c r="O46">
        <v>1.2956080000000001</v>
      </c>
      <c r="P46">
        <v>1.2467280000000001</v>
      </c>
    </row>
    <row r="47" spans="1:16" x14ac:dyDescent="0.2">
      <c r="A47" s="3">
        <f t="shared" si="0"/>
        <v>1992</v>
      </c>
      <c r="B47">
        <v>6.6E-3</v>
      </c>
      <c r="C47">
        <v>0.179094</v>
      </c>
      <c r="D47">
        <v>0.39680300000000002</v>
      </c>
      <c r="E47">
        <v>0.46469700000000003</v>
      </c>
      <c r="F47">
        <v>0.65119000000000005</v>
      </c>
      <c r="G47">
        <v>0.71367599999999998</v>
      </c>
      <c r="H47">
        <v>0.81854300000000002</v>
      </c>
      <c r="I47">
        <v>0.98578699999999997</v>
      </c>
      <c r="J47">
        <v>1.0304199999999999</v>
      </c>
      <c r="K47">
        <v>1.199786</v>
      </c>
      <c r="L47">
        <v>1.236505</v>
      </c>
      <c r="M47">
        <v>1.2692399999999999</v>
      </c>
      <c r="N47">
        <v>1.1931400000000001</v>
      </c>
      <c r="O47">
        <v>1.3574299999999999</v>
      </c>
      <c r="P47">
        <v>1.431386</v>
      </c>
    </row>
    <row r="48" spans="1:16" x14ac:dyDescent="0.2">
      <c r="A48" s="3">
        <f t="shared" si="0"/>
        <v>1993</v>
      </c>
      <c r="B48">
        <v>6.6E-3</v>
      </c>
      <c r="C48">
        <v>0.33130999999999999</v>
      </c>
      <c r="D48">
        <v>0.494728</v>
      </c>
      <c r="E48">
        <v>0.61207100000000003</v>
      </c>
      <c r="F48">
        <v>0.65181699999999998</v>
      </c>
      <c r="G48">
        <v>0.77485800000000005</v>
      </c>
      <c r="H48">
        <v>0.93447599999999997</v>
      </c>
      <c r="I48">
        <v>1.062411</v>
      </c>
      <c r="J48">
        <v>1.1977340000000001</v>
      </c>
      <c r="K48">
        <v>1.2404189999999999</v>
      </c>
      <c r="L48">
        <v>1.423335</v>
      </c>
      <c r="M48">
        <v>1.5398320000000001</v>
      </c>
      <c r="N48">
        <v>1.5757289999999999</v>
      </c>
      <c r="O48">
        <v>1.6087020000000001</v>
      </c>
      <c r="P48">
        <v>1.5076879999999999</v>
      </c>
    </row>
    <row r="49" spans="1:16" x14ac:dyDescent="0.2">
      <c r="A49" s="3">
        <f t="shared" si="0"/>
        <v>1994</v>
      </c>
      <c r="B49">
        <v>6.6E-3</v>
      </c>
      <c r="C49">
        <v>0.23309099999999999</v>
      </c>
      <c r="D49">
        <v>0.40005000000000002</v>
      </c>
      <c r="E49">
        <v>0.65162600000000004</v>
      </c>
      <c r="F49">
        <v>0.73238999999999999</v>
      </c>
      <c r="G49">
        <v>0.74580299999999999</v>
      </c>
      <c r="H49">
        <v>0.72697299999999998</v>
      </c>
      <c r="I49">
        <v>1.0700460000000001</v>
      </c>
      <c r="J49">
        <v>1.379894</v>
      </c>
      <c r="K49">
        <v>1.3248629999999999</v>
      </c>
      <c r="L49">
        <v>1.3350200000000001</v>
      </c>
      <c r="M49">
        <v>1.4090069999999999</v>
      </c>
      <c r="N49">
        <v>1.3970400000000001</v>
      </c>
      <c r="O49">
        <v>1.277838</v>
      </c>
      <c r="P49">
        <v>1.369793</v>
      </c>
    </row>
    <row r="50" spans="1:16" x14ac:dyDescent="0.2">
      <c r="A50" s="3">
        <f t="shared" si="0"/>
        <v>1995</v>
      </c>
      <c r="B50">
        <v>6.6E-3</v>
      </c>
      <c r="C50">
        <v>0.15348000000000001</v>
      </c>
      <c r="D50">
        <v>0.38561099999999998</v>
      </c>
      <c r="E50">
        <v>0.50526499999999996</v>
      </c>
      <c r="F50">
        <v>0.728522</v>
      </c>
      <c r="G50">
        <v>0.84324500000000002</v>
      </c>
      <c r="H50">
        <v>0.84729600000000005</v>
      </c>
      <c r="I50">
        <v>0.96959200000000001</v>
      </c>
      <c r="J50">
        <v>1.231843</v>
      </c>
      <c r="K50">
        <v>1.2963020000000001</v>
      </c>
      <c r="L50">
        <v>1.4006780000000001</v>
      </c>
      <c r="M50">
        <v>1.4019509999999999</v>
      </c>
      <c r="N50">
        <v>1.3922330000000001</v>
      </c>
      <c r="O50">
        <v>1.094948</v>
      </c>
      <c r="P50">
        <v>1.305507</v>
      </c>
    </row>
    <row r="51" spans="1:16" x14ac:dyDescent="0.2">
      <c r="A51" s="3">
        <f t="shared" si="0"/>
        <v>1996</v>
      </c>
      <c r="B51">
        <v>6.6E-3</v>
      </c>
      <c r="C51">
        <v>0.29288900000000001</v>
      </c>
      <c r="D51">
        <v>0.33560600000000002</v>
      </c>
      <c r="E51">
        <v>0.44507400000000003</v>
      </c>
      <c r="F51">
        <v>0.68436399999999997</v>
      </c>
      <c r="G51">
        <v>0.79676499999999995</v>
      </c>
      <c r="H51">
        <v>0.94837899999999997</v>
      </c>
      <c r="I51">
        <v>0.95551900000000001</v>
      </c>
      <c r="J51">
        <v>1.025466</v>
      </c>
      <c r="K51">
        <v>1.0996980000000001</v>
      </c>
      <c r="L51">
        <v>1.418002</v>
      </c>
      <c r="M51">
        <v>1.489233</v>
      </c>
      <c r="N51">
        <v>1.520591</v>
      </c>
      <c r="O51">
        <v>1.7019010000000001</v>
      </c>
      <c r="P51">
        <v>1.601963</v>
      </c>
    </row>
    <row r="52" spans="1:16" x14ac:dyDescent="0.2">
      <c r="A52" s="3">
        <f t="shared" si="0"/>
        <v>1997</v>
      </c>
      <c r="B52">
        <v>6.6E-3</v>
      </c>
      <c r="C52">
        <v>0.18718399999999999</v>
      </c>
      <c r="D52">
        <v>0.32671699999999998</v>
      </c>
      <c r="E52">
        <v>0.47687000000000002</v>
      </c>
      <c r="F52">
        <v>0.55904500000000001</v>
      </c>
      <c r="G52">
        <v>0.74756400000000001</v>
      </c>
      <c r="H52">
        <v>0.88880800000000004</v>
      </c>
      <c r="I52">
        <v>1.0740890000000001</v>
      </c>
      <c r="J52">
        <v>1.095178</v>
      </c>
      <c r="K52">
        <v>1.2356579999999999</v>
      </c>
      <c r="L52">
        <v>1.2867249999999999</v>
      </c>
      <c r="M52">
        <v>1.399735</v>
      </c>
      <c r="N52">
        <v>1.5612710000000001</v>
      </c>
      <c r="O52">
        <v>1.363416</v>
      </c>
      <c r="P52">
        <v>1.3377540000000001</v>
      </c>
    </row>
    <row r="53" spans="1:16" x14ac:dyDescent="0.2">
      <c r="A53" s="3">
        <f t="shared" si="0"/>
        <v>1998</v>
      </c>
      <c r="B53">
        <v>6.6E-3</v>
      </c>
      <c r="C53">
        <v>0.19053600000000001</v>
      </c>
      <c r="D53">
        <v>0.36938399999999999</v>
      </c>
      <c r="E53">
        <v>0.58930199999999999</v>
      </c>
      <c r="F53">
        <v>0.61837600000000004</v>
      </c>
      <c r="G53">
        <v>0.62162799999999996</v>
      </c>
      <c r="H53">
        <v>0.77956800000000004</v>
      </c>
      <c r="I53">
        <v>1.0400160000000001</v>
      </c>
      <c r="J53">
        <v>1.169286</v>
      </c>
      <c r="K53">
        <v>1.2758579999999999</v>
      </c>
      <c r="L53">
        <v>1.3161309999999999</v>
      </c>
      <c r="M53">
        <v>1.427718</v>
      </c>
      <c r="N53">
        <v>1.4483630000000001</v>
      </c>
      <c r="O53">
        <v>1.436974</v>
      </c>
      <c r="P53">
        <v>1.5283709999999999</v>
      </c>
    </row>
    <row r="54" spans="1:16" x14ac:dyDescent="0.2">
      <c r="A54" s="3">
        <f t="shared" si="0"/>
        <v>1999</v>
      </c>
      <c r="B54">
        <v>6.6E-3</v>
      </c>
      <c r="C54">
        <v>0.187805</v>
      </c>
      <c r="D54">
        <v>0.40445599999999998</v>
      </c>
      <c r="E54">
        <v>0.50701600000000002</v>
      </c>
      <c r="F54">
        <v>0.64339199999999996</v>
      </c>
      <c r="G54">
        <v>0.70229399999999997</v>
      </c>
      <c r="H54">
        <v>0.72863199999999995</v>
      </c>
      <c r="I54">
        <v>0.89366199999999996</v>
      </c>
      <c r="J54">
        <v>1.0377289999999999</v>
      </c>
      <c r="K54">
        <v>1.2527239999999999</v>
      </c>
      <c r="L54">
        <v>1.2239679999999999</v>
      </c>
      <c r="M54">
        <v>1.42242</v>
      </c>
      <c r="N54">
        <v>0.99487000000000003</v>
      </c>
      <c r="O54">
        <v>1.4022030000000001</v>
      </c>
      <c r="P54">
        <v>1.238645</v>
      </c>
    </row>
    <row r="55" spans="1:16" x14ac:dyDescent="0.2">
      <c r="A55" s="3">
        <f t="shared" si="0"/>
        <v>2000</v>
      </c>
      <c r="B55">
        <v>6.6E-3</v>
      </c>
      <c r="C55">
        <v>0.21770800000000001</v>
      </c>
      <c r="D55">
        <v>0.35296699999999998</v>
      </c>
      <c r="E55">
        <v>0.52565700000000004</v>
      </c>
      <c r="F55">
        <v>0.62991600000000003</v>
      </c>
      <c r="G55">
        <v>0.731738</v>
      </c>
      <c r="H55">
        <v>0.77970799999999996</v>
      </c>
      <c r="I55">
        <v>0.80663799999999997</v>
      </c>
      <c r="J55">
        <v>0.96790500000000002</v>
      </c>
      <c r="K55">
        <v>1.0148429999999999</v>
      </c>
      <c r="L55">
        <v>1.2528760000000001</v>
      </c>
      <c r="M55">
        <v>1.2864180000000001</v>
      </c>
      <c r="N55">
        <v>1.1081369999999999</v>
      </c>
      <c r="O55">
        <v>1.083882</v>
      </c>
      <c r="P55">
        <v>1.358762</v>
      </c>
    </row>
    <row r="56" spans="1:16" x14ac:dyDescent="0.2">
      <c r="A56" s="3">
        <f t="shared" si="0"/>
        <v>2001</v>
      </c>
      <c r="B56">
        <v>6.4999999999999997E-3</v>
      </c>
      <c r="C56">
        <v>0.22672500000000001</v>
      </c>
      <c r="D56">
        <v>0.32898699999999997</v>
      </c>
      <c r="E56">
        <v>0.504776</v>
      </c>
      <c r="F56">
        <v>0.66791199999999995</v>
      </c>
      <c r="G56">
        <v>0.78550399999999998</v>
      </c>
      <c r="H56">
        <v>0.96381399999999995</v>
      </c>
      <c r="I56">
        <v>0.98563999999999996</v>
      </c>
      <c r="J56">
        <v>1.061105</v>
      </c>
      <c r="K56">
        <v>1.132863</v>
      </c>
      <c r="L56">
        <v>1.319515</v>
      </c>
      <c r="M56">
        <v>1.411108</v>
      </c>
      <c r="N56">
        <v>1.568255</v>
      </c>
      <c r="O56">
        <v>1.4723919999999999</v>
      </c>
      <c r="P56">
        <v>1.4949209999999999</v>
      </c>
    </row>
    <row r="57" spans="1:16" x14ac:dyDescent="0.2">
      <c r="A57" s="3">
        <f t="shared" si="0"/>
        <v>2002</v>
      </c>
      <c r="B57">
        <v>6.7000000000000002E-3</v>
      </c>
      <c r="C57">
        <v>0.231265</v>
      </c>
      <c r="D57">
        <v>0.38494299999999998</v>
      </c>
      <c r="E57">
        <v>0.509822</v>
      </c>
      <c r="F57">
        <v>0.66734300000000002</v>
      </c>
      <c r="G57">
        <v>0.798844</v>
      </c>
      <c r="H57">
        <v>0.91085199999999999</v>
      </c>
      <c r="I57">
        <v>1.025741</v>
      </c>
      <c r="J57">
        <v>1.1129640000000001</v>
      </c>
      <c r="K57">
        <v>1.101521</v>
      </c>
      <c r="L57">
        <v>1.283517</v>
      </c>
      <c r="M57">
        <v>1.4421729999999999</v>
      </c>
      <c r="N57">
        <v>1.578749</v>
      </c>
      <c r="O57">
        <v>1.289712</v>
      </c>
      <c r="P57">
        <v>1.5678030000000001</v>
      </c>
    </row>
    <row r="58" spans="1:16" x14ac:dyDescent="0.2">
      <c r="A58" s="3">
        <f t="shared" si="0"/>
        <v>2003</v>
      </c>
      <c r="B58">
        <v>6.4999999999999997E-3</v>
      </c>
      <c r="C58">
        <v>0.27606999999999998</v>
      </c>
      <c r="D58">
        <v>0.48924099999999998</v>
      </c>
      <c r="E58">
        <v>0.54878400000000005</v>
      </c>
      <c r="F58">
        <v>0.65156099999999995</v>
      </c>
      <c r="G58">
        <v>0.76883900000000005</v>
      </c>
      <c r="H58">
        <v>0.86300399999999999</v>
      </c>
      <c r="I58">
        <v>0.95278399999999996</v>
      </c>
      <c r="J58">
        <v>1.08565</v>
      </c>
      <c r="K58">
        <v>1.2015290000000001</v>
      </c>
      <c r="L58">
        <v>1.2115769999999999</v>
      </c>
      <c r="M58">
        <v>1.194453</v>
      </c>
      <c r="N58">
        <v>1.374064</v>
      </c>
      <c r="O58">
        <v>1.354663</v>
      </c>
      <c r="P58">
        <v>1.7094419999999999</v>
      </c>
    </row>
    <row r="59" spans="1:16" x14ac:dyDescent="0.2">
      <c r="A59" s="3">
        <f t="shared" si="0"/>
        <v>2004</v>
      </c>
      <c r="B59">
        <v>6.7000000000000002E-3</v>
      </c>
      <c r="C59">
        <v>0.13478499999999999</v>
      </c>
      <c r="D59">
        <v>0.40848600000000002</v>
      </c>
      <c r="E59">
        <v>0.58389100000000005</v>
      </c>
      <c r="F59">
        <v>0.64124700000000001</v>
      </c>
      <c r="G59">
        <v>0.75987199999999999</v>
      </c>
      <c r="H59">
        <v>0.88763199999999998</v>
      </c>
      <c r="I59">
        <v>0.924377</v>
      </c>
      <c r="J59">
        <v>1.0355049999999999</v>
      </c>
      <c r="K59">
        <v>1.1762520000000001</v>
      </c>
      <c r="L59">
        <v>1.1268119999999999</v>
      </c>
      <c r="M59">
        <v>1.166779</v>
      </c>
      <c r="N59">
        <v>1.3094969999999999</v>
      </c>
      <c r="O59">
        <v>1.2536240000000001</v>
      </c>
      <c r="P59">
        <v>1.184688</v>
      </c>
    </row>
    <row r="60" spans="1:16" x14ac:dyDescent="0.2">
      <c r="A60" s="3">
        <f t="shared" si="0"/>
        <v>2005</v>
      </c>
      <c r="B60">
        <v>6.6E-3</v>
      </c>
      <c r="C60">
        <v>0.28263899999999997</v>
      </c>
      <c r="D60">
        <v>0.35106999999999999</v>
      </c>
      <c r="E60">
        <v>0.50822699999999998</v>
      </c>
      <c r="F60">
        <v>0.64109099999999997</v>
      </c>
      <c r="G60">
        <v>0.74170999999999998</v>
      </c>
      <c r="H60">
        <v>0.88013399999999997</v>
      </c>
      <c r="I60">
        <v>0.959955</v>
      </c>
      <c r="J60">
        <v>1.0616909999999999</v>
      </c>
      <c r="K60">
        <v>1.0742039999999999</v>
      </c>
      <c r="L60">
        <v>1.21628</v>
      </c>
      <c r="M60">
        <v>1.2679849999999999</v>
      </c>
      <c r="N60">
        <v>1.2174879999999999</v>
      </c>
      <c r="O60">
        <v>1.0755049999999999</v>
      </c>
      <c r="P60">
        <v>1.342282</v>
      </c>
    </row>
    <row r="61" spans="1:16" x14ac:dyDescent="0.2">
      <c r="A61" s="3">
        <f t="shared" si="0"/>
        <v>2006</v>
      </c>
      <c r="B61">
        <v>6.6E-3</v>
      </c>
      <c r="C61">
        <v>0.174065</v>
      </c>
      <c r="D61">
        <v>0.30552200000000002</v>
      </c>
      <c r="E61">
        <v>0.44837700000000003</v>
      </c>
      <c r="F61">
        <v>0.60639900000000002</v>
      </c>
      <c r="G61">
        <v>0.75533099999999997</v>
      </c>
      <c r="H61">
        <v>0.85766500000000001</v>
      </c>
      <c r="I61">
        <v>0.95863100000000001</v>
      </c>
      <c r="J61">
        <v>1.0603100000000001</v>
      </c>
      <c r="K61">
        <v>1.116617</v>
      </c>
      <c r="L61">
        <v>1.1901029999999999</v>
      </c>
      <c r="M61">
        <v>1.2182010000000001</v>
      </c>
      <c r="N61">
        <v>1.279677</v>
      </c>
      <c r="O61">
        <v>1.384137</v>
      </c>
      <c r="P61">
        <v>1.4170780000000001</v>
      </c>
    </row>
    <row r="62" spans="1:16" x14ac:dyDescent="0.2">
      <c r="A62" s="3">
        <f t="shared" si="0"/>
        <v>2007</v>
      </c>
      <c r="B62">
        <v>6.6333329999999999E-3</v>
      </c>
      <c r="C62">
        <v>0.154728</v>
      </c>
      <c r="D62">
        <v>0.34900599999999998</v>
      </c>
      <c r="E62">
        <v>0.50743300000000002</v>
      </c>
      <c r="F62">
        <v>0.64234500000000005</v>
      </c>
      <c r="G62">
        <v>0.78293400000000002</v>
      </c>
      <c r="H62">
        <v>0.960534</v>
      </c>
      <c r="I62">
        <v>1.1003240000000001</v>
      </c>
      <c r="J62">
        <v>1.192178</v>
      </c>
      <c r="K62">
        <v>1.266491</v>
      </c>
      <c r="L62">
        <v>1.3268930000000001</v>
      </c>
      <c r="M62">
        <v>1.4877260000000001</v>
      </c>
      <c r="N62">
        <v>1.4437880000000001</v>
      </c>
      <c r="O62">
        <v>1.7285440000000001</v>
      </c>
      <c r="P62">
        <v>1.511781</v>
      </c>
    </row>
    <row r="63" spans="1:16" x14ac:dyDescent="0.2">
      <c r="A63" s="3">
        <f t="shared" si="0"/>
        <v>2008</v>
      </c>
      <c r="B63">
        <v>6.6111110000000002E-3</v>
      </c>
      <c r="C63">
        <v>0.2076326</v>
      </c>
      <c r="D63">
        <v>0.32822200000000001</v>
      </c>
      <c r="E63">
        <v>0.51871400000000001</v>
      </c>
      <c r="F63">
        <v>0.65268899999999996</v>
      </c>
      <c r="G63">
        <v>0.77393699999999999</v>
      </c>
      <c r="H63">
        <v>0.89990499999999995</v>
      </c>
      <c r="I63">
        <v>1.054227</v>
      </c>
      <c r="J63">
        <v>1.1165659999999999</v>
      </c>
      <c r="K63">
        <v>1.288861</v>
      </c>
      <c r="L63">
        <v>1.452421</v>
      </c>
      <c r="M63">
        <v>1.5277050000000001</v>
      </c>
      <c r="N63">
        <v>1.56043</v>
      </c>
      <c r="O63">
        <v>1.8735520000000001</v>
      </c>
      <c r="P63">
        <v>1.6446879999999999</v>
      </c>
    </row>
    <row r="64" spans="1:16" x14ac:dyDescent="0.2">
      <c r="A64" s="3">
        <f t="shared" si="0"/>
        <v>2009</v>
      </c>
      <c r="B64">
        <v>6.6044440000000001E-3</v>
      </c>
      <c r="C64">
        <v>0.135797</v>
      </c>
      <c r="D64">
        <v>0.33960600000000002</v>
      </c>
      <c r="E64">
        <v>0.52512999999999999</v>
      </c>
      <c r="F64">
        <v>0.70476799999999995</v>
      </c>
      <c r="G64">
        <v>0.87862600000000002</v>
      </c>
      <c r="H64">
        <v>0.999417</v>
      </c>
      <c r="I64">
        <v>1.1304920000000001</v>
      </c>
      <c r="J64">
        <v>1.3982870000000001</v>
      </c>
      <c r="K64">
        <v>1.479225</v>
      </c>
      <c r="L64">
        <v>1.5578810000000001</v>
      </c>
      <c r="M64">
        <v>1.576152</v>
      </c>
      <c r="N64">
        <v>1.8069390000000001</v>
      </c>
      <c r="O64">
        <v>2.0257019999999999</v>
      </c>
      <c r="P64">
        <v>2.2220789999999999</v>
      </c>
    </row>
    <row r="65" spans="1:16" x14ac:dyDescent="0.2">
      <c r="A65" s="3">
        <f t="shared" si="0"/>
        <v>2010</v>
      </c>
      <c r="B65">
        <v>4.9767699999999998E-2</v>
      </c>
      <c r="C65">
        <v>0.17485600000000001</v>
      </c>
      <c r="D65">
        <v>0.38077299999999997</v>
      </c>
      <c r="E65">
        <v>0.48998900000000001</v>
      </c>
      <c r="F65">
        <v>0.66752999999999996</v>
      </c>
      <c r="G65">
        <v>0.90904700000000005</v>
      </c>
      <c r="H65">
        <v>1.1142650000000001</v>
      </c>
      <c r="I65">
        <v>1.276856</v>
      </c>
      <c r="J65">
        <v>1.3736079999999999</v>
      </c>
      <c r="K65">
        <v>1.5857559999999999</v>
      </c>
      <c r="L65">
        <v>1.679019</v>
      </c>
      <c r="M65">
        <v>1.9234530000000001</v>
      </c>
      <c r="N65">
        <v>1.9479040000000001</v>
      </c>
      <c r="O65">
        <v>2.0770390000000001</v>
      </c>
      <c r="P65">
        <v>2.2711610000000002</v>
      </c>
    </row>
    <row r="66" spans="1:16" x14ac:dyDescent="0.2">
      <c r="A66" s="3">
        <f t="shared" si="0"/>
        <v>2011</v>
      </c>
      <c r="B66">
        <v>3.0688206999999999E-2</v>
      </c>
      <c r="C66">
        <v>0.204737208</v>
      </c>
      <c r="D66">
        <v>0.29030600000000001</v>
      </c>
      <c r="E66">
        <v>0.50827699999999998</v>
      </c>
      <c r="F66">
        <v>0.66555200000000003</v>
      </c>
      <c r="G66">
        <v>0.80944099999999997</v>
      </c>
      <c r="H66">
        <v>0.97145899999999996</v>
      </c>
      <c r="I66">
        <v>1.223768</v>
      </c>
      <c r="J66">
        <v>1.3421730000000001</v>
      </c>
      <c r="K66">
        <v>1.513015</v>
      </c>
      <c r="L66">
        <v>1.5817399999999999</v>
      </c>
      <c r="M66">
        <v>1.6233379999999999</v>
      </c>
      <c r="N66">
        <v>2.0795689999999998</v>
      </c>
      <c r="O66">
        <v>1.7072309999999999</v>
      </c>
      <c r="P66">
        <v>2.2422369999999998</v>
      </c>
    </row>
    <row r="67" spans="1:16" x14ac:dyDescent="0.2">
      <c r="A67" s="3">
        <f t="shared" si="0"/>
        <v>2012</v>
      </c>
      <c r="B67">
        <v>2.9020117000000002E-2</v>
      </c>
      <c r="C67">
        <v>0.14197272499999999</v>
      </c>
      <c r="D67">
        <v>0.27060800000000002</v>
      </c>
      <c r="E67">
        <v>0.40947600000000001</v>
      </c>
      <c r="F67">
        <v>0.64321300000000003</v>
      </c>
      <c r="G67">
        <v>0.82413800000000004</v>
      </c>
      <c r="H67">
        <v>0.97392000000000001</v>
      </c>
      <c r="I67">
        <v>1.169735</v>
      </c>
      <c r="J67">
        <v>1.302818</v>
      </c>
      <c r="K67">
        <v>1.5094510000000001</v>
      </c>
      <c r="L67">
        <v>1.5988690000000001</v>
      </c>
      <c r="M67">
        <v>1.6366750000000001</v>
      </c>
      <c r="N67">
        <v>1.680013</v>
      </c>
      <c r="O67">
        <v>2.0311520000000001</v>
      </c>
      <c r="P67">
        <v>2.0621330000000002</v>
      </c>
    </row>
    <row r="68" spans="1:16" x14ac:dyDescent="0.2">
      <c r="A68" s="3">
        <f t="shared" si="0"/>
        <v>2013</v>
      </c>
      <c r="B68">
        <v>9.4955100000000001E-2</v>
      </c>
      <c r="C68">
        <v>0.1439405</v>
      </c>
      <c r="D68">
        <v>0.28956500000000002</v>
      </c>
      <c r="E68">
        <v>0.44213799999999998</v>
      </c>
      <c r="F68">
        <v>0.56446200000000002</v>
      </c>
      <c r="G68">
        <v>0.78057200000000004</v>
      </c>
      <c r="H68">
        <v>1.1301079999999999</v>
      </c>
      <c r="I68">
        <v>1.2814719999999999</v>
      </c>
      <c r="J68">
        <v>1.439581</v>
      </c>
      <c r="K68">
        <v>1.684725</v>
      </c>
      <c r="L68">
        <v>1.8273520000000001</v>
      </c>
      <c r="M68">
        <v>1.7857339999999999</v>
      </c>
      <c r="N68">
        <v>1.9339040000000001</v>
      </c>
      <c r="O68">
        <v>2.1590829999999999</v>
      </c>
      <c r="P68">
        <v>2.1821830000000002</v>
      </c>
    </row>
    <row r="69" spans="1:16" x14ac:dyDescent="0.2">
      <c r="A69" s="3">
        <f t="shared" si="0"/>
        <v>2014</v>
      </c>
      <c r="B69">
        <v>1.4342608999999999E-2</v>
      </c>
      <c r="C69">
        <v>0.19287000000000001</v>
      </c>
      <c r="D69">
        <v>0.31882100000000002</v>
      </c>
      <c r="E69">
        <v>0.45413199999999998</v>
      </c>
      <c r="F69">
        <v>0.61687899999999996</v>
      </c>
      <c r="G69">
        <v>0.75125600000000003</v>
      </c>
      <c r="H69">
        <v>0.89385599999999998</v>
      </c>
      <c r="I69">
        <v>1.156345</v>
      </c>
      <c r="J69">
        <v>1.306716</v>
      </c>
      <c r="K69">
        <v>1.386355</v>
      </c>
      <c r="L69">
        <v>1.669198</v>
      </c>
      <c r="M69">
        <v>1.7733479999999999</v>
      </c>
      <c r="N69">
        <v>1.704242</v>
      </c>
      <c r="O69">
        <v>1.623389</v>
      </c>
      <c r="P69">
        <v>2.2152340000000001</v>
      </c>
    </row>
    <row r="70" spans="1:16" x14ac:dyDescent="0.2">
      <c r="A70" s="3">
        <f t="shared" si="0"/>
        <v>2015</v>
      </c>
      <c r="B70">
        <v>2.5182262E-2</v>
      </c>
      <c r="C70">
        <v>0.18132380300000001</v>
      </c>
      <c r="D70">
        <v>0.40399499999999999</v>
      </c>
      <c r="E70">
        <v>0.46221099999999998</v>
      </c>
      <c r="F70">
        <v>0.57057999999999998</v>
      </c>
      <c r="G70">
        <v>0.69025599999999998</v>
      </c>
      <c r="H70">
        <v>0.78607400000000005</v>
      </c>
      <c r="I70">
        <v>0.88670800000000005</v>
      </c>
      <c r="J70">
        <v>1.1407210000000001</v>
      </c>
      <c r="K70">
        <v>1.1952959999999999</v>
      </c>
      <c r="L70">
        <v>1.3154060000000001</v>
      </c>
      <c r="M70">
        <v>1.670917</v>
      </c>
      <c r="N70">
        <v>1.389203</v>
      </c>
      <c r="O70">
        <v>1.5591619999999999</v>
      </c>
      <c r="P70">
        <v>2.6000770000000002</v>
      </c>
    </row>
    <row r="71" spans="1:16" x14ac:dyDescent="0.2">
      <c r="A71" s="3">
        <f t="shared" si="0"/>
        <v>2016</v>
      </c>
      <c r="B71">
        <v>2.5182262E-2</v>
      </c>
      <c r="C71">
        <v>0.18132380300000001</v>
      </c>
      <c r="D71">
        <v>0.40855900000000001</v>
      </c>
      <c r="E71">
        <v>0.53111699999999995</v>
      </c>
      <c r="F71">
        <v>0.55702499999999999</v>
      </c>
      <c r="G71">
        <v>0.64597199999999999</v>
      </c>
      <c r="H71">
        <v>0.73182100000000005</v>
      </c>
      <c r="I71">
        <v>0.799736</v>
      </c>
      <c r="J71">
        <v>0.94050500000000004</v>
      </c>
      <c r="K71">
        <v>1.0434110000000001</v>
      </c>
      <c r="L71">
        <v>1.1779869999999999</v>
      </c>
      <c r="M71">
        <v>0.78776000000000002</v>
      </c>
      <c r="N71">
        <v>0.91117800000000004</v>
      </c>
      <c r="O71">
        <v>1.6839230000000001</v>
      </c>
      <c r="P71">
        <v>1.42947</v>
      </c>
    </row>
    <row r="72" spans="1:16" x14ac:dyDescent="0.2">
      <c r="A72" s="3">
        <f t="shared" si="0"/>
        <v>2017</v>
      </c>
      <c r="B72">
        <v>2.5182262E-2</v>
      </c>
      <c r="C72">
        <v>0.19111972099999999</v>
      </c>
      <c r="D72">
        <v>0.40830699999999998</v>
      </c>
      <c r="E72">
        <v>0.49851600000000001</v>
      </c>
      <c r="F72">
        <v>0.65028699999999995</v>
      </c>
      <c r="G72">
        <v>0.69372100000000003</v>
      </c>
      <c r="H72">
        <v>0.75185199999999996</v>
      </c>
      <c r="I72">
        <v>0.827407</v>
      </c>
      <c r="J72">
        <v>0.89392199999999999</v>
      </c>
      <c r="K72">
        <v>0.91115500000000005</v>
      </c>
      <c r="L72">
        <v>1.027504</v>
      </c>
      <c r="M72">
        <v>0.96131800000000001</v>
      </c>
      <c r="N72">
        <v>1.359364</v>
      </c>
      <c r="O72">
        <v>0.70114799999999999</v>
      </c>
      <c r="P72">
        <v>1.5399970000000001</v>
      </c>
    </row>
    <row r="73" spans="1:16" x14ac:dyDescent="0.2">
      <c r="A73" s="3">
        <f t="shared" si="0"/>
        <v>2018</v>
      </c>
      <c r="B73">
        <v>2.5182262E-2</v>
      </c>
      <c r="C73">
        <v>0.18622176200000001</v>
      </c>
      <c r="D73">
        <v>0.377245</v>
      </c>
      <c r="E73">
        <v>0.46675299999999997</v>
      </c>
      <c r="F73">
        <v>0.57318199999999997</v>
      </c>
      <c r="G73">
        <v>0.73370000000000002</v>
      </c>
      <c r="H73">
        <v>0.808813</v>
      </c>
      <c r="I73">
        <v>0.85316999999999998</v>
      </c>
      <c r="J73">
        <v>0.90635100000000002</v>
      </c>
      <c r="K73">
        <v>1.0388269999999999</v>
      </c>
      <c r="L73">
        <v>0.93559400000000004</v>
      </c>
      <c r="M73">
        <v>1.1100719999999999</v>
      </c>
      <c r="N73">
        <v>1.359364</v>
      </c>
      <c r="O73">
        <v>1.4022030000000001</v>
      </c>
      <c r="P73">
        <v>1.1296409999999999</v>
      </c>
    </row>
    <row r="74" spans="1:16" x14ac:dyDescent="0.2">
      <c r="A74" s="3">
        <f t="shared" si="0"/>
        <v>2019</v>
      </c>
      <c r="B74">
        <v>2.5182262E-2</v>
      </c>
      <c r="C74">
        <v>0.18622176200000001</v>
      </c>
      <c r="D74">
        <v>0.42191200000000001</v>
      </c>
      <c r="E74">
        <v>0.56524700000000005</v>
      </c>
      <c r="F74">
        <v>0.64322500000000005</v>
      </c>
      <c r="G74">
        <v>0.75939800000000002</v>
      </c>
      <c r="H74">
        <v>0.87848300000000001</v>
      </c>
      <c r="I74">
        <v>0.96227600000000002</v>
      </c>
      <c r="J74">
        <v>1.0067980000000001</v>
      </c>
      <c r="K74">
        <v>1.064675</v>
      </c>
      <c r="L74">
        <v>1.034985</v>
      </c>
      <c r="M74">
        <v>1.1818919999999999</v>
      </c>
      <c r="N74">
        <v>0.75417299999999998</v>
      </c>
      <c r="O74">
        <v>1.4022030000000001</v>
      </c>
      <c r="P74">
        <v>1.5399970000000001</v>
      </c>
    </row>
    <row r="75" spans="1:16" x14ac:dyDescent="0.2">
      <c r="A75" s="3">
        <f t="shared" si="0"/>
        <v>2020</v>
      </c>
      <c r="B75">
        <v>2.5182262E-2</v>
      </c>
      <c r="C75">
        <v>0.18622176200000001</v>
      </c>
      <c r="D75">
        <v>0.38727899999999998</v>
      </c>
      <c r="E75">
        <v>0.52157900000000001</v>
      </c>
      <c r="F75">
        <v>0.63198299999999996</v>
      </c>
      <c r="G75">
        <v>0.71557199999999999</v>
      </c>
      <c r="H75">
        <v>0.799211</v>
      </c>
      <c r="I75">
        <v>0.95508099999999996</v>
      </c>
      <c r="J75">
        <v>1.005954</v>
      </c>
      <c r="K75">
        <v>1.0402579999999999</v>
      </c>
      <c r="L75">
        <v>1.189235</v>
      </c>
      <c r="M75">
        <v>1.072451</v>
      </c>
      <c r="N75">
        <v>1.208377</v>
      </c>
      <c r="O75">
        <v>0.96073900000000001</v>
      </c>
      <c r="P75">
        <v>1.5399970000000001</v>
      </c>
    </row>
    <row r="76" spans="1:16" x14ac:dyDescent="0.2">
      <c r="A76" s="3">
        <f t="shared" si="0"/>
        <v>2021</v>
      </c>
      <c r="B76">
        <v>2.5182262E-2</v>
      </c>
      <c r="C76">
        <v>0.18622176200000001</v>
      </c>
      <c r="D76">
        <v>0.393063</v>
      </c>
      <c r="E76">
        <v>0.479856</v>
      </c>
      <c r="F76">
        <v>0.57371499999999997</v>
      </c>
      <c r="G76">
        <v>0.68978200000000001</v>
      </c>
      <c r="H76">
        <v>0.75687300000000002</v>
      </c>
      <c r="I76">
        <v>0.84131599999999995</v>
      </c>
      <c r="J76">
        <v>1.0106580000000001</v>
      </c>
      <c r="K76">
        <v>1.1298109999999999</v>
      </c>
      <c r="L76">
        <v>1.1597489999999999</v>
      </c>
      <c r="M76">
        <v>1.2693300000000001</v>
      </c>
      <c r="N76">
        <v>1.2144999999999999</v>
      </c>
      <c r="O76">
        <v>1.4022030000000001</v>
      </c>
      <c r="P76">
        <v>1.5399970000000001</v>
      </c>
    </row>
    <row r="77" spans="1:16" x14ac:dyDescent="0.2">
      <c r="A77" s="3">
        <f t="shared" si="0"/>
        <v>2022</v>
      </c>
      <c r="B77">
        <v>2.5182262E-2</v>
      </c>
      <c r="C77">
        <v>0.18622176200000001</v>
      </c>
      <c r="D77">
        <v>0.440141</v>
      </c>
      <c r="E77">
        <v>0.50607000000000002</v>
      </c>
      <c r="F77">
        <v>0.57391300000000001</v>
      </c>
      <c r="G77">
        <v>0.72403399999999996</v>
      </c>
      <c r="H77">
        <v>0.83748400000000001</v>
      </c>
      <c r="I77">
        <v>0.88325900000000002</v>
      </c>
      <c r="J77">
        <v>0.98369700000000004</v>
      </c>
      <c r="K77">
        <v>0.97232600000000002</v>
      </c>
      <c r="L77">
        <v>1.271469</v>
      </c>
      <c r="M77">
        <v>1.0442340000000001</v>
      </c>
      <c r="N77">
        <v>1.2345349999999999</v>
      </c>
      <c r="O77">
        <v>0.91030800000000001</v>
      </c>
      <c r="P77">
        <v>1.5399970000000001</v>
      </c>
    </row>
    <row r="78" spans="1:16" x14ac:dyDescent="0.2">
      <c r="A78" s="3">
        <f t="shared" si="0"/>
        <v>2023</v>
      </c>
      <c r="B78">
        <v>2.5182262E-2</v>
      </c>
      <c r="C78">
        <v>0.18622176200000001</v>
      </c>
      <c r="D78">
        <v>0.49244700000000002</v>
      </c>
      <c r="E78">
        <v>0.48164200000000001</v>
      </c>
      <c r="F78">
        <v>0.52442100000000003</v>
      </c>
      <c r="G78">
        <v>0.605881</v>
      </c>
      <c r="H78">
        <v>0.79622999999999999</v>
      </c>
      <c r="I78">
        <v>0.91978199999999999</v>
      </c>
      <c r="J78">
        <v>0.95535499999999995</v>
      </c>
      <c r="K78">
        <v>1.045836</v>
      </c>
      <c r="L78">
        <v>1.0881769999999999</v>
      </c>
      <c r="M78">
        <v>1.267231</v>
      </c>
      <c r="N78">
        <v>1.3546560000000001</v>
      </c>
      <c r="O78">
        <v>1.325267</v>
      </c>
      <c r="P78">
        <v>0.95058200000000004</v>
      </c>
    </row>
    <row r="79" spans="1:16" x14ac:dyDescent="0.2">
      <c r="A79" s="3">
        <f t="shared" si="0"/>
        <v>2024</v>
      </c>
      <c r="B79" s="2">
        <v>2.5182262E-2</v>
      </c>
      <c r="C79" s="2">
        <v>0.18622176200000001</v>
      </c>
      <c r="D79" s="2">
        <f>'wt24.rep'!B202</f>
        <v>0.40133600000000003</v>
      </c>
      <c r="E79" s="2">
        <f>'wt24.rep'!C202</f>
        <v>0.66737299999999999</v>
      </c>
      <c r="F79" s="2">
        <f>'wt24.rep'!D202</f>
        <v>0.66250399999999998</v>
      </c>
      <c r="G79" s="2">
        <f>'wt24.rep'!E202</f>
        <v>0.71954600000000002</v>
      </c>
      <c r="H79" s="2">
        <f>'wt24.rep'!F202</f>
        <v>0.79072900000000002</v>
      </c>
      <c r="I79" s="2">
        <f>'wt24.rep'!G202</f>
        <v>0.90506799999999998</v>
      </c>
      <c r="J79" s="2">
        <f>'wt24.rep'!H202</f>
        <v>1.009136</v>
      </c>
      <c r="K79" s="2">
        <f>'wt24.rep'!I202</f>
        <v>1.061077</v>
      </c>
      <c r="L79" s="2">
        <f>'wt24.rep'!J202</f>
        <v>1.138288</v>
      </c>
      <c r="M79" s="2">
        <f>'wt24.rep'!K202</f>
        <v>1.257056</v>
      </c>
      <c r="N79" s="2">
        <f>'wt24.rep'!L202</f>
        <v>1.2673430000000001</v>
      </c>
      <c r="O79" s="2">
        <f>'wt24.rep'!M202</f>
        <v>1.2899130000000001</v>
      </c>
      <c r="P79" s="2">
        <f>'wt24.rep'!N202</f>
        <v>1.3682540000000001</v>
      </c>
    </row>
    <row r="80" spans="1:16" s="5" customFormat="1" x14ac:dyDescent="0.2">
      <c r="A80" s="4"/>
      <c r="B80" s="5" t="s">
        <v>9</v>
      </c>
    </row>
    <row r="81" spans="1:16" x14ac:dyDescent="0.2">
      <c r="A81" s="3">
        <v>1964</v>
      </c>
      <c r="B81">
        <v>8.4881665999999995E-2</v>
      </c>
      <c r="C81">
        <v>0.195868126</v>
      </c>
      <c r="D81">
        <v>0.31376278800000001</v>
      </c>
      <c r="E81">
        <v>0.459295544</v>
      </c>
      <c r="F81">
        <v>0.58862360199999997</v>
      </c>
      <c r="G81">
        <v>0.69781833100000001</v>
      </c>
      <c r="H81">
        <v>0.79679873899999998</v>
      </c>
      <c r="I81">
        <v>0.91486126300000004</v>
      </c>
      <c r="J81">
        <v>1.0569570109999999</v>
      </c>
      <c r="K81">
        <v>1.147231476</v>
      </c>
      <c r="L81">
        <v>1.290106451</v>
      </c>
      <c r="M81">
        <v>1.3879178889999999</v>
      </c>
      <c r="N81">
        <v>1.4316667599999999</v>
      </c>
      <c r="O81">
        <v>1.4070027190000001</v>
      </c>
      <c r="P81">
        <v>1.522866931</v>
      </c>
    </row>
    <row r="82" spans="1:16" x14ac:dyDescent="0.2">
      <c r="A82" s="3">
        <f>A81+1</f>
        <v>1965</v>
      </c>
      <c r="B82">
        <v>8.4881665999999995E-2</v>
      </c>
      <c r="C82">
        <v>0.195868126</v>
      </c>
      <c r="D82">
        <v>0.31376278800000001</v>
      </c>
      <c r="E82">
        <v>0.459295544</v>
      </c>
      <c r="F82">
        <v>0.58862360199999997</v>
      </c>
      <c r="G82">
        <v>0.69781833100000001</v>
      </c>
      <c r="H82">
        <v>0.79679873899999998</v>
      </c>
      <c r="I82">
        <v>0.91486126300000004</v>
      </c>
      <c r="J82">
        <v>1.0569570109999999</v>
      </c>
      <c r="K82">
        <v>1.147231476</v>
      </c>
      <c r="L82">
        <v>1.290106451</v>
      </c>
      <c r="M82">
        <v>1.3879178889999999</v>
      </c>
      <c r="N82">
        <v>1.4316667599999999</v>
      </c>
      <c r="O82">
        <v>1.4070027190000001</v>
      </c>
      <c r="P82">
        <v>1.522866931</v>
      </c>
    </row>
    <row r="83" spans="1:16" x14ac:dyDescent="0.2">
      <c r="A83" s="3">
        <f t="shared" ref="A83:A141" si="1">A82+1</f>
        <v>1966</v>
      </c>
      <c r="B83">
        <v>8.4881665999999995E-2</v>
      </c>
      <c r="C83">
        <v>0.195868126</v>
      </c>
      <c r="D83">
        <v>0.31376278800000001</v>
      </c>
      <c r="E83">
        <v>0.459295544</v>
      </c>
      <c r="F83">
        <v>0.58862360199999997</v>
      </c>
      <c r="G83">
        <v>0.69781833100000001</v>
      </c>
      <c r="H83">
        <v>0.79679873899999998</v>
      </c>
      <c r="I83">
        <v>0.91486126300000004</v>
      </c>
      <c r="J83">
        <v>1.0569570109999999</v>
      </c>
      <c r="K83">
        <v>1.147231476</v>
      </c>
      <c r="L83">
        <v>1.290106451</v>
      </c>
      <c r="M83">
        <v>1.3879178889999999</v>
      </c>
      <c r="N83">
        <v>1.4316667599999999</v>
      </c>
      <c r="O83">
        <v>1.4070027190000001</v>
      </c>
      <c r="P83">
        <v>1.522866931</v>
      </c>
    </row>
    <row r="84" spans="1:16" x14ac:dyDescent="0.2">
      <c r="A84" s="3">
        <f t="shared" si="1"/>
        <v>1967</v>
      </c>
      <c r="B84">
        <v>8.4881665999999995E-2</v>
      </c>
      <c r="C84">
        <v>0.195868126</v>
      </c>
      <c r="D84">
        <v>0.31376278800000001</v>
      </c>
      <c r="E84">
        <v>0.459295544</v>
      </c>
      <c r="F84">
        <v>0.58862360199999997</v>
      </c>
      <c r="G84">
        <v>0.69781833100000001</v>
      </c>
      <c r="H84">
        <v>0.79679873899999998</v>
      </c>
      <c r="I84">
        <v>0.91486126300000004</v>
      </c>
      <c r="J84">
        <v>1.0569570109999999</v>
      </c>
      <c r="K84">
        <v>1.147231476</v>
      </c>
      <c r="L84">
        <v>1.290106451</v>
      </c>
      <c r="M84">
        <v>1.3879178889999999</v>
      </c>
      <c r="N84">
        <v>1.4316667599999999</v>
      </c>
      <c r="O84">
        <v>1.4070027190000001</v>
      </c>
      <c r="P84">
        <v>1.522866931</v>
      </c>
    </row>
    <row r="85" spans="1:16" x14ac:dyDescent="0.2">
      <c r="A85" s="3">
        <f t="shared" si="1"/>
        <v>1968</v>
      </c>
      <c r="B85">
        <v>8.4881665999999995E-2</v>
      </c>
      <c r="C85">
        <v>0.195868126</v>
      </c>
      <c r="D85">
        <v>0.31376278800000001</v>
      </c>
      <c r="E85">
        <v>0.459295544</v>
      </c>
      <c r="F85">
        <v>0.58862360199999997</v>
      </c>
      <c r="G85">
        <v>0.69781833100000001</v>
      </c>
      <c r="H85">
        <v>0.79679873899999998</v>
      </c>
      <c r="I85">
        <v>0.91486126300000004</v>
      </c>
      <c r="J85">
        <v>1.0569570109999999</v>
      </c>
      <c r="K85">
        <v>1.147231476</v>
      </c>
      <c r="L85">
        <v>1.290106451</v>
      </c>
      <c r="M85">
        <v>1.3879178889999999</v>
      </c>
      <c r="N85">
        <v>1.4316667599999999</v>
      </c>
      <c r="O85">
        <v>1.4070027190000001</v>
      </c>
      <c r="P85">
        <v>1.522866931</v>
      </c>
    </row>
    <row r="86" spans="1:16" x14ac:dyDescent="0.2">
      <c r="A86" s="3">
        <f t="shared" si="1"/>
        <v>1969</v>
      </c>
      <c r="B86">
        <v>8.4881665999999995E-2</v>
      </c>
      <c r="C86">
        <v>0.195868126</v>
      </c>
      <c r="D86">
        <v>0.31376278800000001</v>
      </c>
      <c r="E86">
        <v>0.459295544</v>
      </c>
      <c r="F86">
        <v>0.58862360199999997</v>
      </c>
      <c r="G86">
        <v>0.69781833100000001</v>
      </c>
      <c r="H86">
        <v>0.79679873899999998</v>
      </c>
      <c r="I86">
        <v>0.91486126300000004</v>
      </c>
      <c r="J86">
        <v>1.0569570109999999</v>
      </c>
      <c r="K86">
        <v>1.147231476</v>
      </c>
      <c r="L86">
        <v>1.290106451</v>
      </c>
      <c r="M86">
        <v>1.3879178889999999</v>
      </c>
      <c r="N86">
        <v>1.4316667599999999</v>
      </c>
      <c r="O86">
        <v>1.4070027190000001</v>
      </c>
      <c r="P86">
        <v>1.522866931</v>
      </c>
    </row>
    <row r="87" spans="1:16" x14ac:dyDescent="0.2">
      <c r="A87" s="3">
        <f t="shared" si="1"/>
        <v>1970</v>
      </c>
      <c r="B87">
        <v>8.4881665999999995E-2</v>
      </c>
      <c r="C87">
        <v>0.195868126</v>
      </c>
      <c r="D87">
        <v>0.31107200000000002</v>
      </c>
      <c r="E87">
        <v>0.427458</v>
      </c>
      <c r="F87">
        <v>0.55008999999999997</v>
      </c>
      <c r="G87">
        <v>0.67456199999999999</v>
      </c>
      <c r="H87">
        <v>0.79741499999999998</v>
      </c>
      <c r="I87">
        <v>0.91608100000000003</v>
      </c>
      <c r="J87">
        <v>1.028772</v>
      </c>
      <c r="K87">
        <v>1.134344</v>
      </c>
      <c r="L87">
        <v>1.2321569999999999</v>
      </c>
      <c r="M87">
        <v>1.321963</v>
      </c>
      <c r="N87">
        <v>1.403799</v>
      </c>
      <c r="O87">
        <v>1.477905</v>
      </c>
      <c r="P87">
        <v>1.544656</v>
      </c>
    </row>
    <row r="88" spans="1:16" x14ac:dyDescent="0.2">
      <c r="A88" s="3">
        <f t="shared" si="1"/>
        <v>1971</v>
      </c>
      <c r="B88">
        <v>8.4881665999999995E-2</v>
      </c>
      <c r="C88">
        <v>0.195868126</v>
      </c>
      <c r="D88">
        <v>0.307228</v>
      </c>
      <c r="E88">
        <v>0.45231300000000002</v>
      </c>
      <c r="F88">
        <v>0.57627899999999999</v>
      </c>
      <c r="G88">
        <v>0.70114399999999999</v>
      </c>
      <c r="H88">
        <v>0.82364999999999999</v>
      </c>
      <c r="I88">
        <v>0.94142199999999998</v>
      </c>
      <c r="J88">
        <v>1.0528379999999999</v>
      </c>
      <c r="K88">
        <v>1.1568890000000001</v>
      </c>
      <c r="L88">
        <v>1.2530460000000001</v>
      </c>
      <c r="M88">
        <v>1.3411420000000001</v>
      </c>
      <c r="N88">
        <v>1.421276</v>
      </c>
      <c r="O88">
        <v>1.49373</v>
      </c>
      <c r="P88">
        <v>1.5589120000000001</v>
      </c>
    </row>
    <row r="89" spans="1:16" x14ac:dyDescent="0.2">
      <c r="A89" s="3">
        <f t="shared" si="1"/>
        <v>1972</v>
      </c>
      <c r="B89">
        <v>8.4881665999999995E-2</v>
      </c>
      <c r="C89">
        <v>0.195868126</v>
      </c>
      <c r="D89">
        <v>0.32156800000000002</v>
      </c>
      <c r="E89">
        <v>0.433307</v>
      </c>
      <c r="F89">
        <v>0.58515799999999996</v>
      </c>
      <c r="G89">
        <v>0.711117</v>
      </c>
      <c r="H89">
        <v>0.83422799999999997</v>
      </c>
      <c r="I89">
        <v>0.95219900000000002</v>
      </c>
      <c r="J89">
        <v>1.063499</v>
      </c>
      <c r="K89">
        <v>1.1672020000000001</v>
      </c>
      <c r="L89">
        <v>1.2628490000000001</v>
      </c>
      <c r="M89">
        <v>1.3503309999999999</v>
      </c>
      <c r="N89">
        <v>1.4297930000000001</v>
      </c>
      <c r="O89">
        <v>1.5015529999999999</v>
      </c>
      <c r="P89">
        <v>1.566041</v>
      </c>
    </row>
    <row r="90" spans="1:16" x14ac:dyDescent="0.2">
      <c r="A90" s="3">
        <f t="shared" si="1"/>
        <v>1973</v>
      </c>
      <c r="B90">
        <v>8.4881665999999995E-2</v>
      </c>
      <c r="C90">
        <v>0.195868126</v>
      </c>
      <c r="D90">
        <v>0.313585</v>
      </c>
      <c r="E90">
        <v>0.46498899999999999</v>
      </c>
      <c r="F90">
        <v>0.58442499999999997</v>
      </c>
      <c r="G90">
        <v>0.73854399999999998</v>
      </c>
      <c r="H90">
        <v>0.86250700000000002</v>
      </c>
      <c r="I90">
        <v>0.98045899999999997</v>
      </c>
      <c r="J90">
        <v>1.0910679999999999</v>
      </c>
      <c r="K90">
        <v>1.193594</v>
      </c>
      <c r="L90">
        <v>1.2877369999999999</v>
      </c>
      <c r="M90">
        <v>1.373516</v>
      </c>
      <c r="N90">
        <v>1.4511769999999999</v>
      </c>
      <c r="O90">
        <v>1.5211129999999999</v>
      </c>
      <c r="P90">
        <v>1.5838099999999999</v>
      </c>
    </row>
    <row r="91" spans="1:16" x14ac:dyDescent="0.2">
      <c r="A91" s="3">
        <f t="shared" si="1"/>
        <v>1974</v>
      </c>
      <c r="B91">
        <v>8.4881665999999995E-2</v>
      </c>
      <c r="C91">
        <v>0.195868126</v>
      </c>
      <c r="D91">
        <v>0.32985199999999998</v>
      </c>
      <c r="E91">
        <v>0.45718900000000001</v>
      </c>
      <c r="F91">
        <v>0.61629999999999996</v>
      </c>
      <c r="G91">
        <v>0.73800699999999997</v>
      </c>
      <c r="H91">
        <v>0.890127</v>
      </c>
      <c r="I91">
        <v>1.0089250000000001</v>
      </c>
      <c r="J91">
        <v>1.119505</v>
      </c>
      <c r="K91">
        <v>1.2213290000000001</v>
      </c>
      <c r="L91">
        <v>1.3142830000000001</v>
      </c>
      <c r="M91">
        <v>1.3985449999999999</v>
      </c>
      <c r="N91">
        <v>1.4744900000000001</v>
      </c>
      <c r="O91">
        <v>1.542613</v>
      </c>
      <c r="P91">
        <v>1.603475</v>
      </c>
    </row>
    <row r="92" spans="1:16" x14ac:dyDescent="0.2">
      <c r="A92" s="3">
        <f t="shared" si="1"/>
        <v>1975</v>
      </c>
      <c r="B92">
        <v>8.4881665999999995E-2</v>
      </c>
      <c r="C92">
        <v>0.195868126</v>
      </c>
      <c r="D92">
        <v>0.29899100000000001</v>
      </c>
      <c r="E92">
        <v>0.57931299999999997</v>
      </c>
      <c r="F92">
        <v>0.72003899999999998</v>
      </c>
      <c r="G92">
        <v>0.88309400000000005</v>
      </c>
      <c r="H92">
        <v>1.0013289999999999</v>
      </c>
      <c r="I92">
        <v>1.144476</v>
      </c>
      <c r="J92">
        <v>1.2504690000000001</v>
      </c>
      <c r="K92">
        <v>1.3457870000000001</v>
      </c>
      <c r="L92">
        <v>1.430982</v>
      </c>
      <c r="M92">
        <v>1.5067729999999999</v>
      </c>
      <c r="N92">
        <v>1.573952</v>
      </c>
      <c r="O92">
        <v>1.6333279999999999</v>
      </c>
      <c r="P92">
        <v>1.685689</v>
      </c>
    </row>
    <row r="93" spans="1:16" x14ac:dyDescent="0.2">
      <c r="A93" s="3">
        <f t="shared" si="1"/>
        <v>1976</v>
      </c>
      <c r="B93">
        <v>8.4881665999999995E-2</v>
      </c>
      <c r="C93">
        <v>0.195868126</v>
      </c>
      <c r="D93">
        <v>0.33272800000000002</v>
      </c>
      <c r="E93">
        <v>0.44198300000000001</v>
      </c>
      <c r="F93">
        <v>0.72997900000000004</v>
      </c>
      <c r="G93">
        <v>0.87296600000000002</v>
      </c>
      <c r="H93">
        <v>1.0340309999999999</v>
      </c>
      <c r="I93">
        <v>1.1471229999999999</v>
      </c>
      <c r="J93">
        <v>1.2829299999999999</v>
      </c>
      <c r="K93">
        <v>1.380174</v>
      </c>
      <c r="L93">
        <v>1.4659610000000001</v>
      </c>
      <c r="M93">
        <v>1.5413190000000001</v>
      </c>
      <c r="N93">
        <v>1.6073170000000001</v>
      </c>
      <c r="O93">
        <v>1.6649989999999999</v>
      </c>
      <c r="P93">
        <v>1.7153400000000001</v>
      </c>
    </row>
    <row r="94" spans="1:16" x14ac:dyDescent="0.2">
      <c r="A94" s="3">
        <f t="shared" si="1"/>
        <v>1977</v>
      </c>
      <c r="B94">
        <v>8.4881665999999995E-2</v>
      </c>
      <c r="C94">
        <v>0.195868126</v>
      </c>
      <c r="D94">
        <v>0.29436899999999999</v>
      </c>
      <c r="E94">
        <v>0.63373000000000002</v>
      </c>
      <c r="F94">
        <v>0.75913900000000001</v>
      </c>
      <c r="G94">
        <v>1.051895</v>
      </c>
      <c r="H94">
        <v>1.1906920000000001</v>
      </c>
      <c r="I94">
        <v>1.3409310000000001</v>
      </c>
      <c r="J94">
        <v>1.438571</v>
      </c>
      <c r="K94">
        <v>1.555963</v>
      </c>
      <c r="L94">
        <v>1.633143</v>
      </c>
      <c r="M94">
        <v>1.698221</v>
      </c>
      <c r="N94">
        <v>1.752966</v>
      </c>
      <c r="O94">
        <v>1.798972</v>
      </c>
      <c r="P94">
        <v>1.837634</v>
      </c>
    </row>
    <row r="95" spans="1:16" x14ac:dyDescent="0.2">
      <c r="A95" s="3">
        <f t="shared" si="1"/>
        <v>1978</v>
      </c>
      <c r="B95">
        <v>8.4881665999999995E-2</v>
      </c>
      <c r="C95">
        <v>0.195868126</v>
      </c>
      <c r="D95">
        <v>0.32497500000000001</v>
      </c>
      <c r="E95">
        <v>0.42569899999999999</v>
      </c>
      <c r="F95">
        <v>0.77210800000000002</v>
      </c>
      <c r="G95">
        <v>0.89959299999999998</v>
      </c>
      <c r="H95">
        <v>1.1905209999999999</v>
      </c>
      <c r="I95">
        <v>1.324595</v>
      </c>
      <c r="J95">
        <v>1.468092</v>
      </c>
      <c r="K95">
        <v>1.5576970000000001</v>
      </c>
      <c r="L95">
        <v>1.666336</v>
      </c>
      <c r="M95">
        <v>1.73448</v>
      </c>
      <c r="N95">
        <v>1.790565</v>
      </c>
      <c r="O95">
        <v>1.836587</v>
      </c>
      <c r="P95">
        <v>1.8742939999999999</v>
      </c>
    </row>
    <row r="96" spans="1:16" x14ac:dyDescent="0.2">
      <c r="A96" s="3">
        <f t="shared" si="1"/>
        <v>1979</v>
      </c>
      <c r="B96">
        <v>8.4881665999999995E-2</v>
      </c>
      <c r="C96">
        <v>0.195868126</v>
      </c>
      <c r="D96">
        <v>0.32522000000000001</v>
      </c>
      <c r="E96">
        <v>0.48336699999999999</v>
      </c>
      <c r="F96">
        <v>0.59259099999999998</v>
      </c>
      <c r="G96">
        <v>0.94150500000000004</v>
      </c>
      <c r="H96">
        <v>1.066786</v>
      </c>
      <c r="I96">
        <v>1.352017</v>
      </c>
      <c r="J96">
        <v>1.477959</v>
      </c>
      <c r="K96">
        <v>1.6117669999999999</v>
      </c>
      <c r="L96">
        <v>1.690814</v>
      </c>
      <c r="M96">
        <v>1.7885549999999999</v>
      </c>
      <c r="N96">
        <v>1.845853</v>
      </c>
      <c r="O96">
        <v>1.8914169999999999</v>
      </c>
      <c r="P96">
        <v>1.92743</v>
      </c>
    </row>
    <row r="97" spans="1:16" x14ac:dyDescent="0.2">
      <c r="A97" s="3">
        <f t="shared" si="1"/>
        <v>1980</v>
      </c>
      <c r="B97">
        <v>8.4881665999999995E-2</v>
      </c>
      <c r="C97">
        <v>0.195868126</v>
      </c>
      <c r="D97">
        <v>0.30943599999999999</v>
      </c>
      <c r="E97">
        <v>0.56751600000000002</v>
      </c>
      <c r="F97">
        <v>0.73866699999999996</v>
      </c>
      <c r="G97">
        <v>0.85172300000000001</v>
      </c>
      <c r="H97">
        <v>1.1972640000000001</v>
      </c>
      <c r="I97">
        <v>1.3138300000000001</v>
      </c>
      <c r="J97">
        <v>1.5866229999999999</v>
      </c>
      <c r="K97">
        <v>1.6977420000000001</v>
      </c>
      <c r="L97">
        <v>1.8153980000000001</v>
      </c>
      <c r="M97">
        <v>1.8777759999999999</v>
      </c>
      <c r="N97">
        <v>1.9589240000000001</v>
      </c>
      <c r="O97">
        <v>2.0001289999999998</v>
      </c>
      <c r="P97">
        <v>2.030383</v>
      </c>
    </row>
    <row r="98" spans="1:16" x14ac:dyDescent="0.2">
      <c r="A98" s="3">
        <f t="shared" si="1"/>
        <v>1981</v>
      </c>
      <c r="B98">
        <v>8.4881665999999995E-2</v>
      </c>
      <c r="C98">
        <v>0.195868126</v>
      </c>
      <c r="D98">
        <v>0.29829</v>
      </c>
      <c r="E98">
        <v>0.499527</v>
      </c>
      <c r="F98">
        <v>0.76780899999999996</v>
      </c>
      <c r="G98">
        <v>0.94196500000000005</v>
      </c>
      <c r="H98">
        <v>1.0523750000000001</v>
      </c>
      <c r="I98">
        <v>1.391079</v>
      </c>
      <c r="J98">
        <v>1.497887</v>
      </c>
      <c r="K98">
        <v>1.7590509999999999</v>
      </c>
      <c r="L98">
        <v>1.857499</v>
      </c>
      <c r="M98">
        <v>1.9620770000000001</v>
      </c>
      <c r="N98">
        <v>2.0114369999999999</v>
      </c>
      <c r="O98">
        <v>2.0799590000000001</v>
      </c>
      <c r="P98">
        <v>2.1091530000000001</v>
      </c>
    </row>
    <row r="99" spans="1:16" x14ac:dyDescent="0.2">
      <c r="A99" s="3">
        <f t="shared" si="1"/>
        <v>1982</v>
      </c>
      <c r="B99">
        <v>8.4881665999999995E-2</v>
      </c>
      <c r="C99">
        <v>0.195868126</v>
      </c>
      <c r="D99">
        <v>0.28816000000000003</v>
      </c>
      <c r="E99">
        <v>0.42455599999999999</v>
      </c>
      <c r="F99">
        <v>0.63256900000000005</v>
      </c>
      <c r="G99">
        <v>0.90284799999999998</v>
      </c>
      <c r="H99">
        <v>1.0752470000000001</v>
      </c>
      <c r="I99">
        <v>1.1811149999999999</v>
      </c>
      <c r="J99">
        <v>1.5133380000000001</v>
      </c>
      <c r="K99">
        <v>1.6124210000000001</v>
      </c>
      <c r="L99">
        <v>1.8651679999999999</v>
      </c>
      <c r="M99">
        <v>1.9549289999999999</v>
      </c>
      <c r="N99">
        <v>2.0508600000000001</v>
      </c>
      <c r="O99">
        <v>2.0918329999999998</v>
      </c>
      <c r="P99">
        <v>2.152377</v>
      </c>
    </row>
    <row r="100" spans="1:16" x14ac:dyDescent="0.2">
      <c r="A100" s="3">
        <f t="shared" si="1"/>
        <v>1983</v>
      </c>
      <c r="B100">
        <v>8.4881665999999995E-2</v>
      </c>
      <c r="C100">
        <v>0.195868126</v>
      </c>
      <c r="D100">
        <v>0.33803499999999997</v>
      </c>
      <c r="E100">
        <v>0.465312</v>
      </c>
      <c r="F100">
        <v>0.61121599999999998</v>
      </c>
      <c r="G100">
        <v>0.82203000000000004</v>
      </c>
      <c r="H100">
        <v>1.089842</v>
      </c>
      <c r="I100">
        <v>1.25587</v>
      </c>
      <c r="J100">
        <v>1.3526450000000001</v>
      </c>
      <c r="K100">
        <v>1.674029</v>
      </c>
      <c r="L100">
        <v>1.761304</v>
      </c>
      <c r="M100">
        <v>2.0018630000000002</v>
      </c>
      <c r="N100">
        <v>2.0794920000000001</v>
      </c>
      <c r="O100">
        <v>2.1636570000000002</v>
      </c>
      <c r="P100">
        <v>2.1934369999999999</v>
      </c>
    </row>
    <row r="101" spans="1:16" x14ac:dyDescent="0.2">
      <c r="A101" s="3">
        <f t="shared" si="1"/>
        <v>1984</v>
      </c>
      <c r="B101">
        <v>8.4881665999999995E-2</v>
      </c>
      <c r="C101">
        <v>0.195868126</v>
      </c>
      <c r="D101">
        <v>0.33325199999999999</v>
      </c>
      <c r="E101">
        <v>0.43940000000000001</v>
      </c>
      <c r="F101">
        <v>0.57211699999999999</v>
      </c>
      <c r="G101">
        <v>0.71962400000000004</v>
      </c>
      <c r="H101">
        <v>0.92902700000000005</v>
      </c>
      <c r="I101">
        <v>1.1931940000000001</v>
      </c>
      <c r="J101">
        <v>1.3540179999999999</v>
      </c>
      <c r="K101">
        <v>1.444591</v>
      </c>
      <c r="L101">
        <v>1.7592190000000001</v>
      </c>
      <c r="M101">
        <v>1.8395189999999999</v>
      </c>
      <c r="N101">
        <v>2.073137</v>
      </c>
      <c r="O101">
        <v>2.144034</v>
      </c>
      <c r="P101">
        <v>2.221794</v>
      </c>
    </row>
    <row r="102" spans="1:16" x14ac:dyDescent="0.2">
      <c r="A102" s="3">
        <f t="shared" si="1"/>
        <v>1985</v>
      </c>
      <c r="B102">
        <v>8.4881665999999995E-2</v>
      </c>
      <c r="C102">
        <v>0.195868126</v>
      </c>
      <c r="D102">
        <v>0.36990499999999998</v>
      </c>
      <c r="E102">
        <v>0.47498000000000001</v>
      </c>
      <c r="F102">
        <v>0.58873399999999998</v>
      </c>
      <c r="G102">
        <v>0.723692</v>
      </c>
      <c r="H102">
        <v>0.86922699999999997</v>
      </c>
      <c r="I102">
        <v>1.0735319999999999</v>
      </c>
      <c r="J102">
        <v>1.3304240000000001</v>
      </c>
      <c r="K102">
        <v>1.482577</v>
      </c>
      <c r="L102">
        <v>1.5637030000000001</v>
      </c>
      <c r="M102">
        <v>1.868579</v>
      </c>
      <c r="N102">
        <v>1.9391750000000001</v>
      </c>
      <c r="O102">
        <v>2.1633779999999998</v>
      </c>
      <c r="P102">
        <v>2.22532</v>
      </c>
    </row>
    <row r="103" spans="1:16" x14ac:dyDescent="0.2">
      <c r="A103" s="3">
        <f t="shared" si="1"/>
        <v>1986</v>
      </c>
      <c r="B103">
        <v>8.4881665999999995E-2</v>
      </c>
      <c r="C103">
        <v>0.195868126</v>
      </c>
      <c r="D103">
        <v>0.30423099999999997</v>
      </c>
      <c r="E103">
        <v>0.439473</v>
      </c>
      <c r="F103">
        <v>0.54828200000000005</v>
      </c>
      <c r="G103">
        <v>0.66313599999999995</v>
      </c>
      <c r="H103">
        <v>0.797126</v>
      </c>
      <c r="I103">
        <v>0.94015800000000005</v>
      </c>
      <c r="J103">
        <v>1.1408929999999999</v>
      </c>
      <c r="K103">
        <v>1.3935280000000001</v>
      </c>
      <c r="L103">
        <v>1.5410440000000001</v>
      </c>
      <c r="M103">
        <v>1.617383</v>
      </c>
      <c r="N103">
        <v>1.9174960000000001</v>
      </c>
      <c r="O103">
        <v>1.9834700000000001</v>
      </c>
      <c r="P103">
        <v>2.2032790000000002</v>
      </c>
    </row>
    <row r="104" spans="1:16" x14ac:dyDescent="0.2">
      <c r="A104" s="3">
        <f t="shared" si="1"/>
        <v>1987</v>
      </c>
      <c r="B104">
        <v>8.4881665999999995E-2</v>
      </c>
      <c r="C104">
        <v>0.195868126</v>
      </c>
      <c r="D104">
        <v>0.34939900000000002</v>
      </c>
      <c r="E104">
        <v>0.40203</v>
      </c>
      <c r="F104">
        <v>0.54252100000000003</v>
      </c>
      <c r="G104">
        <v>0.65287700000000004</v>
      </c>
      <c r="H104">
        <v>0.76637</v>
      </c>
      <c r="I104">
        <v>0.89684200000000003</v>
      </c>
      <c r="J104">
        <v>1.034853</v>
      </c>
      <c r="K104">
        <v>1.2296050000000001</v>
      </c>
      <c r="L104">
        <v>1.4757210000000001</v>
      </c>
      <c r="M104">
        <v>1.6165080000000001</v>
      </c>
      <c r="N104">
        <v>1.68615</v>
      </c>
      <c r="O104">
        <v>1.9797670000000001</v>
      </c>
      <c r="P104">
        <v>2.0395620000000001</v>
      </c>
    </row>
    <row r="105" spans="1:16" x14ac:dyDescent="0.2">
      <c r="A105" s="3">
        <f t="shared" si="1"/>
        <v>1988</v>
      </c>
      <c r="B105">
        <v>8.4881665999999995E-2</v>
      </c>
      <c r="C105">
        <v>0.195868126</v>
      </c>
      <c r="D105">
        <v>0.32156800000000002</v>
      </c>
      <c r="E105">
        <v>0.43080099999999999</v>
      </c>
      <c r="F105">
        <v>0.48780099999999998</v>
      </c>
      <c r="G105">
        <v>0.62958000000000003</v>
      </c>
      <c r="H105">
        <v>0.73880199999999996</v>
      </c>
      <c r="I105">
        <v>0.84936699999999998</v>
      </c>
      <c r="J105">
        <v>0.97565999999999997</v>
      </c>
      <c r="K105">
        <v>1.108692</v>
      </c>
      <c r="L105">
        <v>1.298017</v>
      </c>
      <c r="M105">
        <v>1.5385329999999999</v>
      </c>
      <c r="N105">
        <v>1.673746</v>
      </c>
      <c r="O105">
        <v>1.737981</v>
      </c>
      <c r="P105">
        <v>2.0264540000000002</v>
      </c>
    </row>
    <row r="106" spans="1:16" x14ac:dyDescent="0.2">
      <c r="A106" s="3">
        <f t="shared" si="1"/>
        <v>1989</v>
      </c>
      <c r="B106">
        <v>8.4881665999999995E-2</v>
      </c>
      <c r="C106">
        <v>0.195868126</v>
      </c>
      <c r="D106">
        <v>0.275451</v>
      </c>
      <c r="E106">
        <v>0.41253499999999999</v>
      </c>
      <c r="F106">
        <v>0.52664999999999995</v>
      </c>
      <c r="G106">
        <v>0.58508800000000005</v>
      </c>
      <c r="H106">
        <v>0.72560100000000005</v>
      </c>
      <c r="I106">
        <v>0.83155100000000004</v>
      </c>
      <c r="J106">
        <v>0.93744700000000003</v>
      </c>
      <c r="K106">
        <v>1.0581750000000001</v>
      </c>
      <c r="L106">
        <v>1.1851430000000001</v>
      </c>
      <c r="M106">
        <v>1.368209</v>
      </c>
      <c r="N106">
        <v>1.602495</v>
      </c>
      <c r="O106">
        <v>1.7316659999999999</v>
      </c>
      <c r="P106">
        <v>1.790154</v>
      </c>
    </row>
    <row r="107" spans="1:16" x14ac:dyDescent="0.2">
      <c r="A107" s="3">
        <f t="shared" si="1"/>
        <v>1990</v>
      </c>
      <c r="B107">
        <v>8.4881665999999995E-2</v>
      </c>
      <c r="C107">
        <v>0.195868126</v>
      </c>
      <c r="D107">
        <v>0.28947000000000001</v>
      </c>
      <c r="E107">
        <v>0.42264800000000002</v>
      </c>
      <c r="F107">
        <v>0.567631</v>
      </c>
      <c r="G107">
        <v>0.68407399999999996</v>
      </c>
      <c r="H107">
        <v>0.74046400000000001</v>
      </c>
      <c r="I107">
        <v>0.87568199999999996</v>
      </c>
      <c r="J107">
        <v>0.97407600000000005</v>
      </c>
      <c r="K107">
        <v>1.0709660000000001</v>
      </c>
      <c r="L107">
        <v>1.1818820000000001</v>
      </c>
      <c r="M107">
        <v>1.2987230000000001</v>
      </c>
      <c r="N107">
        <v>1.4717100000000001</v>
      </c>
      <c r="O107">
        <v>1.6962189999999999</v>
      </c>
      <c r="P107">
        <v>1.8160890000000001</v>
      </c>
    </row>
    <row r="108" spans="1:16" x14ac:dyDescent="0.2">
      <c r="A108" s="3">
        <f t="shared" si="1"/>
        <v>1991</v>
      </c>
      <c r="B108">
        <v>8.4881665999999995E-2</v>
      </c>
      <c r="C108">
        <v>0.195868126</v>
      </c>
      <c r="D108">
        <f>ssbwt24.rep!B169</f>
        <v>0.30399500000000002</v>
      </c>
      <c r="E108">
        <f>ssbwt24.rep!C169</f>
        <v>0.454876</v>
      </c>
      <c r="F108">
        <f>ssbwt24.rep!D169</f>
        <v>0.59636999999999996</v>
      </c>
      <c r="G108">
        <f>ssbwt24.rep!E169</f>
        <v>0.743919</v>
      </c>
      <c r="H108">
        <f>ssbwt24.rep!F169</f>
        <v>0.85839399999999999</v>
      </c>
      <c r="I108">
        <f>ssbwt24.rep!G169</f>
        <v>0.90829300000000002</v>
      </c>
      <c r="J108">
        <f>ssbwt24.rep!H169</f>
        <v>1.035525</v>
      </c>
      <c r="K108">
        <f>ssbwt24.rep!I169</f>
        <v>1.1239589999999999</v>
      </c>
      <c r="L108">
        <f>ssbwt24.rep!J169</f>
        <v>1.2105319999999999</v>
      </c>
      <c r="M108">
        <f>ssbwt24.rep!K169</f>
        <v>1.310894</v>
      </c>
      <c r="N108">
        <f>ssbwt24.rep!L169</f>
        <v>1.417143</v>
      </c>
      <c r="O108">
        <f>ssbwt24.rep!M169</f>
        <v>1.58039</v>
      </c>
      <c r="P108">
        <f>ssbwt24.rep!N169</f>
        <v>1.79565</v>
      </c>
    </row>
    <row r="109" spans="1:16" x14ac:dyDescent="0.2">
      <c r="A109" s="3">
        <f t="shared" si="1"/>
        <v>1992</v>
      </c>
      <c r="B109">
        <v>8.4881665999999995E-2</v>
      </c>
      <c r="C109">
        <v>0.195868126</v>
      </c>
      <c r="D109">
        <f>ssbwt24.rep!B170</f>
        <v>0.34101300000000001</v>
      </c>
      <c r="E109">
        <f>ssbwt24.rep!C170</f>
        <v>0.39259100000000002</v>
      </c>
      <c r="F109">
        <f>ssbwt24.rep!D170</f>
        <v>0.54838399999999998</v>
      </c>
      <c r="G109">
        <f>ssbwt24.rep!E170</f>
        <v>0.691492</v>
      </c>
      <c r="H109">
        <f>ssbwt24.rep!F170</f>
        <v>0.83804100000000004</v>
      </c>
      <c r="I109">
        <f>ssbwt24.rep!G170</f>
        <v>0.94955599999999996</v>
      </c>
      <c r="J109">
        <f>ssbwt24.rep!H170</f>
        <v>0.99511300000000003</v>
      </c>
      <c r="K109">
        <f>ssbwt24.rep!I170</f>
        <v>1.117097</v>
      </c>
      <c r="L109">
        <f>ssbwt24.rep!J170</f>
        <v>1.1997599999999999</v>
      </c>
      <c r="M109">
        <f>ssbwt24.rep!K170</f>
        <v>1.2803359999999999</v>
      </c>
      <c r="N109">
        <f>ssbwt24.rep!L170</f>
        <v>1.374692</v>
      </c>
      <c r="O109">
        <f>ssbwt24.rep!M170</f>
        <v>1.4750859999999999</v>
      </c>
      <c r="P109">
        <f>ssbwt24.rep!N170</f>
        <v>1.6327370000000001</v>
      </c>
    </row>
    <row r="110" spans="1:16" x14ac:dyDescent="0.2">
      <c r="A110" s="3">
        <f t="shared" si="1"/>
        <v>1993</v>
      </c>
      <c r="B110">
        <v>8.4881665999999995E-2</v>
      </c>
      <c r="C110">
        <v>0.195868126</v>
      </c>
      <c r="D110">
        <f>ssbwt24.rep!B171</f>
        <v>0.39328999999999997</v>
      </c>
      <c r="E110">
        <f>ssbwt24.rep!C171</f>
        <v>0.51637599999999995</v>
      </c>
      <c r="F110">
        <f>ssbwt24.rep!D171</f>
        <v>0.57767900000000005</v>
      </c>
      <c r="G110">
        <f>ssbwt24.rep!E171</f>
        <v>0.73666600000000004</v>
      </c>
      <c r="H110">
        <f>ssbwt24.rep!F171</f>
        <v>0.87779300000000005</v>
      </c>
      <c r="I110">
        <f>ssbwt24.rep!G171</f>
        <v>1.0184850000000001</v>
      </c>
      <c r="J110">
        <f>ssbwt24.rep!H171</f>
        <v>1.121405</v>
      </c>
      <c r="K110">
        <f>ssbwt24.rep!I171</f>
        <v>1.1565730000000001</v>
      </c>
      <c r="L110">
        <f>ssbwt24.rep!J171</f>
        <v>1.267136</v>
      </c>
      <c r="M110">
        <f>ssbwt24.rep!K171</f>
        <v>1.3379270000000001</v>
      </c>
      <c r="N110">
        <f>ssbwt24.rep!L171</f>
        <v>1.4066149999999999</v>
      </c>
      <c r="O110">
        <f>ssbwt24.rep!M171</f>
        <v>1.489382</v>
      </c>
      <c r="P110">
        <f>ssbwt24.rep!N171</f>
        <v>1.5786990000000001</v>
      </c>
    </row>
    <row r="111" spans="1:16" x14ac:dyDescent="0.2">
      <c r="A111" s="3">
        <f t="shared" si="1"/>
        <v>1994</v>
      </c>
      <c r="B111">
        <v>8.4881665999999995E-2</v>
      </c>
      <c r="C111">
        <v>0.195868126</v>
      </c>
      <c r="D111">
        <f>ssbwt24.rep!B172</f>
        <v>0.36175499999999999</v>
      </c>
      <c r="E111">
        <f>ssbwt24.rep!C172</f>
        <v>0.53427500000000006</v>
      </c>
      <c r="F111">
        <f>ssbwt24.rep!D172</f>
        <v>0.66517899999999996</v>
      </c>
      <c r="G111">
        <f>ssbwt24.rep!E172</f>
        <v>0.72904899999999995</v>
      </c>
      <c r="H111">
        <f>ssbwt24.rep!F172</f>
        <v>0.88644400000000001</v>
      </c>
      <c r="I111">
        <f>ssbwt24.rep!G172</f>
        <v>1.0228630000000001</v>
      </c>
      <c r="J111">
        <f>ssbwt24.rep!H172</f>
        <v>1.156644</v>
      </c>
      <c r="K111">
        <f>ssbwt24.rep!I172</f>
        <v>1.251212</v>
      </c>
      <c r="L111">
        <f>ssbwt24.rep!J172</f>
        <v>1.277199</v>
      </c>
      <c r="M111">
        <f>ssbwt24.rep!K172</f>
        <v>1.3782160000000001</v>
      </c>
      <c r="N111">
        <f>ssbwt24.rep!L172</f>
        <v>1.439451</v>
      </c>
      <c r="O111">
        <f>ssbwt24.rep!M172</f>
        <v>1.498821</v>
      </c>
      <c r="P111">
        <f>ssbwt24.rep!N172</f>
        <v>1.5726830000000001</v>
      </c>
    </row>
    <row r="112" spans="1:16" x14ac:dyDescent="0.2">
      <c r="A112" s="3">
        <f t="shared" si="1"/>
        <v>1995</v>
      </c>
      <c r="B112">
        <v>8.4881665999999995E-2</v>
      </c>
      <c r="C112">
        <v>0.195868126</v>
      </c>
      <c r="D112">
        <f>ssbwt24.rep!B173</f>
        <v>0.31687599999999999</v>
      </c>
      <c r="E112">
        <f>ssbwt24.rep!C173</f>
        <v>0.47104099999999999</v>
      </c>
      <c r="F112">
        <f>ssbwt24.rep!D173</f>
        <v>0.64961999999999998</v>
      </c>
      <c r="G112">
        <f>ssbwt24.rep!E173</f>
        <v>0.78251499999999996</v>
      </c>
      <c r="H112">
        <f>ssbwt24.rep!F173</f>
        <v>0.84515099999999999</v>
      </c>
      <c r="I112">
        <f>ssbwt24.rep!G173</f>
        <v>0.99889600000000001</v>
      </c>
      <c r="J112">
        <f>ssbwt24.rep!H173</f>
        <v>1.129958</v>
      </c>
      <c r="K112">
        <f>ssbwt24.rep!I173</f>
        <v>1.2572650000000001</v>
      </c>
      <c r="L112">
        <f>ssbwt24.rep!J173</f>
        <v>1.344716</v>
      </c>
      <c r="M112">
        <f>ssbwt24.rep!K173</f>
        <v>1.3633029999999999</v>
      </c>
      <c r="N112">
        <f>ssbwt24.rep!L173</f>
        <v>1.4569129999999999</v>
      </c>
      <c r="O112">
        <f>ssbwt24.rep!M173</f>
        <v>1.5109250000000001</v>
      </c>
      <c r="P112">
        <f>ssbwt24.rep!N173</f>
        <v>1.5633919999999999</v>
      </c>
    </row>
    <row r="113" spans="1:16" x14ac:dyDescent="0.2">
      <c r="A113" s="3">
        <f t="shared" si="1"/>
        <v>1996</v>
      </c>
      <c r="B113">
        <v>8.4881665999999995E-2</v>
      </c>
      <c r="C113">
        <v>0.195868126</v>
      </c>
      <c r="D113">
        <f>ssbwt24.rep!B174</f>
        <v>0.33452999999999999</v>
      </c>
      <c r="E113">
        <f>ssbwt24.rep!C174</f>
        <v>0.39113799999999999</v>
      </c>
      <c r="F113">
        <f>ssbwt24.rep!D174</f>
        <v>0.54942000000000002</v>
      </c>
      <c r="G113">
        <f>ssbwt24.rep!E174</f>
        <v>0.729352</v>
      </c>
      <c r="H113">
        <f>ssbwt24.rep!F174</f>
        <v>0.86140799999999995</v>
      </c>
      <c r="I113">
        <f>ssbwt24.rep!G174</f>
        <v>0.92156400000000005</v>
      </c>
      <c r="J113">
        <f>ssbwt24.rep!H174</f>
        <v>1.071669</v>
      </c>
      <c r="K113">
        <f>ssbwt24.rep!I174</f>
        <v>1.198332</v>
      </c>
      <c r="L113">
        <f>ssbwt24.rep!J174</f>
        <v>1.3208029999999999</v>
      </c>
      <c r="M113">
        <f>ssbwt24.rep!K174</f>
        <v>1.4032260000000001</v>
      </c>
      <c r="N113">
        <f>ssbwt24.rep!L174</f>
        <v>1.416779</v>
      </c>
      <c r="O113">
        <f>ssbwt24.rep!M174</f>
        <v>1.5054810000000001</v>
      </c>
      <c r="P113">
        <f>ssbwt24.rep!N174</f>
        <v>1.554802</v>
      </c>
    </row>
    <row r="114" spans="1:16" x14ac:dyDescent="0.2">
      <c r="A114" s="3">
        <f t="shared" si="1"/>
        <v>1997</v>
      </c>
      <c r="B114">
        <v>8.4881665999999995E-2</v>
      </c>
      <c r="C114">
        <v>0.195868126</v>
      </c>
      <c r="D114">
        <f>ssbwt24.rep!B175</f>
        <v>0.35469299999999998</v>
      </c>
      <c r="E114">
        <f>ssbwt24.rep!C175</f>
        <v>0.444994</v>
      </c>
      <c r="F114">
        <f>ssbwt24.rep!D175</f>
        <v>0.50772700000000004</v>
      </c>
      <c r="G114">
        <f>ssbwt24.rep!E175</f>
        <v>0.66802099999999998</v>
      </c>
      <c r="H114">
        <f>ssbwt24.rep!F175</f>
        <v>0.84670599999999996</v>
      </c>
      <c r="I114">
        <f>ssbwt24.rep!G175</f>
        <v>0.97507299999999997</v>
      </c>
      <c r="J114">
        <f>ssbwt24.rep!H175</f>
        <v>1.029814</v>
      </c>
      <c r="K114">
        <f>ssbwt24.rep!I175</f>
        <v>1.1733750000000001</v>
      </c>
      <c r="L114">
        <f>ssbwt24.rep!J175</f>
        <v>1.292843</v>
      </c>
      <c r="M114">
        <f>ssbwt24.rep!K175</f>
        <v>1.4078360000000001</v>
      </c>
      <c r="N114">
        <f>ssbwt24.rep!L175</f>
        <v>1.4827710000000001</v>
      </c>
      <c r="O114">
        <f>ssbwt24.rep!M175</f>
        <v>1.4890239999999999</v>
      </c>
      <c r="P114">
        <f>ssbwt24.rep!N175</f>
        <v>1.570748</v>
      </c>
    </row>
    <row r="115" spans="1:16" x14ac:dyDescent="0.2">
      <c r="A115" s="3">
        <f t="shared" si="1"/>
        <v>1998</v>
      </c>
      <c r="B115">
        <v>8.4881665999999995E-2</v>
      </c>
      <c r="C115">
        <v>0.195868126</v>
      </c>
      <c r="D115">
        <f>ssbwt24.rep!B176</f>
        <v>0.31020399999999998</v>
      </c>
      <c r="E115">
        <f>ssbwt24.rep!C176</f>
        <v>0.40112999999999999</v>
      </c>
      <c r="F115">
        <f>ssbwt24.rep!D176</f>
        <v>0.49400500000000003</v>
      </c>
      <c r="G115">
        <f>ssbwt24.rep!E176</f>
        <v>0.55758399999999997</v>
      </c>
      <c r="H115">
        <f>ssbwt24.rep!F176</f>
        <v>0.71735400000000005</v>
      </c>
      <c r="I115">
        <f>ssbwt24.rep!G176</f>
        <v>0.89448799999999995</v>
      </c>
      <c r="J115">
        <f>ssbwt24.rep!H176</f>
        <v>1.020578</v>
      </c>
      <c r="K115">
        <f>ssbwt24.rep!I176</f>
        <v>1.072568</v>
      </c>
      <c r="L115">
        <f>ssbwt24.rep!J176</f>
        <v>1.213106</v>
      </c>
      <c r="M115">
        <f>ssbwt24.rep!K176</f>
        <v>1.3294299999999999</v>
      </c>
      <c r="N115">
        <f>ssbwt24.rep!L176</f>
        <v>1.4412750000000001</v>
      </c>
      <c r="O115">
        <f>ssbwt24.rep!M176</f>
        <v>1.5131410000000001</v>
      </c>
      <c r="P115">
        <f>ssbwt24.rep!N176</f>
        <v>1.5164610000000001</v>
      </c>
    </row>
    <row r="116" spans="1:16" x14ac:dyDescent="0.2">
      <c r="A116" s="3">
        <f t="shared" si="1"/>
        <v>1999</v>
      </c>
      <c r="B116">
        <v>8.4881665999999995E-2</v>
      </c>
      <c r="C116">
        <v>0.195868126</v>
      </c>
      <c r="D116">
        <f>ssbwt24.rep!B177</f>
        <v>0.32985700000000001</v>
      </c>
      <c r="E116">
        <f>ssbwt24.rep!C177</f>
        <v>0.43161100000000002</v>
      </c>
      <c r="F116">
        <f>ssbwt24.rep!D177</f>
        <v>0.52926899999999999</v>
      </c>
      <c r="G116">
        <f>ssbwt24.rep!E177</f>
        <v>0.62435600000000002</v>
      </c>
      <c r="H116">
        <f>ssbwt24.rep!F177</f>
        <v>0.68656399999999995</v>
      </c>
      <c r="I116">
        <f>ssbwt24.rep!G177</f>
        <v>0.842279</v>
      </c>
      <c r="J116">
        <f>ssbwt24.rep!H177</f>
        <v>1.0134620000000001</v>
      </c>
      <c r="K116">
        <f>ssbwt24.rep!I177</f>
        <v>1.13236</v>
      </c>
      <c r="L116">
        <f>ssbwt24.rep!J177</f>
        <v>1.1764429999999999</v>
      </c>
      <c r="M116">
        <f>ssbwt24.rep!K177</f>
        <v>1.3087610000000001</v>
      </c>
      <c r="N116">
        <f>ssbwt24.rep!L177</f>
        <v>1.416855</v>
      </c>
      <c r="O116">
        <f>ssbwt24.rep!M177</f>
        <v>1.5206770000000001</v>
      </c>
      <c r="P116">
        <f>ssbwt24.rep!N177</f>
        <v>1.5848739999999999</v>
      </c>
    </row>
    <row r="117" spans="1:16" x14ac:dyDescent="0.2">
      <c r="A117" s="3">
        <f t="shared" si="1"/>
        <v>2000</v>
      </c>
      <c r="B117">
        <v>8.4881665999999995E-2</v>
      </c>
      <c r="C117">
        <v>0.195868126</v>
      </c>
      <c r="D117">
        <f>ssbwt24.rep!B178</f>
        <v>0.30130200000000001</v>
      </c>
      <c r="E117">
        <f>ssbwt24.rep!C178</f>
        <v>0.40886</v>
      </c>
      <c r="F117">
        <f>ssbwt24.rep!D178</f>
        <v>0.51499499999999998</v>
      </c>
      <c r="G117">
        <f>ssbwt24.rep!E178</f>
        <v>0.61409199999999997</v>
      </c>
      <c r="H117">
        <f>ssbwt24.rep!F178</f>
        <v>0.70828599999999997</v>
      </c>
      <c r="I117">
        <f>ssbwt24.rep!G178</f>
        <v>0.76785599999999998</v>
      </c>
      <c r="J117">
        <f>ssbwt24.rep!H178</f>
        <v>0.91969800000000002</v>
      </c>
      <c r="K117">
        <f>ssbwt24.rep!I178</f>
        <v>1.086201</v>
      </c>
      <c r="L117">
        <f>ssbwt24.rep!J178</f>
        <v>1.199954</v>
      </c>
      <c r="M117">
        <f>ssbwt24.rep!K178</f>
        <v>1.2386889999999999</v>
      </c>
      <c r="N117">
        <f>ssbwt24.rep!L178</f>
        <v>1.3656509999999999</v>
      </c>
      <c r="O117">
        <f>ssbwt24.rep!M178</f>
        <v>1.4685250000000001</v>
      </c>
      <c r="P117">
        <f>ssbwt24.rep!N178</f>
        <v>1.567356</v>
      </c>
    </row>
    <row r="118" spans="1:16" x14ac:dyDescent="0.2">
      <c r="A118" s="3">
        <f t="shared" si="1"/>
        <v>2001</v>
      </c>
      <c r="B118">
        <v>8.4881665999999995E-2</v>
      </c>
      <c r="C118">
        <v>0.195868126</v>
      </c>
      <c r="D118">
        <f>ssbwt24.rep!B179</f>
        <v>0.33871499999999999</v>
      </c>
      <c r="E118">
        <f>ssbwt24.rep!C179</f>
        <v>0.45316699999999999</v>
      </c>
      <c r="F118">
        <f>ssbwt24.rep!D179</f>
        <v>0.56914600000000004</v>
      </c>
      <c r="G118">
        <f>ssbwt24.rep!E179</f>
        <v>0.67804699999999996</v>
      </c>
      <c r="H118">
        <f>ssbwt24.rep!F179</f>
        <v>0.77542900000000003</v>
      </c>
      <c r="I118">
        <f>ssbwt24.rep!G179</f>
        <v>0.86455199999999999</v>
      </c>
      <c r="J118">
        <f>ssbwt24.rep!H179</f>
        <v>0.91667699999999996</v>
      </c>
      <c r="K118">
        <f>ssbwt24.rep!I179</f>
        <v>1.059523</v>
      </c>
      <c r="L118">
        <f>ssbwt24.rep!J179</f>
        <v>1.216135</v>
      </c>
      <c r="M118">
        <f>ssbwt24.rep!K179</f>
        <v>1.319607</v>
      </c>
      <c r="N118">
        <f>ssbwt24.rep!L179</f>
        <v>1.348047</v>
      </c>
      <c r="O118">
        <f>ssbwt24.rep!M179</f>
        <v>1.4649730000000001</v>
      </c>
      <c r="P118">
        <f>ssbwt24.rep!N179</f>
        <v>1.558254</v>
      </c>
    </row>
    <row r="119" spans="1:16" x14ac:dyDescent="0.2">
      <c r="A119" s="3">
        <f t="shared" si="1"/>
        <v>2002</v>
      </c>
      <c r="B119">
        <v>8.4881665999999995E-2</v>
      </c>
      <c r="C119">
        <v>0.195868126</v>
      </c>
      <c r="D119">
        <f>ssbwt24.rep!B180</f>
        <v>0.33280100000000001</v>
      </c>
      <c r="E119">
        <f>ssbwt24.rep!C180</f>
        <v>0.44964199999999999</v>
      </c>
      <c r="F119">
        <f>ssbwt24.rep!D180</f>
        <v>0.570245</v>
      </c>
      <c r="G119">
        <f>ssbwt24.rep!E180</f>
        <v>0.68824399999999997</v>
      </c>
      <c r="H119">
        <f>ssbwt24.rep!F180</f>
        <v>0.79589200000000004</v>
      </c>
      <c r="I119">
        <f>ssbwt24.rep!G180</f>
        <v>0.88956999999999997</v>
      </c>
      <c r="J119">
        <f>ssbwt24.rep!H180</f>
        <v>0.97325499999999998</v>
      </c>
      <c r="K119">
        <f>ssbwt24.rep!I180</f>
        <v>1.01881</v>
      </c>
      <c r="L119">
        <f>ssbwt24.rep!J180</f>
        <v>1.154431</v>
      </c>
      <c r="M119">
        <f>ssbwt24.rep!K180</f>
        <v>1.3035330000000001</v>
      </c>
      <c r="N119">
        <f>ssbwt24.rep!L180</f>
        <v>1.399486</v>
      </c>
      <c r="O119">
        <f>ssbwt24.rep!M180</f>
        <v>1.4205950000000001</v>
      </c>
      <c r="P119">
        <f>ssbwt24.rep!N180</f>
        <v>1.5305139999999999</v>
      </c>
    </row>
    <row r="120" spans="1:16" x14ac:dyDescent="0.2">
      <c r="A120" s="3">
        <f t="shared" si="1"/>
        <v>2003</v>
      </c>
      <c r="B120">
        <v>8.4881665999999995E-2</v>
      </c>
      <c r="C120">
        <v>0.195868126</v>
      </c>
      <c r="D120">
        <f>ssbwt24.rep!B181</f>
        <v>0.34610200000000002</v>
      </c>
      <c r="E120">
        <f>ssbwt24.rep!C181</f>
        <v>0.44203599999999998</v>
      </c>
      <c r="F120">
        <f>ssbwt24.rep!D181</f>
        <v>0.56493400000000005</v>
      </c>
      <c r="G120">
        <f>ssbwt24.rep!E181</f>
        <v>0.68752599999999997</v>
      </c>
      <c r="H120">
        <f>ssbwt24.rep!F181</f>
        <v>0.80429200000000001</v>
      </c>
      <c r="I120">
        <f>ssbwt24.rep!G181</f>
        <v>0.90829199999999999</v>
      </c>
      <c r="J120">
        <f>ssbwt24.rep!H181</f>
        <v>0.99661500000000003</v>
      </c>
      <c r="K120">
        <f>ssbwt24.rep!I181</f>
        <v>1.0738289999999999</v>
      </c>
      <c r="L120">
        <f>ssbwt24.rep!J181</f>
        <v>1.112269</v>
      </c>
      <c r="M120">
        <f>ssbwt24.rep!K181</f>
        <v>1.2404949999999999</v>
      </c>
      <c r="N120">
        <f>ssbwt24.rep!L181</f>
        <v>1.382193</v>
      </c>
      <c r="O120">
        <f>ssbwt24.rep!M181</f>
        <v>1.470926</v>
      </c>
      <c r="P120">
        <f>ssbwt24.rep!N181</f>
        <v>1.485136</v>
      </c>
    </row>
    <row r="121" spans="1:16" x14ac:dyDescent="0.2">
      <c r="A121" s="3">
        <f t="shared" si="1"/>
        <v>2004</v>
      </c>
      <c r="B121">
        <v>8.4881665999999995E-2</v>
      </c>
      <c r="C121">
        <v>0.195868126</v>
      </c>
      <c r="D121">
        <f>ssbwt24.rep!B182</f>
        <v>0.33404899999999998</v>
      </c>
      <c r="E121">
        <f>ssbwt24.rep!C182</f>
        <v>0.49804300000000001</v>
      </c>
      <c r="F121">
        <f>ssbwt24.rep!D182</f>
        <v>0.60240199999999999</v>
      </c>
      <c r="G121">
        <f>ssbwt24.rep!E182</f>
        <v>0.72806700000000002</v>
      </c>
      <c r="H121">
        <f>ssbwt24.rep!F182</f>
        <v>0.84894400000000003</v>
      </c>
      <c r="I121">
        <f>ssbwt24.rep!G182</f>
        <v>0.96063500000000002</v>
      </c>
      <c r="J121">
        <f>ssbwt24.rep!H182</f>
        <v>1.0571870000000001</v>
      </c>
      <c r="K121">
        <f>ssbwt24.rep!I182</f>
        <v>1.1365099999999999</v>
      </c>
      <c r="L121">
        <f>ssbwt24.rep!J182</f>
        <v>1.2038279999999999</v>
      </c>
      <c r="M121">
        <f>ssbwt24.rep!K182</f>
        <v>1.2319819999999999</v>
      </c>
      <c r="N121">
        <f>ssbwt24.rep!L182</f>
        <v>1.3499080000000001</v>
      </c>
      <c r="O121">
        <f>ssbwt24.rep!M182</f>
        <v>1.4815640000000001</v>
      </c>
      <c r="P121">
        <f>ssbwt24.rep!N182</f>
        <v>1.5607009999999999</v>
      </c>
    </row>
    <row r="122" spans="1:16" x14ac:dyDescent="0.2">
      <c r="A122" s="3">
        <f t="shared" si="1"/>
        <v>2005</v>
      </c>
      <c r="B122">
        <v>8.4881665999999995E-2</v>
      </c>
      <c r="C122">
        <v>0.195868126</v>
      </c>
      <c r="D122">
        <f>ssbwt24.rep!B183</f>
        <v>0.27844999999999998</v>
      </c>
      <c r="E122">
        <f>ssbwt24.rep!C183</f>
        <v>0.40367199999999998</v>
      </c>
      <c r="F122">
        <f>ssbwt24.rep!D183</f>
        <v>0.57152700000000001</v>
      </c>
      <c r="G122">
        <f>ssbwt24.rep!E183</f>
        <v>0.67715400000000003</v>
      </c>
      <c r="H122">
        <f>ssbwt24.rep!F183</f>
        <v>0.802033</v>
      </c>
      <c r="I122">
        <f>ssbwt24.rep!G183</f>
        <v>0.92058399999999996</v>
      </c>
      <c r="J122">
        <f>ssbwt24.rep!H183</f>
        <v>1.0288619999999999</v>
      </c>
      <c r="K122">
        <f>ssbwt24.rep!I183</f>
        <v>1.1212899999999999</v>
      </c>
      <c r="L122">
        <f>ssbwt24.rep!J183</f>
        <v>1.196078</v>
      </c>
      <c r="M122">
        <f>ssbwt24.rep!K183</f>
        <v>1.258683</v>
      </c>
      <c r="N122">
        <f>ssbwt24.rep!L183</f>
        <v>1.282117</v>
      </c>
      <c r="O122">
        <f>ssbwt24.rep!M183</f>
        <v>1.395443</v>
      </c>
      <c r="P122">
        <f>ssbwt24.rep!N183</f>
        <v>1.5227010000000001</v>
      </c>
    </row>
    <row r="123" spans="1:16" x14ac:dyDescent="0.2">
      <c r="A123" s="3">
        <f t="shared" si="1"/>
        <v>2006</v>
      </c>
      <c r="B123">
        <v>8.4881665999999995E-2</v>
      </c>
      <c r="C123">
        <v>0.195868126</v>
      </c>
      <c r="D123">
        <f>ssbwt24.rep!B184</f>
        <v>0.308139</v>
      </c>
      <c r="E123">
        <f>ssbwt24.rep!C184</f>
        <v>0.443718</v>
      </c>
      <c r="F123">
        <f>ssbwt24.rep!D184</f>
        <v>0.57810399999999995</v>
      </c>
      <c r="G123">
        <f>ssbwt24.rep!E184</f>
        <v>0.748969</v>
      </c>
      <c r="H123">
        <f>ssbwt24.rep!F184</f>
        <v>0.85272999999999999</v>
      </c>
      <c r="I123">
        <f>ssbwt24.rep!G184</f>
        <v>0.97208899999999998</v>
      </c>
      <c r="J123">
        <f>ssbwt24.rep!H184</f>
        <v>1.0825389999999999</v>
      </c>
      <c r="K123">
        <f>ssbwt24.rep!I184</f>
        <v>1.181028</v>
      </c>
      <c r="L123">
        <f>ssbwt24.rep!J184</f>
        <v>1.262691</v>
      </c>
      <c r="M123">
        <f>ssbwt24.rep!K184</f>
        <v>1.3262910000000001</v>
      </c>
      <c r="N123">
        <f>ssbwt24.rep!L184</f>
        <v>1.3776930000000001</v>
      </c>
      <c r="O123">
        <f>ssbwt24.rep!M184</f>
        <v>1.390204</v>
      </c>
      <c r="P123">
        <f>ssbwt24.rep!N184</f>
        <v>1.4930909999999999</v>
      </c>
    </row>
    <row r="124" spans="1:16" x14ac:dyDescent="0.2">
      <c r="A124" s="3">
        <f t="shared" si="1"/>
        <v>2007</v>
      </c>
      <c r="B124">
        <v>8.4881665999999995E-2</v>
      </c>
      <c r="C124">
        <v>0.195868126</v>
      </c>
      <c r="D124">
        <f>ssbwt24.rep!B185</f>
        <v>0.30641600000000002</v>
      </c>
      <c r="E124">
        <f>ssbwt24.rep!C185</f>
        <v>0.49271999999999999</v>
      </c>
      <c r="F124">
        <f>ssbwt24.rep!D185</f>
        <v>0.63853499999999996</v>
      </c>
      <c r="G124">
        <f>ssbwt24.rep!E185</f>
        <v>0.77628200000000003</v>
      </c>
      <c r="H124">
        <f>ssbwt24.rep!F185</f>
        <v>0.94506299999999999</v>
      </c>
      <c r="I124">
        <f>ssbwt24.rep!G185</f>
        <v>1.042659</v>
      </c>
      <c r="J124">
        <f>ssbwt24.rep!H185</f>
        <v>1.1529700000000001</v>
      </c>
      <c r="K124">
        <f>ssbwt24.rep!I185</f>
        <v>1.2524869999999999</v>
      </c>
      <c r="L124">
        <f>ssbwt24.rep!J185</f>
        <v>1.3389530000000001</v>
      </c>
      <c r="M124">
        <f>ssbwt24.rep!K185</f>
        <v>1.40812</v>
      </c>
      <c r="N124">
        <f>ssbwt24.rep!L185</f>
        <v>1.4592080000000001</v>
      </c>
      <c r="O124">
        <f>ssbwt24.rep!M185</f>
        <v>1.4984109999999999</v>
      </c>
      <c r="P124">
        <f>ssbwt24.rep!N185</f>
        <v>1.4992639999999999</v>
      </c>
    </row>
    <row r="125" spans="1:16" x14ac:dyDescent="0.2">
      <c r="A125" s="3">
        <f t="shared" si="1"/>
        <v>2008</v>
      </c>
      <c r="B125">
        <v>8.4881665999999995E-2</v>
      </c>
      <c r="C125">
        <v>0.195868126</v>
      </c>
      <c r="D125">
        <f>ssbwt24.rep!B186</f>
        <v>0.30710300000000001</v>
      </c>
      <c r="E125">
        <f>ssbwt24.rep!C186</f>
        <v>0.45609699999999997</v>
      </c>
      <c r="F125">
        <f>ssbwt24.rep!D186</f>
        <v>0.65070099999999997</v>
      </c>
      <c r="G125">
        <f>ssbwt24.rep!E186</f>
        <v>0.79924099999999998</v>
      </c>
      <c r="H125">
        <f>ssbwt24.rep!F186</f>
        <v>0.93529799999999996</v>
      </c>
      <c r="I125">
        <f>ssbwt24.rep!G186</f>
        <v>1.0990800000000001</v>
      </c>
      <c r="J125">
        <f>ssbwt24.rep!H186</f>
        <v>1.1893389999999999</v>
      </c>
      <c r="K125">
        <f>ssbwt24.rep!I186</f>
        <v>1.2907839999999999</v>
      </c>
      <c r="L125">
        <f>ssbwt24.rep!J186</f>
        <v>1.380552</v>
      </c>
      <c r="M125">
        <f>ssbwt24.rep!K186</f>
        <v>1.456885</v>
      </c>
      <c r="N125">
        <f>ssbwt24.rep!L186</f>
        <v>1.515906</v>
      </c>
      <c r="O125">
        <f>ssbwt24.rep!M186</f>
        <v>1.5571010000000001</v>
      </c>
      <c r="P125">
        <f>ssbwt24.rep!N186</f>
        <v>1.5868500000000001</v>
      </c>
    </row>
    <row r="126" spans="1:16" x14ac:dyDescent="0.2">
      <c r="A126" s="3">
        <f t="shared" si="1"/>
        <v>2009</v>
      </c>
      <c r="B126">
        <v>8.4881665999999995E-2</v>
      </c>
      <c r="C126">
        <v>0.195868126</v>
      </c>
      <c r="D126">
        <f>ssbwt24.rep!B187</f>
        <v>0.35264299999999998</v>
      </c>
      <c r="E126">
        <f>ssbwt24.rep!C187</f>
        <v>0.53325699999999998</v>
      </c>
      <c r="F126">
        <f>ssbwt24.rep!D187</f>
        <v>0.69479199999999997</v>
      </c>
      <c r="G126">
        <f>ssbwt24.rep!E187</f>
        <v>0.89351400000000003</v>
      </c>
      <c r="H126">
        <f>ssbwt24.rep!F187</f>
        <v>1.039501</v>
      </c>
      <c r="I126">
        <f>ssbwt24.rep!G187</f>
        <v>1.168005</v>
      </c>
      <c r="J126">
        <f>ssbwt24.rep!H187</f>
        <v>1.3207009999999999</v>
      </c>
      <c r="K126">
        <f>ssbwt24.rep!I187</f>
        <v>1.397564</v>
      </c>
      <c r="L126">
        <f>ssbwt24.rep!J187</f>
        <v>1.4842789999999999</v>
      </c>
      <c r="M126">
        <f>ssbwt24.rep!K187</f>
        <v>1.5587359999999999</v>
      </c>
      <c r="N126">
        <f>ssbwt24.rep!L187</f>
        <v>1.619739</v>
      </c>
      <c r="O126">
        <f>ssbwt24.rep!M187</f>
        <v>1.6638139999999999</v>
      </c>
      <c r="P126">
        <f>ssbwt24.rep!N187</f>
        <v>1.6907239999999999</v>
      </c>
    </row>
    <row r="127" spans="1:16" x14ac:dyDescent="0.2">
      <c r="A127" s="3">
        <f t="shared" si="1"/>
        <v>2010</v>
      </c>
      <c r="B127">
        <v>8.4881665999999995E-2</v>
      </c>
      <c r="C127">
        <v>0.195868126</v>
      </c>
      <c r="D127">
        <f>ssbwt24.rep!B188</f>
        <v>0.26981699999999997</v>
      </c>
      <c r="E127">
        <f>ssbwt24.rep!C188</f>
        <v>0.44695499999999999</v>
      </c>
      <c r="F127">
        <f>ssbwt24.rep!D188</f>
        <v>0.632799</v>
      </c>
      <c r="G127">
        <f>ssbwt24.rep!E188</f>
        <v>0.79605099999999995</v>
      </c>
      <c r="H127">
        <f>ssbwt24.rep!F188</f>
        <v>0.99370899999999995</v>
      </c>
      <c r="I127">
        <f>ssbwt24.rep!G188</f>
        <v>1.1365460000000001</v>
      </c>
      <c r="J127">
        <f>ssbwt24.rep!H188</f>
        <v>1.260427</v>
      </c>
      <c r="K127">
        <f>ssbwt24.rep!I188</f>
        <v>1.4075359999999999</v>
      </c>
      <c r="L127">
        <f>ssbwt24.rep!J188</f>
        <v>1.478256</v>
      </c>
      <c r="M127">
        <f>ssbwt24.rep!K188</f>
        <v>1.558586</v>
      </c>
      <c r="N127">
        <f>ssbwt24.rep!L188</f>
        <v>1.6266499999999999</v>
      </c>
      <c r="O127">
        <f>ssbwt24.rep!M188</f>
        <v>1.6814199999999999</v>
      </c>
      <c r="P127">
        <f>ssbwt24.rep!N188</f>
        <v>1.719538</v>
      </c>
    </row>
    <row r="128" spans="1:16" x14ac:dyDescent="0.2">
      <c r="A128" s="3">
        <f t="shared" si="1"/>
        <v>2011</v>
      </c>
      <c r="B128">
        <v>8.4881665999999995E-2</v>
      </c>
      <c r="C128">
        <v>0.195868126</v>
      </c>
      <c r="D128">
        <f>ssbwt24.rep!B189</f>
        <v>0.24698800000000001</v>
      </c>
      <c r="E128">
        <f>ssbwt24.rep!C189</f>
        <v>0.431149</v>
      </c>
      <c r="F128">
        <f>ssbwt24.rep!D189</f>
        <v>0.61723300000000003</v>
      </c>
      <c r="G128">
        <f>ssbwt24.rep!E189</f>
        <v>0.80601500000000004</v>
      </c>
      <c r="H128">
        <f>ssbwt24.rep!F189</f>
        <v>0.96744600000000003</v>
      </c>
      <c r="I128">
        <f>ssbwt24.rep!G189</f>
        <v>1.1597150000000001</v>
      </c>
      <c r="J128">
        <f>ssbwt24.rep!H189</f>
        <v>1.2946439999999999</v>
      </c>
      <c r="K128">
        <f>ssbwt24.rep!I189</f>
        <v>1.408968</v>
      </c>
      <c r="L128">
        <f>ssbwt24.rep!J189</f>
        <v>1.545569</v>
      </c>
      <c r="M128">
        <f>ssbwt24.rep!K189</f>
        <v>1.605367</v>
      </c>
      <c r="N128">
        <f>ssbwt24.rep!L189</f>
        <v>1.6747609999999999</v>
      </c>
      <c r="O128">
        <f>ssbwt24.rep!M189</f>
        <v>1.7321629999999999</v>
      </c>
      <c r="P128">
        <f>ssbwt24.rep!N189</f>
        <v>1.776743</v>
      </c>
    </row>
    <row r="129" spans="1:62" x14ac:dyDescent="0.2">
      <c r="A129" s="3">
        <f t="shared" si="1"/>
        <v>2012</v>
      </c>
      <c r="B129">
        <v>8.4881665999999995E-2</v>
      </c>
      <c r="C129">
        <v>0.195868126</v>
      </c>
      <c r="D129">
        <f>ssbwt24.rep!B190</f>
        <v>0.27789999999999998</v>
      </c>
      <c r="E129">
        <f>ssbwt24.rep!C190</f>
        <v>0.39443800000000001</v>
      </c>
      <c r="F129">
        <f>ssbwt24.rep!D190</f>
        <v>0.58677500000000005</v>
      </c>
      <c r="G129">
        <f>ssbwt24.rep!E190</f>
        <v>0.77554500000000004</v>
      </c>
      <c r="H129">
        <f>ssbwt24.rep!F190</f>
        <v>0.96266200000000002</v>
      </c>
      <c r="I129">
        <f>ssbwt24.rep!G190</f>
        <v>1.1191679999999999</v>
      </c>
      <c r="J129">
        <f>ssbwt24.rep!H190</f>
        <v>1.304209</v>
      </c>
      <c r="K129">
        <f>ssbwt24.rep!I190</f>
        <v>1.430404</v>
      </c>
      <c r="L129">
        <f>ssbwt24.rep!J190</f>
        <v>1.5351250000000001</v>
      </c>
      <c r="M129">
        <f>ssbwt24.rep!K190</f>
        <v>1.6617440000000001</v>
      </c>
      <c r="N129">
        <f>ssbwt24.rep!L190</f>
        <v>1.711546</v>
      </c>
      <c r="O129">
        <f>ssbwt24.rep!M190</f>
        <v>1.771196</v>
      </c>
      <c r="P129">
        <f>ssbwt24.rep!N190</f>
        <v>1.8192839999999999</v>
      </c>
    </row>
    <row r="130" spans="1:62" x14ac:dyDescent="0.2">
      <c r="A130" s="3">
        <f t="shared" si="1"/>
        <v>2013</v>
      </c>
      <c r="B130">
        <v>8.4881665999999995E-2</v>
      </c>
      <c r="C130">
        <v>0.195868126</v>
      </c>
      <c r="D130">
        <f>ssbwt24.rep!B191</f>
        <v>0.34531600000000001</v>
      </c>
      <c r="E130">
        <f>ssbwt24.rep!C191</f>
        <v>0.43754799999999999</v>
      </c>
      <c r="F130">
        <f>ssbwt24.rep!D191</f>
        <v>0.56294</v>
      </c>
      <c r="G130">
        <f>ssbwt24.rep!E191</f>
        <v>0.75818399999999997</v>
      </c>
      <c r="H130">
        <f>ssbwt24.rep!F191</f>
        <v>0.94515099999999996</v>
      </c>
      <c r="I130">
        <f>ssbwt24.rep!G191</f>
        <v>1.1269359999999999</v>
      </c>
      <c r="J130">
        <f>ssbwt24.rep!H191</f>
        <v>1.275617</v>
      </c>
      <c r="K130">
        <f>ssbwt24.rep!I191</f>
        <v>1.451201</v>
      </c>
      <c r="L130">
        <f>ssbwt24.rep!J191</f>
        <v>1.5669979999999999</v>
      </c>
      <c r="M130">
        <f>ssbwt24.rep!K191</f>
        <v>1.6609100000000001</v>
      </c>
      <c r="N130">
        <f>ssbwt24.rep!L191</f>
        <v>1.776707</v>
      </c>
      <c r="O130">
        <f>ssbwt24.rep!M191</f>
        <v>1.8159590000000001</v>
      </c>
      <c r="P130">
        <f>ssbwt24.rep!N191</f>
        <v>1.865524</v>
      </c>
    </row>
    <row r="131" spans="1:62" x14ac:dyDescent="0.2">
      <c r="A131" s="3">
        <f t="shared" si="1"/>
        <v>2014</v>
      </c>
      <c r="B131">
        <v>8.4881665999999995E-2</v>
      </c>
      <c r="C131">
        <v>0.195868126</v>
      </c>
      <c r="D131">
        <f>ssbwt24.rep!B192</f>
        <v>0.411665</v>
      </c>
      <c r="E131">
        <f>ssbwt24.rep!C192</f>
        <v>0.48963000000000001</v>
      </c>
      <c r="F131">
        <f>ssbwt24.rep!D192</f>
        <v>0.58986499999999997</v>
      </c>
      <c r="G131">
        <f>ssbwt24.rep!E192</f>
        <v>0.71788399999999997</v>
      </c>
      <c r="H131">
        <f>ssbwt24.rep!F192</f>
        <v>0.91149899999999995</v>
      </c>
      <c r="I131">
        <f>ssbwt24.rep!G192</f>
        <v>1.0936459999999999</v>
      </c>
      <c r="J131">
        <f>ssbwt24.rep!H192</f>
        <v>1.268357</v>
      </c>
      <c r="K131">
        <f>ssbwt24.rep!I192</f>
        <v>1.4084890000000001</v>
      </c>
      <c r="L131">
        <f>ssbwt24.rep!J192</f>
        <v>1.574675</v>
      </c>
      <c r="M131">
        <f>ssbwt24.rep!K192</f>
        <v>1.680701</v>
      </c>
      <c r="N131">
        <f>ssbwt24.rep!L192</f>
        <v>1.764831</v>
      </c>
      <c r="O131">
        <f>ssbwt24.rep!M192</f>
        <v>1.8710899999999999</v>
      </c>
      <c r="P131">
        <f>ssbwt24.rep!N192</f>
        <v>1.901227</v>
      </c>
    </row>
    <row r="132" spans="1:62" x14ac:dyDescent="0.2">
      <c r="A132" s="3">
        <f t="shared" si="1"/>
        <v>2015</v>
      </c>
      <c r="B132">
        <v>8.4881665999999995E-2</v>
      </c>
      <c r="C132">
        <v>0.195868126</v>
      </c>
      <c r="D132">
        <f>ssbwt24.rep!B193</f>
        <v>0.37410199999999999</v>
      </c>
      <c r="E132">
        <f>ssbwt24.rep!C193</f>
        <v>0.44882699999999998</v>
      </c>
      <c r="F132">
        <f>ssbwt24.rep!D193</f>
        <v>0.52885300000000002</v>
      </c>
      <c r="G132">
        <f>ssbwt24.rep!E193</f>
        <v>0.62976500000000002</v>
      </c>
      <c r="H132">
        <f>ssbwt24.rep!F193</f>
        <v>0.75736499999999995</v>
      </c>
      <c r="I132">
        <f>ssbwt24.rep!G193</f>
        <v>0.949739</v>
      </c>
      <c r="J132">
        <f>ssbwt24.rep!H193</f>
        <v>1.130064</v>
      </c>
      <c r="K132">
        <f>ssbwt24.rep!I193</f>
        <v>1.3025739999999999</v>
      </c>
      <c r="L132">
        <f>ssbwt24.rep!J193</f>
        <v>1.440285</v>
      </c>
      <c r="M132">
        <f>ssbwt24.rep!K193</f>
        <v>1.603955</v>
      </c>
      <c r="N132">
        <f>ssbwt24.rep!L193</f>
        <v>1.707462</v>
      </c>
      <c r="O132">
        <f>ssbwt24.rep!M193</f>
        <v>1.7891360000000001</v>
      </c>
      <c r="P132">
        <f>ssbwt24.rep!N193</f>
        <v>1.8930480000000001</v>
      </c>
    </row>
    <row r="133" spans="1:62" x14ac:dyDescent="0.2">
      <c r="A133" s="3">
        <f t="shared" si="1"/>
        <v>2016</v>
      </c>
      <c r="B133">
        <v>8.4881665999999995E-2</v>
      </c>
      <c r="C133">
        <v>0.195868126</v>
      </c>
      <c r="D133">
        <f>ssbwt24.rep!B194</f>
        <v>0.30038199999999998</v>
      </c>
      <c r="E133">
        <f>ssbwt24.rep!C194</f>
        <v>0.43488399999999999</v>
      </c>
      <c r="F133">
        <f>ssbwt24.rep!D194</f>
        <v>0.51297999999999999</v>
      </c>
      <c r="G133">
        <f>ssbwt24.rep!E194</f>
        <v>0.594113</v>
      </c>
      <c r="H133">
        <f>ssbwt24.rep!F194</f>
        <v>0.69433800000000001</v>
      </c>
      <c r="I133">
        <f>ssbwt24.rep!G194</f>
        <v>0.81990799999999997</v>
      </c>
      <c r="J133">
        <f>ssbwt24.rep!H194</f>
        <v>1.0093019999999999</v>
      </c>
      <c r="K133">
        <f>ssbwt24.rep!I194</f>
        <v>1.1860269999999999</v>
      </c>
      <c r="L133">
        <f>ssbwt24.rep!J194</f>
        <v>1.3545780000000001</v>
      </c>
      <c r="M133">
        <f>ssbwt24.rep!K194</f>
        <v>1.488175</v>
      </c>
      <c r="N133">
        <f>ssbwt24.rep!L194</f>
        <v>1.647724</v>
      </c>
      <c r="O133">
        <f>ssbwt24.rep!M194</f>
        <v>1.747214</v>
      </c>
      <c r="P133">
        <f>ssbwt24.rep!N194</f>
        <v>1.825048</v>
      </c>
    </row>
    <row r="134" spans="1:62" x14ac:dyDescent="0.2">
      <c r="A134" s="3">
        <f t="shared" si="1"/>
        <v>2017</v>
      </c>
      <c r="B134">
        <v>8.4881665999999995E-2</v>
      </c>
      <c r="C134">
        <v>0.195868126</v>
      </c>
      <c r="D134">
        <f>ssbwt24.rep!B195</f>
        <v>0.33590100000000001</v>
      </c>
      <c r="E134">
        <f>ssbwt24.rep!C195</f>
        <v>0.41707899999999998</v>
      </c>
      <c r="F134">
        <f>ssbwt24.rep!D195</f>
        <v>0.55805199999999999</v>
      </c>
      <c r="G134">
        <f>ssbwt24.rep!E195</f>
        <v>0.63827299999999998</v>
      </c>
      <c r="H134">
        <f>ssbwt24.rep!F195</f>
        <v>0.71808899999999998</v>
      </c>
      <c r="I134">
        <f>ssbwt24.rep!G195</f>
        <v>0.81441600000000003</v>
      </c>
      <c r="J134">
        <f>ssbwt24.rep!H195</f>
        <v>0.93426600000000004</v>
      </c>
      <c r="K134">
        <f>ssbwt24.rep!I195</f>
        <v>1.1167480000000001</v>
      </c>
      <c r="L134">
        <f>ssbwt24.rep!J195</f>
        <v>1.2858719999999999</v>
      </c>
      <c r="M134">
        <f>ssbwt24.rep!K195</f>
        <v>1.4465220000000001</v>
      </c>
      <c r="N134">
        <f>ssbwt24.rep!L195</f>
        <v>1.572208</v>
      </c>
      <c r="O134">
        <f>ssbwt24.rep!M195</f>
        <v>1.724045</v>
      </c>
      <c r="P134">
        <f>ssbwt24.rep!N195</f>
        <v>1.8161639999999999</v>
      </c>
    </row>
    <row r="135" spans="1:62" x14ac:dyDescent="0.2">
      <c r="A135" s="3">
        <f t="shared" si="1"/>
        <v>2018</v>
      </c>
      <c r="B135">
        <v>8.4881665999999995E-2</v>
      </c>
      <c r="C135">
        <v>0.195868126</v>
      </c>
      <c r="D135">
        <f>ssbwt24.rep!B196</f>
        <v>0.36114200000000002</v>
      </c>
      <c r="E135">
        <f>ssbwt24.rep!C196</f>
        <v>0.43115700000000001</v>
      </c>
      <c r="F135">
        <f>ssbwt24.rep!D196</f>
        <v>0.51761800000000002</v>
      </c>
      <c r="G135">
        <f>ssbwt24.rep!E196</f>
        <v>0.66032500000000005</v>
      </c>
      <c r="H135">
        <f>ssbwt24.rep!F196</f>
        <v>0.73947099999999999</v>
      </c>
      <c r="I135">
        <f>ssbwt24.rep!G196</f>
        <v>0.81610499999999997</v>
      </c>
      <c r="J135">
        <f>ssbwt24.rep!H196</f>
        <v>0.90776299999999999</v>
      </c>
      <c r="K135">
        <f>ssbwt24.rep!I196</f>
        <v>1.021971</v>
      </c>
      <c r="L135">
        <f>ssbwt24.rep!J196</f>
        <v>1.198248</v>
      </c>
      <c r="M135">
        <f>ssbwt24.rep!K196</f>
        <v>1.3609230000000001</v>
      </c>
      <c r="N135">
        <f>ssbwt24.rep!L196</f>
        <v>1.515117</v>
      </c>
      <c r="O135">
        <f>ssbwt24.rep!M196</f>
        <v>1.6345069999999999</v>
      </c>
      <c r="P135">
        <f>ssbwt24.rep!N196</f>
        <v>1.780327</v>
      </c>
    </row>
    <row r="136" spans="1:62" x14ac:dyDescent="0.2">
      <c r="A136" s="3">
        <f t="shared" si="1"/>
        <v>2019</v>
      </c>
      <c r="B136">
        <v>8.4881665999999995E-2</v>
      </c>
      <c r="C136">
        <v>0.195868126</v>
      </c>
      <c r="D136">
        <f>ssbwt24.rep!B197</f>
        <v>0.434892</v>
      </c>
      <c r="E136">
        <f>ssbwt24.rep!C197</f>
        <v>0.54907399999999995</v>
      </c>
      <c r="F136">
        <f>ssbwt24.rep!D197</f>
        <v>0.62951000000000001</v>
      </c>
      <c r="G136">
        <f>ssbwt24.rep!E197</f>
        <v>0.71939299999999995</v>
      </c>
      <c r="H136">
        <f>ssbwt24.rep!F197</f>
        <v>0.85997900000000005</v>
      </c>
      <c r="I136">
        <f>ssbwt24.rep!G197</f>
        <v>0.93284800000000001</v>
      </c>
      <c r="J136">
        <f>ssbwt24.rep!H197</f>
        <v>1.00027</v>
      </c>
      <c r="K136">
        <f>ssbwt24.rep!I197</f>
        <v>1.0807960000000001</v>
      </c>
      <c r="L136">
        <f>ssbwt24.rep!J197</f>
        <v>1.182763</v>
      </c>
      <c r="M136">
        <f>ssbwt24.rep!K197</f>
        <v>1.346317</v>
      </c>
      <c r="N136">
        <f>ssbwt24.rep!L197</f>
        <v>1.4962530000000001</v>
      </c>
      <c r="O136">
        <f>ssbwt24.rep!M197</f>
        <v>1.6380269999999999</v>
      </c>
      <c r="P136">
        <f>ssbwt24.rep!N197</f>
        <v>1.745547</v>
      </c>
    </row>
    <row r="137" spans="1:62" x14ac:dyDescent="0.2">
      <c r="A137" s="3">
        <f t="shared" si="1"/>
        <v>2020</v>
      </c>
      <c r="B137">
        <v>8.4881665999999995E-2</v>
      </c>
      <c r="C137">
        <v>0.195868126</v>
      </c>
      <c r="D137">
        <f>ssbwt24.rep!B198</f>
        <v>0.36076999999999998</v>
      </c>
      <c r="E137">
        <f>ssbwt24.rep!C198</f>
        <v>0.485898</v>
      </c>
      <c r="F137">
        <f>ssbwt24.rep!D198</f>
        <v>0.602908</v>
      </c>
      <c r="G137">
        <f>ssbwt24.rep!E198</f>
        <v>0.68427300000000002</v>
      </c>
      <c r="H137">
        <f>ssbwt24.rep!F198</f>
        <v>0.77358000000000005</v>
      </c>
      <c r="I137">
        <f>ssbwt24.rep!G198</f>
        <v>0.912462</v>
      </c>
      <c r="J137">
        <f>ssbwt24.rep!H198</f>
        <v>0.98283100000000001</v>
      </c>
      <c r="K137">
        <f>ssbwt24.rep!I198</f>
        <v>1.047231</v>
      </c>
      <c r="L137">
        <f>ssbwt24.rep!J198</f>
        <v>1.124436</v>
      </c>
      <c r="M137">
        <f>ssbwt24.rep!K198</f>
        <v>1.2229490000000001</v>
      </c>
      <c r="N137">
        <f>ssbwt24.rep!L198</f>
        <v>1.383046</v>
      </c>
      <c r="O137">
        <f>ssbwt24.rep!M198</f>
        <v>1.5296110000000001</v>
      </c>
      <c r="P137">
        <f>ssbwt24.rep!N198</f>
        <v>1.6681630000000001</v>
      </c>
    </row>
    <row r="138" spans="1:62" x14ac:dyDescent="0.2">
      <c r="A138" s="3">
        <f t="shared" si="1"/>
        <v>2021</v>
      </c>
      <c r="B138">
        <v>8.4881665999999995E-2</v>
      </c>
      <c r="C138">
        <v>0.195868126</v>
      </c>
      <c r="D138">
        <f>ssbwt24.rep!B199</f>
        <v>0.30450700000000003</v>
      </c>
      <c r="E138">
        <f>ssbwt24.rep!C199</f>
        <v>0.41280600000000001</v>
      </c>
      <c r="F138">
        <f>ssbwt24.rep!D199</f>
        <v>0.54081900000000005</v>
      </c>
      <c r="G138">
        <f>ssbwt24.rep!E199</f>
        <v>0.65877699999999995</v>
      </c>
      <c r="H138">
        <f>ssbwt24.rep!F199</f>
        <v>0.73955400000000004</v>
      </c>
      <c r="I138">
        <f>ssbwt24.rep!G199</f>
        <v>0.82712300000000005</v>
      </c>
      <c r="J138">
        <f>ssbwt24.rep!H199</f>
        <v>0.96345499999999995</v>
      </c>
      <c r="K138">
        <f>ssbwt24.rep!I199</f>
        <v>1.0307409999999999</v>
      </c>
      <c r="L138">
        <f>ssbwt24.rep!J199</f>
        <v>1.091753</v>
      </c>
      <c r="M138">
        <f>ssbwt24.rep!K199</f>
        <v>1.1654340000000001</v>
      </c>
      <c r="N138">
        <f>ssbwt24.rep!L199</f>
        <v>1.2604200000000001</v>
      </c>
      <c r="O138">
        <f>ssbwt24.rep!M199</f>
        <v>1.4170780000000001</v>
      </c>
      <c r="P138">
        <f>ssbwt24.rep!N199</f>
        <v>1.560357</v>
      </c>
    </row>
    <row r="139" spans="1:62" x14ac:dyDescent="0.2">
      <c r="A139" s="3">
        <f t="shared" si="1"/>
        <v>2022</v>
      </c>
      <c r="B139">
        <v>8.4881665999999995E-2</v>
      </c>
      <c r="C139">
        <v>0.195868126</v>
      </c>
      <c r="D139">
        <f>ssbwt24.rep!B200</f>
        <v>0.36486499999999999</v>
      </c>
      <c r="E139">
        <f>ssbwt24.rep!C200</f>
        <v>0.44442399999999999</v>
      </c>
      <c r="F139">
        <f>ssbwt24.rep!D200</f>
        <v>0.56048200000000004</v>
      </c>
      <c r="G139">
        <f>ssbwt24.rep!E200</f>
        <v>0.69104299999999996</v>
      </c>
      <c r="H139">
        <f>ssbwt24.rep!F200</f>
        <v>0.80742100000000006</v>
      </c>
      <c r="I139">
        <f>ssbwt24.rep!G200</f>
        <v>0.88352600000000003</v>
      </c>
      <c r="J139">
        <f>ssbwt24.rep!H200</f>
        <v>0.96423599999999998</v>
      </c>
      <c r="K139">
        <f>ssbwt24.rep!I200</f>
        <v>1.0922799999999999</v>
      </c>
      <c r="L139">
        <f>ssbwt24.rep!J200</f>
        <v>1.1504529999999999</v>
      </c>
      <c r="M139">
        <f>ssbwt24.rep!K200</f>
        <v>1.2019919999999999</v>
      </c>
      <c r="N139">
        <f>ssbwt24.rep!L200</f>
        <v>1.266189</v>
      </c>
      <c r="O139">
        <f>ssbwt24.rep!M200</f>
        <v>1.351928</v>
      </c>
      <c r="P139">
        <f>ssbwt24.rep!N200</f>
        <v>1.4997480000000001</v>
      </c>
    </row>
    <row r="140" spans="1:62" x14ac:dyDescent="0.2">
      <c r="A140" s="3">
        <f t="shared" si="1"/>
        <v>2023</v>
      </c>
      <c r="B140">
        <v>8.4881665999999995E-2</v>
      </c>
      <c r="C140">
        <v>0.195868126</v>
      </c>
      <c r="D140">
        <f>ssbwt24.rep!B201</f>
        <v>0.34967300000000001</v>
      </c>
      <c r="E140">
        <f>ssbwt24.rep!C201</f>
        <v>0.42628899999999997</v>
      </c>
      <c r="F140">
        <f>ssbwt24.rep!D201</f>
        <v>0.50925500000000001</v>
      </c>
      <c r="G140">
        <f>ssbwt24.rep!E201</f>
        <v>0.62643099999999996</v>
      </c>
      <c r="H140">
        <f>ssbwt24.rep!F201</f>
        <v>0.75629900000000005</v>
      </c>
      <c r="I140">
        <f>ssbwt24.rep!G201</f>
        <v>0.87062499999999998</v>
      </c>
      <c r="J140">
        <f>ssbwt24.rep!H201</f>
        <v>0.94371899999999997</v>
      </c>
      <c r="K140">
        <f>ssbwt24.rep!I201</f>
        <v>1.020791</v>
      </c>
      <c r="L140">
        <f>ssbwt24.rep!J201</f>
        <v>1.1448339999999999</v>
      </c>
      <c r="M140">
        <f>ssbwt24.rep!K201</f>
        <v>1.1988490000000001</v>
      </c>
      <c r="N140">
        <f>ssbwt24.rep!L201</f>
        <v>1.246224</v>
      </c>
      <c r="O140">
        <f>ssbwt24.rep!M201</f>
        <v>1.3063610000000001</v>
      </c>
      <c r="P140">
        <f>ssbwt24.rep!N201</f>
        <v>1.3882209999999999</v>
      </c>
    </row>
    <row r="141" spans="1:62" x14ac:dyDescent="0.2">
      <c r="A141" s="3">
        <f t="shared" si="1"/>
        <v>2024</v>
      </c>
      <c r="B141">
        <v>8.4881665999999995E-2</v>
      </c>
      <c r="C141">
        <v>0.195868126</v>
      </c>
      <c r="D141" s="2">
        <f>ssbwt24.rep!B202</f>
        <v>0.321552</v>
      </c>
      <c r="E141" s="2">
        <f>ssbwt24.rep!C202</f>
        <v>0.53394399999999997</v>
      </c>
      <c r="F141" s="2">
        <f>ssbwt24.rep!D202</f>
        <v>0.62077899999999997</v>
      </c>
      <c r="G141" s="2">
        <f>ssbwt24.rep!E202</f>
        <v>0.70709999999999995</v>
      </c>
      <c r="H141" s="2">
        <f>ssbwt24.rep!F202</f>
        <v>0.82219600000000004</v>
      </c>
      <c r="I141" s="2">
        <f>ssbwt24.rep!G202</f>
        <v>0.945909</v>
      </c>
      <c r="J141" s="2">
        <f>ssbwt24.rep!H202</f>
        <v>1.0512030000000001</v>
      </c>
      <c r="K141" s="2">
        <f>ssbwt24.rep!I202</f>
        <v>1.113381</v>
      </c>
      <c r="L141" s="2">
        <f>ssbwt24.rep!J202</f>
        <v>1.1784509999999999</v>
      </c>
      <c r="M141" s="2">
        <f>ssbwt24.rep!K202</f>
        <v>1.290019</v>
      </c>
      <c r="N141" s="2">
        <f>ssbwt24.rep!L202</f>
        <v>1.331542</v>
      </c>
      <c r="O141" s="2">
        <f>ssbwt24.rep!M202</f>
        <v>1.3667389999999999</v>
      </c>
      <c r="P141" s="2">
        <f>ssbwt24.rep!N202</f>
        <v>1.415238</v>
      </c>
    </row>
    <row r="142" spans="1:62" s="5" customFormat="1" x14ac:dyDescent="0.2">
      <c r="A142" s="4"/>
      <c r="B142" s="5" t="s">
        <v>10</v>
      </c>
      <c r="C142" s="5">
        <v>1965</v>
      </c>
      <c r="D142" s="5">
        <f>C142+1</f>
        <v>1966</v>
      </c>
      <c r="E142" s="5">
        <f t="shared" ref="E142:BJ142" si="2">D142+1</f>
        <v>1967</v>
      </c>
      <c r="F142" s="5">
        <f t="shared" si="2"/>
        <v>1968</v>
      </c>
      <c r="G142" s="5">
        <f t="shared" si="2"/>
        <v>1969</v>
      </c>
      <c r="H142" s="5">
        <f t="shared" si="2"/>
        <v>1970</v>
      </c>
      <c r="I142" s="5">
        <f t="shared" si="2"/>
        <v>1971</v>
      </c>
      <c r="J142" s="5">
        <f t="shared" si="2"/>
        <v>1972</v>
      </c>
      <c r="K142" s="5">
        <f t="shared" si="2"/>
        <v>1973</v>
      </c>
      <c r="L142" s="5">
        <f t="shared" si="2"/>
        <v>1974</v>
      </c>
      <c r="M142" s="5">
        <f t="shared" si="2"/>
        <v>1975</v>
      </c>
      <c r="N142" s="5">
        <f t="shared" si="2"/>
        <v>1976</v>
      </c>
      <c r="O142" s="5">
        <f t="shared" si="2"/>
        <v>1977</v>
      </c>
      <c r="P142" s="5">
        <f t="shared" si="2"/>
        <v>1978</v>
      </c>
      <c r="Q142" s="5">
        <f t="shared" si="2"/>
        <v>1979</v>
      </c>
      <c r="R142" s="5">
        <f t="shared" si="2"/>
        <v>1980</v>
      </c>
      <c r="S142" s="5">
        <f t="shared" si="2"/>
        <v>1981</v>
      </c>
      <c r="T142" s="5">
        <f t="shared" si="2"/>
        <v>1982</v>
      </c>
      <c r="U142" s="5">
        <f t="shared" si="2"/>
        <v>1983</v>
      </c>
      <c r="V142" s="5">
        <f t="shared" si="2"/>
        <v>1984</v>
      </c>
      <c r="W142" s="5">
        <f t="shared" si="2"/>
        <v>1985</v>
      </c>
      <c r="X142" s="5">
        <f t="shared" si="2"/>
        <v>1986</v>
      </c>
      <c r="Y142" s="5">
        <f t="shared" si="2"/>
        <v>1987</v>
      </c>
      <c r="Z142" s="5">
        <f t="shared" si="2"/>
        <v>1988</v>
      </c>
      <c r="AA142" s="5">
        <f t="shared" si="2"/>
        <v>1989</v>
      </c>
      <c r="AB142" s="5">
        <f t="shared" si="2"/>
        <v>1990</v>
      </c>
      <c r="AC142" s="5">
        <f t="shared" si="2"/>
        <v>1991</v>
      </c>
      <c r="AD142" s="5">
        <f t="shared" si="2"/>
        <v>1992</v>
      </c>
      <c r="AE142" s="5">
        <f t="shared" si="2"/>
        <v>1993</v>
      </c>
      <c r="AF142" s="5">
        <f t="shared" si="2"/>
        <v>1994</v>
      </c>
      <c r="AG142" s="5">
        <f t="shared" si="2"/>
        <v>1995</v>
      </c>
      <c r="AH142" s="5">
        <f t="shared" si="2"/>
        <v>1996</v>
      </c>
      <c r="AI142" s="5">
        <f t="shared" si="2"/>
        <v>1997</v>
      </c>
      <c r="AJ142" s="5">
        <f t="shared" si="2"/>
        <v>1998</v>
      </c>
      <c r="AK142" s="5">
        <f t="shared" si="2"/>
        <v>1999</v>
      </c>
      <c r="AL142" s="5">
        <f t="shared" si="2"/>
        <v>2000</v>
      </c>
      <c r="AM142" s="5">
        <f t="shared" si="2"/>
        <v>2001</v>
      </c>
      <c r="AN142" s="5">
        <f t="shared" si="2"/>
        <v>2002</v>
      </c>
      <c r="AO142" s="5">
        <f t="shared" si="2"/>
        <v>2003</v>
      </c>
      <c r="AP142" s="5">
        <f t="shared" si="2"/>
        <v>2004</v>
      </c>
      <c r="AQ142" s="5">
        <f t="shared" si="2"/>
        <v>2005</v>
      </c>
      <c r="AR142" s="5">
        <f t="shared" si="2"/>
        <v>2006</v>
      </c>
      <c r="AS142" s="5">
        <f t="shared" si="2"/>
        <v>2007</v>
      </c>
      <c r="AT142" s="5">
        <f t="shared" si="2"/>
        <v>2008</v>
      </c>
      <c r="AU142" s="5">
        <f t="shared" si="2"/>
        <v>2009</v>
      </c>
      <c r="AV142" s="5">
        <f t="shared" si="2"/>
        <v>2010</v>
      </c>
      <c r="AW142" s="5">
        <f t="shared" si="2"/>
        <v>2011</v>
      </c>
      <c r="AX142" s="5">
        <f t="shared" si="2"/>
        <v>2012</v>
      </c>
      <c r="AY142" s="5">
        <f t="shared" si="2"/>
        <v>2013</v>
      </c>
      <c r="AZ142" s="5">
        <f t="shared" si="2"/>
        <v>2014</v>
      </c>
      <c r="BA142" s="5">
        <f t="shared" si="2"/>
        <v>2015</v>
      </c>
      <c r="BB142" s="5">
        <f t="shared" si="2"/>
        <v>2016</v>
      </c>
      <c r="BC142" s="5">
        <f t="shared" si="2"/>
        <v>2017</v>
      </c>
      <c r="BD142" s="5">
        <f t="shared" si="2"/>
        <v>2018</v>
      </c>
      <c r="BE142" s="5">
        <f t="shared" si="2"/>
        <v>2019</v>
      </c>
      <c r="BF142" s="5">
        <f t="shared" si="2"/>
        <v>2020</v>
      </c>
      <c r="BG142" s="5">
        <f t="shared" si="2"/>
        <v>2021</v>
      </c>
      <c r="BH142" s="5">
        <f t="shared" si="2"/>
        <v>2022</v>
      </c>
      <c r="BI142" s="5">
        <f t="shared" si="2"/>
        <v>2023</v>
      </c>
      <c r="BJ142" s="5">
        <f t="shared" si="2"/>
        <v>2024</v>
      </c>
    </row>
    <row r="143" spans="1:62" x14ac:dyDescent="0.2">
      <c r="B143">
        <v>174.792</v>
      </c>
      <c r="C143">
        <v>230.55099999999999</v>
      </c>
      <c r="D143">
        <v>261.678</v>
      </c>
      <c r="E143">
        <v>550.36199999999997</v>
      </c>
      <c r="F143">
        <v>702.18100000000004</v>
      </c>
      <c r="G143">
        <v>862.78899999999999</v>
      </c>
      <c r="H143">
        <v>1256.5650000000001</v>
      </c>
      <c r="I143">
        <v>1743.7629999999999</v>
      </c>
      <c r="J143">
        <v>1874.5340000000001</v>
      </c>
      <c r="K143">
        <v>1758.9190000000001</v>
      </c>
      <c r="L143">
        <v>1588.39</v>
      </c>
      <c r="M143">
        <v>1356.7360000000001</v>
      </c>
      <c r="N143">
        <v>1177.8219999999999</v>
      </c>
      <c r="O143">
        <v>978.37</v>
      </c>
      <c r="P143">
        <v>979.43100000000004</v>
      </c>
      <c r="Q143">
        <v>935.71400000000006</v>
      </c>
      <c r="R143">
        <v>958.28</v>
      </c>
      <c r="S143">
        <v>973.50199999999995</v>
      </c>
      <c r="T143">
        <v>955.96400000000006</v>
      </c>
      <c r="U143">
        <v>981.45</v>
      </c>
      <c r="V143">
        <v>1092.0550000000001</v>
      </c>
      <c r="W143">
        <v>1139.6759999999999</v>
      </c>
      <c r="X143">
        <v>1141.9929999999999</v>
      </c>
      <c r="Y143">
        <v>859.41600000000005</v>
      </c>
      <c r="Z143">
        <v>1228.721</v>
      </c>
      <c r="AA143">
        <v>1229.5999999999999</v>
      </c>
      <c r="AB143">
        <v>1455.193</v>
      </c>
      <c r="AC143">
        <v>1195.6639299999999</v>
      </c>
      <c r="AD143">
        <v>1390.30916</v>
      </c>
      <c r="AE143">
        <v>1326.60896</v>
      </c>
      <c r="AF143">
        <v>1329.3730599999999</v>
      </c>
      <c r="AG143">
        <v>1264.2468899999999</v>
      </c>
      <c r="AH143">
        <v>1192.7810899999999</v>
      </c>
      <c r="AI143">
        <v>1124.4330500000001</v>
      </c>
      <c r="AJ143">
        <v>1102.15914</v>
      </c>
      <c r="AK143">
        <v>989.68030999999996</v>
      </c>
      <c r="AL143">
        <v>1132.70985</v>
      </c>
      <c r="AM143">
        <v>1387.1970200000001</v>
      </c>
      <c r="AN143">
        <v>1480.77611</v>
      </c>
      <c r="AO143">
        <v>1490.779227</v>
      </c>
      <c r="AP143">
        <v>1480.5516689999999</v>
      </c>
      <c r="AQ143">
        <v>1483.0218090000001</v>
      </c>
      <c r="AR143">
        <v>1488.0310449999999</v>
      </c>
      <c r="AS143">
        <v>1354.5017889999999</v>
      </c>
      <c r="AT143">
        <v>990.57806800000003</v>
      </c>
      <c r="AU143">
        <v>810.78434600000003</v>
      </c>
      <c r="AV143">
        <v>810.1859078</v>
      </c>
      <c r="AW143">
        <v>1199.0406250000001</v>
      </c>
      <c r="AX143">
        <v>1205.221865</v>
      </c>
      <c r="AY143">
        <v>1270.7704679999999</v>
      </c>
      <c r="AZ143">
        <v>1297.422339</v>
      </c>
      <c r="BA143">
        <v>1321.583785</v>
      </c>
      <c r="BB143">
        <v>1352.6807960000001</v>
      </c>
      <c r="BC143">
        <v>1359.182092</v>
      </c>
      <c r="BD143">
        <v>1379.2872689999999</v>
      </c>
      <c r="BE143">
        <v>1409.3371380000001</v>
      </c>
      <c r="BF143">
        <v>1367.2290399999999</v>
      </c>
      <c r="BG143">
        <v>1376.257582</v>
      </c>
      <c r="BH143">
        <v>1105.418688</v>
      </c>
      <c r="BI143">
        <f>Pcod!$B$16/1000</f>
        <v>1310.7156</v>
      </c>
      <c r="BJ143" s="2">
        <v>1300</v>
      </c>
    </row>
    <row r="144" spans="1:62" s="5" customFormat="1" x14ac:dyDescent="0.2">
      <c r="A144" s="4"/>
      <c r="B144" s="5" t="s">
        <v>11</v>
      </c>
    </row>
    <row r="145" spans="1:62" x14ac:dyDescent="0.2">
      <c r="B145">
        <v>0.56384999999999996</v>
      </c>
      <c r="C145">
        <v>0.38424999999999998</v>
      </c>
      <c r="D145">
        <v>0.35361999999999999</v>
      </c>
      <c r="E145">
        <v>0.67945999999999995</v>
      </c>
      <c r="F145">
        <v>0.62695000000000001</v>
      </c>
      <c r="G145">
        <v>0.60335000000000005</v>
      </c>
      <c r="H145">
        <v>1.0384800000000001</v>
      </c>
      <c r="I145">
        <v>1.5569299999999999</v>
      </c>
      <c r="J145">
        <v>1.5365</v>
      </c>
      <c r="K145">
        <v>1.7244299999999999</v>
      </c>
      <c r="L145">
        <v>1.5726599999999999</v>
      </c>
      <c r="M145">
        <v>1.49092</v>
      </c>
      <c r="N145">
        <v>1.28024</v>
      </c>
      <c r="O145">
        <v>1.526946667</v>
      </c>
      <c r="P145">
        <v>1.5219494440000001</v>
      </c>
      <c r="Q145">
        <v>1.5195243519999999</v>
      </c>
      <c r="R145">
        <v>1.48537341</v>
      </c>
      <c r="S145">
        <v>1.48537341</v>
      </c>
      <c r="T145">
        <v>1.48537341</v>
      </c>
      <c r="U145">
        <v>1.48537341</v>
      </c>
      <c r="V145">
        <v>1.48537341</v>
      </c>
      <c r="W145">
        <v>1.48537341</v>
      </c>
      <c r="X145">
        <v>1.48537341</v>
      </c>
      <c r="Y145">
        <v>1.48537341</v>
      </c>
      <c r="Z145">
        <v>1.48537341</v>
      </c>
      <c r="AA145">
        <v>1.48537341</v>
      </c>
      <c r="AB145">
        <v>1.48537341</v>
      </c>
      <c r="AC145">
        <v>1.48537341</v>
      </c>
      <c r="AD145">
        <v>1.48537341</v>
      </c>
      <c r="AE145">
        <v>1.48537341</v>
      </c>
      <c r="AF145">
        <v>1.48537341</v>
      </c>
      <c r="AG145">
        <v>1.48537341</v>
      </c>
      <c r="AH145">
        <v>1.48537341</v>
      </c>
      <c r="AI145">
        <v>1.48537341</v>
      </c>
      <c r="AJ145">
        <v>1.48537341</v>
      </c>
      <c r="AK145">
        <v>1.48537341</v>
      </c>
      <c r="AL145">
        <v>1.48537341</v>
      </c>
      <c r="AM145">
        <v>1.48537341</v>
      </c>
      <c r="AN145">
        <v>1.48537341</v>
      </c>
      <c r="AO145">
        <v>1.5</v>
      </c>
      <c r="AP145">
        <v>1.5</v>
      </c>
      <c r="AQ145">
        <v>1.5</v>
      </c>
      <c r="AR145">
        <v>1.5</v>
      </c>
      <c r="AS145">
        <v>1.5</v>
      </c>
      <c r="AT145">
        <v>1.5</v>
      </c>
      <c r="AU145">
        <v>1.5</v>
      </c>
      <c r="AV145">
        <v>1.5</v>
      </c>
      <c r="AW145">
        <v>1.5</v>
      </c>
      <c r="AX145">
        <v>1.5</v>
      </c>
      <c r="AY145">
        <v>1.5</v>
      </c>
      <c r="AZ145">
        <v>1.5</v>
      </c>
      <c r="BA145">
        <v>1.5</v>
      </c>
      <c r="BB145">
        <v>1.5</v>
      </c>
      <c r="BC145">
        <v>1.5</v>
      </c>
      <c r="BD145">
        <v>1.5</v>
      </c>
      <c r="BE145">
        <v>1.5</v>
      </c>
      <c r="BF145">
        <v>1.5</v>
      </c>
      <c r="BG145">
        <v>1.5</v>
      </c>
      <c r="BH145">
        <v>1.5</v>
      </c>
      <c r="BI145">
        <v>1.4</v>
      </c>
      <c r="BJ145" s="2">
        <v>1.4</v>
      </c>
    </row>
    <row r="146" spans="1:62" x14ac:dyDescent="0.2">
      <c r="B146" t="s">
        <v>12</v>
      </c>
    </row>
    <row r="147" spans="1:62" x14ac:dyDescent="0.2">
      <c r="B147">
        <v>12</v>
      </c>
    </row>
    <row r="148" spans="1:62" s="5" customFormat="1" x14ac:dyDescent="0.2">
      <c r="A148" s="4"/>
      <c r="B148" s="5" t="s">
        <v>13</v>
      </c>
    </row>
    <row r="149" spans="1:62" x14ac:dyDescent="0.2">
      <c r="B149">
        <v>1965</v>
      </c>
      <c r="C149">
        <v>1966</v>
      </c>
      <c r="D149">
        <v>1967</v>
      </c>
      <c r="E149">
        <v>1968</v>
      </c>
      <c r="F149">
        <v>1969</v>
      </c>
      <c r="G149">
        <v>1970</v>
      </c>
      <c r="H149">
        <v>1971</v>
      </c>
      <c r="I149">
        <v>1972</v>
      </c>
      <c r="J149">
        <v>1973</v>
      </c>
      <c r="K149">
        <v>1974</v>
      </c>
      <c r="L149">
        <v>1975</v>
      </c>
      <c r="M149">
        <v>1976</v>
      </c>
    </row>
    <row r="150" spans="1:62" s="5" customFormat="1" x14ac:dyDescent="0.2">
      <c r="A150" s="4"/>
      <c r="B150" s="5" t="s">
        <v>14</v>
      </c>
    </row>
    <row r="151" spans="1:62" x14ac:dyDescent="0.2">
      <c r="A151" s="3">
        <f>COUNT(B151:CI151)</f>
        <v>12</v>
      </c>
      <c r="B151">
        <v>2816.4374280000002</v>
      </c>
      <c r="C151">
        <v>3473.5804750000002</v>
      </c>
      <c r="D151">
        <v>3802.169891</v>
      </c>
      <c r="E151">
        <v>5257.3046009999998</v>
      </c>
      <c r="F151">
        <v>6712.4684180000004</v>
      </c>
      <c r="G151">
        <v>5679.8098280000004</v>
      </c>
      <c r="H151">
        <v>5257.3312830000004</v>
      </c>
      <c r="I151">
        <v>5726.7434839999996</v>
      </c>
      <c r="J151">
        <v>4787.923949</v>
      </c>
      <c r="K151">
        <v>4740.9925880000001</v>
      </c>
      <c r="L151">
        <v>4271.5744599999998</v>
      </c>
      <c r="M151">
        <v>4318.5230579999998</v>
      </c>
    </row>
    <row r="152" spans="1:62" x14ac:dyDescent="0.2">
      <c r="A152" s="3">
        <f>COUNT(B152:CI152)</f>
        <v>0</v>
      </c>
      <c r="B152" t="s">
        <v>15</v>
      </c>
    </row>
    <row r="153" spans="1:62" x14ac:dyDescent="0.2">
      <c r="A153" s="3">
        <f>COUNT(B153:CI153)</f>
        <v>12</v>
      </c>
      <c r="B153">
        <v>563.28748559999997</v>
      </c>
      <c r="C153">
        <v>694.716095</v>
      </c>
      <c r="D153">
        <v>760.43397809999999</v>
      </c>
      <c r="E153">
        <v>1051.46092</v>
      </c>
      <c r="F153">
        <v>1342.493684</v>
      </c>
      <c r="G153">
        <v>1135.9619660000001</v>
      </c>
      <c r="H153">
        <v>1051.466257</v>
      </c>
      <c r="I153">
        <v>1145.3486969999999</v>
      </c>
      <c r="J153">
        <v>957.58478979999995</v>
      </c>
      <c r="K153">
        <v>948.19851759999995</v>
      </c>
      <c r="L153">
        <v>854.31489190000002</v>
      </c>
      <c r="M153">
        <v>863.70461160000002</v>
      </c>
    </row>
    <row r="154" spans="1:62" x14ac:dyDescent="0.2">
      <c r="B154" t="s">
        <v>16</v>
      </c>
    </row>
    <row r="155" spans="1:62" x14ac:dyDescent="0.2">
      <c r="B155" s="2">
        <f>A157</f>
        <v>18</v>
      </c>
    </row>
    <row r="156" spans="1:62" s="5" customFormat="1" x14ac:dyDescent="0.2">
      <c r="A156" s="4"/>
      <c r="B156" s="5" t="s">
        <v>17</v>
      </c>
    </row>
    <row r="157" spans="1:62" x14ac:dyDescent="0.2">
      <c r="A157" s="3">
        <f>COUNT(B157:CI157)</f>
        <v>18</v>
      </c>
      <c r="B157">
        <f>'AVO24'!E46</f>
        <v>2006</v>
      </c>
      <c r="C157">
        <f>'AVO24'!F46</f>
        <v>2007</v>
      </c>
      <c r="D157">
        <f>'AVO24'!G46</f>
        <v>2008</v>
      </c>
      <c r="E157">
        <f>'AVO24'!H46</f>
        <v>2009</v>
      </c>
      <c r="F157">
        <f>'AVO24'!I46</f>
        <v>2010</v>
      </c>
      <c r="G157">
        <f>'AVO24'!J46</f>
        <v>2011</v>
      </c>
      <c r="H157">
        <f>'AVO24'!K46</f>
        <v>2012</v>
      </c>
      <c r="I157">
        <f>'AVO24'!L46</f>
        <v>2013</v>
      </c>
      <c r="J157">
        <f>'AVO24'!M46</f>
        <v>2014</v>
      </c>
      <c r="K157">
        <f>'AVO24'!N46</f>
        <v>2015</v>
      </c>
      <c r="L157">
        <f>'AVO24'!O46</f>
        <v>2016</v>
      </c>
      <c r="M157">
        <f>'AVO24'!P46</f>
        <v>2017</v>
      </c>
      <c r="N157">
        <f>'AVO24'!Q46</f>
        <v>2018</v>
      </c>
      <c r="O157">
        <f>'AVO24'!R46</f>
        <v>2019</v>
      </c>
      <c r="P157">
        <f>'AVO24'!S46</f>
        <v>2021</v>
      </c>
      <c r="Q157">
        <f>'AVO24'!T46</f>
        <v>2022</v>
      </c>
      <c r="R157">
        <f>'AVO24'!U46</f>
        <v>2023</v>
      </c>
      <c r="S157" s="2">
        <f>'AVO24'!V46</f>
        <v>2024</v>
      </c>
    </row>
    <row r="158" spans="1:62" s="5" customFormat="1" x14ac:dyDescent="0.2">
      <c r="A158" s="4"/>
      <c r="B158" s="5" t="s">
        <v>18</v>
      </c>
    </row>
    <row r="159" spans="1:62" x14ac:dyDescent="0.2">
      <c r="A159" s="3">
        <f>COUNT(B159:CI159)</f>
        <v>18</v>
      </c>
      <c r="B159">
        <f>'AVO24'!E48</f>
        <v>1.7414761030000001</v>
      </c>
      <c r="C159">
        <f>'AVO24'!F48</f>
        <v>2.0019130700000001</v>
      </c>
      <c r="D159">
        <f>'AVO24'!G48</f>
        <v>0.99154315100000001</v>
      </c>
      <c r="E159">
        <f>'AVO24'!H48</f>
        <v>0.69510000000000005</v>
      </c>
      <c r="F159">
        <f>'AVO24'!I48</f>
        <v>1.9218</v>
      </c>
      <c r="G159">
        <f>'AVO24'!J48</f>
        <v>1.7038225659999999</v>
      </c>
      <c r="H159">
        <f>'AVO24'!K48</f>
        <v>1.5206</v>
      </c>
      <c r="I159">
        <f>'AVO24'!L48</f>
        <v>2.1776295779999999</v>
      </c>
      <c r="J159">
        <f>'AVO24'!M48</f>
        <v>3.0769000000000002</v>
      </c>
      <c r="K159">
        <f>'AVO24'!N48</f>
        <v>3.5926999999999998</v>
      </c>
      <c r="L159">
        <f>'AVO24'!O48</f>
        <v>2.8319000000000001</v>
      </c>
      <c r="M159">
        <f>'AVO24'!P48</f>
        <v>2.2629999999999999</v>
      </c>
      <c r="N159">
        <f>'AVO24'!Q48</f>
        <v>2.0840999999999998</v>
      </c>
      <c r="O159">
        <f>'AVO24'!R48</f>
        <v>2.8292000000000002</v>
      </c>
      <c r="P159">
        <f>'AVO24'!S48</f>
        <v>2.4100999999999999</v>
      </c>
      <c r="Q159">
        <f>'AVO24'!T48</f>
        <v>2.9030999999999998</v>
      </c>
      <c r="R159">
        <f>'AVO24'!U48</f>
        <v>2.4809999999999999</v>
      </c>
      <c r="S159" s="2">
        <f>'AVO24'!V48</f>
        <v>2.0070095902</v>
      </c>
    </row>
    <row r="160" spans="1:62" s="5" customFormat="1" x14ac:dyDescent="0.2">
      <c r="A160" s="4"/>
      <c r="B160" s="5" t="s">
        <v>19</v>
      </c>
    </row>
    <row r="161" spans="1:19" x14ac:dyDescent="0.2">
      <c r="A161" s="3">
        <f>COUNT(B161:CI161)</f>
        <v>18</v>
      </c>
      <c r="B161">
        <f>'AVO24'!E50</f>
        <v>0.40797433101276398</v>
      </c>
      <c r="C161">
        <f>'AVO24'!F50</f>
        <v>0.79543823960141902</v>
      </c>
      <c r="D161">
        <f>'AVO24'!G50</f>
        <v>0.292865176659236</v>
      </c>
      <c r="E161">
        <f>'AVO24'!H50</f>
        <v>0.39009568764402103</v>
      </c>
      <c r="F161">
        <f>'AVO24'!I50</f>
        <v>0.579193250959401</v>
      </c>
      <c r="G161">
        <f>'AVO24'!J50</f>
        <v>0.44767777809083897</v>
      </c>
      <c r="H161">
        <f>'AVO24'!K50</f>
        <v>0.37193844549241101</v>
      </c>
      <c r="I161">
        <f>'AVO24'!L50</f>
        <v>0.39011599480868497</v>
      </c>
      <c r="J161">
        <f>'AVO24'!M50</f>
        <v>0.58024587036179998</v>
      </c>
      <c r="K161">
        <f>'AVO24'!N50</f>
        <v>0.40625738752985002</v>
      </c>
      <c r="L161">
        <f>'AVO24'!O50</f>
        <v>0.37909275307834206</v>
      </c>
      <c r="M161">
        <f>'AVO24'!P50</f>
        <v>0.31738924504004395</v>
      </c>
      <c r="N161">
        <f>'AVO24'!Q50</f>
        <v>0.25496050188299002</v>
      </c>
      <c r="O161">
        <f>'AVO24'!R50</f>
        <v>0.63539505959713005</v>
      </c>
      <c r="P161">
        <f>'AVO24'!S50</f>
        <v>0.52992878360997797</v>
      </c>
      <c r="Q161">
        <f>'AVO24'!T50</f>
        <v>0.45478031610391201</v>
      </c>
      <c r="R161">
        <f>'AVO24'!U50</f>
        <v>0.335349192348874</v>
      </c>
      <c r="S161" s="2">
        <f>'AVO24'!V50</f>
        <v>0.250814465361964</v>
      </c>
    </row>
    <row r="162" spans="1:19" s="5" customFormat="1" x14ac:dyDescent="0.2">
      <c r="A162" s="4"/>
      <c r="B162" s="5" t="s">
        <v>21</v>
      </c>
    </row>
    <row r="163" spans="1:19" x14ac:dyDescent="0.2">
      <c r="B163">
        <v>1.9380752000000001E-2</v>
      </c>
      <c r="C163">
        <v>0.10145982200000001</v>
      </c>
      <c r="D163">
        <v>0.24414475499999999</v>
      </c>
      <c r="E163">
        <v>0.37814567100000002</v>
      </c>
      <c r="F163">
        <v>0.52699222899999998</v>
      </c>
      <c r="G163">
        <v>0.65206661499999996</v>
      </c>
      <c r="H163">
        <v>0.76360385099999994</v>
      </c>
      <c r="I163">
        <v>0.84666801899999999</v>
      </c>
      <c r="J163">
        <v>0.93351983299999997</v>
      </c>
      <c r="K163">
        <v>0.97143749400000001</v>
      </c>
      <c r="L163">
        <v>1.0011509190000001</v>
      </c>
      <c r="M163">
        <v>1.1495346909999999</v>
      </c>
      <c r="N163">
        <v>1.2116872009999999</v>
      </c>
      <c r="O163">
        <v>1.281049807</v>
      </c>
      <c r="P163">
        <v>1.179917849</v>
      </c>
    </row>
    <row r="164" spans="1:19" x14ac:dyDescent="0.2">
      <c r="B164">
        <v>1.8495648999999999E-2</v>
      </c>
      <c r="C164">
        <v>8.7193363999999995E-2</v>
      </c>
      <c r="D164">
        <v>0.279247415</v>
      </c>
      <c r="E164">
        <v>0.43718783300000003</v>
      </c>
      <c r="F164">
        <v>0.58248880300000005</v>
      </c>
      <c r="G164">
        <v>0.68663239899999995</v>
      </c>
      <c r="H164">
        <v>0.78823631599999999</v>
      </c>
      <c r="I164">
        <v>0.87099972599999997</v>
      </c>
      <c r="J164">
        <v>0.970100191</v>
      </c>
      <c r="K164">
        <v>1.1027085160000001</v>
      </c>
      <c r="L164">
        <v>1.1056714510000001</v>
      </c>
      <c r="M164">
        <v>1.2369484479999999</v>
      </c>
      <c r="N164">
        <v>1.2354868450000001</v>
      </c>
      <c r="O164">
        <v>1.749460306</v>
      </c>
      <c r="P164">
        <v>1.230626606</v>
      </c>
    </row>
    <row r="165" spans="1:19" x14ac:dyDescent="0.2">
      <c r="B165">
        <v>2.2553568E-2</v>
      </c>
      <c r="C165">
        <v>8.3533376000000006E-2</v>
      </c>
      <c r="D165">
        <v>0.21397105999999999</v>
      </c>
      <c r="E165">
        <v>0.40660791499999999</v>
      </c>
      <c r="F165">
        <v>0.57580060799999999</v>
      </c>
      <c r="G165">
        <v>0.68906324200000002</v>
      </c>
      <c r="H165">
        <v>0.80522349299999996</v>
      </c>
      <c r="I165">
        <v>0.98197084899999998</v>
      </c>
      <c r="J165">
        <v>0.96832022399999995</v>
      </c>
      <c r="K165">
        <v>1.262557586</v>
      </c>
      <c r="L165">
        <v>1.2472124309999999</v>
      </c>
      <c r="M165">
        <v>1.2466489679999999</v>
      </c>
      <c r="N165">
        <v>1.389705798</v>
      </c>
      <c r="O165">
        <v>1.6380326970000001</v>
      </c>
      <c r="P165">
        <v>1.2469683009999999</v>
      </c>
    </row>
    <row r="166" spans="1:19" x14ac:dyDescent="0.2">
      <c r="B166">
        <v>2.0319990999999999E-2</v>
      </c>
      <c r="C166">
        <v>0.10850145999999999</v>
      </c>
      <c r="D166">
        <v>0.24195861900000001</v>
      </c>
      <c r="E166">
        <v>0.41645069600000001</v>
      </c>
      <c r="F166">
        <v>0.64661924500000001</v>
      </c>
      <c r="G166">
        <v>0.78533266300000004</v>
      </c>
      <c r="H166">
        <v>0.95014345300000003</v>
      </c>
      <c r="I166">
        <v>1.0306215750000001</v>
      </c>
      <c r="J166">
        <v>1.0640246280000001</v>
      </c>
      <c r="K166">
        <v>1.3283554529999999</v>
      </c>
      <c r="L166">
        <v>1.326541881</v>
      </c>
      <c r="M166">
        <v>1.5470371329999999</v>
      </c>
      <c r="N166">
        <v>1.5565858539999999</v>
      </c>
      <c r="O166">
        <v>1.5368162080000001</v>
      </c>
      <c r="P166">
        <v>1.7437159609999999</v>
      </c>
    </row>
    <row r="167" spans="1:19" x14ac:dyDescent="0.2">
      <c r="B167">
        <v>3.1689083999999999E-2</v>
      </c>
      <c r="C167">
        <v>0.11734314799999999</v>
      </c>
      <c r="D167">
        <v>0.221257593</v>
      </c>
      <c r="E167">
        <v>0.44114833799999997</v>
      </c>
      <c r="F167">
        <v>0.56523318099999997</v>
      </c>
      <c r="G167">
        <v>0.72191307000000005</v>
      </c>
      <c r="H167">
        <v>0.93679943799999998</v>
      </c>
      <c r="I167">
        <v>1.3365648569999999</v>
      </c>
      <c r="J167">
        <v>1.574484153</v>
      </c>
      <c r="K167">
        <v>1.6224372220000001</v>
      </c>
      <c r="L167">
        <v>1.692529159</v>
      </c>
      <c r="M167">
        <v>1.895356839</v>
      </c>
      <c r="N167">
        <v>1.9269976470000001</v>
      </c>
      <c r="O167">
        <v>1.9414515240000001</v>
      </c>
      <c r="P167">
        <v>1.96177442</v>
      </c>
    </row>
    <row r="168" spans="1:19" x14ac:dyDescent="0.2">
      <c r="B168">
        <v>2.9375575000000001E-2</v>
      </c>
      <c r="C168">
        <v>0.106631395</v>
      </c>
      <c r="D168">
        <v>0.20897274199999999</v>
      </c>
      <c r="E168">
        <v>0.40841345800000001</v>
      </c>
      <c r="F168">
        <v>0.54885837500000001</v>
      </c>
      <c r="G168">
        <v>0.70586089699999999</v>
      </c>
      <c r="H168">
        <v>0.88746961899999999</v>
      </c>
      <c r="I168">
        <v>1.1324740360000001</v>
      </c>
      <c r="J168">
        <v>1.4220402940000001</v>
      </c>
      <c r="K168">
        <v>1.444774336</v>
      </c>
      <c r="L168">
        <v>1.510418611</v>
      </c>
      <c r="M168">
        <v>1.6415487989999999</v>
      </c>
      <c r="N168">
        <v>1.6941674689999999</v>
      </c>
      <c r="O168">
        <v>1.853097483</v>
      </c>
      <c r="P168">
        <v>1.8597176419999999</v>
      </c>
    </row>
    <row r="169" spans="1:19" x14ac:dyDescent="0.2">
      <c r="B169">
        <v>2.7062065E-2</v>
      </c>
      <c r="C169">
        <v>9.5919641999999999E-2</v>
      </c>
      <c r="D169">
        <v>0.196687891</v>
      </c>
      <c r="E169">
        <v>0.37567857900000001</v>
      </c>
      <c r="F169">
        <v>0.53248356900000005</v>
      </c>
      <c r="G169">
        <v>0.68980872500000001</v>
      </c>
      <c r="H169">
        <v>0.83813980099999996</v>
      </c>
      <c r="I169">
        <v>0.92838321599999996</v>
      </c>
      <c r="J169">
        <v>1.269596435</v>
      </c>
      <c r="K169">
        <v>1.2671114489999999</v>
      </c>
      <c r="L169">
        <v>1.3283080629999999</v>
      </c>
      <c r="M169">
        <v>1.3877407589999999</v>
      </c>
      <c r="N169">
        <v>1.461337291</v>
      </c>
      <c r="O169">
        <v>1.764743441</v>
      </c>
      <c r="P169">
        <v>1.757660864</v>
      </c>
    </row>
    <row r="170" spans="1:19" x14ac:dyDescent="0.2">
      <c r="B170">
        <v>2.9375575000000001E-2</v>
      </c>
      <c r="C170">
        <v>0.106631395</v>
      </c>
      <c r="D170">
        <v>0.20897274199999999</v>
      </c>
      <c r="E170">
        <v>0.40841345800000001</v>
      </c>
      <c r="F170">
        <v>0.54885837500000001</v>
      </c>
      <c r="G170">
        <v>0.70586089699999999</v>
      </c>
      <c r="H170">
        <v>0.88746961899999999</v>
      </c>
      <c r="I170">
        <v>1.1324740360000001</v>
      </c>
      <c r="J170">
        <v>1.4220402940000001</v>
      </c>
      <c r="K170">
        <v>1.444774336</v>
      </c>
      <c r="L170">
        <v>1.510418611</v>
      </c>
      <c r="M170">
        <v>1.6415487989999999</v>
      </c>
      <c r="N170">
        <v>1.6941674689999999</v>
      </c>
      <c r="O170">
        <v>1.853097483</v>
      </c>
      <c r="P170">
        <v>1.8597176419999999</v>
      </c>
    </row>
    <row r="171" spans="1:19" x14ac:dyDescent="0.2">
      <c r="B171">
        <v>2.5225422000000001E-2</v>
      </c>
      <c r="C171">
        <v>0.13456103799999999</v>
      </c>
      <c r="D171">
        <v>0.22362502000000001</v>
      </c>
      <c r="E171">
        <v>0.39429725100000002</v>
      </c>
      <c r="F171">
        <v>0.54727595100000004</v>
      </c>
      <c r="G171">
        <v>0.69453373399999996</v>
      </c>
      <c r="H171">
        <v>0.76282845600000004</v>
      </c>
      <c r="I171">
        <v>0.99709786499999997</v>
      </c>
      <c r="J171">
        <v>1.142014088</v>
      </c>
      <c r="K171">
        <v>1.2663642900000001</v>
      </c>
      <c r="L171">
        <v>1.4441065390000001</v>
      </c>
      <c r="M171">
        <v>1.7110011249999999</v>
      </c>
      <c r="N171">
        <v>1.9030163040000001</v>
      </c>
      <c r="O171">
        <v>1.7945568460000001</v>
      </c>
      <c r="P171">
        <v>1.7766869240000001</v>
      </c>
    </row>
    <row r="172" spans="1:19" x14ac:dyDescent="0.2">
      <c r="B172">
        <v>2.2663922E-2</v>
      </c>
      <c r="C172">
        <v>7.6370721000000003E-2</v>
      </c>
      <c r="D172">
        <v>0.20628748999999999</v>
      </c>
      <c r="E172">
        <v>0.38888217200000003</v>
      </c>
      <c r="F172">
        <v>0.57437083799999999</v>
      </c>
      <c r="G172">
        <v>0.62703836000000002</v>
      </c>
      <c r="H172">
        <v>0.80576405200000001</v>
      </c>
      <c r="I172">
        <v>0.94094098999999998</v>
      </c>
      <c r="J172">
        <v>1.0459384430000001</v>
      </c>
      <c r="K172">
        <v>1.065510102</v>
      </c>
      <c r="L172">
        <v>1.30555602</v>
      </c>
      <c r="M172">
        <v>1.6099144869999999</v>
      </c>
      <c r="N172">
        <v>1.4115746499999999</v>
      </c>
      <c r="O172">
        <v>1.6114570420000001</v>
      </c>
      <c r="P172">
        <v>2.2200154310000002</v>
      </c>
    </row>
    <row r="173" spans="1:19" x14ac:dyDescent="0.2">
      <c r="B173">
        <v>3.3300215000000001E-2</v>
      </c>
      <c r="C173">
        <v>0.109915022</v>
      </c>
      <c r="D173">
        <v>0.26589982299999998</v>
      </c>
      <c r="E173">
        <v>0.48098001200000001</v>
      </c>
      <c r="F173">
        <v>0.53885808499999999</v>
      </c>
      <c r="G173">
        <v>0.63233835000000005</v>
      </c>
      <c r="H173">
        <v>0.69664412799999997</v>
      </c>
      <c r="I173">
        <v>0.78559349499999998</v>
      </c>
      <c r="J173">
        <v>0.84670904400000002</v>
      </c>
      <c r="K173">
        <v>0.96047921300000005</v>
      </c>
      <c r="L173">
        <v>1.166773547</v>
      </c>
      <c r="M173">
        <v>1.3694739359999999</v>
      </c>
      <c r="N173">
        <v>1.6232018939999999</v>
      </c>
      <c r="O173">
        <v>1.6847912089999999</v>
      </c>
      <c r="P173">
        <v>1.738218</v>
      </c>
    </row>
    <row r="174" spans="1:19" x14ac:dyDescent="0.2">
      <c r="B174">
        <v>2.1695848E-2</v>
      </c>
      <c r="C174">
        <v>9.8126926000000003E-2</v>
      </c>
      <c r="D174">
        <v>0.19830637300000001</v>
      </c>
      <c r="E174">
        <v>0.39827524800000003</v>
      </c>
      <c r="F174">
        <v>0.52798778899999999</v>
      </c>
      <c r="G174">
        <v>0.595204387</v>
      </c>
      <c r="H174">
        <v>0.68596759900000004</v>
      </c>
      <c r="I174">
        <v>0.73654037900000002</v>
      </c>
      <c r="J174">
        <v>0.81809528600000003</v>
      </c>
      <c r="K174">
        <v>0.81914845199999997</v>
      </c>
      <c r="L174">
        <v>0.94734698799999995</v>
      </c>
      <c r="M174">
        <v>0.81578620099999999</v>
      </c>
      <c r="N174">
        <v>1.182831599</v>
      </c>
      <c r="O174">
        <v>1.3194748160000001</v>
      </c>
      <c r="P174">
        <v>1.5784266300000001</v>
      </c>
    </row>
    <row r="175" spans="1:19" x14ac:dyDescent="0.2">
      <c r="B175">
        <v>2.9279013E-2</v>
      </c>
      <c r="C175">
        <v>0.113887513</v>
      </c>
      <c r="D175">
        <v>0.25112267500000002</v>
      </c>
      <c r="E175">
        <v>0.40643369000000001</v>
      </c>
      <c r="F175">
        <v>0.51202235500000004</v>
      </c>
      <c r="G175">
        <v>0.59579568500000002</v>
      </c>
      <c r="H175">
        <v>0.67860015600000001</v>
      </c>
      <c r="I175">
        <v>0.72186286099999997</v>
      </c>
      <c r="J175">
        <v>0.81782518000000004</v>
      </c>
      <c r="K175">
        <v>0.874899121</v>
      </c>
      <c r="L175">
        <v>0.97760769599999997</v>
      </c>
      <c r="M175">
        <v>1.044707584</v>
      </c>
      <c r="N175">
        <v>1.1519333899999999</v>
      </c>
      <c r="O175">
        <v>1.389053393</v>
      </c>
      <c r="P175">
        <v>1.6261733949999999</v>
      </c>
    </row>
    <row r="176" spans="1:19" x14ac:dyDescent="0.2">
      <c r="B176">
        <v>2.9279013E-2</v>
      </c>
      <c r="C176">
        <v>0.113887513</v>
      </c>
      <c r="D176">
        <v>0.25112267500000002</v>
      </c>
      <c r="E176">
        <v>0.40643369000000001</v>
      </c>
      <c r="F176">
        <v>0.51202235500000004</v>
      </c>
      <c r="G176">
        <v>0.59579568500000002</v>
      </c>
      <c r="H176">
        <v>0.67860015600000001</v>
      </c>
      <c r="I176">
        <v>0.72186286099999997</v>
      </c>
      <c r="J176">
        <v>0.81782518000000004</v>
      </c>
      <c r="K176">
        <v>0.874899121</v>
      </c>
      <c r="L176">
        <v>0.97760769599999997</v>
      </c>
      <c r="M176">
        <v>1.044707584</v>
      </c>
      <c r="N176">
        <v>1.1519333899999999</v>
      </c>
      <c r="O176">
        <v>1.389053393</v>
      </c>
      <c r="P176">
        <v>1.6261733949999999</v>
      </c>
    </row>
    <row r="177" spans="1:61" x14ac:dyDescent="0.2">
      <c r="B177">
        <v>1.8974039000000002E-2</v>
      </c>
      <c r="C177">
        <v>0.10028049</v>
      </c>
      <c r="D177">
        <v>0.20869992300000001</v>
      </c>
      <c r="E177">
        <v>0.36956144800000001</v>
      </c>
      <c r="F177">
        <v>0.48770335999999997</v>
      </c>
      <c r="G177">
        <v>0.61428291400000001</v>
      </c>
      <c r="H177">
        <v>0.70489551399999995</v>
      </c>
      <c r="I177">
        <v>0.76874035399999996</v>
      </c>
      <c r="J177">
        <v>0.89059718099999996</v>
      </c>
      <c r="K177">
        <v>1.0320896150000001</v>
      </c>
      <c r="L177">
        <v>0.975926501</v>
      </c>
      <c r="M177">
        <v>1.0844194890000001</v>
      </c>
      <c r="N177">
        <v>1.34031024</v>
      </c>
      <c r="O177">
        <v>1.2279804139999999</v>
      </c>
      <c r="P177">
        <v>2.0478092769999998</v>
      </c>
    </row>
    <row r="178" spans="1:61" x14ac:dyDescent="0.2">
      <c r="B178">
        <v>1.8974039000000002E-2</v>
      </c>
      <c r="C178">
        <v>0.10028049</v>
      </c>
      <c r="D178">
        <v>0.20869992300000001</v>
      </c>
      <c r="E178">
        <v>0.36956144800000001</v>
      </c>
      <c r="F178">
        <v>0.48770335999999997</v>
      </c>
      <c r="G178">
        <v>0.61428291400000001</v>
      </c>
      <c r="H178">
        <v>0.70489551399999995</v>
      </c>
      <c r="I178">
        <v>0.76874035399999996</v>
      </c>
      <c r="J178">
        <v>0.89059718099999996</v>
      </c>
      <c r="K178">
        <v>1.0320896150000001</v>
      </c>
      <c r="L178">
        <v>0.975926501</v>
      </c>
      <c r="M178">
        <v>1.0844194890000001</v>
      </c>
      <c r="N178">
        <v>1.34031024</v>
      </c>
      <c r="O178">
        <v>1.2279804139999999</v>
      </c>
      <c r="P178">
        <v>2.0478092769999998</v>
      </c>
    </row>
    <row r="179" spans="1:61" x14ac:dyDescent="0.2">
      <c r="B179">
        <v>2.2340125999999998E-2</v>
      </c>
      <c r="C179">
        <v>0.16307050200000001</v>
      </c>
      <c r="D179">
        <v>0.28087430200000002</v>
      </c>
      <c r="E179">
        <v>0.37731543899999997</v>
      </c>
      <c r="F179">
        <v>0.47539210599999998</v>
      </c>
      <c r="G179">
        <v>0.56840108600000006</v>
      </c>
      <c r="H179">
        <v>0.73328093900000002</v>
      </c>
      <c r="I179">
        <v>0.80313542400000004</v>
      </c>
      <c r="J179">
        <v>0.84026475199999995</v>
      </c>
      <c r="K179">
        <v>0.95574643400000003</v>
      </c>
      <c r="L179">
        <v>1.077189269</v>
      </c>
      <c r="M179">
        <v>0.99408522200000005</v>
      </c>
      <c r="N179">
        <v>1.21649973</v>
      </c>
      <c r="O179">
        <v>1.350697939</v>
      </c>
      <c r="P179">
        <v>1.969390269</v>
      </c>
    </row>
    <row r="180" spans="1:61" x14ac:dyDescent="0.2">
      <c r="B180" s="2">
        <f>[2]pollock_biomass_num_length_by_r!R22</f>
        <v>1.6258697083952819E-2</v>
      </c>
      <c r="C180" s="2">
        <f>[2]pollock_biomass_num_length_by_r!S22</f>
        <v>8.6594741842514353E-2</v>
      </c>
      <c r="D180" s="2">
        <f>[2]pollock_biomass_num_length_by_r!T22</f>
        <v>0.3018241641951897</v>
      </c>
      <c r="E180" s="2">
        <f>[2]pollock_biomass_num_length_by_r!U22</f>
        <v>0.42924925136143305</v>
      </c>
      <c r="F180" s="2">
        <f>[2]pollock_biomass_num_length_by_r!V22</f>
        <v>0.50915455990978109</v>
      </c>
      <c r="G180" s="2">
        <f>[2]pollock_biomass_num_length_by_r!W22</f>
        <v>0.54300278449549078</v>
      </c>
      <c r="H180" s="2">
        <f>[2]pollock_biomass_num_length_by_r!X22</f>
        <v>0.62247715852368202</v>
      </c>
      <c r="I180" s="2">
        <f>[2]pollock_biomass_num_length_by_r!Y22</f>
        <v>0.73992141762545305</v>
      </c>
      <c r="J180" s="2">
        <f>[2]pollock_biomass_num_length_by_r!Z22</f>
        <v>0.84854919864226985</v>
      </c>
      <c r="K180" s="2">
        <f>[2]pollock_biomass_num_length_by_r!AA22</f>
        <v>0.89023341590477723</v>
      </c>
      <c r="L180" s="2">
        <f>[2]pollock_biomass_num_length_by_r!AB22</f>
        <v>0.96316922837351082</v>
      </c>
      <c r="M180" s="2">
        <f>[2]pollock_biomass_num_length_by_r!AC22</f>
        <v>1.0248896323979517</v>
      </c>
      <c r="N180" s="2">
        <f>[2]pollock_biomass_num_length_by_r!AD22</f>
        <v>1.1394465531104383</v>
      </c>
      <c r="O180" s="2">
        <f>[2]pollock_biomass_num_length_by_r!AE22</f>
        <v>0.97998985468666777</v>
      </c>
      <c r="P180" s="2">
        <f>[2]pollock_biomass_num_length_by_r!AF22</f>
        <v>2.4030599449299168</v>
      </c>
    </row>
    <row r="181" spans="1:61" s="5" customFormat="1" x14ac:dyDescent="0.2">
      <c r="A181" s="4"/>
      <c r="B181" s="5" t="s">
        <v>22</v>
      </c>
    </row>
    <row r="182" spans="1:61" x14ac:dyDescent="0.2">
      <c r="B182">
        <v>3</v>
      </c>
    </row>
    <row r="183" spans="1:61" s="5" customFormat="1" x14ac:dyDescent="0.2">
      <c r="A183" s="4"/>
      <c r="B183" s="5" t="s">
        <v>23</v>
      </c>
    </row>
    <row r="184" spans="1:61" x14ac:dyDescent="0.2">
      <c r="B184">
        <v>1</v>
      </c>
      <c r="C184">
        <v>1</v>
      </c>
      <c r="D184">
        <v>1</v>
      </c>
    </row>
    <row r="185" spans="1:61" s="5" customFormat="1" x14ac:dyDescent="0.2">
      <c r="A185" s="4"/>
      <c r="B185" s="5" t="s">
        <v>24</v>
      </c>
    </row>
    <row r="186" spans="1:61" x14ac:dyDescent="0.2">
      <c r="B186" s="2">
        <v>60</v>
      </c>
    </row>
    <row r="187" spans="1:61" s="5" customFormat="1" x14ac:dyDescent="0.2">
      <c r="A187" s="4"/>
      <c r="B187" s="5" t="s">
        <v>25</v>
      </c>
    </row>
    <row r="188" spans="1:61" x14ac:dyDescent="0.2">
      <c r="B188" s="2">
        <v>42</v>
      </c>
    </row>
    <row r="189" spans="1:61" s="5" customFormat="1" x14ac:dyDescent="0.2">
      <c r="A189" s="4"/>
      <c r="B189" s="5" t="s">
        <v>26</v>
      </c>
    </row>
    <row r="190" spans="1:61" x14ac:dyDescent="0.2">
      <c r="B190" s="2">
        <v>19</v>
      </c>
    </row>
    <row r="191" spans="1:61" s="5" customFormat="1" x14ac:dyDescent="0.2">
      <c r="A191" s="4"/>
      <c r="B191" s="5" t="s">
        <v>27</v>
      </c>
    </row>
    <row r="192" spans="1:61" x14ac:dyDescent="0.2">
      <c r="A192" s="3">
        <f>COUNT(B192:CI192)</f>
        <v>60</v>
      </c>
      <c r="B192">
        <v>1964</v>
      </c>
      <c r="C192">
        <v>1965</v>
      </c>
      <c r="D192">
        <v>1966</v>
      </c>
      <c r="E192">
        <v>1967</v>
      </c>
      <c r="F192">
        <v>1968</v>
      </c>
      <c r="G192">
        <v>1969</v>
      </c>
      <c r="H192">
        <v>1970</v>
      </c>
      <c r="I192">
        <v>1971</v>
      </c>
      <c r="J192">
        <v>1972</v>
      </c>
      <c r="K192">
        <v>1973</v>
      </c>
      <c r="L192">
        <v>1974</v>
      </c>
      <c r="M192">
        <v>1975</v>
      </c>
      <c r="N192">
        <v>1976</v>
      </c>
      <c r="O192">
        <v>1977</v>
      </c>
      <c r="P192">
        <v>1978</v>
      </c>
      <c r="Q192">
        <v>1979</v>
      </c>
      <c r="R192">
        <v>1980</v>
      </c>
      <c r="S192">
        <v>1981</v>
      </c>
      <c r="T192">
        <v>1982</v>
      </c>
      <c r="U192">
        <v>1983</v>
      </c>
      <c r="V192">
        <v>1984</v>
      </c>
      <c r="W192">
        <v>1985</v>
      </c>
      <c r="X192">
        <v>1986</v>
      </c>
      <c r="Y192">
        <v>1987</v>
      </c>
      <c r="Z192">
        <v>1988</v>
      </c>
      <c r="AA192">
        <v>1989</v>
      </c>
      <c r="AB192">
        <v>1990</v>
      </c>
      <c r="AC192">
        <v>1991</v>
      </c>
      <c r="AD192">
        <v>1992</v>
      </c>
      <c r="AE192">
        <v>1993</v>
      </c>
      <c r="AF192">
        <v>1994</v>
      </c>
      <c r="AG192">
        <v>1995</v>
      </c>
      <c r="AH192">
        <v>1996</v>
      </c>
      <c r="AI192">
        <v>1997</v>
      </c>
      <c r="AJ192">
        <v>1998</v>
      </c>
      <c r="AK192">
        <v>1999</v>
      </c>
      <c r="AL192">
        <v>2000</v>
      </c>
      <c r="AM192">
        <v>2001</v>
      </c>
      <c r="AN192">
        <v>2002</v>
      </c>
      <c r="AO192">
        <v>2003</v>
      </c>
      <c r="AP192">
        <v>2004</v>
      </c>
      <c r="AQ192">
        <v>2005</v>
      </c>
      <c r="AR192">
        <v>2006</v>
      </c>
      <c r="AS192">
        <v>2007</v>
      </c>
      <c r="AT192">
        <v>2008</v>
      </c>
      <c r="AU192">
        <v>2009</v>
      </c>
      <c r="AV192">
        <v>2010</v>
      </c>
      <c r="AW192">
        <v>2011</v>
      </c>
      <c r="AX192">
        <v>2012</v>
      </c>
      <c r="AY192">
        <v>2013</v>
      </c>
      <c r="AZ192">
        <v>2014</v>
      </c>
      <c r="BA192">
        <v>2015</v>
      </c>
      <c r="BB192">
        <v>2016</v>
      </c>
      <c r="BC192">
        <v>2017</v>
      </c>
      <c r="BD192">
        <v>2018</v>
      </c>
      <c r="BE192">
        <v>2019</v>
      </c>
      <c r="BF192">
        <v>2020</v>
      </c>
      <c r="BG192">
        <v>2021</v>
      </c>
      <c r="BH192">
        <v>2022</v>
      </c>
      <c r="BI192" s="2">
        <v>2023</v>
      </c>
    </row>
    <row r="193" spans="1:61" s="5" customFormat="1" x14ac:dyDescent="0.2">
      <c r="A193" s="4"/>
      <c r="B193" s="5" t="s">
        <v>28</v>
      </c>
    </row>
    <row r="194" spans="1:61" x14ac:dyDescent="0.2">
      <c r="A194" s="3">
        <f>COUNT(B194:CI194)</f>
        <v>42</v>
      </c>
      <c r="B194">
        <v>1982</v>
      </c>
      <c r="C194">
        <v>1983</v>
      </c>
      <c r="D194">
        <v>1984</v>
      </c>
      <c r="E194">
        <v>1985</v>
      </c>
      <c r="F194">
        <v>1986</v>
      </c>
      <c r="G194">
        <v>1987</v>
      </c>
      <c r="H194">
        <v>1988</v>
      </c>
      <c r="I194">
        <v>1989</v>
      </c>
      <c r="J194">
        <v>1990</v>
      </c>
      <c r="K194">
        <v>1991</v>
      </c>
      <c r="L194">
        <v>1992</v>
      </c>
      <c r="M194">
        <v>1993</v>
      </c>
      <c r="N194">
        <v>1994</v>
      </c>
      <c r="O194">
        <v>1995</v>
      </c>
      <c r="P194">
        <v>1996</v>
      </c>
      <c r="Q194">
        <v>1997</v>
      </c>
      <c r="R194">
        <v>1998</v>
      </c>
      <c r="S194">
        <v>1999</v>
      </c>
      <c r="T194">
        <v>2000</v>
      </c>
      <c r="U194">
        <v>2001</v>
      </c>
      <c r="V194">
        <v>2002</v>
      </c>
      <c r="W194">
        <v>2003</v>
      </c>
      <c r="X194">
        <v>2004</v>
      </c>
      <c r="Y194">
        <v>2005</v>
      </c>
      <c r="Z194">
        <v>2006</v>
      </c>
      <c r="AA194">
        <v>2007</v>
      </c>
      <c r="AB194">
        <v>2008</v>
      </c>
      <c r="AC194">
        <v>2009</v>
      </c>
      <c r="AD194">
        <v>2010</v>
      </c>
      <c r="AE194">
        <v>2011</v>
      </c>
      <c r="AF194">
        <v>2012</v>
      </c>
      <c r="AG194">
        <v>2013</v>
      </c>
      <c r="AH194">
        <v>2014</v>
      </c>
      <c r="AI194">
        <v>2015</v>
      </c>
      <c r="AJ194">
        <v>2016</v>
      </c>
      <c r="AK194">
        <v>2017</v>
      </c>
      <c r="AL194">
        <v>2018</v>
      </c>
      <c r="AM194">
        <v>2019</v>
      </c>
      <c r="AN194">
        <v>2021</v>
      </c>
      <c r="AO194">
        <v>2022</v>
      </c>
      <c r="AP194">
        <v>2023</v>
      </c>
      <c r="AQ194" s="2">
        <v>2024</v>
      </c>
    </row>
    <row r="195" spans="1:61" s="5" customFormat="1" x14ac:dyDescent="0.2">
      <c r="A195" s="4"/>
      <c r="B195" s="5" t="s">
        <v>30</v>
      </c>
    </row>
    <row r="196" spans="1:61" x14ac:dyDescent="0.2">
      <c r="A196" s="3">
        <f>COUNT(B196:CI196)</f>
        <v>19</v>
      </c>
      <c r="B196">
        <v>1994</v>
      </c>
      <c r="C196">
        <v>1996</v>
      </c>
      <c r="D196">
        <v>1997</v>
      </c>
      <c r="E196">
        <v>1999</v>
      </c>
      <c r="F196">
        <v>2000</v>
      </c>
      <c r="G196">
        <v>2002</v>
      </c>
      <c r="H196">
        <v>2004</v>
      </c>
      <c r="I196">
        <v>2006</v>
      </c>
      <c r="J196">
        <v>2007</v>
      </c>
      <c r="K196">
        <v>2008</v>
      </c>
      <c r="L196">
        <v>2009</v>
      </c>
      <c r="M196">
        <v>2010</v>
      </c>
      <c r="N196">
        <v>2012</v>
      </c>
      <c r="O196">
        <v>2014</v>
      </c>
      <c r="P196">
        <v>2016</v>
      </c>
      <c r="Q196">
        <v>2018</v>
      </c>
      <c r="R196">
        <v>2020</v>
      </c>
      <c r="S196">
        <v>2022</v>
      </c>
      <c r="T196" s="2">
        <v>2024</v>
      </c>
    </row>
    <row r="197" spans="1:61" s="5" customFormat="1" x14ac:dyDescent="0.2">
      <c r="A197" s="4"/>
      <c r="B197" s="5" t="s">
        <v>31</v>
      </c>
    </row>
    <row r="198" spans="1:61" x14ac:dyDescent="0.2">
      <c r="A198" s="3">
        <f>COUNT(B198:CI198)</f>
        <v>60</v>
      </c>
      <c r="B198">
        <v>10</v>
      </c>
      <c r="C198">
        <v>10</v>
      </c>
      <c r="D198">
        <v>10</v>
      </c>
      <c r="E198">
        <v>10</v>
      </c>
      <c r="F198">
        <v>10</v>
      </c>
      <c r="G198">
        <v>10</v>
      </c>
      <c r="H198">
        <v>10</v>
      </c>
      <c r="I198">
        <v>10</v>
      </c>
      <c r="J198">
        <v>10</v>
      </c>
      <c r="K198">
        <v>10</v>
      </c>
      <c r="L198">
        <v>10</v>
      </c>
      <c r="M198">
        <v>10</v>
      </c>
      <c r="N198">
        <v>10</v>
      </c>
      <c r="O198">
        <v>10</v>
      </c>
      <c r="P198">
        <v>39</v>
      </c>
      <c r="Q198">
        <v>39</v>
      </c>
      <c r="R198">
        <v>39</v>
      </c>
      <c r="S198">
        <v>39</v>
      </c>
      <c r="T198">
        <v>39</v>
      </c>
      <c r="U198">
        <v>39</v>
      </c>
      <c r="V198">
        <v>39</v>
      </c>
      <c r="W198">
        <v>39</v>
      </c>
      <c r="X198">
        <v>39</v>
      </c>
      <c r="Y198">
        <v>39</v>
      </c>
      <c r="Z198">
        <v>39</v>
      </c>
      <c r="AA198">
        <v>39</v>
      </c>
      <c r="AB198">
        <v>39</v>
      </c>
      <c r="AC198" s="2">
        <v>260.30218317673337</v>
      </c>
      <c r="AD198" s="2">
        <v>228.04508788051942</v>
      </c>
      <c r="AE198" s="2">
        <v>344.4454631140311</v>
      </c>
      <c r="AF198" s="2">
        <v>286.35591541824846</v>
      </c>
      <c r="AG198" s="2">
        <v>256.94670415990186</v>
      </c>
      <c r="AH198" s="2">
        <v>189.08021942209191</v>
      </c>
      <c r="AI198" s="2">
        <v>318.67807065142722</v>
      </c>
      <c r="AJ198" s="2">
        <v>354.56670037646228</v>
      </c>
      <c r="AK198" s="2">
        <v>476.13649877154245</v>
      </c>
      <c r="AL198" s="2">
        <v>482.43441919024855</v>
      </c>
      <c r="AM198" s="2">
        <v>328.16988234771134</v>
      </c>
      <c r="AN198" s="2">
        <v>486.56339423877751</v>
      </c>
      <c r="AO198" s="2">
        <v>440.91364369727</v>
      </c>
      <c r="AP198" s="2">
        <v>390.51744870179556</v>
      </c>
      <c r="AQ198" s="2">
        <v>494.38214036330567</v>
      </c>
      <c r="AR198" s="2">
        <v>506.2105711123931</v>
      </c>
      <c r="AS198" s="2">
        <v>500.21563071341313</v>
      </c>
      <c r="AT198" s="2">
        <v>523.64997495845535</v>
      </c>
      <c r="AU198" s="2">
        <v>420.0301078891269</v>
      </c>
      <c r="AV198" s="2">
        <v>549.40555723100204</v>
      </c>
      <c r="AW198" s="2">
        <v>728.0740901192155</v>
      </c>
      <c r="AX198" s="2">
        <v>607.45925345470221</v>
      </c>
      <c r="AY198" s="2">
        <v>753.27130064758887</v>
      </c>
      <c r="AZ198" s="2">
        <v>606.34391781185354</v>
      </c>
      <c r="BA198" s="2">
        <v>821.23483891831563</v>
      </c>
      <c r="BB198" s="2">
        <v>704.11018364242807</v>
      </c>
      <c r="BC198" s="2">
        <v>606.72007981561239</v>
      </c>
      <c r="BD198" s="2">
        <v>667.84083688158114</v>
      </c>
      <c r="BE198" s="2">
        <v>700.79587489221785</v>
      </c>
      <c r="BF198" s="2">
        <v>565.24328152259693</v>
      </c>
      <c r="BG198" s="2">
        <v>817.57808989003138</v>
      </c>
      <c r="BH198" s="2">
        <v>641.2352943484243</v>
      </c>
      <c r="BI198" s="2">
        <v>443.04334464097587</v>
      </c>
    </row>
    <row r="199" spans="1:61" s="5" customFormat="1" x14ac:dyDescent="0.2">
      <c r="A199" s="4"/>
      <c r="B199" s="5" t="s">
        <v>32</v>
      </c>
      <c r="C199">
        <v>77.14159282</v>
      </c>
      <c r="D199">
        <v>23.712740530000001</v>
      </c>
      <c r="E199">
        <v>111.9711693</v>
      </c>
      <c r="F199">
        <v>30.772516379999999</v>
      </c>
      <c r="G199">
        <v>72.783655960000004</v>
      </c>
      <c r="H199">
        <v>70.687438159999999</v>
      </c>
      <c r="I199">
        <v>61.966137140000001</v>
      </c>
      <c r="J199">
        <v>95.430970020000004</v>
      </c>
      <c r="K199">
        <v>82.804945239999995</v>
      </c>
      <c r="L199">
        <v>65.196174959999993</v>
      </c>
      <c r="M199">
        <v>40.844997200000002</v>
      </c>
      <c r="N199">
        <v>43.043603109999999</v>
      </c>
      <c r="O199">
        <v>52.305773780000003</v>
      </c>
      <c r="P199">
        <v>39.561555970000001</v>
      </c>
      <c r="Q199">
        <v>110.5916879</v>
      </c>
      <c r="R199">
        <v>42.211636069999997</v>
      </c>
      <c r="S199">
        <v>100.02502610000001</v>
      </c>
      <c r="T199">
        <v>91.282862629999997</v>
      </c>
      <c r="U199">
        <v>80.002601010000006</v>
      </c>
      <c r="V199">
        <v>109.7252974</v>
      </c>
      <c r="W199">
        <v>116.7592429</v>
      </c>
      <c r="X199">
        <v>80.426583719999996</v>
      </c>
      <c r="Y199">
        <v>88.60936074</v>
      </c>
      <c r="Z199">
        <v>94.131644929999993</v>
      </c>
      <c r="AA199">
        <v>138.91887120000001</v>
      </c>
      <c r="AB199">
        <v>77.558757170000007</v>
      </c>
      <c r="AC199">
        <v>106.4428185</v>
      </c>
      <c r="AD199">
        <v>67.286036269999997</v>
      </c>
      <c r="AE199">
        <v>86.721515069999995</v>
      </c>
      <c r="AF199">
        <v>117.70580099999999</v>
      </c>
      <c r="AG199">
        <v>125.63312430000001</v>
      </c>
      <c r="AH199">
        <v>149.0396494</v>
      </c>
      <c r="AI199">
        <v>148.23068570000001</v>
      </c>
      <c r="AJ199">
        <v>202.8320846</v>
      </c>
      <c r="AK199">
        <v>173.95898260000001</v>
      </c>
      <c r="AL199">
        <v>233.65919030000001</v>
      </c>
      <c r="AM199">
        <v>99.32659701</v>
      </c>
      <c r="AN199">
        <v>150.79931669999999</v>
      </c>
      <c r="AO199">
        <v>128.82539349999999</v>
      </c>
      <c r="AP199">
        <v>163.39779440000001</v>
      </c>
      <c r="AQ199">
        <v>147.6741682</v>
      </c>
      <c r="AR199" s="2">
        <v>150</v>
      </c>
    </row>
    <row r="200" spans="1:61" x14ac:dyDescent="0.2">
      <c r="A200" s="3">
        <f>COUNT(B200:CI200)</f>
        <v>42</v>
      </c>
      <c r="B200" s="5">
        <v>162.0393239</v>
      </c>
      <c r="C200" s="5">
        <v>130.70066270000001</v>
      </c>
      <c r="D200" s="5">
        <v>63.273125280000002</v>
      </c>
      <c r="E200" s="5">
        <v>73.535708060000005</v>
      </c>
      <c r="F200" s="5">
        <v>151.9481692</v>
      </c>
      <c r="G200" s="5">
        <v>61.214699510000003</v>
      </c>
      <c r="H200" s="5">
        <v>82.232543699999994</v>
      </c>
      <c r="I200" s="5">
        <v>53.191369819999998</v>
      </c>
      <c r="J200" s="5">
        <v>48.26632231</v>
      </c>
      <c r="K200" s="5">
        <v>79.424271750000003</v>
      </c>
      <c r="L200" s="5">
        <v>85.220463620000004</v>
      </c>
      <c r="M200" s="5">
        <v>91.983613980000001</v>
      </c>
      <c r="N200" s="5">
        <v>86.851384019999998</v>
      </c>
      <c r="O200" s="5">
        <v>104.8977063</v>
      </c>
      <c r="P200" s="5">
        <v>226.4696079</v>
      </c>
      <c r="Q200" s="5">
        <v>73.384804239999994</v>
      </c>
      <c r="R200" s="5">
        <v>65.188310139999999</v>
      </c>
      <c r="S200" s="5">
        <v>95.428970410000005</v>
      </c>
      <c r="T200" s="5">
        <v>90.693427020000001</v>
      </c>
      <c r="U200" s="5">
        <v>183.0103987</v>
      </c>
      <c r="V200" s="5">
        <v>186.32525670000001</v>
      </c>
      <c r="W200" s="5">
        <v>125.65945429999999</v>
      </c>
      <c r="X200" s="5">
        <v>188.6575824</v>
      </c>
      <c r="Y200" s="5">
        <v>194.4902529</v>
      </c>
      <c r="Z200" s="5">
        <v>329.6148551</v>
      </c>
      <c r="AA200" s="5">
        <v>192.69521510000001</v>
      </c>
      <c r="AB200" s="5">
        <v>235.40601810000001</v>
      </c>
      <c r="AC200" s="5">
        <v>144.7225262</v>
      </c>
      <c r="AD200" s="5">
        <v>107.88944069999999</v>
      </c>
      <c r="AE200" s="5">
        <v>165.26886630000001</v>
      </c>
      <c r="AF200" s="5">
        <v>107.1237964</v>
      </c>
      <c r="AG200" s="5">
        <v>66.526541449999996</v>
      </c>
      <c r="AH200" s="5">
        <v>117.66416890000001</v>
      </c>
      <c r="AI200" s="5">
        <v>103.6700104</v>
      </c>
      <c r="AJ200" s="5">
        <v>122.8399641</v>
      </c>
      <c r="AK200" s="5">
        <v>234.588978</v>
      </c>
      <c r="AL200" s="5">
        <v>158.32033670000001</v>
      </c>
      <c r="AM200" s="5">
        <v>120.6785752</v>
      </c>
      <c r="AN200" s="5">
        <v>149.47929600000001</v>
      </c>
      <c r="AO200" s="5">
        <v>172.83410019999999</v>
      </c>
      <c r="AP200" s="5">
        <v>126.77730939999999</v>
      </c>
      <c r="AQ200" s="5">
        <v>64.214082270000006</v>
      </c>
    </row>
    <row r="201" spans="1:61" s="5" customFormat="1" x14ac:dyDescent="0.2">
      <c r="A201" s="4"/>
      <c r="B201" s="5" t="s">
        <v>34</v>
      </c>
    </row>
    <row r="202" spans="1:61" x14ac:dyDescent="0.2">
      <c r="A202" s="3">
        <f>COUNT(B202:CI202)</f>
        <v>19</v>
      </c>
      <c r="B202">
        <v>43</v>
      </c>
      <c r="C202">
        <v>32</v>
      </c>
      <c r="D202">
        <v>49</v>
      </c>
      <c r="E202">
        <v>67</v>
      </c>
      <c r="F202">
        <v>70</v>
      </c>
      <c r="G202">
        <v>72</v>
      </c>
      <c r="H202">
        <v>51</v>
      </c>
      <c r="I202">
        <v>47</v>
      </c>
      <c r="J202">
        <v>39</v>
      </c>
      <c r="K202">
        <v>35</v>
      </c>
      <c r="L202">
        <v>26</v>
      </c>
      <c r="M202">
        <v>34</v>
      </c>
      <c r="N202">
        <v>44</v>
      </c>
      <c r="O202">
        <v>79</v>
      </c>
      <c r="P202">
        <v>61</v>
      </c>
      <c r="Q202">
        <v>50</v>
      </c>
      <c r="R202">
        <v>1</v>
      </c>
      <c r="S202">
        <v>52</v>
      </c>
      <c r="T202" s="2">
        <f>MAX(B202:S202)</f>
        <v>79</v>
      </c>
    </row>
    <row r="203" spans="1:61" s="5" customFormat="1" x14ac:dyDescent="0.2">
      <c r="A203" s="4"/>
      <c r="B203" s="5" t="s">
        <v>35</v>
      </c>
    </row>
    <row r="204" spans="1:61" x14ac:dyDescent="0.2">
      <c r="A204" s="3">
        <f>COUNT(B204:CI204)</f>
        <v>60</v>
      </c>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s="2">
        <v>1</v>
      </c>
    </row>
    <row r="205" spans="1:61" s="5" customFormat="1" x14ac:dyDescent="0.2">
      <c r="A205" s="4"/>
      <c r="B205" s="5" t="s">
        <v>36</v>
      </c>
    </row>
    <row r="206" spans="1:61" x14ac:dyDescent="0.2">
      <c r="A206" s="3">
        <f>COUNT(B206:CI206)</f>
        <v>42</v>
      </c>
      <c r="B206">
        <v>1</v>
      </c>
      <c r="C206">
        <v>1</v>
      </c>
      <c r="D206">
        <v>1</v>
      </c>
      <c r="E206">
        <v>1</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s="2">
        <v>1</v>
      </c>
    </row>
    <row r="207" spans="1:61" s="5" customFormat="1" x14ac:dyDescent="0.2">
      <c r="A207" s="4"/>
      <c r="B207" s="5" t="s">
        <v>38</v>
      </c>
    </row>
    <row r="208" spans="1:61" x14ac:dyDescent="0.2">
      <c r="A208" s="3">
        <f>COUNT(B208:CI208)</f>
        <v>19</v>
      </c>
      <c r="B208">
        <v>1</v>
      </c>
      <c r="C208">
        <v>1</v>
      </c>
      <c r="D208">
        <v>1</v>
      </c>
      <c r="E208">
        <v>1</v>
      </c>
      <c r="F208">
        <v>1</v>
      </c>
      <c r="G208">
        <v>1</v>
      </c>
      <c r="H208">
        <v>1</v>
      </c>
      <c r="I208">
        <v>1</v>
      </c>
      <c r="J208">
        <v>1</v>
      </c>
      <c r="K208">
        <v>1</v>
      </c>
      <c r="L208">
        <v>1</v>
      </c>
      <c r="M208">
        <v>1</v>
      </c>
      <c r="N208">
        <v>1</v>
      </c>
      <c r="O208">
        <v>1</v>
      </c>
      <c r="P208">
        <v>1</v>
      </c>
      <c r="Q208">
        <v>1</v>
      </c>
      <c r="R208">
        <v>1</v>
      </c>
      <c r="S208">
        <v>1</v>
      </c>
      <c r="T208" s="2">
        <v>1</v>
      </c>
    </row>
    <row r="209" spans="1:16" s="5" customFormat="1" x14ac:dyDescent="0.2">
      <c r="A209" s="4"/>
      <c r="B209" s="5" t="s">
        <v>39</v>
      </c>
    </row>
    <row r="210" spans="1:16" x14ac:dyDescent="0.2">
      <c r="A210" s="3">
        <v>1964</v>
      </c>
      <c r="B210">
        <v>2.5321E-2</v>
      </c>
      <c r="C210">
        <v>0.105571</v>
      </c>
      <c r="D210">
        <v>0.16556299999999999</v>
      </c>
      <c r="E210">
        <v>0.19361100000000001</v>
      </c>
      <c r="F210">
        <v>9.5441999999999999E-2</v>
      </c>
      <c r="G210">
        <v>0.26840700000000001</v>
      </c>
      <c r="H210">
        <v>0.120764</v>
      </c>
      <c r="I210">
        <v>2.5321E-2</v>
      </c>
      <c r="J210">
        <v>0</v>
      </c>
      <c r="K210">
        <v>0</v>
      </c>
      <c r="L210">
        <v>0</v>
      </c>
      <c r="M210">
        <v>0</v>
      </c>
      <c r="N210">
        <v>0</v>
      </c>
      <c r="O210">
        <v>0</v>
      </c>
      <c r="P210">
        <v>0</v>
      </c>
    </row>
    <row r="211" spans="1:16" x14ac:dyDescent="0.2">
      <c r="A211" s="3">
        <f>A210+1</f>
        <v>1965</v>
      </c>
      <c r="B211">
        <v>1.417E-2</v>
      </c>
      <c r="C211">
        <v>1.5327E-2</v>
      </c>
      <c r="D211">
        <v>0.20416400000000001</v>
      </c>
      <c r="E211">
        <v>0.55031799999999997</v>
      </c>
      <c r="F211">
        <v>0.13475999999999999</v>
      </c>
      <c r="G211">
        <v>3.3544999999999998E-2</v>
      </c>
      <c r="H211">
        <v>3.2389000000000001E-2</v>
      </c>
      <c r="I211">
        <v>1.5327E-2</v>
      </c>
      <c r="J211">
        <v>0</v>
      </c>
      <c r="K211">
        <v>0</v>
      </c>
      <c r="L211">
        <v>0</v>
      </c>
      <c r="M211">
        <v>0</v>
      </c>
      <c r="N211">
        <v>0</v>
      </c>
      <c r="O211">
        <v>0</v>
      </c>
      <c r="P211">
        <v>0</v>
      </c>
    </row>
    <row r="212" spans="1:16" x14ac:dyDescent="0.2">
      <c r="A212" s="3">
        <f t="shared" ref="A212:A269" si="3">A211+1</f>
        <v>1966</v>
      </c>
      <c r="B212">
        <v>2.8427999999999998E-2</v>
      </c>
      <c r="C212">
        <v>0.16830200000000001</v>
      </c>
      <c r="D212">
        <v>5.7357999999999999E-2</v>
      </c>
      <c r="E212">
        <v>0.420126</v>
      </c>
      <c r="F212">
        <v>0.26490599999999997</v>
      </c>
      <c r="G212">
        <v>2.4150999999999999E-2</v>
      </c>
      <c r="H212">
        <v>2.6415000000000001E-2</v>
      </c>
      <c r="I212">
        <v>1.0314E-2</v>
      </c>
      <c r="J212">
        <v>0</v>
      </c>
      <c r="K212">
        <v>0</v>
      </c>
      <c r="L212">
        <v>0</v>
      </c>
      <c r="M212">
        <v>0</v>
      </c>
      <c r="N212">
        <v>0</v>
      </c>
      <c r="O212">
        <v>0</v>
      </c>
      <c r="P212">
        <v>0</v>
      </c>
    </row>
    <row r="213" spans="1:16" x14ac:dyDescent="0.2">
      <c r="A213" s="3">
        <f t="shared" si="3"/>
        <v>1967</v>
      </c>
      <c r="B213">
        <v>9.4669999999999997E-3</v>
      </c>
      <c r="C213">
        <v>0.110178</v>
      </c>
      <c r="D213">
        <v>0.577515</v>
      </c>
      <c r="E213">
        <v>8.7692000000000006E-2</v>
      </c>
      <c r="F213">
        <v>0.16</v>
      </c>
      <c r="G213">
        <v>3.7988000000000001E-2</v>
      </c>
      <c r="H213">
        <v>1.1479E-2</v>
      </c>
      <c r="I213">
        <v>5.6800000000000002E-3</v>
      </c>
      <c r="J213">
        <v>0</v>
      </c>
      <c r="K213">
        <v>0</v>
      </c>
      <c r="L213">
        <v>0</v>
      </c>
      <c r="M213">
        <v>0</v>
      </c>
      <c r="N213">
        <v>0</v>
      </c>
      <c r="O213">
        <v>0</v>
      </c>
      <c r="P213">
        <v>0</v>
      </c>
    </row>
    <row r="214" spans="1:16" x14ac:dyDescent="0.2">
      <c r="A214" s="3">
        <f t="shared" si="3"/>
        <v>1968</v>
      </c>
      <c r="B214">
        <v>3.2939000000000003E-2</v>
      </c>
      <c r="C214">
        <v>0.178617</v>
      </c>
      <c r="D214">
        <v>0.14021800000000001</v>
      </c>
      <c r="E214">
        <v>0.46851700000000002</v>
      </c>
      <c r="F214">
        <v>0.10736999999999999</v>
      </c>
      <c r="G214">
        <v>3.0572999999999999E-2</v>
      </c>
      <c r="H214">
        <v>3.6579E-2</v>
      </c>
      <c r="I214">
        <v>5.1869999999999998E-3</v>
      </c>
      <c r="J214">
        <v>0</v>
      </c>
      <c r="K214">
        <v>0</v>
      </c>
      <c r="L214">
        <v>0</v>
      </c>
      <c r="M214">
        <v>0</v>
      </c>
      <c r="N214">
        <v>0</v>
      </c>
      <c r="O214">
        <v>0</v>
      </c>
      <c r="P214">
        <v>0</v>
      </c>
    </row>
    <row r="215" spans="1:16" x14ac:dyDescent="0.2">
      <c r="A215" s="3">
        <f t="shared" si="3"/>
        <v>1969</v>
      </c>
      <c r="B215">
        <v>1.4678E-2</v>
      </c>
      <c r="C215">
        <v>7.9766000000000004E-2</v>
      </c>
      <c r="D215">
        <v>0.459233</v>
      </c>
      <c r="E215">
        <v>0.31568400000000002</v>
      </c>
      <c r="F215">
        <v>0.10843</v>
      </c>
      <c r="G215">
        <v>2.3050000000000002E-3</v>
      </c>
      <c r="H215">
        <v>1.2142E-2</v>
      </c>
      <c r="I215">
        <v>7.7609999999999997E-3</v>
      </c>
      <c r="J215">
        <v>0</v>
      </c>
      <c r="K215">
        <v>0</v>
      </c>
      <c r="L215">
        <v>0</v>
      </c>
      <c r="M215">
        <v>0</v>
      </c>
      <c r="N215">
        <v>0</v>
      </c>
      <c r="O215">
        <v>0</v>
      </c>
      <c r="P215">
        <v>0</v>
      </c>
    </row>
    <row r="216" spans="1:16" x14ac:dyDescent="0.2">
      <c r="A216" s="3">
        <f t="shared" si="3"/>
        <v>1970</v>
      </c>
      <c r="B216">
        <v>0.15676200000000001</v>
      </c>
      <c r="C216">
        <v>0.238147</v>
      </c>
      <c r="D216">
        <v>0.37426300000000001</v>
      </c>
      <c r="E216">
        <v>0.17669899999999999</v>
      </c>
      <c r="F216">
        <v>3.4247E-2</v>
      </c>
      <c r="G216">
        <v>1.1143E-2</v>
      </c>
      <c r="H216">
        <v>5.5710000000000004E-3</v>
      </c>
      <c r="I216">
        <v>3.1679999999999998E-3</v>
      </c>
      <c r="J216">
        <v>0</v>
      </c>
      <c r="K216">
        <v>0</v>
      </c>
      <c r="L216">
        <v>0</v>
      </c>
      <c r="M216">
        <v>0</v>
      </c>
      <c r="N216">
        <v>0</v>
      </c>
      <c r="O216">
        <v>0</v>
      </c>
      <c r="P216">
        <v>0</v>
      </c>
    </row>
    <row r="217" spans="1:16" x14ac:dyDescent="0.2">
      <c r="A217" s="3">
        <f t="shared" si="3"/>
        <v>1971</v>
      </c>
      <c r="B217">
        <v>0.165462</v>
      </c>
      <c r="C217">
        <v>4.9415000000000001E-2</v>
      </c>
      <c r="D217">
        <v>0.27603</v>
      </c>
      <c r="E217">
        <v>0.18528700000000001</v>
      </c>
      <c r="F217">
        <v>0.27468900000000002</v>
      </c>
      <c r="G217">
        <v>2.6682999999999998E-2</v>
      </c>
      <c r="H217">
        <v>1.7514999999999999E-2</v>
      </c>
      <c r="I217">
        <v>4.9189999999999998E-3</v>
      </c>
      <c r="J217">
        <v>0</v>
      </c>
      <c r="K217">
        <v>0</v>
      </c>
      <c r="L217">
        <v>0</v>
      </c>
      <c r="M217">
        <v>0</v>
      </c>
      <c r="N217">
        <v>0</v>
      </c>
      <c r="O217">
        <v>0</v>
      </c>
      <c r="P217">
        <v>0</v>
      </c>
    </row>
    <row r="218" spans="1:16" x14ac:dyDescent="0.2">
      <c r="A218" s="3">
        <f t="shared" si="3"/>
        <v>1972</v>
      </c>
      <c r="B218">
        <v>3.1427999999999998E-2</v>
      </c>
      <c r="C218">
        <v>0.15159600000000001</v>
      </c>
      <c r="D218">
        <v>0.349715</v>
      </c>
      <c r="E218">
        <v>0.28007900000000002</v>
      </c>
      <c r="F218">
        <v>0.11734700000000001</v>
      </c>
      <c r="G218">
        <v>4.6027999999999999E-2</v>
      </c>
      <c r="H218">
        <v>1.7471E-2</v>
      </c>
      <c r="I218">
        <v>6.3350000000000004E-3</v>
      </c>
      <c r="J218">
        <v>0</v>
      </c>
      <c r="K218">
        <v>0</v>
      </c>
      <c r="L218">
        <v>0</v>
      </c>
      <c r="M218">
        <v>0</v>
      </c>
      <c r="N218">
        <v>0</v>
      </c>
      <c r="O218">
        <v>0</v>
      </c>
      <c r="P218">
        <v>0</v>
      </c>
    </row>
    <row r="219" spans="1:16" x14ac:dyDescent="0.2">
      <c r="A219" s="3">
        <f t="shared" si="3"/>
        <v>1973</v>
      </c>
      <c r="B219">
        <v>1.1129E-2</v>
      </c>
      <c r="C219">
        <v>0.100338</v>
      </c>
      <c r="D219">
        <v>0.121466</v>
      </c>
      <c r="E219">
        <v>0.26405400000000001</v>
      </c>
      <c r="F219">
        <v>0.202123</v>
      </c>
      <c r="G219">
        <v>0.13807</v>
      </c>
      <c r="H219">
        <v>7.6822000000000001E-2</v>
      </c>
      <c r="I219">
        <v>5.5642999999999998E-2</v>
      </c>
      <c r="J219">
        <v>2.4972000000000001E-2</v>
      </c>
      <c r="K219">
        <v>4.4980000000000003E-3</v>
      </c>
      <c r="L219">
        <v>5.6599999999999999E-4</v>
      </c>
      <c r="M219">
        <v>1.4999999999999999E-4</v>
      </c>
      <c r="N219">
        <v>3.2499999999999997E-5</v>
      </c>
      <c r="O219">
        <v>1.3799999999999999E-4</v>
      </c>
      <c r="P219">
        <v>0</v>
      </c>
    </row>
    <row r="220" spans="1:16" x14ac:dyDescent="0.2">
      <c r="A220" s="3">
        <f t="shared" si="3"/>
        <v>1974</v>
      </c>
      <c r="B220">
        <v>2.4247000000000001E-2</v>
      </c>
      <c r="C220">
        <v>0.52727900000000005</v>
      </c>
      <c r="D220">
        <v>0.19487099999999999</v>
      </c>
      <c r="E220">
        <v>5.5426999999999997E-2</v>
      </c>
      <c r="F220">
        <v>7.4453000000000005E-2</v>
      </c>
      <c r="G220">
        <v>4.0191999999999999E-2</v>
      </c>
      <c r="H220">
        <v>2.5745000000000001E-2</v>
      </c>
      <c r="I220">
        <v>2.1690000000000001E-2</v>
      </c>
      <c r="J220">
        <v>2.1288999999999999E-2</v>
      </c>
      <c r="K220">
        <v>8.9540000000000002E-3</v>
      </c>
      <c r="L220">
        <v>3.6380000000000002E-3</v>
      </c>
      <c r="M220">
        <v>9.5E-4</v>
      </c>
      <c r="N220">
        <v>9.4799999999999995E-4</v>
      </c>
      <c r="O220">
        <v>1.6899999999999999E-4</v>
      </c>
      <c r="P220">
        <v>1.47E-4</v>
      </c>
    </row>
    <row r="221" spans="1:16" x14ac:dyDescent="0.2">
      <c r="A221" s="3">
        <f t="shared" si="3"/>
        <v>1975</v>
      </c>
      <c r="B221">
        <v>8.5430000000000002E-3</v>
      </c>
      <c r="C221">
        <v>0.150288</v>
      </c>
      <c r="D221">
        <v>0.69184299999999999</v>
      </c>
      <c r="E221">
        <v>5.3185000000000003E-2</v>
      </c>
      <c r="F221">
        <v>1.4149E-2</v>
      </c>
      <c r="G221">
        <v>2.6572999999999999E-2</v>
      </c>
      <c r="H221">
        <v>2.5451999999999999E-2</v>
      </c>
      <c r="I221">
        <v>1.3868999999999999E-2</v>
      </c>
      <c r="J221">
        <v>8.1620000000000009E-3</v>
      </c>
      <c r="K221">
        <v>5.7470000000000004E-3</v>
      </c>
      <c r="L221">
        <v>1.421E-3</v>
      </c>
      <c r="M221">
        <v>5.62E-4</v>
      </c>
      <c r="N221">
        <v>9.0400000000000002E-5</v>
      </c>
      <c r="O221">
        <v>1.16E-4</v>
      </c>
      <c r="P221">
        <v>0</v>
      </c>
    </row>
    <row r="222" spans="1:16" x14ac:dyDescent="0.2">
      <c r="A222" s="3">
        <f t="shared" si="3"/>
        <v>1976</v>
      </c>
      <c r="B222">
        <v>2.0000000000000001E-4</v>
      </c>
      <c r="C222">
        <v>0.120162</v>
      </c>
      <c r="D222">
        <v>0.45461600000000002</v>
      </c>
      <c r="E222">
        <v>0.30598599999999998</v>
      </c>
      <c r="F222">
        <v>3.0152000000000002E-2</v>
      </c>
      <c r="G222">
        <v>1.3916E-2</v>
      </c>
      <c r="H222">
        <v>1.9279000000000001E-2</v>
      </c>
      <c r="I222">
        <v>2.2363000000000001E-2</v>
      </c>
      <c r="J222">
        <v>1.7395999999999998E-2</v>
      </c>
      <c r="K222">
        <v>8.5719999999999998E-3</v>
      </c>
      <c r="L222">
        <v>3.9560000000000003E-3</v>
      </c>
      <c r="M222">
        <v>2.7060000000000001E-3</v>
      </c>
      <c r="N222">
        <v>6.9700000000000003E-4</v>
      </c>
      <c r="O222">
        <v>0</v>
      </c>
      <c r="P222">
        <v>0</v>
      </c>
    </row>
    <row r="223" spans="1:16" x14ac:dyDescent="0.2">
      <c r="A223" s="3">
        <f t="shared" si="3"/>
        <v>1977</v>
      </c>
      <c r="B223">
        <v>3.7671999999999997E-2</v>
      </c>
      <c r="C223">
        <v>0.247673</v>
      </c>
      <c r="D223">
        <v>0.331098</v>
      </c>
      <c r="E223">
        <v>0.23990500000000001</v>
      </c>
      <c r="F223">
        <v>8.6128999999999997E-2</v>
      </c>
      <c r="G223">
        <v>1.9158000000000001E-2</v>
      </c>
      <c r="H223">
        <v>7.0299999999999998E-3</v>
      </c>
      <c r="I223">
        <v>1.0141000000000001E-2</v>
      </c>
      <c r="J223">
        <v>8.1110000000000002E-3</v>
      </c>
      <c r="K223">
        <v>6.5139999999999998E-3</v>
      </c>
      <c r="L223">
        <v>3.3600000000000001E-3</v>
      </c>
      <c r="M223">
        <v>1.6670000000000001E-3</v>
      </c>
      <c r="N223">
        <v>1.2290000000000001E-3</v>
      </c>
      <c r="O223">
        <v>2.4499999999999999E-4</v>
      </c>
      <c r="P223">
        <v>6.7799999999999995E-5</v>
      </c>
    </row>
    <row r="224" spans="1:16" x14ac:dyDescent="0.2">
      <c r="A224" s="3">
        <f t="shared" si="3"/>
        <v>1978</v>
      </c>
      <c r="B224">
        <v>1.2042000000000001E-2</v>
      </c>
      <c r="C224">
        <v>0.186306</v>
      </c>
      <c r="D224">
        <v>0.308118</v>
      </c>
      <c r="E224">
        <v>0.26135900000000001</v>
      </c>
      <c r="F224">
        <v>0.15068000000000001</v>
      </c>
      <c r="G224">
        <v>4.0794999999999998E-2</v>
      </c>
      <c r="H224">
        <v>1.1771999999999999E-2</v>
      </c>
      <c r="I224">
        <v>7.0980000000000001E-3</v>
      </c>
      <c r="J224">
        <v>8.0470000000000003E-3</v>
      </c>
      <c r="K224">
        <v>6.4710000000000002E-3</v>
      </c>
      <c r="L224">
        <v>4.5589999999999997E-3</v>
      </c>
      <c r="M224">
        <v>1.7409999999999999E-3</v>
      </c>
      <c r="N224">
        <v>7.2199999999999999E-4</v>
      </c>
      <c r="O224">
        <v>2.2100000000000001E-4</v>
      </c>
      <c r="P224">
        <v>6.9200000000000002E-5</v>
      </c>
    </row>
    <row r="225" spans="1:16" x14ac:dyDescent="0.2">
      <c r="A225" s="3">
        <f t="shared" si="3"/>
        <v>1979</v>
      </c>
      <c r="B225">
        <v>3.95E-2</v>
      </c>
      <c r="C225">
        <v>0.21152499999999999</v>
      </c>
      <c r="D225">
        <v>0.28037299999999998</v>
      </c>
      <c r="E225">
        <v>0.16364799999999999</v>
      </c>
      <c r="F225">
        <v>0.152892</v>
      </c>
      <c r="G225">
        <v>8.3939E-2</v>
      </c>
      <c r="H225">
        <v>2.1921E-2</v>
      </c>
      <c r="I225">
        <v>1.0012E-2</v>
      </c>
      <c r="J225">
        <v>1.3972999999999999E-2</v>
      </c>
      <c r="K225">
        <v>1.0706E-2</v>
      </c>
      <c r="L225">
        <v>6.862E-3</v>
      </c>
      <c r="M225">
        <v>3.0690000000000001E-3</v>
      </c>
      <c r="N225">
        <v>1.1529999999999999E-3</v>
      </c>
      <c r="O225">
        <v>2.0599999999999999E-4</v>
      </c>
      <c r="P225">
        <v>2.22E-4</v>
      </c>
    </row>
    <row r="226" spans="1:16" x14ac:dyDescent="0.2">
      <c r="A226" s="3">
        <f t="shared" si="3"/>
        <v>1980</v>
      </c>
      <c r="B226">
        <v>4.0340000000000003E-3</v>
      </c>
      <c r="C226">
        <v>0.19093199999999999</v>
      </c>
      <c r="D226">
        <v>0.33992600000000001</v>
      </c>
      <c r="E226">
        <v>0.183116</v>
      </c>
      <c r="F226">
        <v>0.10412399999999999</v>
      </c>
      <c r="G226">
        <v>8.7117E-2</v>
      </c>
      <c r="H226">
        <v>3.4571999999999999E-2</v>
      </c>
      <c r="I226">
        <v>1.5525000000000001E-2</v>
      </c>
      <c r="J226">
        <v>8.9809999999999994E-3</v>
      </c>
      <c r="K226">
        <v>9.8770000000000004E-3</v>
      </c>
      <c r="L226">
        <v>1.0508E-2</v>
      </c>
      <c r="M226">
        <v>6.561E-3</v>
      </c>
      <c r="N226">
        <v>3.192E-3</v>
      </c>
      <c r="O226">
        <v>1.036E-3</v>
      </c>
      <c r="P226">
        <v>5.0000000000000001E-4</v>
      </c>
    </row>
    <row r="227" spans="1:16" x14ac:dyDescent="0.2">
      <c r="A227" s="3">
        <f t="shared" si="3"/>
        <v>1981</v>
      </c>
      <c r="B227">
        <v>2.6200000000000003E-4</v>
      </c>
      <c r="C227">
        <v>3.3202000000000002E-2</v>
      </c>
      <c r="D227">
        <v>0.46571299999999999</v>
      </c>
      <c r="E227">
        <v>0.29335</v>
      </c>
      <c r="F227">
        <v>0.10438699999999999</v>
      </c>
      <c r="G227">
        <v>4.7308000000000003E-2</v>
      </c>
      <c r="H227">
        <v>2.3758000000000001E-2</v>
      </c>
      <c r="I227">
        <v>1.3610000000000001E-2</v>
      </c>
      <c r="J227">
        <v>7.4029999999999999E-3</v>
      </c>
      <c r="K227">
        <v>4.2989999999999999E-3</v>
      </c>
      <c r="L227">
        <v>3.4529999999999999E-3</v>
      </c>
      <c r="M227">
        <v>2.1150000000000001E-3</v>
      </c>
      <c r="N227">
        <v>6.9899999999999997E-4</v>
      </c>
      <c r="O227">
        <v>2.9E-4</v>
      </c>
      <c r="P227">
        <v>1.5200000000000001E-4</v>
      </c>
    </row>
    <row r="228" spans="1:16" x14ac:dyDescent="0.2">
      <c r="A228" s="3">
        <f t="shared" si="3"/>
        <v>1982</v>
      </c>
      <c r="B228">
        <v>2.3700000000000001E-3</v>
      </c>
      <c r="C228">
        <v>1.2649000000000001E-2</v>
      </c>
      <c r="D228">
        <v>8.0549999999999997E-2</v>
      </c>
      <c r="E228">
        <v>0.58499100000000004</v>
      </c>
      <c r="F228">
        <v>0.21074300000000001</v>
      </c>
      <c r="G228">
        <v>5.1754000000000001E-2</v>
      </c>
      <c r="H228">
        <v>1.7953E-2</v>
      </c>
      <c r="I228">
        <v>1.7972999999999999E-2</v>
      </c>
      <c r="J228">
        <v>1.0743000000000001E-2</v>
      </c>
      <c r="K228">
        <v>4.5310000000000003E-3</v>
      </c>
      <c r="L228">
        <v>2.7039999999999998E-3</v>
      </c>
      <c r="M228">
        <v>1.5870000000000001E-3</v>
      </c>
      <c r="N228">
        <v>9.2800000000000001E-4</v>
      </c>
      <c r="O228">
        <v>3.4400000000000001E-4</v>
      </c>
      <c r="P228">
        <v>1.8000000000000001E-4</v>
      </c>
    </row>
    <row r="229" spans="1:16" x14ac:dyDescent="0.2">
      <c r="A229" s="3">
        <f t="shared" si="3"/>
        <v>1983</v>
      </c>
      <c r="B229">
        <v>2.9060000000000002E-3</v>
      </c>
      <c r="C229">
        <v>6.7964999999999998E-2</v>
      </c>
      <c r="D229">
        <v>9.0430999999999997E-2</v>
      </c>
      <c r="E229">
        <v>0.17937800000000001</v>
      </c>
      <c r="F229">
        <v>0.46820899999999999</v>
      </c>
      <c r="G229">
        <v>0.12509300000000001</v>
      </c>
      <c r="H229">
        <v>2.3737999999999999E-2</v>
      </c>
      <c r="I229">
        <v>1.4167000000000001E-2</v>
      </c>
      <c r="J229">
        <v>1.1353E-2</v>
      </c>
      <c r="K229">
        <v>6.3619999999999996E-3</v>
      </c>
      <c r="L229">
        <v>4.3559999999999996E-3</v>
      </c>
      <c r="M229">
        <v>2.8080000000000002E-3</v>
      </c>
      <c r="N229">
        <v>2.0170000000000001E-3</v>
      </c>
      <c r="O229">
        <v>9.9700000000000006E-4</v>
      </c>
      <c r="P229">
        <v>2.1800000000000001E-4</v>
      </c>
    </row>
    <row r="230" spans="1:16" x14ac:dyDescent="0.2">
      <c r="A230" s="3">
        <f t="shared" si="3"/>
        <v>1984</v>
      </c>
      <c r="B230">
        <v>1.0820000000000001E-3</v>
      </c>
      <c r="C230">
        <v>2.3623000000000002E-2</v>
      </c>
      <c r="D230">
        <v>4.5693999999999999E-2</v>
      </c>
      <c r="E230">
        <v>0.22206999999999999</v>
      </c>
      <c r="F230">
        <v>0.25354900000000002</v>
      </c>
      <c r="G230">
        <v>0.33724700000000002</v>
      </c>
      <c r="H230">
        <v>6.9013000000000005E-2</v>
      </c>
      <c r="I230">
        <v>1.8339999999999999E-2</v>
      </c>
      <c r="J230">
        <v>1.2938E-2</v>
      </c>
      <c r="K230">
        <v>8.0669999999999995E-3</v>
      </c>
      <c r="L230">
        <v>3.6600000000000001E-3</v>
      </c>
      <c r="M230">
        <v>1.299E-3</v>
      </c>
      <c r="N230">
        <v>1.5100000000000001E-3</v>
      </c>
      <c r="O230">
        <v>8.61E-4</v>
      </c>
      <c r="P230">
        <v>1.0460000000000001E-3</v>
      </c>
    </row>
    <row r="231" spans="1:16" x14ac:dyDescent="0.2">
      <c r="A231" s="3">
        <f t="shared" si="3"/>
        <v>1985</v>
      </c>
      <c r="B231">
        <v>1.377E-3</v>
      </c>
      <c r="C231">
        <v>2.8742E-2</v>
      </c>
      <c r="D231">
        <v>0.198541</v>
      </c>
      <c r="E231">
        <v>6.3409999999999994E-2</v>
      </c>
      <c r="F231">
        <v>0.190469</v>
      </c>
      <c r="G231">
        <v>0.16742599999999999</v>
      </c>
      <c r="H231">
        <v>0.23080999999999999</v>
      </c>
      <c r="I231">
        <v>5.8574000000000001E-2</v>
      </c>
      <c r="J231">
        <v>1.9047999999999999E-2</v>
      </c>
      <c r="K231">
        <v>1.3448999999999999E-2</v>
      </c>
      <c r="L231">
        <v>1.2929E-2</v>
      </c>
      <c r="M231">
        <v>5.5529999999999998E-3</v>
      </c>
      <c r="N231">
        <v>4.9090000000000002E-3</v>
      </c>
      <c r="O231">
        <v>2.088E-3</v>
      </c>
      <c r="P231">
        <v>2.6749999999999999E-3</v>
      </c>
    </row>
    <row r="232" spans="1:16" x14ac:dyDescent="0.2">
      <c r="A232" s="3">
        <f t="shared" si="3"/>
        <v>1986</v>
      </c>
      <c r="B232">
        <v>1.5139999999999999E-3</v>
      </c>
      <c r="C232">
        <v>4.2153999999999997E-2</v>
      </c>
      <c r="D232">
        <v>4.5221999999999998E-2</v>
      </c>
      <c r="E232">
        <v>0.36684699999999998</v>
      </c>
      <c r="F232">
        <v>0.10492600000000001</v>
      </c>
      <c r="G232">
        <v>0.18529300000000001</v>
      </c>
      <c r="H232">
        <v>0.108734</v>
      </c>
      <c r="I232">
        <v>0.105004</v>
      </c>
      <c r="J232">
        <v>2.9249000000000001E-2</v>
      </c>
      <c r="K232">
        <v>7.4400000000000004E-3</v>
      </c>
      <c r="L232">
        <v>1.637E-3</v>
      </c>
      <c r="M232">
        <v>1.2639999999999999E-3</v>
      </c>
      <c r="N232">
        <v>1.3200000000000001E-4</v>
      </c>
      <c r="O232">
        <v>5.8299999999999997E-4</v>
      </c>
      <c r="P232">
        <v>0</v>
      </c>
    </row>
    <row r="233" spans="1:16" x14ac:dyDescent="0.2">
      <c r="A233" s="3">
        <f t="shared" si="3"/>
        <v>1987</v>
      </c>
      <c r="B233">
        <v>0</v>
      </c>
      <c r="C233">
        <v>1.4352999999999999E-2</v>
      </c>
      <c r="D233">
        <v>8.0902000000000002E-2</v>
      </c>
      <c r="E233">
        <v>5.6279000000000003E-2</v>
      </c>
      <c r="F233">
        <v>0.29985800000000001</v>
      </c>
      <c r="G233">
        <v>0.100715</v>
      </c>
      <c r="H233">
        <v>8.8820999999999997E-2</v>
      </c>
      <c r="I233">
        <v>6.5741999999999995E-2</v>
      </c>
      <c r="J233">
        <v>0.179309</v>
      </c>
      <c r="K233">
        <v>3.9206999999999999E-2</v>
      </c>
      <c r="L233">
        <v>2.8063999999999999E-2</v>
      </c>
      <c r="M233">
        <v>1.5557E-2</v>
      </c>
      <c r="N233">
        <v>2.0974E-2</v>
      </c>
      <c r="O233">
        <v>4.4209999999999996E-3</v>
      </c>
      <c r="P233">
        <v>5.7990000000000003E-3</v>
      </c>
    </row>
    <row r="234" spans="1:16" x14ac:dyDescent="0.2">
      <c r="A234" s="3">
        <f t="shared" si="3"/>
        <v>1988</v>
      </c>
      <c r="B234">
        <v>0</v>
      </c>
      <c r="C234">
        <v>4.8669999999999998E-3</v>
      </c>
      <c r="D234">
        <v>0.20707800000000001</v>
      </c>
      <c r="E234">
        <v>0.19230800000000001</v>
      </c>
      <c r="F234">
        <v>0.115004</v>
      </c>
      <c r="G234">
        <v>0.24830199999999999</v>
      </c>
      <c r="H234">
        <v>0.10252699999999999</v>
      </c>
      <c r="I234">
        <v>4.7865999999999999E-2</v>
      </c>
      <c r="J234">
        <v>1.7871999999999999E-2</v>
      </c>
      <c r="K234">
        <v>4.4149000000000001E-2</v>
      </c>
      <c r="L234">
        <v>8.3239999999999998E-3</v>
      </c>
      <c r="M234">
        <v>4.6579999999999998E-3</v>
      </c>
      <c r="N234">
        <v>1.7149999999999999E-3</v>
      </c>
      <c r="O234">
        <v>2.506E-3</v>
      </c>
      <c r="P234">
        <v>2.8249999999999998E-3</v>
      </c>
    </row>
    <row r="235" spans="1:16" x14ac:dyDescent="0.2">
      <c r="A235" s="3">
        <f t="shared" si="3"/>
        <v>1989</v>
      </c>
      <c r="B235">
        <v>0</v>
      </c>
      <c r="C235">
        <v>2.6710000000000002E-3</v>
      </c>
      <c r="D235">
        <v>3.0904000000000001E-2</v>
      </c>
      <c r="E235">
        <v>8.3527000000000004E-2</v>
      </c>
      <c r="F235">
        <v>0.25288300000000002</v>
      </c>
      <c r="G235">
        <v>9.3473000000000001E-2</v>
      </c>
      <c r="H235">
        <v>0.32077600000000001</v>
      </c>
      <c r="I235">
        <v>5.3997000000000003E-2</v>
      </c>
      <c r="J235">
        <v>5.8166000000000002E-2</v>
      </c>
      <c r="K235">
        <v>1.8176000000000001E-2</v>
      </c>
      <c r="L235">
        <v>7.2330000000000005E-2</v>
      </c>
      <c r="M235">
        <v>6.1019999999999998E-3</v>
      </c>
      <c r="N235">
        <v>2.235E-3</v>
      </c>
      <c r="O235">
        <v>1.436E-3</v>
      </c>
      <c r="P235">
        <v>3.3249999999999998E-3</v>
      </c>
    </row>
    <row r="236" spans="1:16" x14ac:dyDescent="0.2">
      <c r="A236" s="3">
        <f t="shared" si="3"/>
        <v>1990</v>
      </c>
      <c r="B236">
        <v>7.5199999999999996E-4</v>
      </c>
      <c r="C236">
        <v>1.8901000000000001E-2</v>
      </c>
      <c r="D236">
        <v>3.2625000000000001E-2</v>
      </c>
      <c r="E236">
        <v>0.12570799999999999</v>
      </c>
      <c r="F236">
        <v>0.114964</v>
      </c>
      <c r="G236">
        <v>0.27363300000000002</v>
      </c>
      <c r="H236">
        <v>7.4005000000000001E-2</v>
      </c>
      <c r="I236">
        <v>0.21101500000000001</v>
      </c>
      <c r="J236">
        <v>3.7631999999999999E-2</v>
      </c>
      <c r="K236">
        <v>5.8368000000000003E-2</v>
      </c>
      <c r="L236">
        <v>5.1780000000000003E-3</v>
      </c>
      <c r="M236">
        <v>3.4402000000000002E-2</v>
      </c>
      <c r="N236">
        <v>4.8650000000000004E-3</v>
      </c>
      <c r="O236">
        <v>2.6770000000000001E-3</v>
      </c>
      <c r="P236">
        <v>5.2750000000000002E-3</v>
      </c>
    </row>
    <row r="237" spans="1:16" x14ac:dyDescent="0.2">
      <c r="A237" s="3">
        <f t="shared" si="3"/>
        <v>1991</v>
      </c>
      <c r="B237">
        <f>[3]Sheet1!C33058</f>
        <v>683577.68650000286</v>
      </c>
      <c r="C237">
        <f>[3]Sheet1!D33058</f>
        <v>112880087.6100017</v>
      </c>
      <c r="D237">
        <f>[3]Sheet1!E33058</f>
        <v>43777914.009999916</v>
      </c>
      <c r="E237">
        <f>[3]Sheet1!F33058</f>
        <v>90273357.909999743</v>
      </c>
      <c r="F237">
        <f>[3]Sheet1!G33058</f>
        <v>153872046.11000079</v>
      </c>
      <c r="G237">
        <f>[3]Sheet1!H33058</f>
        <v>184421829.0099991</v>
      </c>
      <c r="H237">
        <f>[3]Sheet1!I33058</f>
        <v>497488473.00999367</v>
      </c>
      <c r="I237">
        <f>[3]Sheet1!J33058</f>
        <v>78130957.20999977</v>
      </c>
      <c r="J237">
        <f>[3]Sheet1!K33058</f>
        <v>288014647.009996</v>
      </c>
      <c r="K237">
        <f>[3]Sheet1!L33058</f>
        <v>28863692.300000083</v>
      </c>
      <c r="L237">
        <f>[3]Sheet1!M33058</f>
        <v>144079922.01000151</v>
      </c>
      <c r="M237">
        <f>[3]Sheet1!N33058</f>
        <v>18687566.960000031</v>
      </c>
      <c r="N237">
        <f>[3]Sheet1!O33058</f>
        <v>91160640.01000002</v>
      </c>
      <c r="O237">
        <f>[3]Sheet1!P33058</f>
        <v>22766499.420000061</v>
      </c>
      <c r="P237">
        <f>[3]Sheet1!Q33058</f>
        <v>53323878.909999855</v>
      </c>
    </row>
    <row r="238" spans="1:16" x14ac:dyDescent="0.2">
      <c r="A238" s="3">
        <f t="shared" si="3"/>
        <v>1992</v>
      </c>
      <c r="B238">
        <f>[3]Sheet1!C33059</f>
        <v>1102622.7100000042</v>
      </c>
      <c r="C238">
        <f>[3]Sheet1!D33059</f>
        <v>84678150.409999773</v>
      </c>
      <c r="D238">
        <f>[3]Sheet1!E33059</f>
        <v>675761780.00999284</v>
      </c>
      <c r="E238">
        <f>[3]Sheet1!F33059</f>
        <v>130066975.6100018</v>
      </c>
      <c r="F238">
        <f>[3]Sheet1!G33059</f>
        <v>79592747.509999812</v>
      </c>
      <c r="G238">
        <f>[3]Sheet1!H33059</f>
        <v>108673587.11000103</v>
      </c>
      <c r="H238">
        <f>[3]Sheet1!I33059</f>
        <v>133759837.11000225</v>
      </c>
      <c r="I238">
        <f>[3]Sheet1!J33059</f>
        <v>253630159.10999677</v>
      </c>
      <c r="J238">
        <f>[3]Sheet1!K33059</f>
        <v>102288403.21000051</v>
      </c>
      <c r="K238">
        <f>[3]Sheet1!L33059</f>
        <v>147011284.1100013</v>
      </c>
      <c r="L238">
        <f>[3]Sheet1!M33059</f>
        <v>57951820.509999819</v>
      </c>
      <c r="M238">
        <f>[3]Sheet1!N33059</f>
        <v>46342257.419999905</v>
      </c>
      <c r="N238">
        <f>[3]Sheet1!O33059</f>
        <v>13434732.35600001</v>
      </c>
      <c r="O238">
        <f>[3]Sheet1!P33059</f>
        <v>43823793.019999914</v>
      </c>
      <c r="P238">
        <f>[3]Sheet1!Q33059</f>
        <v>34480566.710000075</v>
      </c>
    </row>
    <row r="239" spans="1:16" x14ac:dyDescent="0.2">
      <c r="A239" s="3">
        <f t="shared" si="3"/>
        <v>1993</v>
      </c>
      <c r="B239">
        <f>[3]Sheet1!C33060</f>
        <v>66176.086200000398</v>
      </c>
      <c r="C239">
        <f>[3]Sheet1!D33060</f>
        <v>7426337.107999987</v>
      </c>
      <c r="D239">
        <f>[3]Sheet1!E33060</f>
        <v>260512446.00999659</v>
      </c>
      <c r="E239">
        <f>[3]Sheet1!F33060</f>
        <v>1146678408.0099919</v>
      </c>
      <c r="F239">
        <f>[3]Sheet1!G33060</f>
        <v>102976394.21000057</v>
      </c>
      <c r="G239">
        <f>[3]Sheet1!H33060</f>
        <v>66160521.509999759</v>
      </c>
      <c r="H239">
        <f>[3]Sheet1!I33060</f>
        <v>66364140.509999707</v>
      </c>
      <c r="I239">
        <f>[3]Sheet1!J33060</f>
        <v>56464135.009999834</v>
      </c>
      <c r="J239">
        <f>[3]Sheet1!K33060</f>
        <v>86182155.409999788</v>
      </c>
      <c r="K239">
        <f>[3]Sheet1!L33060</f>
        <v>21160222.48000009</v>
      </c>
      <c r="L239">
        <f>[3]Sheet1!M33060</f>
        <v>32683045.300000109</v>
      </c>
      <c r="M239">
        <f>[3]Sheet1!N33060</f>
        <v>12357607.926000005</v>
      </c>
      <c r="N239">
        <f>[3]Sheet1!O33060</f>
        <v>13469629.876000032</v>
      </c>
      <c r="O239">
        <f>[3]Sheet1!P33060</f>
        <v>6761918.4649999989</v>
      </c>
      <c r="P239">
        <f>[3]Sheet1!Q33060</f>
        <v>16115377.160000047</v>
      </c>
    </row>
    <row r="240" spans="1:16" x14ac:dyDescent="0.2">
      <c r="A240" s="3">
        <f t="shared" si="3"/>
        <v>1994</v>
      </c>
      <c r="B240">
        <f>[3]Sheet1!C33061</f>
        <v>749518.42200000281</v>
      </c>
      <c r="C240">
        <f>[3]Sheet1!D33061</f>
        <v>30188763.760000091</v>
      </c>
      <c r="D240">
        <f>[3]Sheet1!E33061</f>
        <v>55145321.109999821</v>
      </c>
      <c r="E240">
        <f>[3]Sheet1!F33061</f>
        <v>361151313.00999492</v>
      </c>
      <c r="F240">
        <f>[3]Sheet1!G33061</f>
        <v>1059660052.009992</v>
      </c>
      <c r="G240">
        <f>[3]Sheet1!H33061</f>
        <v>175694392.10999951</v>
      </c>
      <c r="H240">
        <f>[3]Sheet1!I33061</f>
        <v>53531420.309999861</v>
      </c>
      <c r="I240">
        <f>[3]Sheet1!J33061</f>
        <v>19105978.470000051</v>
      </c>
      <c r="J240">
        <f>[3]Sheet1!K33061</f>
        <v>13140716.680000024</v>
      </c>
      <c r="K240">
        <f>[3]Sheet1!L33061</f>
        <v>20163830.980000064</v>
      </c>
      <c r="L240">
        <f>[3]Sheet1!M33061</f>
        <v>9715240.3139999937</v>
      </c>
      <c r="M240">
        <f>[3]Sheet1!N33061</f>
        <v>9381880.629999999</v>
      </c>
      <c r="N240">
        <f>[3]Sheet1!O33061</f>
        <v>7554972.6099999985</v>
      </c>
      <c r="O240">
        <f>[3]Sheet1!P33061</f>
        <v>3964841.7330000033</v>
      </c>
      <c r="P240">
        <f>[3]Sheet1!Q33061</f>
        <v>8296523.9559999956</v>
      </c>
    </row>
    <row r="241" spans="1:16" x14ac:dyDescent="0.2">
      <c r="A241" s="3">
        <f t="shared" si="3"/>
        <v>1995</v>
      </c>
      <c r="B241">
        <f>[3]Sheet1!C33062</f>
        <v>10.009999999999831</v>
      </c>
      <c r="C241">
        <f>[3]Sheet1!D33062</f>
        <v>514348.73127000203</v>
      </c>
      <c r="D241">
        <f>[3]Sheet1!E33062</f>
        <v>72906750.009999692</v>
      </c>
      <c r="E241">
        <f>[3]Sheet1!F33062</f>
        <v>146786648.11000133</v>
      </c>
      <c r="F241">
        <f>[3]Sheet1!G33062</f>
        <v>395472518.00999451</v>
      </c>
      <c r="G241">
        <f>[3]Sheet1!H33062</f>
        <v>761106423.0099926</v>
      </c>
      <c r="H241">
        <f>[3]Sheet1!I33062</f>
        <v>136271215.61000183</v>
      </c>
      <c r="I241">
        <f>[3]Sheet1!J33062</f>
        <v>34575493.26000011</v>
      </c>
      <c r="J241">
        <f>[3]Sheet1!K33062</f>
        <v>12271419.881000012</v>
      </c>
      <c r="K241">
        <f>[3]Sheet1!L33062</f>
        <v>7501928.1120000044</v>
      </c>
      <c r="L241">
        <f>[3]Sheet1!M33062</f>
        <v>17477639.980000053</v>
      </c>
      <c r="M241">
        <f>[3]Sheet1!N33062</f>
        <v>5003650.8580000009</v>
      </c>
      <c r="N241">
        <f>[3]Sheet1!O33062</f>
        <v>5813572.4649999971</v>
      </c>
      <c r="O241">
        <f>[3]Sheet1!P33062</f>
        <v>1657103.0390000015</v>
      </c>
      <c r="P241">
        <f>[3]Sheet1!Q33062</f>
        <v>8920126.6319999956</v>
      </c>
    </row>
    <row r="242" spans="1:16" x14ac:dyDescent="0.2">
      <c r="A242" s="3">
        <f t="shared" si="3"/>
        <v>1996</v>
      </c>
      <c r="B242">
        <f>[3]Sheet1!C33063</f>
        <v>10.009999999999831</v>
      </c>
      <c r="C242">
        <f>[3]Sheet1!D33063</f>
        <v>21661749.058000073</v>
      </c>
      <c r="D242">
        <f>[3]Sheet1!E33063</f>
        <v>48084775.628999874</v>
      </c>
      <c r="E242">
        <f>[3]Sheet1!F33063</f>
        <v>71786097.109999746</v>
      </c>
      <c r="F242">
        <f>[3]Sheet1!G33063</f>
        <v>160974891.41000035</v>
      </c>
      <c r="G242">
        <f>[3]Sheet1!H33063</f>
        <v>361906141.00999486</v>
      </c>
      <c r="H242">
        <f>[3]Sheet1!I33063</f>
        <v>481726893.00999379</v>
      </c>
      <c r="I242">
        <f>[3]Sheet1!J33063</f>
        <v>184638424.00999913</v>
      </c>
      <c r="J242">
        <f>[3]Sheet1!K33063</f>
        <v>33635762.390000097</v>
      </c>
      <c r="K242">
        <f>[3]Sheet1!L33063</f>
        <v>13448442.540000031</v>
      </c>
      <c r="L242">
        <f>[3]Sheet1!M33063</f>
        <v>7948499.905999993</v>
      </c>
      <c r="M242">
        <f>[3]Sheet1!N33063</f>
        <v>8813779.6839999836</v>
      </c>
      <c r="N242">
        <f>[3]Sheet1!O33063</f>
        <v>4335450.8322999962</v>
      </c>
      <c r="O242">
        <f>[3]Sheet1!P33063</f>
        <v>5834544.7330000047</v>
      </c>
      <c r="P242">
        <f>[3]Sheet1!Q33063</f>
        <v>5304501.8180999951</v>
      </c>
    </row>
    <row r="243" spans="1:16" x14ac:dyDescent="0.2">
      <c r="A243" s="3">
        <f t="shared" si="3"/>
        <v>1997</v>
      </c>
      <c r="B243">
        <f>[3]Sheet1!C33064</f>
        <v>1030661.4370000035</v>
      </c>
      <c r="C243">
        <f>[3]Sheet1!D33064</f>
        <v>77692162.959999755</v>
      </c>
      <c r="D243">
        <f>[3]Sheet1!E33064</f>
        <v>40326288.640000008</v>
      </c>
      <c r="E243">
        <f>[3]Sheet1!F33064</f>
        <v>118974612.21000153</v>
      </c>
      <c r="F243">
        <f>[3]Sheet1!G33064</f>
        <v>455137955.00999403</v>
      </c>
      <c r="G243">
        <f>[3]Sheet1!H33064</f>
        <v>288956822.009996</v>
      </c>
      <c r="H243">
        <f>[3]Sheet1!I33064</f>
        <v>256371888.00999668</v>
      </c>
      <c r="I243">
        <f>[3]Sheet1!J33064</f>
        <v>198555207.90999848</v>
      </c>
      <c r="J243">
        <f>[3]Sheet1!K33064</f>
        <v>64018159.77999977</v>
      </c>
      <c r="K243">
        <f>[3]Sheet1!L33064</f>
        <v>13335152.930000003</v>
      </c>
      <c r="L243">
        <f>[3]Sheet1!M33064</f>
        <v>5970266.6279999912</v>
      </c>
      <c r="M243">
        <f>[3]Sheet1!N33064</f>
        <v>4646495.4379999908</v>
      </c>
      <c r="N243">
        <f>[3]Sheet1!O33064</f>
        <v>2894759.3890000018</v>
      </c>
      <c r="O243">
        <f>[3]Sheet1!P33064</f>
        <v>4781315.8990000011</v>
      </c>
      <c r="P243">
        <f>[3]Sheet1!Q33064</f>
        <v>9119169.1989999861</v>
      </c>
    </row>
    <row r="244" spans="1:16" x14ac:dyDescent="0.2">
      <c r="A244" s="3">
        <f t="shared" si="3"/>
        <v>1998</v>
      </c>
      <c r="B244">
        <f>[3]Sheet1!C33065</f>
        <v>288387.87600000162</v>
      </c>
      <c r="C244">
        <f>[3]Sheet1!D33065</f>
        <v>42025190.849999987</v>
      </c>
      <c r="D244">
        <f>[3]Sheet1!E33065</f>
        <v>84532243.609999716</v>
      </c>
      <c r="E244">
        <f>[3]Sheet1!F33065</f>
        <v>70495498.309999719</v>
      </c>
      <c r="F244">
        <f>[3]Sheet1!G33065</f>
        <v>153354716.31000081</v>
      </c>
      <c r="G244">
        <f>[3]Sheet1!H33065</f>
        <v>702792242.00999272</v>
      </c>
      <c r="H244">
        <f>[3]Sheet1!I33065</f>
        <v>199570187.00999847</v>
      </c>
      <c r="I244">
        <f>[3]Sheet1!J33065</f>
        <v>131723436.61000223</v>
      </c>
      <c r="J244">
        <f>[3]Sheet1!K33065</f>
        <v>110744188.21000147</v>
      </c>
      <c r="K244">
        <f>[3]Sheet1!L33065</f>
        <v>27795326.130000107</v>
      </c>
      <c r="L244">
        <f>[3]Sheet1!M33065</f>
        <v>6145318.7349999929</v>
      </c>
      <c r="M244">
        <f>[3]Sheet1!N33065</f>
        <v>5564851.3230000064</v>
      </c>
      <c r="N244">
        <f>[3]Sheet1!O33065</f>
        <v>2554789.2948999978</v>
      </c>
      <c r="O244">
        <f>[3]Sheet1!P33065</f>
        <v>2502242.6040999964</v>
      </c>
      <c r="P244">
        <f>[3]Sheet1!Q33065</f>
        <v>4485326.1600000048</v>
      </c>
    </row>
    <row r="245" spans="1:16" x14ac:dyDescent="0.2">
      <c r="A245" s="3">
        <f t="shared" si="3"/>
        <v>1999</v>
      </c>
      <c r="B245">
        <f>[3]Sheet1!C33066</f>
        <v>232574.12200000128</v>
      </c>
      <c r="C245">
        <f>[3]Sheet1!D33066</f>
        <v>10347391.936000004</v>
      </c>
      <c r="D245">
        <f>[3]Sheet1!E33066</f>
        <v>298714375.00999582</v>
      </c>
      <c r="E245">
        <f>[3]Sheet1!F33066</f>
        <v>225033344.00999752</v>
      </c>
      <c r="F245">
        <f>[3]Sheet1!G33066</f>
        <v>103037474.61000068</v>
      </c>
      <c r="G245">
        <f>[3]Sheet1!H33066</f>
        <v>157017987.01000062</v>
      </c>
      <c r="H245">
        <f>[3]Sheet1!I33066</f>
        <v>469737146.00999391</v>
      </c>
      <c r="I245">
        <f>[3]Sheet1!J33066</f>
        <v>130998451.91000228</v>
      </c>
      <c r="J245">
        <f>[3]Sheet1!K33066</f>
        <v>56503034.209999807</v>
      </c>
      <c r="K245">
        <f>[3]Sheet1!L33066</f>
        <v>33180522.910000097</v>
      </c>
      <c r="L245">
        <f>[3]Sheet1!M33066</f>
        <v>3960079.8099999977</v>
      </c>
      <c r="M245">
        <f>[3]Sheet1!N33066</f>
        <v>2183842.693200001</v>
      </c>
      <c r="N245">
        <f>[3]Sheet1!O33066</f>
        <v>856727.32370000076</v>
      </c>
      <c r="O245">
        <f>[3]Sheet1!P33066</f>
        <v>477398.84600000276</v>
      </c>
      <c r="P245">
        <f>[3]Sheet1!Q33066</f>
        <v>2061280.6310000008</v>
      </c>
    </row>
    <row r="246" spans="1:16" x14ac:dyDescent="0.2">
      <c r="A246" s="3">
        <f t="shared" si="3"/>
        <v>2000</v>
      </c>
      <c r="B246">
        <f>[3]Sheet1!C33067</f>
        <v>10.009999999999831</v>
      </c>
      <c r="C246">
        <f>[3]Sheet1!D33067</f>
        <v>16076799.820000062</v>
      </c>
      <c r="D246">
        <f>[3]Sheet1!E33067</f>
        <v>82441649.609999746</v>
      </c>
      <c r="E246">
        <f>[3]Sheet1!F33067</f>
        <v>428501215.00999421</v>
      </c>
      <c r="F246">
        <f>[3]Sheet1!G33067</f>
        <v>346512365.0099951</v>
      </c>
      <c r="G246">
        <f>[3]Sheet1!H33067</f>
        <v>106681580.31000103</v>
      </c>
      <c r="H246">
        <f>[3]Sheet1!I33067</f>
        <v>168385380.00999996</v>
      </c>
      <c r="I246">
        <f>[3]Sheet1!J33067</f>
        <v>357715947.00999492</v>
      </c>
      <c r="J246">
        <f>[3]Sheet1!K33067</f>
        <v>84913329.409999594</v>
      </c>
      <c r="K246">
        <f>[3]Sheet1!L33067</f>
        <v>29722613.810000107</v>
      </c>
      <c r="L246">
        <f>[3]Sheet1!M33067</f>
        <v>22045490.030000087</v>
      </c>
      <c r="M246">
        <f>[3]Sheet1!N33067</f>
        <v>5245899.7440000027</v>
      </c>
      <c r="N246">
        <f>[3]Sheet1!O33067</f>
        <v>1418259.0910000026</v>
      </c>
      <c r="O246">
        <f>[3]Sheet1!P33067</f>
        <v>608842.92600000172</v>
      </c>
      <c r="P246">
        <f>[3]Sheet1!Q33067</f>
        <v>953442.44400000188</v>
      </c>
    </row>
    <row r="247" spans="1:16" x14ac:dyDescent="0.2">
      <c r="A247" s="3">
        <f t="shared" si="3"/>
        <v>2001</v>
      </c>
      <c r="B247">
        <f>[3]Sheet1!C33068</f>
        <v>10.009999999999831</v>
      </c>
      <c r="C247">
        <f>[3]Sheet1!D33068</f>
        <v>3213822.0203999905</v>
      </c>
      <c r="D247">
        <f>[3]Sheet1!E33068</f>
        <v>42795561.009999916</v>
      </c>
      <c r="E247">
        <f>[3]Sheet1!F33068</f>
        <v>154501107.01000077</v>
      </c>
      <c r="F247">
        <f>[3]Sheet1!G33068</f>
        <v>581039831.0099932</v>
      </c>
      <c r="G247">
        <f>[3]Sheet1!H33068</f>
        <v>415044527.00999433</v>
      </c>
      <c r="H247">
        <f>[3]Sheet1!I33068</f>
        <v>137184794.01000208</v>
      </c>
      <c r="I247">
        <f>[3]Sheet1!J33068</f>
        <v>129002921.11000219</v>
      </c>
      <c r="J247">
        <f>[3]Sheet1!K33068</f>
        <v>157229590.01000059</v>
      </c>
      <c r="K247">
        <f>[3]Sheet1!L33068</f>
        <v>57854815.909999862</v>
      </c>
      <c r="L247">
        <f>[3]Sheet1!M33068</f>
        <v>33643741.51000005</v>
      </c>
      <c r="M247">
        <f>[3]Sheet1!N33068</f>
        <v>16205780.640000055</v>
      </c>
      <c r="N247">
        <f>[3]Sheet1!O33068</f>
        <v>5486037.231999997</v>
      </c>
      <c r="O247">
        <f>[3]Sheet1!P33068</f>
        <v>3091053.1239999998</v>
      </c>
      <c r="P247">
        <f>[3]Sheet1!Q33068</f>
        <v>1948606.2810000018</v>
      </c>
    </row>
    <row r="248" spans="1:16" x14ac:dyDescent="0.2">
      <c r="A248" s="3">
        <f t="shared" si="3"/>
        <v>2002</v>
      </c>
      <c r="B248">
        <f>[3]Sheet1!C33069</f>
        <v>773336.06900000316</v>
      </c>
      <c r="C248">
        <f>[3]Sheet1!D33069</f>
        <v>47047125.409999907</v>
      </c>
      <c r="D248">
        <f>[3]Sheet1!E33069</f>
        <v>108051655.9100011</v>
      </c>
      <c r="E248">
        <f>[3]Sheet1!F33069</f>
        <v>217818117.00999779</v>
      </c>
      <c r="F248">
        <f>[3]Sheet1!G33069</f>
        <v>287550103.009996</v>
      </c>
      <c r="G248">
        <f>[3]Sheet1!H33069</f>
        <v>606330902.0099932</v>
      </c>
      <c r="H248">
        <f>[3]Sheet1!I33069</f>
        <v>267955745.00999641</v>
      </c>
      <c r="I248">
        <f>[3]Sheet1!J33069</f>
        <v>98464239.410000309</v>
      </c>
      <c r="J248">
        <f>[3]Sheet1!K33069</f>
        <v>85885590.80999966</v>
      </c>
      <c r="K248">
        <f>[3]Sheet1!L33069</f>
        <v>93924689.410000205</v>
      </c>
      <c r="L248">
        <f>[3]Sheet1!M33069</f>
        <v>34608141.210000038</v>
      </c>
      <c r="M248">
        <f>[3]Sheet1!N33069</f>
        <v>14401940.320000015</v>
      </c>
      <c r="N248">
        <f>[3]Sheet1!O33069</f>
        <v>11043775.810000008</v>
      </c>
      <c r="O248">
        <f>[3]Sheet1!P33069</f>
        <v>2955356.0709999921</v>
      </c>
      <c r="P248">
        <f>[3]Sheet1!Q33069</f>
        <v>1814928.1312000006</v>
      </c>
    </row>
    <row r="249" spans="1:16" x14ac:dyDescent="0.2">
      <c r="A249" s="3">
        <f t="shared" si="3"/>
        <v>2003</v>
      </c>
      <c r="B249">
        <f>[3]Sheet1!C33070</f>
        <v>10.009999999999831</v>
      </c>
      <c r="C249">
        <f>[3]Sheet1!D33070</f>
        <v>14537705.940000053</v>
      </c>
      <c r="D249">
        <f>[3]Sheet1!E33070</f>
        <v>411772506.00999433</v>
      </c>
      <c r="E249">
        <f>[3]Sheet1!F33070</f>
        <v>324118314.0099954</v>
      </c>
      <c r="F249">
        <f>[3]Sheet1!G33070</f>
        <v>360408645.00999492</v>
      </c>
      <c r="G249">
        <f>[3]Sheet1!H33070</f>
        <v>301476089.00999576</v>
      </c>
      <c r="H249">
        <f>[3]Sheet1!I33070</f>
        <v>337593895.00999522</v>
      </c>
      <c r="I249">
        <f>[3]Sheet1!J33070</f>
        <v>158551811.01000053</v>
      </c>
      <c r="J249">
        <f>[3]Sheet1!K33070</f>
        <v>49422631.709999919</v>
      </c>
      <c r="K249">
        <f>[3]Sheet1!L33070</f>
        <v>39279391.709999993</v>
      </c>
      <c r="L249">
        <f>[3]Sheet1!M33070</f>
        <v>35708840.710000098</v>
      </c>
      <c r="M249">
        <f>[3]Sheet1!N33070</f>
        <v>22936312.140000101</v>
      </c>
      <c r="N249">
        <f>[3]Sheet1!O33070</f>
        <v>6619177.4099999815</v>
      </c>
      <c r="O249">
        <f>[3]Sheet1!P33070</f>
        <v>3644751.7929999977</v>
      </c>
      <c r="P249">
        <f>[3]Sheet1!Q33070</f>
        <v>3185389.2277000062</v>
      </c>
    </row>
    <row r="250" spans="1:16" x14ac:dyDescent="0.2">
      <c r="A250" s="3">
        <f t="shared" si="3"/>
        <v>2004</v>
      </c>
      <c r="B250">
        <f>[3]Sheet1!C33071</f>
        <v>10.009999999999831</v>
      </c>
      <c r="C250">
        <f>[3]Sheet1!D33071</f>
        <v>539189.04580000241</v>
      </c>
      <c r="D250">
        <f>[3]Sheet1!E33071</f>
        <v>89601071.610000044</v>
      </c>
      <c r="E250">
        <f>[3]Sheet1!F33071</f>
        <v>831121296.00999248</v>
      </c>
      <c r="F250">
        <f>[3]Sheet1!G33071</f>
        <v>480648050.00999379</v>
      </c>
      <c r="G250">
        <f>[3]Sheet1!H33071</f>
        <v>236817934.00999722</v>
      </c>
      <c r="H250">
        <f>[3]Sheet1!I33071</f>
        <v>169278792.0099999</v>
      </c>
      <c r="I250">
        <f>[3]Sheet1!J33071</f>
        <v>156280836.01000068</v>
      </c>
      <c r="J250">
        <f>[3]Sheet1!K33071</f>
        <v>64958948.409999698</v>
      </c>
      <c r="K250">
        <f>[3]Sheet1!L33071</f>
        <v>16118106.200000044</v>
      </c>
      <c r="L250">
        <f>[3]Sheet1!M33071</f>
        <v>17061328.110000052</v>
      </c>
      <c r="M250">
        <f>[3]Sheet1!N33071</f>
        <v>25272130.730000116</v>
      </c>
      <c r="N250">
        <f>[3]Sheet1!O33071</f>
        <v>9448394.4449999873</v>
      </c>
      <c r="O250">
        <f>[3]Sheet1!P33071</f>
        <v>5918670.2809999883</v>
      </c>
      <c r="P250">
        <f>[3]Sheet1!Q33071</f>
        <v>6872391.2049999963</v>
      </c>
    </row>
    <row r="251" spans="1:16" x14ac:dyDescent="0.2">
      <c r="A251" s="3">
        <f t="shared" si="3"/>
        <v>2005</v>
      </c>
      <c r="B251">
        <f>[3]Sheet1!C33072</f>
        <v>10.009999999999831</v>
      </c>
      <c r="C251">
        <f>[3]Sheet1!D33072</f>
        <v>4794922.7247999925</v>
      </c>
      <c r="D251">
        <f>[3]Sheet1!E33072</f>
        <v>52152254.309999846</v>
      </c>
      <c r="E251">
        <f>[3]Sheet1!F33072</f>
        <v>392851182.00999451</v>
      </c>
      <c r="F251">
        <f>[3]Sheet1!G33072</f>
        <v>863793397.00999236</v>
      </c>
      <c r="G251">
        <f>[3]Sheet1!H33072</f>
        <v>484636439.00999379</v>
      </c>
      <c r="H251">
        <f>[3]Sheet1!I33072</f>
        <v>159461867.81000048</v>
      </c>
      <c r="I251">
        <f>[3]Sheet1!J33072</f>
        <v>68082212.709999785</v>
      </c>
      <c r="J251">
        <f>[3]Sheet1!K33072</f>
        <v>66622232.709999807</v>
      </c>
      <c r="K251">
        <f>[3]Sheet1!L33072</f>
        <v>30103697.51000011</v>
      </c>
      <c r="L251">
        <f>[3]Sheet1!M33072</f>
        <v>9999117.6500000004</v>
      </c>
      <c r="M251">
        <f>[3]Sheet1!N33072</f>
        <v>9143208.4179999847</v>
      </c>
      <c r="N251">
        <f>[3]Sheet1!O33072</f>
        <v>3193846.0109999985</v>
      </c>
      <c r="O251">
        <f>[3]Sheet1!P33072</f>
        <v>2482031.6840000008</v>
      </c>
      <c r="P251">
        <f>[3]Sheet1!Q33072</f>
        <v>3407546.6519999891</v>
      </c>
    </row>
    <row r="252" spans="1:16" x14ac:dyDescent="0.2">
      <c r="A252" s="3">
        <f t="shared" si="3"/>
        <v>2006</v>
      </c>
      <c r="B252">
        <f>[3]Sheet1!C33073</f>
        <v>10.009999999999831</v>
      </c>
      <c r="C252">
        <f>[3]Sheet1!D33073</f>
        <v>9895886.5200000163</v>
      </c>
      <c r="D252">
        <f>[3]Sheet1!E33073</f>
        <v>84176891.909999847</v>
      </c>
      <c r="E252">
        <f>[3]Sheet1!F33073</f>
        <v>295759678.00999588</v>
      </c>
      <c r="F252">
        <f>[3]Sheet1!G33073</f>
        <v>619632534.00999308</v>
      </c>
      <c r="G252">
        <f>[3]Sheet1!H33073</f>
        <v>597614109.0099932</v>
      </c>
      <c r="H252">
        <f>[3]Sheet1!I33073</f>
        <v>278588973.00999618</v>
      </c>
      <c r="I252">
        <f>[3]Sheet1!J33073</f>
        <v>107342919.81000105</v>
      </c>
      <c r="J252">
        <f>[3]Sheet1!K33073</f>
        <v>48018542.609999821</v>
      </c>
      <c r="K252">
        <f>[3]Sheet1!L33073</f>
        <v>38365705.909999944</v>
      </c>
      <c r="L252">
        <f>[3]Sheet1!M33073</f>
        <v>17699070.450000066</v>
      </c>
      <c r="M252">
        <f>[3]Sheet1!N33073</f>
        <v>8242374.8879999854</v>
      </c>
      <c r="N252">
        <f>[3]Sheet1!O33073</f>
        <v>8312301.5719999988</v>
      </c>
      <c r="O252">
        <f>[3]Sheet1!P33073</f>
        <v>5320452.8049000073</v>
      </c>
      <c r="P252">
        <f>[3]Sheet1!Q33073</f>
        <v>7217231.5689999927</v>
      </c>
    </row>
    <row r="253" spans="1:16" x14ac:dyDescent="0.2">
      <c r="A253" s="3">
        <f t="shared" si="3"/>
        <v>2007</v>
      </c>
      <c r="B253">
        <f>[3]Sheet1!C33074</f>
        <v>1659659.5100000012</v>
      </c>
      <c r="C253">
        <f>[3]Sheet1!D33074</f>
        <v>15740402.41000005</v>
      </c>
      <c r="D253">
        <f>[3]Sheet1!E33074</f>
        <v>59186795.60999988</v>
      </c>
      <c r="E253">
        <f>[3]Sheet1!F33074</f>
        <v>139160578.11000192</v>
      </c>
      <c r="F253">
        <f>[3]Sheet1!G33074</f>
        <v>389416425.00999457</v>
      </c>
      <c r="G253">
        <f>[3]Sheet1!H33074</f>
        <v>511985965.00999355</v>
      </c>
      <c r="H253">
        <f>[3]Sheet1!I33074</f>
        <v>300781142.00999576</v>
      </c>
      <c r="I253">
        <f>[3]Sheet1!J33074</f>
        <v>137084477.1100021</v>
      </c>
      <c r="J253">
        <f>[3]Sheet1!K33074</f>
        <v>47608280.409999885</v>
      </c>
      <c r="K253">
        <f>[3]Sheet1!L33074</f>
        <v>27511730.01000008</v>
      </c>
      <c r="L253">
        <f>[3]Sheet1!M33074</f>
        <v>21870333.650000069</v>
      </c>
      <c r="M253">
        <f>[3]Sheet1!N33074</f>
        <v>8918290.4299999923</v>
      </c>
      <c r="N253">
        <f>[3]Sheet1!O33074</f>
        <v>6530115.455000001</v>
      </c>
      <c r="O253">
        <f>[3]Sheet1!P33074</f>
        <v>3405030.4490000024</v>
      </c>
      <c r="P253">
        <f>[3]Sheet1!Q33074</f>
        <v>10792885.030000018</v>
      </c>
    </row>
    <row r="254" spans="1:16" x14ac:dyDescent="0.2">
      <c r="A254" s="3">
        <f t="shared" si="3"/>
        <v>2008</v>
      </c>
      <c r="B254">
        <f>[3]Sheet1!C33075</f>
        <v>10.009999999999831</v>
      </c>
      <c r="C254">
        <f>[3]Sheet1!D33075</f>
        <v>25191428.110000111</v>
      </c>
      <c r="D254">
        <f>[3]Sheet1!E33075</f>
        <v>58819667.409999818</v>
      </c>
      <c r="E254">
        <f>[3]Sheet1!F33075</f>
        <v>79220410.509999722</v>
      </c>
      <c r="F254">
        <f>[3]Sheet1!G33075</f>
        <v>147007514.0100013</v>
      </c>
      <c r="G254">
        <f>[3]Sheet1!H33075</f>
        <v>309671751.00999558</v>
      </c>
      <c r="H254">
        <f>[3]Sheet1!I33075</f>
        <v>242289071.00999704</v>
      </c>
      <c r="I254">
        <f>[3]Sheet1!J33075</f>
        <v>148734019.01000118</v>
      </c>
      <c r="J254">
        <f>[3]Sheet1!K33075</f>
        <v>84275085.909999654</v>
      </c>
      <c r="K254">
        <f>[3]Sheet1!L33075</f>
        <v>22177833.210000087</v>
      </c>
      <c r="L254">
        <f>[3]Sheet1!M33075</f>
        <v>17567691.480000075</v>
      </c>
      <c r="M254">
        <f>[3]Sheet1!N33075</f>
        <v>14435328.120000048</v>
      </c>
      <c r="N254">
        <f>[3]Sheet1!O33075</f>
        <v>8632981.3899999987</v>
      </c>
      <c r="O254">
        <f>[3]Sheet1!P33075</f>
        <v>2769452.5057999995</v>
      </c>
      <c r="P254">
        <f>[3]Sheet1!Q33075</f>
        <v>12654646.67000003</v>
      </c>
    </row>
    <row r="255" spans="1:16" x14ac:dyDescent="0.2">
      <c r="A255" s="3">
        <f t="shared" si="3"/>
        <v>2009</v>
      </c>
      <c r="B255">
        <f>[3]Sheet1!C33076</f>
        <v>10.009999999999831</v>
      </c>
      <c r="C255">
        <f>[3]Sheet1!D33076</f>
        <v>1316264.3350000011</v>
      </c>
      <c r="D255">
        <f>[3]Sheet1!E33076</f>
        <v>175524081.00999957</v>
      </c>
      <c r="E255">
        <f>[3]Sheet1!F33076</f>
        <v>200579592.00999838</v>
      </c>
      <c r="F255">
        <f>[3]Sheet1!G33076</f>
        <v>82553813.309999779</v>
      </c>
      <c r="G255">
        <f>[3]Sheet1!H33076</f>
        <v>114443557.11000156</v>
      </c>
      <c r="H255">
        <f>[3]Sheet1!I33076</f>
        <v>124315764.41000205</v>
      </c>
      <c r="I255">
        <f>[3]Sheet1!J33076</f>
        <v>104320639.11000089</v>
      </c>
      <c r="J255">
        <f>[3]Sheet1!K33076</f>
        <v>66639422.909999728</v>
      </c>
      <c r="K255">
        <f>[3]Sheet1!L33076</f>
        <v>40218133.210000023</v>
      </c>
      <c r="L255">
        <f>[3]Sheet1!M33076</f>
        <v>23534400.190000087</v>
      </c>
      <c r="M255">
        <f>[3]Sheet1!N33076</f>
        <v>7615950.9469999941</v>
      </c>
      <c r="N255">
        <f>[3]Sheet1!O33076</f>
        <v>7466164.9579999922</v>
      </c>
      <c r="O255">
        <f>[3]Sheet1!P33076</f>
        <v>2709725.9580000001</v>
      </c>
      <c r="P255">
        <f>[3]Sheet1!Q33076</f>
        <v>8729662.1789999921</v>
      </c>
    </row>
    <row r="256" spans="1:16" x14ac:dyDescent="0.2">
      <c r="A256" s="3">
        <f t="shared" si="3"/>
        <v>2010</v>
      </c>
      <c r="B256">
        <f>[3]Sheet1!C33077</f>
        <v>1080865.9710000025</v>
      </c>
      <c r="C256">
        <f>[3]Sheet1!D33077</f>
        <v>26460160.580000076</v>
      </c>
      <c r="D256">
        <f>[3]Sheet1!E33077</f>
        <v>31848667.650000092</v>
      </c>
      <c r="E256">
        <f>[3]Sheet1!F33077</f>
        <v>559371810.00999331</v>
      </c>
      <c r="F256">
        <f>[3]Sheet1!G33077</f>
        <v>220484882.00999767</v>
      </c>
      <c r="G256">
        <f>[3]Sheet1!H33077</f>
        <v>54738225.90999981</v>
      </c>
      <c r="H256">
        <f>[3]Sheet1!I33077</f>
        <v>43008810.309999987</v>
      </c>
      <c r="I256">
        <f>[3]Sheet1!J33077</f>
        <v>57679465.309999831</v>
      </c>
      <c r="J256">
        <f>[3]Sheet1!K33077</f>
        <v>51779004.609999821</v>
      </c>
      <c r="K256">
        <f>[3]Sheet1!L33077</f>
        <v>31823597.710000083</v>
      </c>
      <c r="L256">
        <f>[3]Sheet1!M33077</f>
        <v>15964115.780000046</v>
      </c>
      <c r="M256">
        <f>[3]Sheet1!N33077</f>
        <v>8632812.9599999879</v>
      </c>
      <c r="N256">
        <f>[3]Sheet1!O33077</f>
        <v>5960336.976999999</v>
      </c>
      <c r="O256">
        <f>[3]Sheet1!P33077</f>
        <v>4375459.9320000047</v>
      </c>
      <c r="P256">
        <f>[3]Sheet1!Q33077</f>
        <v>5104523.9399999976</v>
      </c>
    </row>
    <row r="257" spans="1:43" x14ac:dyDescent="0.2">
      <c r="A257" s="3">
        <f t="shared" si="3"/>
        <v>2011</v>
      </c>
      <c r="B257">
        <f>[3]Sheet1!C33078</f>
        <v>382132.80100000324</v>
      </c>
      <c r="C257">
        <f>[3]Sheet1!D33078</f>
        <v>10353313.847000008</v>
      </c>
      <c r="D257">
        <f>[3]Sheet1!E33078</f>
        <v>193325234.00999871</v>
      </c>
      <c r="E257">
        <f>[3]Sheet1!F33078</f>
        <v>115370308.11000182</v>
      </c>
      <c r="F257">
        <f>[3]Sheet1!G33078</f>
        <v>809168093.00999248</v>
      </c>
      <c r="G257">
        <f>[3]Sheet1!H33078</f>
        <v>284700260.00999612</v>
      </c>
      <c r="H257">
        <f>[3]Sheet1!I33078</f>
        <v>63564863.70999977</v>
      </c>
      <c r="I257">
        <f>[3]Sheet1!J33078</f>
        <v>37514185.310000055</v>
      </c>
      <c r="J257">
        <f>[3]Sheet1!K33078</f>
        <v>38494702.210000031</v>
      </c>
      <c r="K257">
        <f>[3]Sheet1!L33078</f>
        <v>41410187.910000034</v>
      </c>
      <c r="L257">
        <f>[3]Sheet1!M33078</f>
        <v>25804157.680000089</v>
      </c>
      <c r="M257">
        <f>[3]Sheet1!N33078</f>
        <v>12465707.980000023</v>
      </c>
      <c r="N257">
        <f>[3]Sheet1!O33078</f>
        <v>1758179.1825999974</v>
      </c>
      <c r="O257">
        <f>[3]Sheet1!P33078</f>
        <v>3976205.4019999974</v>
      </c>
      <c r="P257">
        <f>[3]Sheet1!Q33078</f>
        <v>4329527.4710000027</v>
      </c>
    </row>
    <row r="258" spans="1:43" x14ac:dyDescent="0.2">
      <c r="A258" s="3">
        <f t="shared" si="3"/>
        <v>2012</v>
      </c>
      <c r="B258">
        <f>[3]Sheet1!C33079</f>
        <v>10.009999999999831</v>
      </c>
      <c r="C258">
        <f>[3]Sheet1!D33079</f>
        <v>22271670.350000102</v>
      </c>
      <c r="D258">
        <f>[3]Sheet1!E33079</f>
        <v>116748216.61000158</v>
      </c>
      <c r="E258">
        <f>[3]Sheet1!F33079</f>
        <v>946698186.00999212</v>
      </c>
      <c r="F258">
        <f>[3]Sheet1!G33079</f>
        <v>172786112.00999969</v>
      </c>
      <c r="G258">
        <f>[3]Sheet1!H33079</f>
        <v>432561298.00999415</v>
      </c>
      <c r="H258">
        <f>[3]Sheet1!I33079</f>
        <v>141550739.21000174</v>
      </c>
      <c r="I258">
        <f>[3]Sheet1!J33079</f>
        <v>36681205.210000083</v>
      </c>
      <c r="J258">
        <f>[3]Sheet1!K33079</f>
        <v>17431762.810000055</v>
      </c>
      <c r="K258">
        <f>[3]Sheet1!L33079</f>
        <v>14602365.660000052</v>
      </c>
      <c r="L258">
        <f>[3]Sheet1!M33079</f>
        <v>15918743.070000069</v>
      </c>
      <c r="M258">
        <f>[3]Sheet1!N33079</f>
        <v>13491820.46000004</v>
      </c>
      <c r="N258">
        <f>[3]Sheet1!O33079</f>
        <v>7408031.7189999968</v>
      </c>
      <c r="O258">
        <f>[3]Sheet1!P33079</f>
        <v>6143460.6159999976</v>
      </c>
      <c r="P258">
        <f>[3]Sheet1!Q33079</f>
        <v>3331263.8759999969</v>
      </c>
    </row>
    <row r="259" spans="1:43" x14ac:dyDescent="0.2">
      <c r="A259" s="3">
        <f t="shared" si="3"/>
        <v>2013</v>
      </c>
      <c r="B259">
        <f>[3]Sheet1!C33080</f>
        <v>1845981.1070000017</v>
      </c>
      <c r="C259">
        <f>[3]Sheet1!D33080</f>
        <v>972163.06390000053</v>
      </c>
      <c r="D259">
        <f>[3]Sheet1!E33080</f>
        <v>63950723.609999791</v>
      </c>
      <c r="E259">
        <f>[3]Sheet1!F33080</f>
        <v>342392381.0099951</v>
      </c>
      <c r="F259">
        <f>[3]Sheet1!G33080</f>
        <v>955865746.00999212</v>
      </c>
      <c r="G259">
        <f>[3]Sheet1!H33080</f>
        <v>194432701.00999865</v>
      </c>
      <c r="H259">
        <f>[3]Sheet1!I33080</f>
        <v>156538329.61000064</v>
      </c>
      <c r="I259">
        <f>[3]Sheet1!J33080</f>
        <v>69971108.609999642</v>
      </c>
      <c r="J259">
        <f>[3]Sheet1!K33080</f>
        <v>20678954.110000085</v>
      </c>
      <c r="K259">
        <f>[3]Sheet1!L33080</f>
        <v>12750152.460000023</v>
      </c>
      <c r="L259">
        <f>[3]Sheet1!M33080</f>
        <v>12754855.850000016</v>
      </c>
      <c r="M259">
        <f>[3]Sheet1!N33080</f>
        <v>10850689.280000009</v>
      </c>
      <c r="N259">
        <f>[3]Sheet1!O33080</f>
        <v>7832136.401999996</v>
      </c>
      <c r="O259">
        <f>[3]Sheet1!P33080</f>
        <v>4806117.2830000045</v>
      </c>
      <c r="P259">
        <f>[3]Sheet1!Q33080</f>
        <v>5704861.8530000038</v>
      </c>
    </row>
    <row r="260" spans="1:43" x14ac:dyDescent="0.2">
      <c r="A260" s="3">
        <f t="shared" si="3"/>
        <v>2014</v>
      </c>
      <c r="B260">
        <f>[3]Sheet1!C33081</f>
        <v>10.009999999999831</v>
      </c>
      <c r="C260">
        <f>[3]Sheet1!D33081</f>
        <v>39223065.10999997</v>
      </c>
      <c r="D260">
        <f>[3]Sheet1!E33081</f>
        <v>31030785.400000133</v>
      </c>
      <c r="E260">
        <f>[3]Sheet1!F33081</f>
        <v>167779249.00999993</v>
      </c>
      <c r="F260">
        <f>[3]Sheet1!G33081</f>
        <v>399292361.00999445</v>
      </c>
      <c r="G260">
        <f>[3]Sheet1!H33081</f>
        <v>751755415.0099926</v>
      </c>
      <c r="H260">
        <f>[3]Sheet1!I33081</f>
        <v>210227072.00999799</v>
      </c>
      <c r="I260">
        <f>[3]Sheet1!J33081</f>
        <v>86232072.609999672</v>
      </c>
      <c r="J260">
        <f>[3]Sheet1!K33081</f>
        <v>29830652.170000095</v>
      </c>
      <c r="K260">
        <f>[3]Sheet1!L33081</f>
        <v>8966021.1749999858</v>
      </c>
      <c r="L260">
        <f>[3]Sheet1!M33081</f>
        <v>4490470.2710000006</v>
      </c>
      <c r="M260">
        <f>[3]Sheet1!N33081</f>
        <v>4525356.6689999979</v>
      </c>
      <c r="N260">
        <f>[3]Sheet1!O33081</f>
        <v>4564547.7162999995</v>
      </c>
      <c r="O260">
        <f>[3]Sheet1!P33081</f>
        <v>2764189.6950999964</v>
      </c>
      <c r="P260">
        <f>[3]Sheet1!Q33081</f>
        <v>6021388.9659999991</v>
      </c>
    </row>
    <row r="261" spans="1:43" x14ac:dyDescent="0.2">
      <c r="A261" s="3">
        <f t="shared" si="3"/>
        <v>2015</v>
      </c>
      <c r="B261">
        <f>[3]Sheet1!C33082</f>
        <v>10.009999999999831</v>
      </c>
      <c r="C261">
        <f>[3]Sheet1!D33082</f>
        <v>15473070.68000003</v>
      </c>
      <c r="D261">
        <f>[3]Sheet1!E33082</f>
        <v>632440232.00999308</v>
      </c>
      <c r="E261">
        <f>[3]Sheet1!F33082</f>
        <v>196403930.00999856</v>
      </c>
      <c r="F261">
        <f>[3]Sheet1!G33082</f>
        <v>228574623.00999743</v>
      </c>
      <c r="G261">
        <f>[3]Sheet1!H33082</f>
        <v>384287025.00999463</v>
      </c>
      <c r="H261">
        <f>[3]Sheet1!I33082</f>
        <v>510140133.00999361</v>
      </c>
      <c r="I261">
        <f>[3]Sheet1!J33082</f>
        <v>88813654.209999874</v>
      </c>
      <c r="J261">
        <f>[3]Sheet1!K33082</f>
        <v>42130083.609999947</v>
      </c>
      <c r="K261">
        <f>[3]Sheet1!L33082</f>
        <v>17652618.170000087</v>
      </c>
      <c r="L261">
        <f>[3]Sheet1!M33082</f>
        <v>2935556.8649999909</v>
      </c>
      <c r="M261">
        <f>[3]Sheet1!N33082</f>
        <v>2054431.4030000016</v>
      </c>
      <c r="N261">
        <f>[3]Sheet1!O33082</f>
        <v>3094457.0559999971</v>
      </c>
      <c r="O261">
        <f>[3]Sheet1!P33082</f>
        <v>2657477.9400000013</v>
      </c>
      <c r="P261">
        <f>[3]Sheet1!Q33082</f>
        <v>1223314.7122000002</v>
      </c>
    </row>
    <row r="262" spans="1:43" x14ac:dyDescent="0.2">
      <c r="A262" s="3">
        <f t="shared" si="3"/>
        <v>2016</v>
      </c>
      <c r="B262">
        <f>[3]Sheet1!C33083</f>
        <v>10.009999999999831</v>
      </c>
      <c r="C262">
        <f>[3]Sheet1!D33083</f>
        <v>497356.55000000342</v>
      </c>
      <c r="D262">
        <f>[3]Sheet1!E33083</f>
        <v>90562431.009999931</v>
      </c>
      <c r="E262">
        <f>[3]Sheet1!F33083</f>
        <v>1390295060.0099916</v>
      </c>
      <c r="F262">
        <f>[3]Sheet1!G33083</f>
        <v>159881714.01000047</v>
      </c>
      <c r="G262">
        <f>[3]Sheet1!H33083</f>
        <v>174494884.00999957</v>
      </c>
      <c r="H262">
        <f>[3]Sheet1!I33083</f>
        <v>174787363.80999959</v>
      </c>
      <c r="I262">
        <f>[3]Sheet1!J33083</f>
        <v>224671818.00999755</v>
      </c>
      <c r="J262">
        <f>[3]Sheet1!K33083</f>
        <v>34077950.470000118</v>
      </c>
      <c r="K262">
        <f>[3]Sheet1!L33083</f>
        <v>13820848.694000037</v>
      </c>
      <c r="L262">
        <f>[3]Sheet1!M33083</f>
        <v>7996324.7049999963</v>
      </c>
      <c r="M262">
        <f>[3]Sheet1!N33083</f>
        <v>485203.34000000363</v>
      </c>
      <c r="N262">
        <f>[3]Sheet1!O33083</f>
        <v>1177049.9310000022</v>
      </c>
      <c r="O262">
        <f>[3]Sheet1!P33083</f>
        <v>669340.6586000009</v>
      </c>
      <c r="P262">
        <f>[3]Sheet1!Q33083</f>
        <v>995900.79198000114</v>
      </c>
    </row>
    <row r="263" spans="1:43" x14ac:dyDescent="0.2">
      <c r="A263" s="3">
        <f t="shared" si="3"/>
        <v>2017</v>
      </c>
      <c r="B263">
        <f>[3]Sheet1!C33084</f>
        <v>10.009999999999831</v>
      </c>
      <c r="C263">
        <f>[3]Sheet1!D33084</f>
        <v>2176131.8437599996</v>
      </c>
      <c r="D263">
        <f>[3]Sheet1!E33084</f>
        <v>28170152.85000011</v>
      </c>
      <c r="E263">
        <f>[3]Sheet1!F33084</f>
        <v>549073706.00999343</v>
      </c>
      <c r="F263">
        <f>[3]Sheet1!G33084</f>
        <v>899023001.00999224</v>
      </c>
      <c r="G263">
        <f>[3]Sheet1!H33084</f>
        <v>215492501.00999784</v>
      </c>
      <c r="H263">
        <f>[3]Sheet1!I33084</f>
        <v>147563028.91000128</v>
      </c>
      <c r="I263">
        <f>[3]Sheet1!J33084</f>
        <v>122129148.21000192</v>
      </c>
      <c r="J263">
        <f>[3]Sheet1!K33084</f>
        <v>97250345.91000019</v>
      </c>
      <c r="K263">
        <f>[3]Sheet1!L33084</f>
        <v>21756105.0200001</v>
      </c>
      <c r="L263">
        <f>[3]Sheet1!M33084</f>
        <v>7215204.828999999</v>
      </c>
      <c r="M263">
        <f>[3]Sheet1!N33084</f>
        <v>5605538.0329999831</v>
      </c>
      <c r="N263">
        <f>[3]Sheet1!O33084</f>
        <v>493501.1610000045</v>
      </c>
      <c r="O263">
        <f>[3]Sheet1!P33084</f>
        <v>244975.31290000165</v>
      </c>
      <c r="P263">
        <f>[3]Sheet1!Q33084</f>
        <v>126429.88069999867</v>
      </c>
    </row>
    <row r="264" spans="1:43" x14ac:dyDescent="0.2">
      <c r="A264" s="3">
        <f t="shared" si="3"/>
        <v>2018</v>
      </c>
      <c r="B264">
        <f>[3]Sheet1!C33085</f>
        <v>10.009999999999831</v>
      </c>
      <c r="C264">
        <f>[3]Sheet1!D33085</f>
        <v>1297287.3090000034</v>
      </c>
      <c r="D264">
        <f>[3]Sheet1!E33085</f>
        <v>13801701.367000034</v>
      </c>
      <c r="E264">
        <f>[3]Sheet1!F33085</f>
        <v>115017723.71000156</v>
      </c>
      <c r="F264">
        <f>[3]Sheet1!G33085</f>
        <v>1216103650.0099919</v>
      </c>
      <c r="G264">
        <f>[3]Sheet1!H33085</f>
        <v>506565156.00999361</v>
      </c>
      <c r="H264">
        <f>[3]Sheet1!I33085</f>
        <v>104803470.51000091</v>
      </c>
      <c r="I264">
        <f>[3]Sheet1!J33085</f>
        <v>81982744.709999725</v>
      </c>
      <c r="J264">
        <f>[3]Sheet1!K33085</f>
        <v>60624830.609999724</v>
      </c>
      <c r="K264">
        <f>[3]Sheet1!L33085</f>
        <v>25893995.1100001</v>
      </c>
      <c r="L264">
        <f>[3]Sheet1!M33085</f>
        <v>4271129.1439999891</v>
      </c>
      <c r="M264">
        <f>[3]Sheet1!N33085</f>
        <v>1098497.8140000021</v>
      </c>
      <c r="N264">
        <f>[3]Sheet1!O33085</f>
        <v>362962.7136000024</v>
      </c>
      <c r="O264">
        <f>[3]Sheet1!P33085</f>
        <v>636166.82200000354</v>
      </c>
      <c r="P264">
        <f>[3]Sheet1!Q33085</f>
        <v>496008.41700000217</v>
      </c>
    </row>
    <row r="265" spans="1:43" x14ac:dyDescent="0.2">
      <c r="A265" s="3">
        <f t="shared" si="3"/>
        <v>2019</v>
      </c>
      <c r="B265">
        <f>[3]Sheet1!C33086</f>
        <v>695024.07700000249</v>
      </c>
      <c r="C265">
        <f>[3]Sheet1!D33086</f>
        <v>10900812.700000033</v>
      </c>
      <c r="D265">
        <f>[3]Sheet1!E33086</f>
        <v>12311938.070000032</v>
      </c>
      <c r="E265">
        <f>[3]Sheet1!F33086</f>
        <v>18362616.070000064</v>
      </c>
      <c r="F265">
        <f>[3]Sheet1!G33086</f>
        <v>157598985.01000059</v>
      </c>
      <c r="G265">
        <f>[3]Sheet1!H33086</f>
        <v>916763100.00999224</v>
      </c>
      <c r="H265">
        <f>[3]Sheet1!I33086</f>
        <v>422457032.00999421</v>
      </c>
      <c r="I265">
        <f>[3]Sheet1!J33086</f>
        <v>93181390.309999973</v>
      </c>
      <c r="J265">
        <f>[3]Sheet1!K33086</f>
        <v>52142666.209999889</v>
      </c>
      <c r="K265">
        <f>[3]Sheet1!L33086</f>
        <v>52991770.709999844</v>
      </c>
      <c r="L265">
        <f>[3]Sheet1!M33086</f>
        <v>10059287.879999997</v>
      </c>
      <c r="M265">
        <f>[3]Sheet1!N33086</f>
        <v>2908105.3174999948</v>
      </c>
      <c r="N265">
        <f>[3]Sheet1!O33086</f>
        <v>842910.4960000033</v>
      </c>
      <c r="O265">
        <f>[3]Sheet1!P33086</f>
        <v>10.009999999999831</v>
      </c>
      <c r="P265">
        <f>[3]Sheet1!Q33086</f>
        <v>10.009999999999831</v>
      </c>
    </row>
    <row r="266" spans="1:43" x14ac:dyDescent="0.2">
      <c r="A266" s="3">
        <f t="shared" si="3"/>
        <v>2020</v>
      </c>
      <c r="B266">
        <f>[3]Sheet1!C33087</f>
        <v>3476126.5099999919</v>
      </c>
      <c r="C266">
        <f>[3]Sheet1!D33087</f>
        <v>247726422.00999692</v>
      </c>
      <c r="D266">
        <f>[3]Sheet1!E33087</f>
        <v>85517629.109999761</v>
      </c>
      <c r="E266">
        <f>[3]Sheet1!F33087</f>
        <v>101053199.11000073</v>
      </c>
      <c r="F266">
        <f>[3]Sheet1!G33087</f>
        <v>135160730.71000224</v>
      </c>
      <c r="G266">
        <f>[3]Sheet1!H33087</f>
        <v>551129278.00999343</v>
      </c>
      <c r="H266">
        <f>[3]Sheet1!I33087</f>
        <v>597816179.0099932</v>
      </c>
      <c r="I266">
        <f>[3]Sheet1!J33087</f>
        <v>123958081.91000207</v>
      </c>
      <c r="J266">
        <f>[3]Sheet1!K33087</f>
        <v>52764647.30999992</v>
      </c>
      <c r="K266">
        <f>[3]Sheet1!L33087</f>
        <v>38639087.410000019</v>
      </c>
      <c r="L266">
        <f>[3]Sheet1!M33087</f>
        <v>27260537.210000116</v>
      </c>
      <c r="M266">
        <f>[3]Sheet1!N33087</f>
        <v>6787570.8090000022</v>
      </c>
      <c r="N266">
        <f>[3]Sheet1!O33087</f>
        <v>1787349.2597999987</v>
      </c>
      <c r="O266">
        <f>[3]Sheet1!P33087</f>
        <v>1134716.9380000029</v>
      </c>
      <c r="P266">
        <f>[3]Sheet1!Q33087</f>
        <v>10.009999999999831</v>
      </c>
    </row>
    <row r="267" spans="1:43" x14ac:dyDescent="0.2">
      <c r="A267" s="3">
        <f t="shared" si="3"/>
        <v>2021</v>
      </c>
      <c r="B267">
        <f>[3]Sheet1!C33088</f>
        <v>10.009999999999831</v>
      </c>
      <c r="C267">
        <f>[3]Sheet1!D33088</f>
        <v>111454376.41000131</v>
      </c>
      <c r="D267">
        <f>[3]Sheet1!E33088</f>
        <v>1296951490.0099919</v>
      </c>
      <c r="E267">
        <f>[3]Sheet1!F33088</f>
        <v>144173547.71000153</v>
      </c>
      <c r="F267">
        <f>[3]Sheet1!G33088</f>
        <v>110067421.91000135</v>
      </c>
      <c r="G267">
        <f>[3]Sheet1!H33088</f>
        <v>107224523.81000115</v>
      </c>
      <c r="H267">
        <f>[3]Sheet1!I33088</f>
        <v>309628227.00999564</v>
      </c>
      <c r="I267">
        <f>[3]Sheet1!J33088</f>
        <v>296046660.00999588</v>
      </c>
      <c r="J267">
        <f>[3]Sheet1!K33088</f>
        <v>72136752.109999761</v>
      </c>
      <c r="K267">
        <f>[3]Sheet1!L33088</f>
        <v>26546165.710000101</v>
      </c>
      <c r="L267">
        <f>[3]Sheet1!M33088</f>
        <v>16152710.330000058</v>
      </c>
      <c r="M267">
        <f>[3]Sheet1!N33088</f>
        <v>8510700.1799999941</v>
      </c>
      <c r="N267">
        <f>[3]Sheet1!O33088</f>
        <v>2052297.4350000012</v>
      </c>
      <c r="O267">
        <f>[3]Sheet1!P33088</f>
        <v>10.009999999999831</v>
      </c>
      <c r="P267">
        <f>[3]Sheet1!Q33088</f>
        <v>420558.35700000316</v>
      </c>
    </row>
    <row r="268" spans="1:43" x14ac:dyDescent="0.2">
      <c r="A268" s="3">
        <f t="shared" si="3"/>
        <v>2022</v>
      </c>
      <c r="B268">
        <f>[3]Sheet1!C33089</f>
        <v>10.009999999999831</v>
      </c>
      <c r="C268">
        <f>[3]Sheet1!D33089</f>
        <v>62263751.709999703</v>
      </c>
      <c r="D268">
        <f>[3]Sheet1!E33089</f>
        <v>174468598.0099996</v>
      </c>
      <c r="E268">
        <f>[3]Sheet1!F33089</f>
        <v>1035401758.009992</v>
      </c>
      <c r="F268">
        <f>[3]Sheet1!G33089</f>
        <v>183671217.00999913</v>
      </c>
      <c r="G268">
        <f>[3]Sheet1!H33089</f>
        <v>70439397.709999695</v>
      </c>
      <c r="H268">
        <f>[3]Sheet1!I33089</f>
        <v>79535291.20999971</v>
      </c>
      <c r="I268">
        <f>[3]Sheet1!J33089</f>
        <v>141917897.01000169</v>
      </c>
      <c r="J268">
        <f>[3]Sheet1!K33089</f>
        <v>81128750.609999746</v>
      </c>
      <c r="K268">
        <f>[3]Sheet1!L33089</f>
        <v>16332880.010000052</v>
      </c>
      <c r="L268">
        <f>[3]Sheet1!M33089</f>
        <v>11268962.820000021</v>
      </c>
      <c r="M268">
        <f>[3]Sheet1!N33089</f>
        <v>4077990.3750000028</v>
      </c>
      <c r="N268">
        <f>[3]Sheet1!O33089</f>
        <v>5964372.7909999965</v>
      </c>
      <c r="O268">
        <f>[3]Sheet1!P33089</f>
        <v>1022329.7030000021</v>
      </c>
      <c r="P268">
        <f>[3]Sheet1!Q33089</f>
        <v>10.009999999999831</v>
      </c>
    </row>
    <row r="269" spans="1:43" x14ac:dyDescent="0.2">
      <c r="A269" s="3">
        <f t="shared" si="3"/>
        <v>2023</v>
      </c>
      <c r="B269" s="2">
        <f>[3]Sheet1!C33090</f>
        <v>0</v>
      </c>
      <c r="C269" s="2">
        <f>[3]Sheet1!D33090</f>
        <v>25232198.769999992</v>
      </c>
      <c r="D269" s="2">
        <f>[3]Sheet1!E33090</f>
        <v>86614446.099999934</v>
      </c>
      <c r="E269" s="2">
        <f>[3]Sheet1!F33090</f>
        <v>263022799</v>
      </c>
      <c r="F269" s="2">
        <f>[3]Sheet1!G33090</f>
        <v>1473087580</v>
      </c>
      <c r="G269" s="2">
        <f>[3]Sheet1!H33090</f>
        <v>227246260</v>
      </c>
      <c r="H269" s="2">
        <f>[3]Sheet1!I33090</f>
        <v>29365171.410000023</v>
      </c>
      <c r="I269" s="2">
        <f>[3]Sheet1!J33090</f>
        <v>45350426.099999987</v>
      </c>
      <c r="J269" s="2">
        <f>[3]Sheet1!K33090</f>
        <v>63553232.300000004</v>
      </c>
      <c r="K269" s="2">
        <f>[3]Sheet1!L33090</f>
        <v>42627308.700000048</v>
      </c>
      <c r="L269" s="2">
        <f>[3]Sheet1!M33090</f>
        <v>18819884.963999994</v>
      </c>
      <c r="M269" s="2">
        <f>[3]Sheet1!N33090</f>
        <v>5427190.2689999985</v>
      </c>
      <c r="N269" s="2">
        <f>[3]Sheet1!O33090</f>
        <v>8562165.3170000035</v>
      </c>
      <c r="O269" s="2">
        <f>[3]Sheet1!P33090</f>
        <v>2600553.2520000008</v>
      </c>
      <c r="P269" s="2">
        <f>[3]Sheet1!Q33090</f>
        <v>360089.97399999993</v>
      </c>
    </row>
    <row r="270" spans="1:43" s="5" customFormat="1" x14ac:dyDescent="0.2">
      <c r="B270" s="5" t="s">
        <v>40</v>
      </c>
    </row>
    <row r="271" spans="1:43" x14ac:dyDescent="0.2">
      <c r="A271" s="3">
        <f>COUNT(B271:CI271)</f>
        <v>42</v>
      </c>
      <c r="B271">
        <f>[4]Index!M2</f>
        <v>3871.0459392155899</v>
      </c>
      <c r="C271">
        <f>[4]Index!N2</f>
        <v>8918.5511016250985</v>
      </c>
      <c r="D271">
        <f>[4]Index!O2</f>
        <v>6575.0151666915899</v>
      </c>
      <c r="E271">
        <f>[4]Index!P2</f>
        <v>7504.6116452711094</v>
      </c>
      <c r="F271">
        <f>[4]Index!Q2</f>
        <v>7235.8775226439893</v>
      </c>
      <c r="G271">
        <f>[4]Index!R2</f>
        <v>7576.03897077701</v>
      </c>
      <c r="H271">
        <f>[4]Index!S2</f>
        <v>11799.5250392779</v>
      </c>
      <c r="I271">
        <f>[4]Index!T2</f>
        <v>9942.6019047585996</v>
      </c>
      <c r="J271">
        <f>[4]Index!U2</f>
        <v>11581.2535294593</v>
      </c>
      <c r="K271">
        <f>[4]Index!V2</f>
        <v>7129.58718206309</v>
      </c>
      <c r="L271">
        <f>[4]Index!W2</f>
        <v>6643.4370959852695</v>
      </c>
      <c r="M271">
        <f>[4]Index!X2</f>
        <v>7849.2699268002898</v>
      </c>
      <c r="N271">
        <f>[4]Index!Y2</f>
        <v>7094.4349017434997</v>
      </c>
      <c r="O271">
        <f>[4]Index!Z2</f>
        <v>6597.1877520908301</v>
      </c>
      <c r="P271">
        <f>[4]Index!AA2</f>
        <v>3954.2552796647301</v>
      </c>
      <c r="Q271">
        <f>[4]Index!AB2</f>
        <v>4371.5177824849097</v>
      </c>
      <c r="R271">
        <f>[4]Index!AC2</f>
        <v>3417.6068092388</v>
      </c>
      <c r="S271">
        <f>[4]Index!AD2</f>
        <v>5613.64419306526</v>
      </c>
      <c r="T271">
        <f>[4]Index!AE2</f>
        <v>7246.3477449410893</v>
      </c>
      <c r="U271">
        <f>[4]Index!AF2</f>
        <v>6066.5698200258703</v>
      </c>
      <c r="V271">
        <f>[4]Index!AG2</f>
        <v>6740.6031631480801</v>
      </c>
      <c r="W271">
        <f>[4]Index!AH2</f>
        <v>11239.162930073999</v>
      </c>
      <c r="X271">
        <f>[4]Index!AI2</f>
        <v>5499.95499942481</v>
      </c>
      <c r="Y271">
        <f>[4]Index!AJ2</f>
        <v>6972.3812313139197</v>
      </c>
      <c r="Z271">
        <f>[4]Index!AK2</f>
        <v>4190.3456273911197</v>
      </c>
      <c r="AA271">
        <f>[4]Index!AL2</f>
        <v>6777.4522699015306</v>
      </c>
      <c r="AB271">
        <f>[4]Index!AM2</f>
        <v>4293.2609898467599</v>
      </c>
      <c r="AC271">
        <f>[4]Index!AN2</f>
        <v>2820.21550327043</v>
      </c>
      <c r="AD271">
        <f>[4]Index!AO2</f>
        <v>5271.6197166273005</v>
      </c>
      <c r="AE271">
        <f>[4]Index!AP2</f>
        <v>4505.9893447997702</v>
      </c>
      <c r="AF271">
        <f>[4]Index!AQ2</f>
        <v>5144.3933056856695</v>
      </c>
      <c r="AG271">
        <f>[4]Index!AR2</f>
        <v>6712.58976591191</v>
      </c>
      <c r="AH271">
        <f>[4]Index!AS2</f>
        <v>11616.510600616301</v>
      </c>
      <c r="AI271">
        <f>[4]Index!AT2</f>
        <v>11215.7068526644</v>
      </c>
      <c r="AJ271">
        <f>[4]Index!AU2</f>
        <v>8274.5087004769903</v>
      </c>
      <c r="AK271">
        <f>[4]Index!AV2</f>
        <v>8855.0421583094994</v>
      </c>
      <c r="AL271">
        <f>[4]Index!AW2</f>
        <v>4266.8753658448604</v>
      </c>
      <c r="AM271">
        <f>[4]Index!AX2</f>
        <v>9257.4193524174589</v>
      </c>
      <c r="AN271">
        <f>[4]Index!AZ2</f>
        <v>4889.1625473321301</v>
      </c>
      <c r="AO271">
        <f>[4]Index!BA2</f>
        <v>6531.4320886915302</v>
      </c>
      <c r="AP271">
        <f>[4]Index!BB2</f>
        <v>4945.3875310138801</v>
      </c>
      <c r="AQ271" s="2">
        <f>[4]Index!BC2</f>
        <v>9407.4635708955993</v>
      </c>
    </row>
    <row r="272" spans="1:43" s="5" customFormat="1" x14ac:dyDescent="0.2">
      <c r="A272" s="4"/>
      <c r="B272" s="5" t="s">
        <v>41</v>
      </c>
    </row>
    <row r="273" spans="1:43" x14ac:dyDescent="0.2">
      <c r="A273" s="3">
        <f>COUNT(B273:CI273)</f>
        <v>42</v>
      </c>
      <c r="B273">
        <f>[4]Index!M4</f>
        <v>281.13569212706898</v>
      </c>
      <c r="C273">
        <f>[4]Index!N4</f>
        <v>574.06930350232994</v>
      </c>
      <c r="D273">
        <f>[4]Index!O4</f>
        <v>438.60937465041297</v>
      </c>
      <c r="E273">
        <f>[4]Index!P4</f>
        <v>557.2530133086309</v>
      </c>
      <c r="F273">
        <f>[4]Index!Q4</f>
        <v>526.32568680632403</v>
      </c>
      <c r="G273">
        <f>[4]Index!R4</f>
        <v>594.56968825477895</v>
      </c>
      <c r="H273">
        <f>[4]Index!S4</f>
        <v>965.78152774692205</v>
      </c>
      <c r="I273">
        <f>[4]Index!T4</f>
        <v>696.62167775785394</v>
      </c>
      <c r="J273">
        <f>[4]Index!U4</f>
        <v>990.08729606693896</v>
      </c>
      <c r="K273">
        <f>[4]Index!V4</f>
        <v>486.419218109403</v>
      </c>
      <c r="L273">
        <f>[4]Index!W4</f>
        <v>458.54205831211402</v>
      </c>
      <c r="M273">
        <f>[4]Index!X4</f>
        <v>499.25335666585897</v>
      </c>
      <c r="N273">
        <f>[4]Index!Y4</f>
        <v>464.27843179476304</v>
      </c>
      <c r="O273">
        <f>[4]Index!Z4</f>
        <v>546.780400296734</v>
      </c>
      <c r="P273">
        <f>[4]Index!AA4</f>
        <v>242.12354642449401</v>
      </c>
      <c r="Q273">
        <f>[4]Index!AB4</f>
        <v>275.23750452787203</v>
      </c>
      <c r="R273">
        <f>[4]Index!AC4</f>
        <v>209.09111885406099</v>
      </c>
      <c r="S273">
        <f>[4]Index!AD4</f>
        <v>401.897623596931</v>
      </c>
      <c r="T273">
        <f>[4]Index!AE4</f>
        <v>511.59845635898398</v>
      </c>
      <c r="U273">
        <f>[4]Index!AF4</f>
        <v>398.99012052771002</v>
      </c>
      <c r="V273">
        <f>[4]Index!AG4</f>
        <v>392.63135163323199</v>
      </c>
      <c r="W273">
        <f>[4]Index!AH4</f>
        <v>769.00304639106901</v>
      </c>
      <c r="X273">
        <f>[4]Index!AI4</f>
        <v>347.54762237497096</v>
      </c>
      <c r="Y273">
        <f>[4]Index!AJ4</f>
        <v>464.205170753598</v>
      </c>
      <c r="Z273">
        <f>[4]Index!AK4</f>
        <v>271.59977293164906</v>
      </c>
      <c r="AA273">
        <f>[4]Index!AL4</f>
        <v>542.32208542816807</v>
      </c>
      <c r="AB273">
        <f>[4]Index!AM4</f>
        <v>335.084724056158</v>
      </c>
      <c r="AC273">
        <f>[4]Index!AN4</f>
        <v>227.81612198240302</v>
      </c>
      <c r="AD273">
        <f>[4]Index!AO4</f>
        <v>412.13555767947605</v>
      </c>
      <c r="AE273">
        <f>[4]Index!AP4</f>
        <v>320.49609961301502</v>
      </c>
      <c r="AF273">
        <f>[4]Index!AQ4</f>
        <v>332.15342990911199</v>
      </c>
      <c r="AG273">
        <f>[4]Index!AR4</f>
        <v>434.54029427727903</v>
      </c>
      <c r="AH273">
        <f>[4]Index!AS4</f>
        <v>651.81257490089206</v>
      </c>
      <c r="AI273">
        <f>[4]Index!AT4</f>
        <v>670.47600033835192</v>
      </c>
      <c r="AJ273">
        <f>[4]Index!AU4</f>
        <v>575.77145989921701</v>
      </c>
      <c r="AK273">
        <f>[4]Index!AV4</f>
        <v>451.64322668984096</v>
      </c>
      <c r="AL273">
        <f>[4]Index!AW4</f>
        <v>289.69253464124102</v>
      </c>
      <c r="AM273">
        <f>[4]Index!AX4</f>
        <v>464.460420553147</v>
      </c>
      <c r="AN273">
        <f>[4]Index!AZ4</f>
        <v>262.57897122424504</v>
      </c>
      <c r="AO273">
        <f>[4]Index!BA4</f>
        <v>383.79352064064301</v>
      </c>
      <c r="AP273">
        <f>[4]Index!BB4</f>
        <v>282.47037770062002</v>
      </c>
      <c r="AQ273" s="2">
        <f>[4]Index!BC4</f>
        <v>723.62849980229407</v>
      </c>
    </row>
    <row r="274" spans="1:43" s="5" customFormat="1" x14ac:dyDescent="0.2">
      <c r="A274" s="4"/>
      <c r="B274" s="5" t="s">
        <v>42</v>
      </c>
    </row>
    <row r="275" spans="1:43" x14ac:dyDescent="0.2">
      <c r="A275" s="3" cm="1">
        <f t="array" ref="A275:A316">TRANSPOSE(B194:AQ194)</f>
        <v>1982</v>
      </c>
      <c r="B275">
        <f>'bts_wt_age biom table'!B22</f>
        <v>2.6205768364266198E-2</v>
      </c>
      <c r="C275">
        <f>'bts_wt_age biom table'!C22</f>
        <v>7.7368660781642007E-2</v>
      </c>
      <c r="D275">
        <f>'bts_wt_age biom table'!D22</f>
        <v>0.17984087789759201</v>
      </c>
      <c r="E275">
        <f>'bts_wt_age biom table'!E22</f>
        <v>0.36696322655290403</v>
      </c>
      <c r="F275">
        <f>'bts_wt_age biom table'!F22</f>
        <v>0.54007476786386599</v>
      </c>
      <c r="G275">
        <f>'bts_wt_age biom table'!G22</f>
        <v>0.89063094342744098</v>
      </c>
      <c r="H275">
        <f>'bts_wt_age biom table'!H22</f>
        <v>1.20376535518445</v>
      </c>
      <c r="I275">
        <f>'bts_wt_age biom table'!I22</f>
        <v>1.36478296920046</v>
      </c>
      <c r="J275">
        <f>'bts_wt_age biom table'!J22</f>
        <v>1.5027682449589399</v>
      </c>
      <c r="K275">
        <f>'bts_wt_age biom table'!K22</f>
        <v>1.6698665111228299</v>
      </c>
      <c r="L275">
        <f>'bts_wt_age biom table'!L22</f>
        <v>1.8208867544651701</v>
      </c>
      <c r="M275">
        <f>'bts_wt_age biom table'!M22</f>
        <v>1.8721143230142701</v>
      </c>
      <c r="N275">
        <f>'bts_wt_age biom table'!N22</f>
        <v>2.1519163981505698</v>
      </c>
      <c r="O275">
        <f>'bts_wt_age biom table'!O22</f>
        <v>1.8248514781782401</v>
      </c>
      <c r="P275">
        <f>'bts_wt_age biom table'!P22</f>
        <v>2.6626429178482298</v>
      </c>
    </row>
    <row r="276" spans="1:43" x14ac:dyDescent="0.2">
      <c r="A276" s="3">
        <v>1983</v>
      </c>
      <c r="B276">
        <f>'bts_wt_age biom table'!B23</f>
        <v>1.6466600545255703E-2</v>
      </c>
      <c r="C276">
        <f>'bts_wt_age biom table'!C23</f>
        <v>0.10462804434456</v>
      </c>
      <c r="D276">
        <f>'bts_wt_age biom table'!D23</f>
        <v>0.18543451673570602</v>
      </c>
      <c r="E276">
        <f>'bts_wt_age biom table'!E23</f>
        <v>0.361183067278183</v>
      </c>
      <c r="F276">
        <f>'bts_wt_age biom table'!F23</f>
        <v>0.52095705984015395</v>
      </c>
      <c r="G276">
        <f>'bts_wt_age biom table'!G23</f>
        <v>0.71594416244669701</v>
      </c>
      <c r="H276">
        <f>'bts_wt_age biom table'!H23</f>
        <v>1.0203394070173701</v>
      </c>
      <c r="I276">
        <f>'bts_wt_age biom table'!I23</f>
        <v>1.3065891866580801</v>
      </c>
      <c r="J276">
        <f>'bts_wt_age biom table'!J23</f>
        <v>1.5105197396897299</v>
      </c>
      <c r="K276">
        <f>'bts_wt_age biom table'!K23</f>
        <v>1.5784693494062201</v>
      </c>
      <c r="L276">
        <f>'bts_wt_age biom table'!L23</f>
        <v>1.63125283389593</v>
      </c>
      <c r="M276">
        <f>'bts_wt_age biom table'!M23</f>
        <v>1.5707958947969001</v>
      </c>
      <c r="N276">
        <f>'bts_wt_age biom table'!N23</f>
        <v>1.81292165173247</v>
      </c>
      <c r="O276">
        <f>'bts_wt_age biom table'!O23</f>
        <v>1.5555354689503098</v>
      </c>
      <c r="P276">
        <f>'bts_wt_age biom table'!P23</f>
        <v>1.9861617606026001</v>
      </c>
    </row>
    <row r="277" spans="1:43" x14ac:dyDescent="0.2">
      <c r="A277" s="3">
        <v>1984</v>
      </c>
      <c r="B277">
        <f>'bts_wt_age biom table'!B24</f>
        <v>1.6306697209876302E-2</v>
      </c>
      <c r="C277">
        <f>'bts_wt_age biom table'!C24</f>
        <v>6.7560012997084196E-2</v>
      </c>
      <c r="D277">
        <f>'bts_wt_age biom table'!D24</f>
        <v>0.19641513374278302</v>
      </c>
      <c r="E277">
        <f>'bts_wt_age biom table'!E24</f>
        <v>0.30668409657471701</v>
      </c>
      <c r="F277">
        <f>'bts_wt_age biom table'!F24</f>
        <v>0.48488267115630102</v>
      </c>
      <c r="G277">
        <f>'bts_wt_age biom table'!G24</f>
        <v>0.59752616392926805</v>
      </c>
      <c r="H277">
        <f>'bts_wt_age biom table'!H24</f>
        <v>0.93047187170983403</v>
      </c>
      <c r="I277">
        <f>'bts_wt_age biom table'!I24</f>
        <v>1.37812076035674</v>
      </c>
      <c r="J277">
        <f>'bts_wt_age biom table'!J24</f>
        <v>1.51356256090172</v>
      </c>
      <c r="K277">
        <f>'bts_wt_age biom table'!K24</f>
        <v>1.73103535871723</v>
      </c>
      <c r="L277">
        <f>'bts_wt_age biom table'!L24</f>
        <v>1.86988508093063</v>
      </c>
      <c r="M277">
        <f>'bts_wt_age biom table'!M24</f>
        <v>1.8518142296881399</v>
      </c>
      <c r="N277">
        <f>'bts_wt_age biom table'!N24</f>
        <v>1.9701181719995</v>
      </c>
      <c r="O277">
        <f>'bts_wt_age biom table'!O24</f>
        <v>1.7446386118191899</v>
      </c>
      <c r="P277">
        <f>'bts_wt_age biom table'!P24</f>
        <v>2.1247449724852698</v>
      </c>
    </row>
    <row r="278" spans="1:43" x14ac:dyDescent="0.2">
      <c r="A278" s="3">
        <v>1985</v>
      </c>
      <c r="B278">
        <f>'bts_wt_age biom table'!B25</f>
        <v>1.7032290759062201E-2</v>
      </c>
      <c r="C278">
        <f>'bts_wt_age biom table'!C25</f>
        <v>8.2113336681314E-2</v>
      </c>
      <c r="D278">
        <f>'bts_wt_age biom table'!D25</f>
        <v>0.21258432216551099</v>
      </c>
      <c r="E278">
        <f>'bts_wt_age biom table'!E25</f>
        <v>0.336327375486066</v>
      </c>
      <c r="F278">
        <f>'bts_wt_age biom table'!F25</f>
        <v>0.47324341363533901</v>
      </c>
      <c r="G278">
        <f>'bts_wt_age biom table'!G25</f>
        <v>0.68096711221311401</v>
      </c>
      <c r="H278">
        <f>'bts_wt_age biom table'!H25</f>
        <v>0.89133258231078105</v>
      </c>
      <c r="I278">
        <f>'bts_wt_age biom table'!I25</f>
        <v>1.2315978795675901</v>
      </c>
      <c r="J278">
        <f>'bts_wt_age biom table'!J25</f>
        <v>1.64945755425284</v>
      </c>
      <c r="K278">
        <f>'bts_wt_age biom table'!K25</f>
        <v>1.60809907215711</v>
      </c>
      <c r="L278">
        <f>'bts_wt_age biom table'!L25</f>
        <v>1.72145465419854</v>
      </c>
      <c r="M278">
        <f>'bts_wt_age biom table'!M25</f>
        <v>2.0162687795523802</v>
      </c>
      <c r="N278">
        <f>'bts_wt_age biom table'!N25</f>
        <v>2.1048367691588599</v>
      </c>
      <c r="O278">
        <f>'bts_wt_age biom table'!O25</f>
        <v>1.8017955795243199</v>
      </c>
      <c r="P278">
        <f>'bts_wt_age biom table'!P25</f>
        <v>2.4895722831456299</v>
      </c>
    </row>
    <row r="279" spans="1:43" x14ac:dyDescent="0.2">
      <c r="A279" s="3">
        <v>1986</v>
      </c>
      <c r="B279">
        <f>'bts_wt_age biom table'!B26</f>
        <v>1.2679100930007101E-2</v>
      </c>
      <c r="C279">
        <f>'bts_wt_age biom table'!C26</f>
        <v>6.2722584755181401E-2</v>
      </c>
      <c r="D279">
        <f>'bts_wt_age biom table'!D26</f>
        <v>0.145053920787659</v>
      </c>
      <c r="E279">
        <f>'bts_wt_age biom table'!E26</f>
        <v>0.32711326428707899</v>
      </c>
      <c r="F279">
        <f>'bts_wt_age biom table'!F26</f>
        <v>0.41958097808419803</v>
      </c>
      <c r="G279">
        <f>'bts_wt_age biom table'!G26</f>
        <v>0.6112776391219199</v>
      </c>
      <c r="H279">
        <f>'bts_wt_age biom table'!H26</f>
        <v>0.81913046383286703</v>
      </c>
      <c r="I279">
        <f>'bts_wt_age biom table'!I26</f>
        <v>1.0295669212152501</v>
      </c>
      <c r="J279">
        <f>'bts_wt_age biom table'!J26</f>
        <v>1.30974334916014</v>
      </c>
      <c r="K279">
        <f>'bts_wt_age biom table'!K26</f>
        <v>1.62534110228218</v>
      </c>
      <c r="L279">
        <f>'bts_wt_age biom table'!L26</f>
        <v>1.7353881334800201</v>
      </c>
      <c r="M279">
        <f>'bts_wt_age biom table'!M26</f>
        <v>1.9396120868498399</v>
      </c>
      <c r="N279">
        <f>'bts_wt_age biom table'!N26</f>
        <v>2.2206107977312297</v>
      </c>
      <c r="O279">
        <f>'bts_wt_age biom table'!O26</f>
        <v>2.2816760784047303</v>
      </c>
      <c r="P279">
        <f>AVERAGE(P278,P280)</f>
        <v>2.431324563497065</v>
      </c>
    </row>
    <row r="280" spans="1:43" x14ac:dyDescent="0.2">
      <c r="A280" s="3">
        <v>1987</v>
      </c>
      <c r="B280">
        <f>'bts_wt_age biom table'!B27</f>
        <v>2.5633853765877099E-2</v>
      </c>
      <c r="C280">
        <f>'bts_wt_age biom table'!C27</f>
        <v>0.106461679611092</v>
      </c>
      <c r="D280">
        <f>'bts_wt_age biom table'!D27</f>
        <v>0.24569976022906598</v>
      </c>
      <c r="E280">
        <f>'bts_wt_age biom table'!E27</f>
        <v>0.293843101850705</v>
      </c>
      <c r="F280">
        <f>'bts_wt_age biom table'!F27</f>
        <v>0.42630491922854202</v>
      </c>
      <c r="G280">
        <f>'bts_wt_age biom table'!G27</f>
        <v>0.52330365475881002</v>
      </c>
      <c r="H280">
        <f>'bts_wt_age biom table'!H27</f>
        <v>0.69169735568067703</v>
      </c>
      <c r="I280">
        <f>'bts_wt_age biom table'!I27</f>
        <v>0.82563259614139894</v>
      </c>
      <c r="J280">
        <f>'bts_wt_age biom table'!J27</f>
        <v>0.97431406948700494</v>
      </c>
      <c r="K280">
        <f>'bts_wt_age biom table'!K27</f>
        <v>1.1805090085902901</v>
      </c>
      <c r="L280">
        <f>'bts_wt_age biom table'!L27</f>
        <v>1.49369639449772</v>
      </c>
      <c r="M280">
        <f>'bts_wt_age biom table'!M27</f>
        <v>1.5168685731399201</v>
      </c>
      <c r="N280">
        <f>'bts_wt_age biom table'!N27</f>
        <v>1.9276494798235202</v>
      </c>
      <c r="O280">
        <f>'bts_wt_age biom table'!O27</f>
        <v>2.22888368783613</v>
      </c>
      <c r="P280">
        <f>'bts_wt_age biom table'!P27</f>
        <v>2.3730768438485002</v>
      </c>
    </row>
    <row r="281" spans="1:43" x14ac:dyDescent="0.2">
      <c r="A281" s="3">
        <v>1988</v>
      </c>
      <c r="B281">
        <f>'bts_wt_age biom table'!B28</f>
        <v>1.6132697573974699E-2</v>
      </c>
      <c r="C281">
        <f>'bts_wt_age biom table'!C28</f>
        <v>9.5171864701778602E-2</v>
      </c>
      <c r="D281">
        <f>'bts_wt_age biom table'!D28</f>
        <v>0.27475098279599203</v>
      </c>
      <c r="E281">
        <f>'bts_wt_age biom table'!E28</f>
        <v>0.32317442153322801</v>
      </c>
      <c r="F281">
        <f>'bts_wt_age biom table'!F28</f>
        <v>0.42643288567465498</v>
      </c>
      <c r="G281">
        <f>'bts_wt_age biom table'!G28</f>
        <v>0.50128528271725903</v>
      </c>
      <c r="H281">
        <f>'bts_wt_age biom table'!H28</f>
        <v>0.66056901121061007</v>
      </c>
      <c r="I281">
        <f>'bts_wt_age biom table'!I28</f>
        <v>0.87735348497564603</v>
      </c>
      <c r="J281">
        <f>'bts_wt_age biom table'!J28</f>
        <v>0.89016780174772392</v>
      </c>
      <c r="K281">
        <f>'bts_wt_age biom table'!K28</f>
        <v>1.10794683349835</v>
      </c>
      <c r="L281">
        <f>'bts_wt_age biom table'!L28</f>
        <v>1.34409259321145</v>
      </c>
      <c r="M281">
        <f>'bts_wt_age biom table'!M28</f>
        <v>1.3842114496744</v>
      </c>
      <c r="N281">
        <f>'bts_wt_age biom table'!N28</f>
        <v>1.90466047284648</v>
      </c>
      <c r="O281">
        <f>'bts_wt_age biom table'!O28</f>
        <v>1.16038275926391</v>
      </c>
      <c r="P281">
        <f>'bts_wt_age biom table'!P28</f>
        <v>1.74449468902743</v>
      </c>
    </row>
    <row r="282" spans="1:43" x14ac:dyDescent="0.2">
      <c r="A282" s="3">
        <v>1989</v>
      </c>
      <c r="B282">
        <f>'bts_wt_age biom table'!B29</f>
        <v>1.8833545138204903E-2</v>
      </c>
      <c r="C282">
        <f>'bts_wt_age biom table'!C29</f>
        <v>8.9662269608068904E-2</v>
      </c>
      <c r="D282">
        <f>'bts_wt_age biom table'!D29</f>
        <v>0.16816857129782301</v>
      </c>
      <c r="E282">
        <f>'bts_wt_age biom table'!E29</f>
        <v>0.30527029705757297</v>
      </c>
      <c r="F282">
        <f>'bts_wt_age biom table'!F29</f>
        <v>0.39071365194677599</v>
      </c>
      <c r="G282">
        <f>'bts_wt_age biom table'!G29</f>
        <v>0.50501530247354598</v>
      </c>
      <c r="H282">
        <f>'bts_wt_age biom table'!H29</f>
        <v>0.71004223768709795</v>
      </c>
      <c r="I282">
        <f>'bts_wt_age biom table'!I29</f>
        <v>0.80356768305916604</v>
      </c>
      <c r="J282">
        <f>'bts_wt_age biom table'!J29</f>
        <v>1.0999787696621</v>
      </c>
      <c r="K282">
        <f>'bts_wt_age biom table'!K29</f>
        <v>1.0887267960160001</v>
      </c>
      <c r="L282">
        <f>'bts_wt_age biom table'!L29</f>
        <v>1.2255463904675601</v>
      </c>
      <c r="M282">
        <f>'bts_wt_age biom table'!M29</f>
        <v>1.31192552744375</v>
      </c>
      <c r="N282">
        <f>'bts_wt_age biom table'!N29</f>
        <v>1.2899614218926398</v>
      </c>
      <c r="O282">
        <f>'bts_wt_age biom table'!O29</f>
        <v>1.2903493766388499</v>
      </c>
      <c r="P282">
        <f>'bts_wt_age biom table'!P29</f>
        <v>1.4807348354810899</v>
      </c>
    </row>
    <row r="283" spans="1:43" x14ac:dyDescent="0.2">
      <c r="A283" s="3">
        <v>1990</v>
      </c>
      <c r="B283">
        <f>'bts_wt_age biom table'!B30</f>
        <v>1.44132641492724E-2</v>
      </c>
      <c r="C283">
        <f>'bts_wt_age biom table'!C30</f>
        <v>0.17105638557615502</v>
      </c>
      <c r="D283">
        <f>'bts_wt_age biom table'!D30</f>
        <v>0.18121030985172101</v>
      </c>
      <c r="E283">
        <f>'bts_wt_age biom table'!E30</f>
        <v>0.35206067186959999</v>
      </c>
      <c r="F283">
        <f>'bts_wt_age biom table'!F30</f>
        <v>0.43324722734765103</v>
      </c>
      <c r="G283">
        <f>'bts_wt_age biom table'!G30</f>
        <v>0.54502220175678895</v>
      </c>
      <c r="H283">
        <f>'bts_wt_age biom table'!H30</f>
        <v>0.62258190438863592</v>
      </c>
      <c r="I283">
        <f>'bts_wt_age biom table'!I30</f>
        <v>0.761558106201493</v>
      </c>
      <c r="J283">
        <f>'bts_wt_age biom table'!J30</f>
        <v>0.89588118388879801</v>
      </c>
      <c r="K283">
        <f>'bts_wt_age biom table'!K30</f>
        <v>1.1052711286460601</v>
      </c>
      <c r="L283">
        <f>'bts_wt_age biom table'!L30</f>
        <v>1.14248138416348</v>
      </c>
      <c r="M283">
        <f>'bts_wt_age biom table'!M30</f>
        <v>1.3111779770083201</v>
      </c>
      <c r="N283">
        <f>'bts_wt_age biom table'!N30</f>
        <v>1.3755015811732501</v>
      </c>
      <c r="O283">
        <f>'bts_wt_age biom table'!O30</f>
        <v>1.4868107069044298</v>
      </c>
      <c r="P283">
        <f>'bts_wt_age biom table'!P30</f>
        <v>1.77795695397833</v>
      </c>
    </row>
    <row r="284" spans="1:43" x14ac:dyDescent="0.2">
      <c r="A284" s="3">
        <v>1991</v>
      </c>
      <c r="B284">
        <f>'bts_wt_age biom table'!B31</f>
        <v>2.0605993494384699E-2</v>
      </c>
      <c r="C284">
        <f>'bts_wt_age biom table'!C31</f>
        <v>0.13638903554405599</v>
      </c>
      <c r="D284">
        <f>'bts_wt_age biom table'!D31</f>
        <v>0.19937223564649698</v>
      </c>
      <c r="E284">
        <f>'bts_wt_age biom table'!E31</f>
        <v>0.35376234902909998</v>
      </c>
      <c r="F284">
        <f>'bts_wt_age biom table'!F31</f>
        <v>0.56350198644562199</v>
      </c>
      <c r="G284">
        <f>'bts_wt_age biom table'!G31</f>
        <v>0.637942100386374</v>
      </c>
      <c r="H284">
        <f>'bts_wt_age biom table'!H31</f>
        <v>0.72004131259222692</v>
      </c>
      <c r="I284">
        <f>'bts_wt_age biom table'!I31</f>
        <v>0.8170110347737819</v>
      </c>
      <c r="J284">
        <f>'bts_wt_age biom table'!J31</f>
        <v>0.98209054129406104</v>
      </c>
      <c r="K284">
        <f>'bts_wt_age biom table'!K31</f>
        <v>1.0800510633634799</v>
      </c>
      <c r="L284">
        <f>'bts_wt_age biom table'!L31</f>
        <v>1.3277349100793101</v>
      </c>
      <c r="M284">
        <f>'bts_wt_age biom table'!M31</f>
        <v>1.4135750709010699</v>
      </c>
      <c r="N284">
        <f>'bts_wt_age biom table'!N31</f>
        <v>1.5711975792455</v>
      </c>
      <c r="O284">
        <f>'bts_wt_age biom table'!O31</f>
        <v>1.8148823265860798</v>
      </c>
      <c r="P284">
        <f>'bts_wt_age biom table'!P31</f>
        <v>1.97972020974862</v>
      </c>
    </row>
    <row r="285" spans="1:43" x14ac:dyDescent="0.2">
      <c r="A285" s="3">
        <v>1992</v>
      </c>
      <c r="B285">
        <f>'bts_wt_age biom table'!B32</f>
        <v>1.6772385234901103E-2</v>
      </c>
      <c r="C285">
        <f>'bts_wt_age biom table'!C32</f>
        <v>0.129732207909415</v>
      </c>
      <c r="D285">
        <f>'bts_wt_age biom table'!D32</f>
        <v>0.29996991458359501</v>
      </c>
      <c r="E285">
        <f>'bts_wt_age biom table'!E32</f>
        <v>0.40907178774926095</v>
      </c>
      <c r="F285">
        <f>'bts_wt_age biom table'!F32</f>
        <v>0.50467968604729596</v>
      </c>
      <c r="G285">
        <f>'bts_wt_age biom table'!G32</f>
        <v>0.58947542604562297</v>
      </c>
      <c r="H285">
        <f>'bts_wt_age biom table'!H32</f>
        <v>0.77752687424981404</v>
      </c>
      <c r="I285">
        <f>'bts_wt_age biom table'!I32</f>
        <v>0.8699992527433581</v>
      </c>
      <c r="J285">
        <f>'bts_wt_age biom table'!J32</f>
        <v>0.97166959320791402</v>
      </c>
      <c r="K285">
        <f>'bts_wt_age biom table'!K32</f>
        <v>1.08025598978774</v>
      </c>
      <c r="L285">
        <f>'bts_wt_age biom table'!L32</f>
        <v>1.2259851032916198</v>
      </c>
      <c r="M285">
        <f>'bts_wt_age biom table'!M32</f>
        <v>1.4716865121579399</v>
      </c>
      <c r="N285">
        <f>'bts_wt_age biom table'!N32</f>
        <v>1.6762203311602299</v>
      </c>
      <c r="O285">
        <f>'bts_wt_age biom table'!O32</f>
        <v>1.7302858685521201</v>
      </c>
      <c r="P285">
        <f>'bts_wt_age biom table'!P32</f>
        <v>1.6934578149532999</v>
      </c>
    </row>
    <row r="286" spans="1:43" x14ac:dyDescent="0.2">
      <c r="A286" s="3">
        <v>1993</v>
      </c>
      <c r="B286">
        <f>'bts_wt_age biom table'!B33</f>
        <v>1.2209558488244201E-2</v>
      </c>
      <c r="C286">
        <f>'bts_wt_age biom table'!C33</f>
        <v>0.10251025717031201</v>
      </c>
      <c r="D286">
        <f>'bts_wt_age biom table'!D33</f>
        <v>0.28949641197096299</v>
      </c>
      <c r="E286">
        <f>'bts_wt_age biom table'!E33</f>
        <v>0.46988782993348799</v>
      </c>
      <c r="F286">
        <f>'bts_wt_age biom table'!F33</f>
        <v>0.52522104180655105</v>
      </c>
      <c r="G286">
        <f>'bts_wt_age biom table'!G33</f>
        <v>0.645431589991314</v>
      </c>
      <c r="H286">
        <f>'bts_wt_age biom table'!H33</f>
        <v>0.73919060945562209</v>
      </c>
      <c r="I286">
        <f>'bts_wt_age biom table'!I33</f>
        <v>0.86636090131699595</v>
      </c>
      <c r="J286">
        <f>'bts_wt_age biom table'!J33</f>
        <v>1.0621985547723101</v>
      </c>
      <c r="K286">
        <f>'bts_wt_age biom table'!K33</f>
        <v>1.09907360574625</v>
      </c>
      <c r="L286">
        <f>'bts_wt_age biom table'!L33</f>
        <v>1.2925776231441801</v>
      </c>
      <c r="M286">
        <f>'bts_wt_age biom table'!M33</f>
        <v>1.4077627221767</v>
      </c>
      <c r="N286">
        <f>'bts_wt_age biom table'!N33</f>
        <v>1.60757293396255</v>
      </c>
      <c r="O286">
        <f>'bts_wt_age biom table'!O33</f>
        <v>1.6890830761884599</v>
      </c>
      <c r="P286">
        <f>'bts_wt_age biom table'!P33</f>
        <v>1.8109887021993401</v>
      </c>
    </row>
    <row r="287" spans="1:43" x14ac:dyDescent="0.2">
      <c r="A287" s="3">
        <v>1994</v>
      </c>
      <c r="B287">
        <f>'bts_wt_age biom table'!B34</f>
        <v>1.7732800814225701E-2</v>
      </c>
      <c r="C287">
        <f>'bts_wt_age biom table'!C34</f>
        <v>8.9098398304678195E-2</v>
      </c>
      <c r="D287">
        <f>'bts_wt_age biom table'!D34</f>
        <v>0.227857636232522</v>
      </c>
      <c r="E287">
        <f>'bts_wt_age biom table'!E34</f>
        <v>0.41442535474540698</v>
      </c>
      <c r="F287">
        <f>'bts_wt_age biom table'!F34</f>
        <v>0.57280505462053</v>
      </c>
      <c r="G287">
        <f>'bts_wt_age biom table'!G34</f>
        <v>0.70886323807506302</v>
      </c>
      <c r="H287">
        <f>'bts_wt_age biom table'!H34</f>
        <v>0.74684259874294501</v>
      </c>
      <c r="I287">
        <f>'bts_wt_age biom table'!I34</f>
        <v>1.0865221926950901</v>
      </c>
      <c r="J287">
        <f>'bts_wt_age biom table'!J34</f>
        <v>1.3033178389523401</v>
      </c>
      <c r="K287">
        <f>'bts_wt_age biom table'!K34</f>
        <v>1.2357686033198199</v>
      </c>
      <c r="L287">
        <f>'bts_wt_age biom table'!L34</f>
        <v>1.34634487279032</v>
      </c>
      <c r="M287">
        <f>'bts_wt_age biom table'!M34</f>
        <v>1.4400919846717</v>
      </c>
      <c r="N287">
        <f>'bts_wt_age biom table'!N34</f>
        <v>1.4919087214475302</v>
      </c>
      <c r="O287">
        <f>'bts_wt_age biom table'!O34</f>
        <v>1.67079744408714</v>
      </c>
      <c r="P287">
        <f>'bts_wt_age biom table'!P34</f>
        <v>1.7429203711688799</v>
      </c>
    </row>
    <row r="288" spans="1:43" x14ac:dyDescent="0.2">
      <c r="A288" s="3">
        <v>1995</v>
      </c>
      <c r="B288">
        <f>'bts_wt_age biom table'!B35</f>
        <v>1.7411934302708498E-2</v>
      </c>
      <c r="C288">
        <f>'bts_wt_age biom table'!C35</f>
        <v>6.3233780724699096E-2</v>
      </c>
      <c r="D288">
        <f>'bts_wt_age biom table'!D35</f>
        <v>0.14533530341640802</v>
      </c>
      <c r="E288">
        <f>'bts_wt_age biom table'!E35</f>
        <v>0.33988341570147995</v>
      </c>
      <c r="F288">
        <f>'bts_wt_age biom table'!F35</f>
        <v>0.48033315774494995</v>
      </c>
      <c r="G288">
        <f>'bts_wt_age biom table'!G35</f>
        <v>0.65684407837120895</v>
      </c>
      <c r="H288">
        <f>'bts_wt_age biom table'!H35</f>
        <v>0.68022790527037003</v>
      </c>
      <c r="I288">
        <f>'bts_wt_age biom table'!I35</f>
        <v>0.89685029471763</v>
      </c>
      <c r="J288">
        <f>'bts_wt_age biom table'!J35</f>
        <v>1.0749126301174099</v>
      </c>
      <c r="K288">
        <f>'bts_wt_age biom table'!K35</f>
        <v>1.3630232342646</v>
      </c>
      <c r="L288">
        <f>'bts_wt_age biom table'!L35</f>
        <v>1.3076588380752701</v>
      </c>
      <c r="M288">
        <f>'bts_wt_age biom table'!M35</f>
        <v>1.4014582070551902</v>
      </c>
      <c r="N288">
        <f>'bts_wt_age biom table'!N35</f>
        <v>1.51743229424923</v>
      </c>
      <c r="O288">
        <f>'bts_wt_age biom table'!O35</f>
        <v>1.51079631256717</v>
      </c>
      <c r="P288">
        <f>'bts_wt_age biom table'!P35</f>
        <v>1.7658965375331399</v>
      </c>
    </row>
    <row r="289" spans="1:16" x14ac:dyDescent="0.2">
      <c r="A289" s="3">
        <v>1996</v>
      </c>
      <c r="B289">
        <f>'bts_wt_age biom table'!B36</f>
        <v>1.8715706726376201E-2</v>
      </c>
      <c r="C289">
        <f>'bts_wt_age biom table'!C36</f>
        <v>8.0421813094313802E-2</v>
      </c>
      <c r="D289">
        <f>'bts_wt_age biom table'!D36</f>
        <v>0.15087054440183201</v>
      </c>
      <c r="E289">
        <f>'bts_wt_age biom table'!E36</f>
        <v>0.299672504634034</v>
      </c>
      <c r="F289">
        <f>'bts_wt_age biom table'!F36</f>
        <v>0.50891044645156602</v>
      </c>
      <c r="G289">
        <f>'bts_wt_age biom table'!G36</f>
        <v>0.63350346092492493</v>
      </c>
      <c r="H289">
        <f>'bts_wt_age biom table'!H36</f>
        <v>0.78004481540809101</v>
      </c>
      <c r="I289">
        <f>'bts_wt_age biom table'!I36</f>
        <v>0.87126710610321401</v>
      </c>
      <c r="J289">
        <f>'bts_wt_age biom table'!J36</f>
        <v>1.02744544886857</v>
      </c>
      <c r="K289">
        <f>'bts_wt_age biom table'!K36</f>
        <v>1.1666849233866201</v>
      </c>
      <c r="L289">
        <f>'bts_wt_age biom table'!L36</f>
        <v>1.3867580322667701</v>
      </c>
      <c r="M289">
        <f>'bts_wt_age biom table'!M36</f>
        <v>1.5029125799340899</v>
      </c>
      <c r="N289">
        <f>'bts_wt_age biom table'!N36</f>
        <v>1.6643796480916999</v>
      </c>
      <c r="O289">
        <f>'bts_wt_age biom table'!O36</f>
        <v>1.69242561600443</v>
      </c>
      <c r="P289">
        <f>'bts_wt_age biom table'!P36</f>
        <v>1.8215121688823201</v>
      </c>
    </row>
    <row r="290" spans="1:16" x14ac:dyDescent="0.2">
      <c r="A290" s="3">
        <v>1997</v>
      </c>
      <c r="B290">
        <f>'bts_wt_age biom table'!B37</f>
        <v>1.54124721885033E-2</v>
      </c>
      <c r="C290">
        <f>'bts_wt_age biom table'!C37</f>
        <v>8.3028836676808396E-2</v>
      </c>
      <c r="D290">
        <f>'bts_wt_age biom table'!D37</f>
        <v>0.20099866696827701</v>
      </c>
      <c r="E290">
        <f>'bts_wt_age biom table'!E37</f>
        <v>0.30008810306300898</v>
      </c>
      <c r="F290">
        <f>'bts_wt_age biom table'!F37</f>
        <v>0.36966813629171297</v>
      </c>
      <c r="G290">
        <f>'bts_wt_age biom table'!G37</f>
        <v>0.60630300299542206</v>
      </c>
      <c r="H290">
        <f>'bts_wt_age biom table'!H37</f>
        <v>0.749874584609312</v>
      </c>
      <c r="I290">
        <f>'bts_wt_age biom table'!I37</f>
        <v>0.86803150650319605</v>
      </c>
      <c r="J290">
        <f>'bts_wt_age biom table'!J37</f>
        <v>1.1443024536827999</v>
      </c>
      <c r="K290">
        <f>'bts_wt_age biom table'!K37</f>
        <v>1.2174555057667902</v>
      </c>
      <c r="L290">
        <f>'bts_wt_age biom table'!L37</f>
        <v>1.3488556387773001</v>
      </c>
      <c r="M290">
        <f>'bts_wt_age biom table'!M37</f>
        <v>1.5321502521950698</v>
      </c>
      <c r="N290">
        <f>'bts_wt_age biom table'!N37</f>
        <v>1.6015123590584799</v>
      </c>
      <c r="O290">
        <f>'bts_wt_age biom table'!O37</f>
        <v>1.6218681376325401</v>
      </c>
      <c r="P290">
        <f>'bts_wt_age biom table'!P37</f>
        <v>1.79620716930154</v>
      </c>
    </row>
    <row r="291" spans="1:16" x14ac:dyDescent="0.2">
      <c r="A291" s="3">
        <v>1998</v>
      </c>
      <c r="B291">
        <f>'bts_wt_age biom table'!B38</f>
        <v>1.4883778028028701E-2</v>
      </c>
      <c r="C291">
        <f>'bts_wt_age biom table'!C38</f>
        <v>7.6274765012391693E-2</v>
      </c>
      <c r="D291">
        <f>'bts_wt_age biom table'!D38</f>
        <v>0.194545172811006</v>
      </c>
      <c r="E291">
        <f>'bts_wt_age biom table'!E38</f>
        <v>0.315566630711546</v>
      </c>
      <c r="F291">
        <f>'bts_wt_age biom table'!F38</f>
        <v>0.45714747388997101</v>
      </c>
      <c r="G291">
        <f>'bts_wt_age biom table'!G38</f>
        <v>0.52549741349953005</v>
      </c>
      <c r="H291">
        <f>'bts_wt_age biom table'!H38</f>
        <v>0.84027326560066695</v>
      </c>
      <c r="I291">
        <f>'bts_wt_age biom table'!I38</f>
        <v>0.93873483161526305</v>
      </c>
      <c r="J291">
        <f>'bts_wt_age biom table'!J38</f>
        <v>1.0123137312727299</v>
      </c>
      <c r="K291">
        <f>'bts_wt_age biom table'!K38</f>
        <v>1.0868387751280599</v>
      </c>
      <c r="L291">
        <f>'bts_wt_age biom table'!L38</f>
        <v>1.2627063628815398</v>
      </c>
      <c r="M291">
        <f>'bts_wt_age biom table'!M38</f>
        <v>1.39744890303934</v>
      </c>
      <c r="N291">
        <f>'bts_wt_age biom table'!N38</f>
        <v>1.5188571876167001</v>
      </c>
      <c r="O291">
        <f>'bts_wt_age biom table'!O38</f>
        <v>1.89661527537818</v>
      </c>
      <c r="P291">
        <f>'bts_wt_age biom table'!P38</f>
        <v>1.90890766743288</v>
      </c>
    </row>
    <row r="292" spans="1:16" x14ac:dyDescent="0.2">
      <c r="A292" s="3">
        <v>1999</v>
      </c>
      <c r="B292">
        <f>'bts_wt_age biom table'!B39</f>
        <v>1.3097441240666401E-2</v>
      </c>
      <c r="C292">
        <f>'bts_wt_age biom table'!C39</f>
        <v>9.0593728091038495E-2</v>
      </c>
      <c r="D292">
        <f>'bts_wt_age biom table'!D39</f>
        <v>0.20558330035890698</v>
      </c>
      <c r="E292">
        <f>'bts_wt_age biom table'!E39</f>
        <v>0.363419354813868</v>
      </c>
      <c r="F292">
        <f>'bts_wt_age biom table'!F39</f>
        <v>0.41993859568111203</v>
      </c>
      <c r="G292">
        <f>'bts_wt_age biom table'!G39</f>
        <v>0.572290121019844</v>
      </c>
      <c r="H292">
        <f>'bts_wt_age biom table'!H39</f>
        <v>0.685350405970655</v>
      </c>
      <c r="I292">
        <f>'bts_wt_age biom table'!I39</f>
        <v>0.89972289629410396</v>
      </c>
      <c r="J292">
        <f>'bts_wt_age biom table'!J39</f>
        <v>1.10906588385752</v>
      </c>
      <c r="K292">
        <f>'bts_wt_age biom table'!K39</f>
        <v>1.1608221820506501</v>
      </c>
      <c r="L292">
        <f>'bts_wt_age biom table'!L39</f>
        <v>1.3005268670052701</v>
      </c>
      <c r="M292">
        <f>'bts_wt_age biom table'!M39</f>
        <v>1.37431542789921</v>
      </c>
      <c r="N292">
        <f>'bts_wt_age biom table'!N39</f>
        <v>1.8227476156878499</v>
      </c>
      <c r="O292">
        <f>'bts_wt_age biom table'!O39</f>
        <v>1.7903409380497601</v>
      </c>
      <c r="P292">
        <f>'bts_wt_age biom table'!P39</f>
        <v>2.0857900445209396</v>
      </c>
    </row>
    <row r="293" spans="1:16" x14ac:dyDescent="0.2">
      <c r="A293" s="3">
        <v>2000</v>
      </c>
      <c r="B293">
        <f>'bts_wt_age biom table'!B40</f>
        <v>1.1637050412831201E-2</v>
      </c>
      <c r="C293">
        <f>'bts_wt_age biom table'!C40</f>
        <v>9.0123892662997904E-2</v>
      </c>
      <c r="D293">
        <f>'bts_wt_age biom table'!D40</f>
        <v>0.23149510165580101</v>
      </c>
      <c r="E293">
        <f>'bts_wt_age biom table'!E40</f>
        <v>0.43161498121500602</v>
      </c>
      <c r="F293">
        <f>'bts_wt_age biom table'!F40</f>
        <v>0.47182515313344997</v>
      </c>
      <c r="G293">
        <f>'bts_wt_age biom table'!G40</f>
        <v>0.56671080329900703</v>
      </c>
      <c r="H293">
        <f>'bts_wt_age biom table'!H40</f>
        <v>0.70561068723199605</v>
      </c>
      <c r="I293">
        <f>'bts_wt_age biom table'!I40</f>
        <v>0.799947258819664</v>
      </c>
      <c r="J293">
        <f>'bts_wt_age biom table'!J40</f>
        <v>0.94677266294526707</v>
      </c>
      <c r="K293">
        <f>'bts_wt_age biom table'!K40</f>
        <v>1.1941958255717</v>
      </c>
      <c r="L293">
        <f>'bts_wt_age biom table'!L40</f>
        <v>1.4278748016229299</v>
      </c>
      <c r="M293">
        <f>'bts_wt_age biom table'!M40</f>
        <v>1.46994104377358</v>
      </c>
      <c r="N293">
        <f>'bts_wt_age biom table'!N40</f>
        <v>1.7141410733696101</v>
      </c>
      <c r="O293">
        <f>'bts_wt_age biom table'!O40</f>
        <v>1.76691923690268</v>
      </c>
      <c r="P293">
        <f>'bts_wt_age biom table'!P40</f>
        <v>2.01645918027249</v>
      </c>
    </row>
    <row r="294" spans="1:16" x14ac:dyDescent="0.2">
      <c r="A294" s="3">
        <v>2001</v>
      </c>
      <c r="B294">
        <f>'bts_wt_age biom table'!B41</f>
        <v>1.4819031887871099E-2</v>
      </c>
      <c r="C294">
        <f>'bts_wt_age biom table'!C41</f>
        <v>7.5871476896642809E-2</v>
      </c>
      <c r="D294">
        <f>'bts_wt_age biom table'!D41</f>
        <v>0.18016288095229399</v>
      </c>
      <c r="E294">
        <f>'bts_wt_age biom table'!E41</f>
        <v>0.37537758285761297</v>
      </c>
      <c r="F294">
        <f>'bts_wt_age biom table'!F41</f>
        <v>0.54885313376823397</v>
      </c>
      <c r="G294">
        <f>'bts_wt_age biom table'!G41</f>
        <v>0.69227147030723202</v>
      </c>
      <c r="H294">
        <f>'bts_wt_age biom table'!H41</f>
        <v>0.80503041781290408</v>
      </c>
      <c r="I294">
        <f>'bts_wt_age biom table'!I41</f>
        <v>0.87329105390616302</v>
      </c>
      <c r="J294">
        <f>'bts_wt_age biom table'!J41</f>
        <v>0.95773300682086493</v>
      </c>
      <c r="K294">
        <f>'bts_wt_age biom table'!K41</f>
        <v>1.0988386694820198</v>
      </c>
      <c r="L294">
        <f>'bts_wt_age biom table'!L41</f>
        <v>1.3232087630135501</v>
      </c>
      <c r="M294">
        <f>'bts_wt_age biom table'!M41</f>
        <v>1.53516603718225</v>
      </c>
      <c r="N294">
        <f>'bts_wt_age biom table'!N41</f>
        <v>1.61476088130954</v>
      </c>
      <c r="O294">
        <f>'bts_wt_age biom table'!O41</f>
        <v>1.8138578033870798</v>
      </c>
      <c r="P294">
        <f>'bts_wt_age biom table'!P41</f>
        <v>1.9689662661260601</v>
      </c>
    </row>
    <row r="295" spans="1:16" x14ac:dyDescent="0.2">
      <c r="A295" s="3">
        <v>2002</v>
      </c>
      <c r="B295">
        <f>'bts_wt_age biom table'!B42</f>
        <v>1.2825706769882199E-2</v>
      </c>
      <c r="C295">
        <f>'bts_wt_age biom table'!C42</f>
        <v>9.3839210887065608E-2</v>
      </c>
      <c r="D295">
        <f>'bts_wt_age biom table'!D42</f>
        <v>0.25933848334669102</v>
      </c>
      <c r="E295">
        <f>'bts_wt_age biom table'!E42</f>
        <v>0.38673792385268202</v>
      </c>
      <c r="F295">
        <f>'bts_wt_age biom table'!F42</f>
        <v>0.53331987104007805</v>
      </c>
      <c r="G295">
        <f>'bts_wt_age biom table'!G42</f>
        <v>0.67867990887331997</v>
      </c>
      <c r="H295">
        <f>'bts_wt_age biom table'!H42</f>
        <v>0.74603496740305608</v>
      </c>
      <c r="I295">
        <f>'bts_wt_age biom table'!I42</f>
        <v>0.92029674235794101</v>
      </c>
      <c r="J295">
        <f>'bts_wt_age biom table'!J42</f>
        <v>1.0333867867461199</v>
      </c>
      <c r="K295">
        <f>'bts_wt_age biom table'!K42</f>
        <v>1.1270084695132501</v>
      </c>
      <c r="L295">
        <f>'bts_wt_age biom table'!L42</f>
        <v>1.1459053845097</v>
      </c>
      <c r="M295">
        <f>'bts_wt_age biom table'!M42</f>
        <v>1.4447696698377699</v>
      </c>
      <c r="N295">
        <f>'bts_wt_age biom table'!N42</f>
        <v>1.6310632971476999</v>
      </c>
      <c r="O295">
        <f>'bts_wt_age biom table'!O42</f>
        <v>1.7958416659262699</v>
      </c>
      <c r="P295">
        <f>'bts_wt_age biom table'!P42</f>
        <v>1.9792396742251002</v>
      </c>
    </row>
    <row r="296" spans="1:16" x14ac:dyDescent="0.2">
      <c r="A296" s="3">
        <v>2003</v>
      </c>
      <c r="B296">
        <f>'bts_wt_age biom table'!B43</f>
        <v>2.1351905232043302E-2</v>
      </c>
      <c r="C296">
        <f>'bts_wt_age biom table'!C43</f>
        <v>0.11382481626350599</v>
      </c>
      <c r="D296">
        <f>'bts_wt_age biom table'!D43</f>
        <v>0.287772766098782</v>
      </c>
      <c r="E296">
        <f>'bts_wt_age biom table'!E43</f>
        <v>0.45095919944241897</v>
      </c>
      <c r="F296">
        <f>'bts_wt_age biom table'!F43</f>
        <v>0.64469695009781802</v>
      </c>
      <c r="G296">
        <f>'bts_wt_age biom table'!G43</f>
        <v>0.75425557112243402</v>
      </c>
      <c r="H296">
        <f>'bts_wt_age biom table'!H43</f>
        <v>0.83725454139808198</v>
      </c>
      <c r="I296">
        <f>'bts_wt_age biom table'!I43</f>
        <v>0.96355008364152195</v>
      </c>
      <c r="J296">
        <f>'bts_wt_age biom table'!J43</f>
        <v>1.0391813496147799</v>
      </c>
      <c r="K296">
        <f>'bts_wt_age biom table'!K43</f>
        <v>1.2105844426924901</v>
      </c>
      <c r="L296">
        <f>'bts_wt_age biom table'!L43</f>
        <v>1.21879469615509</v>
      </c>
      <c r="M296">
        <f>'bts_wt_age biom table'!M43</f>
        <v>1.4005882593399199</v>
      </c>
      <c r="N296">
        <f>'bts_wt_age biom table'!N43</f>
        <v>1.5918505988979099</v>
      </c>
      <c r="O296">
        <f>'bts_wt_age biom table'!O43</f>
        <v>1.5283883291291098</v>
      </c>
      <c r="P296">
        <f>'bts_wt_age biom table'!P43</f>
        <v>1.86755537131239</v>
      </c>
    </row>
    <row r="297" spans="1:16" x14ac:dyDescent="0.2">
      <c r="A297" s="3">
        <v>2004</v>
      </c>
      <c r="B297">
        <f>'bts_wt_age biom table'!B44</f>
        <v>1.9468920937720201E-2</v>
      </c>
      <c r="C297">
        <f>'bts_wt_age biom table'!C44</f>
        <v>0.103594552201352</v>
      </c>
      <c r="D297">
        <f>'bts_wt_age biom table'!D44</f>
        <v>0.28146998093200604</v>
      </c>
      <c r="E297">
        <f>'bts_wt_age biom table'!E44</f>
        <v>0.449640783956059</v>
      </c>
      <c r="F297">
        <f>'bts_wt_age biom table'!F44</f>
        <v>0.591866428512558</v>
      </c>
      <c r="G297">
        <f>'bts_wt_age biom table'!G44</f>
        <v>0.72534732833353299</v>
      </c>
      <c r="H297">
        <f>'bts_wt_age biom table'!H44</f>
        <v>0.84710008209584697</v>
      </c>
      <c r="I297">
        <f>'bts_wt_age biom table'!I44</f>
        <v>0.96588868931069394</v>
      </c>
      <c r="J297">
        <f>'bts_wt_age biom table'!J44</f>
        <v>1.0764126902108502</v>
      </c>
      <c r="K297">
        <f>'bts_wt_age biom table'!K44</f>
        <v>1.1468187278641899</v>
      </c>
      <c r="L297">
        <f>'bts_wt_age biom table'!L44</f>
        <v>1.19192665829819</v>
      </c>
      <c r="M297">
        <f>'bts_wt_age biom table'!M44</f>
        <v>1.3048035934494</v>
      </c>
      <c r="N297">
        <f>'bts_wt_age biom table'!N44</f>
        <v>1.5072477102576298</v>
      </c>
      <c r="O297">
        <f>'bts_wt_age biom table'!O44</f>
        <v>1.8070747877623101</v>
      </c>
      <c r="P297">
        <f>'bts_wt_age biom table'!P44</f>
        <v>1.82725971596968</v>
      </c>
    </row>
    <row r="298" spans="1:16" x14ac:dyDescent="0.2">
      <c r="A298" s="3">
        <v>2005</v>
      </c>
      <c r="B298">
        <f>'bts_wt_age biom table'!B45</f>
        <v>2.0195642553592102E-2</v>
      </c>
      <c r="C298">
        <f>'bts_wt_age biom table'!C45</f>
        <v>0.10749328969810899</v>
      </c>
      <c r="D298">
        <f>'bts_wt_age biom table'!D45</f>
        <v>0.237541588419903</v>
      </c>
      <c r="E298">
        <f>'bts_wt_age biom table'!E45</f>
        <v>0.41234004748751502</v>
      </c>
      <c r="F298">
        <f>'bts_wt_age biom table'!F45</f>
        <v>0.553781217024505</v>
      </c>
      <c r="G298">
        <f>'bts_wt_age biom table'!G45</f>
        <v>0.66987158075921194</v>
      </c>
      <c r="H298">
        <f>'bts_wt_age biom table'!H45</f>
        <v>0.84306256869985596</v>
      </c>
      <c r="I298">
        <f>'bts_wt_age biom table'!I45</f>
        <v>0.95761748119274903</v>
      </c>
      <c r="J298">
        <f>'bts_wt_age biom table'!J45</f>
        <v>1.0186007976124101</v>
      </c>
      <c r="K298">
        <f>'bts_wt_age biom table'!K45</f>
        <v>1.0822203366203</v>
      </c>
      <c r="L298">
        <f>'bts_wt_age biom table'!L45</f>
        <v>1.33574327150573</v>
      </c>
      <c r="M298">
        <f>'bts_wt_age biom table'!M45</f>
        <v>1.28010515195997</v>
      </c>
      <c r="N298">
        <f>'bts_wt_age biom table'!N45</f>
        <v>1.3045111162808201</v>
      </c>
      <c r="O298">
        <f>'bts_wt_age biom table'!O45</f>
        <v>1.48280789562381</v>
      </c>
      <c r="P298">
        <f>'bts_wt_age biom table'!P45</f>
        <v>1.6038478866915999</v>
      </c>
    </row>
    <row r="299" spans="1:16" x14ac:dyDescent="0.2">
      <c r="A299" s="3">
        <v>2006</v>
      </c>
      <c r="B299">
        <f>'bts_wt_age biom table'!B46</f>
        <v>9.3771807921347386E-3</v>
      </c>
      <c r="C299">
        <f>'bts_wt_age biom table'!C46</f>
        <v>9.9581012409287989E-2</v>
      </c>
      <c r="D299">
        <f>'bts_wt_age biom table'!D46</f>
        <v>0.18948027826053201</v>
      </c>
      <c r="E299">
        <f>'bts_wt_age biom table'!E46</f>
        <v>0.43836275376263001</v>
      </c>
      <c r="F299">
        <f>'bts_wt_age biom table'!F46</f>
        <v>0.61177803495514504</v>
      </c>
      <c r="G299">
        <f>'bts_wt_age biom table'!G46</f>
        <v>0.6894121222865861</v>
      </c>
      <c r="H299">
        <f>'bts_wt_age biom table'!H46</f>
        <v>0.82408302138409795</v>
      </c>
      <c r="I299">
        <f>'bts_wt_age biom table'!I46</f>
        <v>0.90074247054023293</v>
      </c>
      <c r="J299">
        <f>'bts_wt_age biom table'!J46</f>
        <v>1.0494041616329901</v>
      </c>
      <c r="K299">
        <f>'bts_wt_age biom table'!K46</f>
        <v>1.17710190979302</v>
      </c>
      <c r="L299">
        <f>'bts_wt_age biom table'!L46</f>
        <v>1.2602828300789399</v>
      </c>
      <c r="M299">
        <f>'bts_wt_age biom table'!M46</f>
        <v>1.3780132889341901</v>
      </c>
      <c r="N299">
        <f>'bts_wt_age biom table'!N46</f>
        <v>1.4481496453938001</v>
      </c>
      <c r="O299">
        <f>'bts_wt_age biom table'!O46</f>
        <v>1.4361416799834898</v>
      </c>
      <c r="P299">
        <f>'bts_wt_age biom table'!P46</f>
        <v>1.50946924756618</v>
      </c>
    </row>
    <row r="300" spans="1:16" x14ac:dyDescent="0.2">
      <c r="A300" s="3">
        <v>2007</v>
      </c>
      <c r="B300">
        <f>'bts_wt_age biom table'!B47</f>
        <v>1.25130475669441E-2</v>
      </c>
      <c r="C300">
        <f>'bts_wt_age biom table'!C47</f>
        <v>0.102927192098167</v>
      </c>
      <c r="D300">
        <f>'bts_wt_age biom table'!D47</f>
        <v>0.28960623473035002</v>
      </c>
      <c r="E300">
        <f>'bts_wt_age biom table'!E47</f>
        <v>0.51464886438966007</v>
      </c>
      <c r="F300">
        <f>'bts_wt_age biom table'!F47</f>
        <v>0.63919193826757892</v>
      </c>
      <c r="G300">
        <f>'bts_wt_age biom table'!G47</f>
        <v>0.80280689443846698</v>
      </c>
      <c r="H300">
        <f>'bts_wt_age biom table'!H47</f>
        <v>0.90530019920125093</v>
      </c>
      <c r="I300">
        <f>'bts_wt_age biom table'!I47</f>
        <v>1.0275735465162499</v>
      </c>
      <c r="J300">
        <f>'bts_wt_age biom table'!J47</f>
        <v>1.1223742731611202</v>
      </c>
      <c r="K300">
        <f>'bts_wt_age biom table'!K47</f>
        <v>1.3919689333966401</v>
      </c>
      <c r="L300">
        <f>'bts_wt_age biom table'!L47</f>
        <v>1.34858660172432</v>
      </c>
      <c r="M300">
        <f>'bts_wt_age biom table'!M47</f>
        <v>1.38546629282512</v>
      </c>
      <c r="N300">
        <f>'bts_wt_age biom table'!N47</f>
        <v>1.6990055396141699</v>
      </c>
      <c r="O300">
        <f>'bts_wt_age biom table'!O47</f>
        <v>1.5937535077968901</v>
      </c>
      <c r="P300">
        <f>'bts_wt_age biom table'!P47</f>
        <v>1.6582967088551799</v>
      </c>
    </row>
    <row r="301" spans="1:16" x14ac:dyDescent="0.2">
      <c r="A301" s="3">
        <v>2008</v>
      </c>
      <c r="B301">
        <f>'bts_wt_age biom table'!B48</f>
        <v>1.2618843909317799E-2</v>
      </c>
      <c r="C301">
        <f>'bts_wt_age biom table'!C48</f>
        <v>6.0552624872757498E-2</v>
      </c>
      <c r="D301">
        <f>'bts_wt_age biom table'!D48</f>
        <v>0.25535377969918799</v>
      </c>
      <c r="E301">
        <f>'bts_wt_age biom table'!E48</f>
        <v>0.47399979563515399</v>
      </c>
      <c r="F301">
        <f>'bts_wt_age biom table'!F48</f>
        <v>0.61003273314189399</v>
      </c>
      <c r="G301">
        <f>'bts_wt_age biom table'!G48</f>
        <v>0.74239033290383205</v>
      </c>
      <c r="H301">
        <f>'bts_wt_age biom table'!H48</f>
        <v>0.86404741692115294</v>
      </c>
      <c r="I301">
        <f>'bts_wt_age biom table'!I48</f>
        <v>0.99537622783724811</v>
      </c>
      <c r="J301">
        <f>'bts_wt_age biom table'!J48</f>
        <v>1.06552108307879</v>
      </c>
      <c r="K301">
        <f>'bts_wt_age biom table'!K48</f>
        <v>1.19970131139013</v>
      </c>
      <c r="L301">
        <f>'bts_wt_age biom table'!L48</f>
        <v>1.4778601461574201</v>
      </c>
      <c r="M301">
        <f>'bts_wt_age biom table'!M48</f>
        <v>1.4311636335934599</v>
      </c>
      <c r="N301">
        <f>'bts_wt_age biom table'!N48</f>
        <v>1.65020706709359</v>
      </c>
      <c r="O301">
        <f>'bts_wt_age biom table'!O48</f>
        <v>1.7922241960155099</v>
      </c>
      <c r="P301">
        <f>'bts_wt_age biom table'!P48</f>
        <v>1.8772478982902701</v>
      </c>
    </row>
    <row r="302" spans="1:16" x14ac:dyDescent="0.2">
      <c r="A302" s="3">
        <v>2009</v>
      </c>
      <c r="B302">
        <f>'bts_wt_age biom table'!B49</f>
        <v>1.10475791946679E-2</v>
      </c>
      <c r="C302">
        <f>'bts_wt_age biom table'!C49</f>
        <v>6.6319807055085903E-2</v>
      </c>
      <c r="D302">
        <f>'bts_wt_age biom table'!D49</f>
        <v>0.249929732676478</v>
      </c>
      <c r="E302">
        <f>'bts_wt_age biom table'!E49</f>
        <v>0.50350271817468895</v>
      </c>
      <c r="F302">
        <f>'bts_wt_age biom table'!F49</f>
        <v>0.69671087470706006</v>
      </c>
      <c r="G302">
        <f>'bts_wt_age biom table'!G49</f>
        <v>0.79058750932285604</v>
      </c>
      <c r="H302">
        <f>'bts_wt_age biom table'!H49</f>
        <v>0.99411662900086606</v>
      </c>
      <c r="I302">
        <f>'bts_wt_age biom table'!I49</f>
        <v>1.10712695373407</v>
      </c>
      <c r="J302">
        <f>'bts_wt_age biom table'!J49</f>
        <v>1.1793417626900899</v>
      </c>
      <c r="K302">
        <f>'bts_wt_age biom table'!K49</f>
        <v>1.4432048629746301</v>
      </c>
      <c r="L302">
        <f>'bts_wt_age biom table'!L49</f>
        <v>1.5245784267004401</v>
      </c>
      <c r="M302">
        <f>'bts_wt_age biom table'!M49</f>
        <v>1.6869990859180801</v>
      </c>
      <c r="N302">
        <f>'bts_wt_age biom table'!N49</f>
        <v>1.9426008341546601</v>
      </c>
      <c r="O302">
        <f>'bts_wt_age biom table'!O49</f>
        <v>2.2266515191325102</v>
      </c>
      <c r="P302">
        <f>'bts_wt_age biom table'!P49</f>
        <v>2.3172332275629399</v>
      </c>
    </row>
    <row r="303" spans="1:16" x14ac:dyDescent="0.2">
      <c r="A303" s="3">
        <v>2010</v>
      </c>
      <c r="B303">
        <f>'bts_wt_age biom table'!B50</f>
        <v>1.75370994367555E-2</v>
      </c>
      <c r="C303">
        <f>'bts_wt_age biom table'!C50</f>
        <v>8.4274742792885604E-2</v>
      </c>
      <c r="D303">
        <f>'bts_wt_age biom table'!D50</f>
        <v>0.26608799640658903</v>
      </c>
      <c r="E303">
        <f>'bts_wt_age biom table'!E50</f>
        <v>0.51878576457361203</v>
      </c>
      <c r="F303">
        <f>'bts_wt_age biom table'!F50</f>
        <v>0.69009796610841201</v>
      </c>
      <c r="G303">
        <f>'bts_wt_age biom table'!G50</f>
        <v>0.88848652686940499</v>
      </c>
      <c r="H303">
        <f>'bts_wt_age biom table'!H50</f>
        <v>1.08394352288088</v>
      </c>
      <c r="I303">
        <f>'bts_wt_age biom table'!I50</f>
        <v>1.1810656094757401</v>
      </c>
      <c r="J303">
        <f>'bts_wt_age biom table'!J50</f>
        <v>1.2236274540049501</v>
      </c>
      <c r="K303">
        <f>'bts_wt_age biom table'!K50</f>
        <v>1.3106357204491501</v>
      </c>
      <c r="L303">
        <f>'bts_wt_age biom table'!L50</f>
        <v>1.4314389785237198</v>
      </c>
      <c r="M303">
        <f>'bts_wt_age biom table'!M50</f>
        <v>1.59946590308889</v>
      </c>
      <c r="N303">
        <f>'bts_wt_age biom table'!N50</f>
        <v>1.81831679263908</v>
      </c>
      <c r="O303">
        <f>'bts_wt_age biom table'!O50</f>
        <v>2.13947810142965</v>
      </c>
      <c r="P303">
        <f>'bts_wt_age biom table'!P50</f>
        <v>2.44388406738575</v>
      </c>
    </row>
    <row r="304" spans="1:16" x14ac:dyDescent="0.2">
      <c r="A304" s="3">
        <v>2011</v>
      </c>
      <c r="B304">
        <f>'bts_wt_age biom table'!B51</f>
        <v>1.49076731625563E-2</v>
      </c>
      <c r="C304">
        <f>'bts_wt_age biom table'!C51</f>
        <v>8.2344510607901503E-2</v>
      </c>
      <c r="D304">
        <f>'bts_wt_age biom table'!D51</f>
        <v>0.22974241056456299</v>
      </c>
      <c r="E304">
        <f>'bts_wt_age biom table'!E51</f>
        <v>0.511851880164921</v>
      </c>
      <c r="F304">
        <f>'bts_wt_age biom table'!F51</f>
        <v>0.66165793520262395</v>
      </c>
      <c r="G304">
        <f>'bts_wt_age biom table'!G51</f>
        <v>0.77502012389043606</v>
      </c>
      <c r="H304">
        <f>'bts_wt_age biom table'!H51</f>
        <v>0.92435939630290598</v>
      </c>
      <c r="I304">
        <f>'bts_wt_age biom table'!I51</f>
        <v>1.09673710663728</v>
      </c>
      <c r="J304">
        <f>'bts_wt_age biom table'!J51</f>
        <v>1.23190788609678</v>
      </c>
      <c r="K304">
        <f>'bts_wt_age biom table'!K51</f>
        <v>1.2770545184970499</v>
      </c>
      <c r="L304">
        <f>'bts_wt_age biom table'!L51</f>
        <v>1.4259580462035599</v>
      </c>
      <c r="M304">
        <f>'bts_wt_age biom table'!M51</f>
        <v>1.4890254062878101</v>
      </c>
      <c r="N304">
        <f>'bts_wt_age biom table'!N51</f>
        <v>1.6109202801436899</v>
      </c>
      <c r="O304">
        <f>'bts_wt_age biom table'!O51</f>
        <v>1.7573364343000701</v>
      </c>
      <c r="P304">
        <f>'bts_wt_age biom table'!P51</f>
        <v>2.0580836142018204</v>
      </c>
    </row>
    <row r="305" spans="1:43" x14ac:dyDescent="0.2">
      <c r="A305" s="3">
        <v>2012</v>
      </c>
      <c r="B305">
        <f>'bts_wt_age biom table'!B52</f>
        <v>1.3099156160992401E-2</v>
      </c>
      <c r="C305">
        <f>'bts_wt_age biom table'!C52</f>
        <v>7.92773651107858E-2</v>
      </c>
      <c r="D305">
        <f>'bts_wt_age biom table'!D52</f>
        <v>0.20164656830532299</v>
      </c>
      <c r="E305">
        <f>'bts_wt_age biom table'!E52</f>
        <v>0.42138328447582596</v>
      </c>
      <c r="F305">
        <f>'bts_wt_age biom table'!F52</f>
        <v>0.61116787481050405</v>
      </c>
      <c r="G305">
        <f>'bts_wt_age biom table'!G52</f>
        <v>0.77438195742780291</v>
      </c>
      <c r="H305">
        <f>'bts_wt_age biom table'!H52</f>
        <v>0.92079346953730501</v>
      </c>
      <c r="I305">
        <f>'bts_wt_age biom table'!I52</f>
        <v>1.1325586597853301</v>
      </c>
      <c r="J305">
        <f>'bts_wt_age biom table'!J52</f>
        <v>1.30915907127265</v>
      </c>
      <c r="K305">
        <f>'bts_wt_age biom table'!K52</f>
        <v>1.37938234805475</v>
      </c>
      <c r="L305">
        <f>'bts_wt_age biom table'!L52</f>
        <v>1.41750761034876</v>
      </c>
      <c r="M305">
        <f>'bts_wt_age biom table'!M52</f>
        <v>1.48060097007808</v>
      </c>
      <c r="N305">
        <f>'bts_wt_age biom table'!N52</f>
        <v>1.5438558662553801</v>
      </c>
      <c r="O305">
        <f>'bts_wt_age biom table'!O52</f>
        <v>1.8390101894027</v>
      </c>
      <c r="P305">
        <f>'bts_wt_age biom table'!P52</f>
        <v>2.0709838536452798</v>
      </c>
    </row>
    <row r="306" spans="1:43" x14ac:dyDescent="0.2">
      <c r="A306" s="3">
        <v>2013</v>
      </c>
      <c r="B306">
        <f>'bts_wt_age biom table'!B53</f>
        <v>1.5229169150546401E-2</v>
      </c>
      <c r="C306">
        <f>'bts_wt_age biom table'!C53</f>
        <v>8.0877861310907309E-2</v>
      </c>
      <c r="D306">
        <f>'bts_wt_age biom table'!D53</f>
        <v>0.21232815950970998</v>
      </c>
      <c r="E306">
        <f>'bts_wt_age biom table'!E53</f>
        <v>0.50512228336271103</v>
      </c>
      <c r="F306">
        <f>'bts_wt_age biom table'!F53</f>
        <v>0.58176433935109906</v>
      </c>
      <c r="G306">
        <f>'bts_wt_age biom table'!G53</f>
        <v>0.736182536677226</v>
      </c>
      <c r="H306">
        <f>'bts_wt_age biom table'!H53</f>
        <v>0.97732283947128995</v>
      </c>
      <c r="I306">
        <f>'bts_wt_age biom table'!I53</f>
        <v>1.1637561439094799</v>
      </c>
      <c r="J306">
        <f>'bts_wt_age biom table'!J53</f>
        <v>1.3240096643222001</v>
      </c>
      <c r="K306">
        <f>'bts_wt_age biom table'!K53</f>
        <v>1.41481388728719</v>
      </c>
      <c r="L306">
        <f>'bts_wt_age biom table'!L53</f>
        <v>1.5147018698551</v>
      </c>
      <c r="M306">
        <f>'bts_wt_age biom table'!M53</f>
        <v>1.5422469301624602</v>
      </c>
      <c r="N306">
        <f>'bts_wt_age biom table'!N53</f>
        <v>1.69256141790157</v>
      </c>
      <c r="O306">
        <f>'bts_wt_age biom table'!O53</f>
        <v>1.9132571396723599</v>
      </c>
      <c r="P306">
        <f>'bts_wt_age biom table'!P53</f>
        <v>1.9960119915686001</v>
      </c>
    </row>
    <row r="307" spans="1:43" x14ac:dyDescent="0.2">
      <c r="A307" s="3">
        <v>2014</v>
      </c>
      <c r="B307">
        <f>'bts_wt_age biom table'!B54</f>
        <v>1.66069102402552E-2</v>
      </c>
      <c r="C307">
        <f>'bts_wt_age biom table'!C54</f>
        <v>0.113968322273358</v>
      </c>
      <c r="D307">
        <f>'bts_wt_age biom table'!D54</f>
        <v>0.25779954753867101</v>
      </c>
      <c r="E307">
        <f>'bts_wt_age biom table'!E54</f>
        <v>0.45087539746701799</v>
      </c>
      <c r="F307">
        <f>'bts_wt_age biom table'!F54</f>
        <v>0.58217253684707493</v>
      </c>
      <c r="G307">
        <f>'bts_wt_age biom table'!G54</f>
        <v>0.72889451597298605</v>
      </c>
      <c r="H307">
        <f>'bts_wt_age biom table'!H54</f>
        <v>0.80253578436823203</v>
      </c>
      <c r="I307">
        <f>'bts_wt_age biom table'!I54</f>
        <v>1.1136074312415898</v>
      </c>
      <c r="J307">
        <f>'bts_wt_age biom table'!J54</f>
        <v>1.24590008752212</v>
      </c>
      <c r="K307">
        <f>'bts_wt_age biom table'!K54</f>
        <v>1.4623503072975901</v>
      </c>
      <c r="L307">
        <f>'bts_wt_age biom table'!L54</f>
        <v>1.7057377295214702</v>
      </c>
      <c r="M307">
        <f>'bts_wt_age biom table'!M54</f>
        <v>1.6186680654508201</v>
      </c>
      <c r="N307">
        <f>'bts_wt_age biom table'!N54</f>
        <v>1.7117289931436701</v>
      </c>
      <c r="O307">
        <f>'bts_wt_age biom table'!O54</f>
        <v>1.9325002410835901</v>
      </c>
      <c r="P307">
        <f>'bts_wt_age biom table'!P54</f>
        <v>1.99686018993815</v>
      </c>
    </row>
    <row r="308" spans="1:43" x14ac:dyDescent="0.2">
      <c r="A308" s="3">
        <v>2015</v>
      </c>
      <c r="B308">
        <f>'bts_wt_age biom table'!B55</f>
        <v>1.7457806788171101E-2</v>
      </c>
      <c r="C308">
        <f>'bts_wt_age biom table'!C55</f>
        <v>8.7281454053534796E-2</v>
      </c>
      <c r="D308">
        <f>'bts_wt_age biom table'!D55</f>
        <v>0.332406769419481</v>
      </c>
      <c r="E308">
        <f>'bts_wt_age biom table'!E55</f>
        <v>0.44892154926996397</v>
      </c>
      <c r="F308">
        <f>'bts_wt_age biom table'!F55</f>
        <v>0.590334733200374</v>
      </c>
      <c r="G308">
        <f>'bts_wt_age biom table'!G55</f>
        <v>0.68935600956626797</v>
      </c>
      <c r="H308">
        <f>'bts_wt_age biom table'!H55</f>
        <v>0.795072872581293</v>
      </c>
      <c r="I308">
        <f>'bts_wt_age biom table'!I55</f>
        <v>0.92242361390189997</v>
      </c>
      <c r="J308">
        <f>'bts_wt_age biom table'!J55</f>
        <v>1.21632052520312</v>
      </c>
      <c r="K308">
        <f>'bts_wt_age biom table'!K55</f>
        <v>1.2428098479575</v>
      </c>
      <c r="L308">
        <f>'bts_wt_age biom table'!L55</f>
        <v>1.58386262116719</v>
      </c>
      <c r="M308">
        <f>'bts_wt_age biom table'!M55</f>
        <v>1.5267266054233199</v>
      </c>
      <c r="N308">
        <f>'bts_wt_age biom table'!N55</f>
        <v>1.49315818773503</v>
      </c>
      <c r="O308">
        <f>'bts_wt_age biom table'!O55</f>
        <v>1.5547108994230301</v>
      </c>
      <c r="P308">
        <f>'bts_wt_age biom table'!P55</f>
        <v>1.8107580854776499</v>
      </c>
    </row>
    <row r="309" spans="1:43" x14ac:dyDescent="0.2">
      <c r="A309" s="3">
        <v>2016</v>
      </c>
      <c r="B309">
        <f>'bts_wt_age biom table'!B56</f>
        <v>2.1930008867307501E-2</v>
      </c>
      <c r="C309">
        <f>'bts_wt_age biom table'!C56</f>
        <v>8.1925660253933108E-2</v>
      </c>
      <c r="D309">
        <f>'bts_wt_age biom table'!D56</f>
        <v>0.29884989882413499</v>
      </c>
      <c r="E309">
        <f>'bts_wt_age biom table'!E56</f>
        <v>0.53027141052084203</v>
      </c>
      <c r="F309">
        <f>'bts_wt_age biom table'!F56</f>
        <v>0.60493638433691299</v>
      </c>
      <c r="G309">
        <f>'bts_wt_age biom table'!G56</f>
        <v>0.700503908397349</v>
      </c>
      <c r="H309">
        <f>'bts_wt_age biom table'!H56</f>
        <v>0.77865002879816092</v>
      </c>
      <c r="I309">
        <f>'bts_wt_age biom table'!I56</f>
        <v>0.83573939297146294</v>
      </c>
      <c r="J309">
        <f>'bts_wt_age biom table'!J56</f>
        <v>0.94074926578379803</v>
      </c>
      <c r="K309">
        <f>'bts_wt_age biom table'!K56</f>
        <v>0.99969551458846795</v>
      </c>
      <c r="L309">
        <f>'bts_wt_age biom table'!L56</f>
        <v>1.21421306960385</v>
      </c>
      <c r="M309">
        <f>'bts_wt_age biom table'!M56</f>
        <v>1.59425247320374</v>
      </c>
      <c r="N309">
        <f>'bts_wt_age biom table'!N56</f>
        <v>1.4009801273628799</v>
      </c>
      <c r="O309">
        <f>'bts_wt_age biom table'!O56</f>
        <v>1.6820231113225601</v>
      </c>
      <c r="P309">
        <f>'bts_wt_age biom table'!P56</f>
        <v>1.4709501092908599</v>
      </c>
    </row>
    <row r="310" spans="1:43" x14ac:dyDescent="0.2">
      <c r="A310" s="3">
        <v>2017</v>
      </c>
      <c r="B310">
        <f>'bts_wt_age biom table'!B57</f>
        <v>2.0955313855185502E-2</v>
      </c>
      <c r="C310">
        <f>'bts_wt_age biom table'!C57</f>
        <v>0.104074519010863</v>
      </c>
      <c r="D310">
        <f>'bts_wt_age biom table'!D57</f>
        <v>0.25368745350981298</v>
      </c>
      <c r="E310">
        <f>'bts_wt_age biom table'!E57</f>
        <v>0.47203782276432005</v>
      </c>
      <c r="F310">
        <f>'bts_wt_age biom table'!F57</f>
        <v>0.63360878671444798</v>
      </c>
      <c r="G310">
        <f>'bts_wt_age biom table'!G57</f>
        <v>0.67283381048850699</v>
      </c>
      <c r="H310">
        <f>'bts_wt_age biom table'!H57</f>
        <v>0.75734475165732296</v>
      </c>
      <c r="I310">
        <f>'bts_wt_age biom table'!I57</f>
        <v>0.82078781237722398</v>
      </c>
      <c r="J310">
        <f>'bts_wt_age biom table'!J57</f>
        <v>0.90365742508831504</v>
      </c>
      <c r="K310">
        <f>'bts_wt_age biom table'!K57</f>
        <v>0.92189874109930303</v>
      </c>
      <c r="L310">
        <f>'bts_wt_age biom table'!L57</f>
        <v>1.07674415486174</v>
      </c>
      <c r="M310">
        <f>'bts_wt_age biom table'!M57</f>
        <v>1.03117366748677</v>
      </c>
      <c r="N310">
        <f>'bts_wt_age biom table'!N57</f>
        <v>1.27390057263406</v>
      </c>
      <c r="O310">
        <f>'bts_wt_age biom table'!O57</f>
        <v>1.1479984399293401</v>
      </c>
      <c r="P310">
        <f>'bts_wt_age biom table'!P57</f>
        <v>1.54896523402191</v>
      </c>
    </row>
    <row r="311" spans="1:43" x14ac:dyDescent="0.2">
      <c r="A311" s="3">
        <v>2018</v>
      </c>
      <c r="B311">
        <f>'bts_wt_age biom table'!B58</f>
        <v>2.2427235127942598E-2</v>
      </c>
      <c r="C311">
        <f>'bts_wt_age biom table'!C58</f>
        <v>9.5396352387455197E-2</v>
      </c>
      <c r="D311">
        <f>'bts_wt_age biom table'!D58</f>
        <v>0.225729313732495</v>
      </c>
      <c r="E311">
        <f>'bts_wt_age biom table'!E58</f>
        <v>0.43454261822538504</v>
      </c>
      <c r="F311">
        <f>'bts_wt_age biom table'!F58</f>
        <v>0.59955498778441407</v>
      </c>
      <c r="G311">
        <f>'bts_wt_age biom table'!G58</f>
        <v>0.695866062213085</v>
      </c>
      <c r="H311">
        <f>'bts_wt_age biom table'!H58</f>
        <v>0.77650391912567707</v>
      </c>
      <c r="I311">
        <f>'bts_wt_age biom table'!I58</f>
        <v>0.82630539137439307</v>
      </c>
      <c r="J311">
        <f>'bts_wt_age biom table'!J58</f>
        <v>0.93655476920510206</v>
      </c>
      <c r="K311">
        <f>'bts_wt_age biom table'!K58</f>
        <v>0.95807751030890997</v>
      </c>
      <c r="L311">
        <f>'bts_wt_age biom table'!L58</f>
        <v>1.0842714919884699</v>
      </c>
      <c r="M311">
        <f>'bts_wt_age biom table'!M58</f>
        <v>0.93573701444384505</v>
      </c>
      <c r="N311">
        <f>'bts_wt_age biom table'!N58</f>
        <v>1.5071627360667201</v>
      </c>
      <c r="O311">
        <f>AVERAGE(O310,O312)</f>
        <v>1.2152703929983653</v>
      </c>
      <c r="P311">
        <f>'bts_wt_age biom table'!P58</f>
        <v>1.51941456520298</v>
      </c>
    </row>
    <row r="312" spans="1:43" x14ac:dyDescent="0.2">
      <c r="A312" s="3">
        <v>2019</v>
      </c>
      <c r="B312">
        <f>'bts_wt_age biom table'!B59</f>
        <v>2.1557385851708299E-2</v>
      </c>
      <c r="C312">
        <f>'bts_wt_age biom table'!C59</f>
        <v>0.11335570364678201</v>
      </c>
      <c r="D312">
        <f>'bts_wt_age biom table'!D59</f>
        <v>0.29701389118909399</v>
      </c>
      <c r="E312">
        <f>'bts_wt_age biom table'!E59</f>
        <v>0.50094768444623794</v>
      </c>
      <c r="F312">
        <f>'bts_wt_age biom table'!F59</f>
        <v>0.63674065435848404</v>
      </c>
      <c r="G312">
        <f>'bts_wt_age biom table'!G59</f>
        <v>0.74142538910803102</v>
      </c>
      <c r="H312">
        <f>'bts_wt_age biom table'!H59</f>
        <v>0.83064097017957794</v>
      </c>
      <c r="I312">
        <f>'bts_wt_age biom table'!I59</f>
        <v>0.94639468142813798</v>
      </c>
      <c r="J312">
        <f>'bts_wt_age biom table'!J59</f>
        <v>0.95985969046140096</v>
      </c>
      <c r="K312">
        <f>'bts_wt_age biom table'!K59</f>
        <v>1.0437957289964599</v>
      </c>
      <c r="L312">
        <f>'bts_wt_age biom table'!L59</f>
        <v>1.01247457398871</v>
      </c>
      <c r="M312">
        <f>'bts_wt_age biom table'!M59</f>
        <v>1.0564221761897599</v>
      </c>
      <c r="N312">
        <f>'bts_wt_age biom table'!N59</f>
        <v>1.0424253848404401</v>
      </c>
      <c r="O312">
        <f>'bts_wt_age biom table'!O59</f>
        <v>1.2825423460673901</v>
      </c>
      <c r="P312">
        <f>AVERAGE(P311,P313)</f>
        <v>1.4509489120310302</v>
      </c>
    </row>
    <row r="313" spans="1:43" x14ac:dyDescent="0.2">
      <c r="A313" s="3">
        <v>2021</v>
      </c>
      <c r="B313">
        <f>'bts_wt_age biom table'!B61</f>
        <v>2.2498680976554802E-2</v>
      </c>
      <c r="C313">
        <f>'bts_wt_age biom table'!C61</f>
        <v>0.10247386266333901</v>
      </c>
      <c r="D313">
        <f>'bts_wt_age biom table'!D61</f>
        <v>0.23874587130102401</v>
      </c>
      <c r="E313">
        <f>'bts_wt_age biom table'!E61</f>
        <v>0.446959989078489</v>
      </c>
      <c r="F313">
        <f>'bts_wt_age biom table'!F61</f>
        <v>0.58457981401805204</v>
      </c>
      <c r="G313">
        <f>'bts_wt_age biom table'!G61</f>
        <v>0.71277142822520501</v>
      </c>
      <c r="H313">
        <f>'bts_wt_age biom table'!H61</f>
        <v>0.80419877305086007</v>
      </c>
      <c r="I313">
        <f>'bts_wt_age biom table'!I61</f>
        <v>0.85590951563885298</v>
      </c>
      <c r="J313">
        <f>'bts_wt_age biom table'!J61</f>
        <v>0.98023942557203603</v>
      </c>
      <c r="K313">
        <f>'bts_wt_age biom table'!K61</f>
        <v>1.15010081986108</v>
      </c>
      <c r="L313">
        <f>'bts_wt_age biom table'!L61</f>
        <v>1.0649628011096799</v>
      </c>
      <c r="M313">
        <f>'bts_wt_age biom table'!M61</f>
        <v>1.15146376736208</v>
      </c>
      <c r="N313">
        <f>'bts_wt_age biom table'!N61</f>
        <v>1.3125885677295099</v>
      </c>
      <c r="O313">
        <f>'bts_wt_age biom table'!O61</f>
        <v>1.02608760296179</v>
      </c>
      <c r="P313">
        <f>'bts_wt_age biom table'!P61</f>
        <v>1.3824832588590801</v>
      </c>
    </row>
    <row r="314" spans="1:43" x14ac:dyDescent="0.2">
      <c r="A314" s="3">
        <v>2022</v>
      </c>
      <c r="B314">
        <f>'bts_wt_age biom table'!B62</f>
        <v>1.7285352006024102E-2</v>
      </c>
      <c r="C314">
        <f>'bts_wt_age biom table'!C62</f>
        <v>0.117262349619111</v>
      </c>
      <c r="D314">
        <f>'bts_wt_age biom table'!D62</f>
        <v>0.26733573087300799</v>
      </c>
      <c r="E314">
        <f>'bts_wt_age biom table'!E62</f>
        <v>0.443188646870046</v>
      </c>
      <c r="F314">
        <f>'bts_wt_age biom table'!F62</f>
        <v>0.59097485324630095</v>
      </c>
      <c r="G314">
        <f>'bts_wt_age biom table'!G62</f>
        <v>0.70946782361152705</v>
      </c>
      <c r="H314">
        <f>'bts_wt_age biom table'!H62</f>
        <v>0.78059251084425296</v>
      </c>
      <c r="I314">
        <f>'bts_wt_age biom table'!I62</f>
        <v>0.8811950550210601</v>
      </c>
      <c r="J314">
        <f>'bts_wt_age biom table'!J62</f>
        <v>0.97573352002699798</v>
      </c>
      <c r="K314">
        <f>'bts_wt_age biom table'!K62</f>
        <v>1.07011583944786</v>
      </c>
      <c r="L314">
        <f>'bts_wt_age biom table'!L62</f>
        <v>1.32708583977223</v>
      </c>
      <c r="M314">
        <f>'bts_wt_age biom table'!M62</f>
        <v>1.3051274281799299</v>
      </c>
      <c r="N314">
        <f>'bts_wt_age biom table'!N62</f>
        <v>1.35624918707772</v>
      </c>
      <c r="O314">
        <f>'bts_wt_age biom table'!O62</f>
        <v>1.2389392025254999</v>
      </c>
      <c r="P314">
        <f>'bts_wt_age biom table'!P62</f>
        <v>1.86234083540825</v>
      </c>
    </row>
    <row r="315" spans="1:43" x14ac:dyDescent="0.2">
      <c r="A315" s="3">
        <v>2023</v>
      </c>
      <c r="B315">
        <f>'bts_wt_age biom table'!B63</f>
        <v>1.6290282683347201E-2</v>
      </c>
      <c r="C315">
        <f>'bts_wt_age biom table'!C63</f>
        <v>0.117301585858891</v>
      </c>
      <c r="D315">
        <f>'bts_wt_age biom table'!D63</f>
        <v>0.27139620164422601</v>
      </c>
      <c r="E315">
        <f>'bts_wt_age biom table'!E63</f>
        <v>0.41687564723238801</v>
      </c>
      <c r="F315">
        <f>'bts_wt_age biom table'!F63</f>
        <v>0.533431940571792</v>
      </c>
      <c r="G315">
        <f>'bts_wt_age biom table'!G63</f>
        <v>0.66030587433237897</v>
      </c>
      <c r="H315">
        <f>'bts_wt_age biom table'!H63</f>
        <v>0.80251331570593698</v>
      </c>
      <c r="I315">
        <f>'bts_wt_age biom table'!I63</f>
        <v>0.93535797021226297</v>
      </c>
      <c r="J315">
        <f>'bts_wt_age biom table'!J63</f>
        <v>0.96296479121097001</v>
      </c>
      <c r="K315">
        <f>'bts_wt_age biom table'!K63</f>
        <v>1.0104948726462699</v>
      </c>
      <c r="L315">
        <f>'bts_wt_age biom table'!L63</f>
        <v>1.15033315058786</v>
      </c>
      <c r="M315">
        <f>'bts_wt_age biom table'!M63</f>
        <v>1.14026577685919</v>
      </c>
      <c r="N315">
        <f>'bts_wt_age biom table'!N63</f>
        <v>1.4628116836187901</v>
      </c>
      <c r="O315">
        <f>'bts_wt_age biom table'!O63</f>
        <v>1.89263231739019</v>
      </c>
      <c r="P315">
        <f>'bts_wt_age biom table'!P63</f>
        <v>1.5068638000717398</v>
      </c>
    </row>
    <row r="316" spans="1:43" x14ac:dyDescent="0.2">
      <c r="A316" s="3">
        <v>2024</v>
      </c>
      <c r="B316" s="2">
        <f>'bts_wt_age biom table'!B64</f>
        <v>1.7541583297838698E-2</v>
      </c>
      <c r="C316" s="2">
        <f>'bts_wt_age biom table'!C64</f>
        <v>9.4822856331877009E-2</v>
      </c>
      <c r="D316" s="2">
        <f>'bts_wt_age biom table'!D64</f>
        <v>0.32923135977132301</v>
      </c>
      <c r="E316" s="2">
        <f>'bts_wt_age biom table'!E64</f>
        <v>0.47575691883218002</v>
      </c>
      <c r="F316" s="2">
        <f>'bts_wt_age biom table'!F64</f>
        <v>0.578288017254322</v>
      </c>
      <c r="G316" s="2">
        <f>'bts_wt_age biom table'!G64</f>
        <v>0.61925245935637196</v>
      </c>
      <c r="H316" s="2">
        <f>'bts_wt_age biom table'!H64</f>
        <v>0.70358279240673904</v>
      </c>
      <c r="I316" s="2">
        <f>'bts_wt_age biom table'!I64</f>
        <v>0.94511421394361406</v>
      </c>
      <c r="J316" s="2">
        <f>'bts_wt_age biom table'!J64</f>
        <v>1.00505993939466</v>
      </c>
      <c r="K316" s="2">
        <f>'bts_wt_age biom table'!K64</f>
        <v>1.0410178798254301</v>
      </c>
      <c r="L316" s="2">
        <f>'bts_wt_age biom table'!L64</f>
        <v>1.1376506579941199</v>
      </c>
      <c r="M316" s="2">
        <f>'bts_wt_age biom table'!M64</f>
        <v>1.2058032188323999</v>
      </c>
      <c r="N316" s="2">
        <f>'bts_wt_age biom table'!N64</f>
        <v>1.31408289612497</v>
      </c>
      <c r="O316" s="2">
        <f>'bts_wt_age biom table'!O64</f>
        <v>1.4355219711254898</v>
      </c>
      <c r="P316" s="2">
        <f>'bts_wt_age biom table'!P64</f>
        <v>1.7913662168836499</v>
      </c>
    </row>
    <row r="317" spans="1:43" s="5" customFormat="1" x14ac:dyDescent="0.2">
      <c r="A317" s="4"/>
      <c r="B317" s="5" t="s">
        <v>44</v>
      </c>
    </row>
    <row r="318" spans="1:43" x14ac:dyDescent="0.2">
      <c r="A318" s="3">
        <f>COUNT(B318:CI318)</f>
        <v>42</v>
      </c>
      <c r="B318" cm="1">
        <f t="array" ref="B318:AQ318">TRANSPOSE(A320:A361)/1000000</f>
        <v>133.87536235734021</v>
      </c>
      <c r="C318">
        <v>261.23537065818681</v>
      </c>
      <c r="D318">
        <v>129.92749775868964</v>
      </c>
      <c r="E318">
        <v>207.37898887482388</v>
      </c>
      <c r="F318">
        <v>169.57258208528339</v>
      </c>
      <c r="G318">
        <v>141.3046414564983</v>
      </c>
      <c r="H318">
        <v>234.22250740337566</v>
      </c>
      <c r="I318">
        <v>208.38171944151617</v>
      </c>
      <c r="J318">
        <v>218.49562132439272</v>
      </c>
      <c r="K318">
        <v>131.2796423595091</v>
      </c>
      <c r="L318">
        <v>108.61546306848696</v>
      </c>
      <c r="M318">
        <v>143.64864609666023</v>
      </c>
      <c r="N318">
        <v>138.62286257325678</v>
      </c>
      <c r="O318">
        <v>158.01057417477276</v>
      </c>
      <c r="P318">
        <v>80.360578898066393</v>
      </c>
      <c r="Q318">
        <v>103.37433021230976</v>
      </c>
      <c r="R318">
        <v>77.261254256069904</v>
      </c>
      <c r="S318">
        <v>113.23781506085469</v>
      </c>
      <c r="T318">
        <v>137.08675192089967</v>
      </c>
      <c r="U318">
        <v>113.81314827946908</v>
      </c>
      <c r="V318">
        <v>109.0820386832319</v>
      </c>
      <c r="W318">
        <v>143.65773406970314</v>
      </c>
      <c r="X318">
        <v>80.196992789232468</v>
      </c>
      <c r="Y318">
        <v>102.66709258335477</v>
      </c>
      <c r="Z318">
        <v>69.075835449521605</v>
      </c>
      <c r="AA318">
        <v>126.25224169947774</v>
      </c>
      <c r="AB318">
        <v>62.380885536114711</v>
      </c>
      <c r="AC318">
        <v>48.953417996340754</v>
      </c>
      <c r="AD318">
        <v>89.604418658050534</v>
      </c>
      <c r="AE318">
        <v>68.87317335258615</v>
      </c>
      <c r="AF318">
        <v>99.885084180114404</v>
      </c>
      <c r="AG318">
        <v>110.24256637373368</v>
      </c>
      <c r="AH318">
        <v>194.86114954441055</v>
      </c>
      <c r="AI318">
        <v>175.9469355962251</v>
      </c>
      <c r="AJ318">
        <v>142.98992192717532</v>
      </c>
      <c r="AK318">
        <v>139.23238388090675</v>
      </c>
      <c r="AL318">
        <v>80.163447857310203</v>
      </c>
      <c r="AM318">
        <v>166.52058133733533</v>
      </c>
      <c r="AN318">
        <v>92.843794111640861</v>
      </c>
      <c r="AO318">
        <v>117.25515152097046</v>
      </c>
      <c r="AP318">
        <v>83.198430781342992</v>
      </c>
      <c r="AQ318" s="2">
        <v>164.867228150632</v>
      </c>
    </row>
    <row r="319" spans="1:43" s="5" customFormat="1" x14ac:dyDescent="0.2">
      <c r="A319" s="4"/>
      <c r="B319" s="5" t="s">
        <v>45</v>
      </c>
    </row>
    <row r="320" spans="1:43" x14ac:dyDescent="0.2">
      <c r="A320" s="3">
        <f>SUM(B320:P320)</f>
        <v>133875362.35734022</v>
      </c>
      <c r="B320">
        <f>[4]AgePivot!B5</f>
        <v>10950974.4512849</v>
      </c>
      <c r="C320">
        <f>[4]AgePivot!C5</f>
        <v>27660832.925183602</v>
      </c>
      <c r="D320">
        <f>[4]AgePivot!D5</f>
        <v>32223232.542420901</v>
      </c>
      <c r="E320">
        <f>[4]AgePivot!E5</f>
        <v>43530572.024463899</v>
      </c>
      <c r="F320">
        <f>[4]AgePivot!F5</f>
        <v>14753173.7463497</v>
      </c>
      <c r="G320">
        <f>[4]AgePivot!G5</f>
        <v>1969658.2757997999</v>
      </c>
      <c r="H320">
        <f>[4]AgePivot!H5</f>
        <v>1271123.0683047699</v>
      </c>
      <c r="I320">
        <f>[4]AgePivot!I5</f>
        <v>609063.76233485795</v>
      </c>
      <c r="J320">
        <f>[4]AgePivot!J5</f>
        <v>377022.65914011199</v>
      </c>
      <c r="K320">
        <f>[4]AgePivot!K5</f>
        <v>237253.757234402</v>
      </c>
      <c r="L320">
        <f>[4]AgePivot!L5</f>
        <v>146091.809763005</v>
      </c>
      <c r="M320">
        <f>[4]AgePivot!M5</f>
        <v>86449.2420483108</v>
      </c>
      <c r="N320">
        <f>[4]AgePivot!N5</f>
        <v>32206.8524223922</v>
      </c>
      <c r="O320">
        <f>[4]AgePivot!O5</f>
        <v>14018.780114487399</v>
      </c>
      <c r="P320">
        <f>[4]AgePivot!P5</f>
        <v>13688.4604750994</v>
      </c>
    </row>
    <row r="321" spans="1:16" x14ac:dyDescent="0.2">
      <c r="A321" s="3">
        <f t="shared" ref="A321:A361" si="4">SUM(B321:P321)</f>
        <v>261235370.65818679</v>
      </c>
      <c r="B321">
        <f>[4]AgePivot!B6</f>
        <v>45353039.799437299</v>
      </c>
      <c r="C321">
        <f>[4]AgePivot!C6</f>
        <v>10716107.4837176</v>
      </c>
      <c r="D321">
        <f>[4]AgePivot!D6</f>
        <v>29198382.118134901</v>
      </c>
      <c r="E321">
        <f>[4]AgePivot!E6</f>
        <v>45573178.354512602</v>
      </c>
      <c r="F321">
        <f>[4]AgePivot!F6</f>
        <v>93820499.1080219</v>
      </c>
      <c r="G321">
        <f>[4]AgePivot!G6</f>
        <v>27078547.880949501</v>
      </c>
      <c r="H321">
        <f>[4]AgePivot!H6</f>
        <v>4594651.2297550198</v>
      </c>
      <c r="I321">
        <f>[4]AgePivot!I6</f>
        <v>2078541.9749200901</v>
      </c>
      <c r="J321">
        <f>[4]AgePivot!J6</f>
        <v>951270.13173353102</v>
      </c>
      <c r="K321">
        <f>[4]AgePivot!K6</f>
        <v>854355.81661309802</v>
      </c>
      <c r="L321">
        <f>[4]AgePivot!L6</f>
        <v>608218.13659264904</v>
      </c>
      <c r="M321">
        <f>[4]AgePivot!M6</f>
        <v>220494.39617840599</v>
      </c>
      <c r="N321">
        <f>[4]AgePivot!N6</f>
        <v>81075.456959329604</v>
      </c>
      <c r="O321">
        <f>[4]AgePivot!O6</f>
        <v>72832.256766803897</v>
      </c>
      <c r="P321">
        <f>[4]AgePivot!P6</f>
        <v>34176.513894056203</v>
      </c>
    </row>
    <row r="322" spans="1:16" x14ac:dyDescent="0.2">
      <c r="A322" s="3">
        <f t="shared" si="4"/>
        <v>129927497.75868963</v>
      </c>
      <c r="B322">
        <f>[4]AgePivot!B7</f>
        <v>4810111.3782475302</v>
      </c>
      <c r="C322">
        <f>[4]AgePivot!C7</f>
        <v>3952848.9402117301</v>
      </c>
      <c r="D322">
        <f>[4]AgePivot!D7</f>
        <v>7983445.9509722097</v>
      </c>
      <c r="E322">
        <f>[4]AgePivot!E7</f>
        <v>22444469.958637301</v>
      </c>
      <c r="F322">
        <f>[4]AgePivot!F7</f>
        <v>24850572.2953768</v>
      </c>
      <c r="G322">
        <f>[4]AgePivot!G7</f>
        <v>52883234.632338002</v>
      </c>
      <c r="H322">
        <f>[4]AgePivot!H7</f>
        <v>9357925.4988365807</v>
      </c>
      <c r="I322">
        <f>[4]AgePivot!I7</f>
        <v>2004008.8872482399</v>
      </c>
      <c r="J322">
        <f>[4]AgePivot!J7</f>
        <v>913114.08349836397</v>
      </c>
      <c r="K322">
        <f>[4]AgePivot!K7</f>
        <v>305593.10159020202</v>
      </c>
      <c r="L322">
        <f>[4]AgePivot!L7</f>
        <v>208697.44284325</v>
      </c>
      <c r="M322">
        <f>[4]AgePivot!M7</f>
        <v>78424.252527469507</v>
      </c>
      <c r="N322">
        <f>[4]AgePivot!N7</f>
        <v>47197.236568039501</v>
      </c>
      <c r="O322">
        <f>[4]AgePivot!O7</f>
        <v>58861.790782454103</v>
      </c>
      <c r="P322">
        <f>[4]AgePivot!P7</f>
        <v>28992.309011495901</v>
      </c>
    </row>
    <row r="323" spans="1:16" x14ac:dyDescent="0.2">
      <c r="A323" s="3">
        <f t="shared" si="4"/>
        <v>207378988.87482387</v>
      </c>
      <c r="B323">
        <f>[4]AgePivot!B8</f>
        <v>49329672.639315903</v>
      </c>
      <c r="C323">
        <f>[4]AgePivot!C8</f>
        <v>7897975.7368274499</v>
      </c>
      <c r="D323">
        <f>[4]AgePivot!D8</f>
        <v>38994179.7363379</v>
      </c>
      <c r="E323">
        <f>[4]AgePivot!E8</f>
        <v>13798730.350597</v>
      </c>
      <c r="F323">
        <f>[4]AgePivot!F8</f>
        <v>45398935.827805303</v>
      </c>
      <c r="G323">
        <f>[4]AgePivot!G8</f>
        <v>27954403.849750198</v>
      </c>
      <c r="H323">
        <f>[4]AgePivot!H8</f>
        <v>18475998.025653102</v>
      </c>
      <c r="I323">
        <f>[4]AgePivot!I8</f>
        <v>3514636.1273288401</v>
      </c>
      <c r="J323">
        <f>[4]AgePivot!J8</f>
        <v>858065.09961043496</v>
      </c>
      <c r="K323">
        <f>[4]AgePivot!K8</f>
        <v>725771.70065458503</v>
      </c>
      <c r="L323">
        <f>[4]AgePivot!L8</f>
        <v>252889.85800559499</v>
      </c>
      <c r="M323">
        <f>[4]AgePivot!M8</f>
        <v>79355.011424313197</v>
      </c>
      <c r="N323">
        <f>[4]AgePivot!N8</f>
        <v>84589.511473273305</v>
      </c>
      <c r="O323">
        <f>[4]AgePivot!O8</f>
        <v>7114.1537276277304</v>
      </c>
      <c r="P323">
        <f>[4]AgePivot!P8</f>
        <v>6671.2463123650496</v>
      </c>
    </row>
    <row r="324" spans="1:16" x14ac:dyDescent="0.2">
      <c r="A324" s="3">
        <f t="shared" si="4"/>
        <v>169572582.0852834</v>
      </c>
      <c r="B324">
        <f>[4]AgePivot!B9</f>
        <v>29490315.2566998</v>
      </c>
      <c r="C324">
        <f>[4]AgePivot!C9</f>
        <v>9771055.2670827601</v>
      </c>
      <c r="D324">
        <f>[4]AgePivot!D9</f>
        <v>7912883.3308116104</v>
      </c>
      <c r="E324">
        <f>[4]AgePivot!E9</f>
        <v>33510131.100490101</v>
      </c>
      <c r="F324">
        <f>[4]AgePivot!F9</f>
        <v>17077324.716115098</v>
      </c>
      <c r="G324">
        <f>[4]AgePivot!G9</f>
        <v>25786652.466188502</v>
      </c>
      <c r="H324">
        <f>[4]AgePivot!H9</f>
        <v>21402885.625976499</v>
      </c>
      <c r="I324">
        <f>[4]AgePivot!I9</f>
        <v>17865634.080354601</v>
      </c>
      <c r="J324">
        <f>[4]AgePivot!J9</f>
        <v>5324409.4465166796</v>
      </c>
      <c r="K324">
        <f>[4]AgePivot!K9</f>
        <v>822842.70269317296</v>
      </c>
      <c r="L324">
        <f>[4]AgePivot!L9</f>
        <v>369154.61353154801</v>
      </c>
      <c r="M324">
        <f>[4]AgePivot!M9</f>
        <v>162599.266826762</v>
      </c>
      <c r="N324">
        <f>[4]AgePivot!N9</f>
        <v>14854.907261005499</v>
      </c>
      <c r="O324">
        <f>[4]AgePivot!O9</f>
        <v>45447.414694632098</v>
      </c>
      <c r="P324">
        <f>[4]AgePivot!P9</f>
        <v>16391.890040594</v>
      </c>
    </row>
    <row r="325" spans="1:16" x14ac:dyDescent="0.2">
      <c r="A325" s="3">
        <f t="shared" si="4"/>
        <v>141304641.4564983</v>
      </c>
      <c r="B325">
        <f>[4]AgePivot!B10</f>
        <v>4901555.3697378701</v>
      </c>
      <c r="C325">
        <f>[4]AgePivot!C10</f>
        <v>6880152.20894437</v>
      </c>
      <c r="D325">
        <f>[4]AgePivot!D10</f>
        <v>11747969.221029799</v>
      </c>
      <c r="E325">
        <f>[4]AgePivot!E10</f>
        <v>9240663.5220039897</v>
      </c>
      <c r="F325">
        <f>[4]AgePivot!F10</f>
        <v>55681133.402808003</v>
      </c>
      <c r="G325">
        <f>[4]AgePivot!G10</f>
        <v>14563847.775801999</v>
      </c>
      <c r="H325">
        <f>[4]AgePivot!H10</f>
        <v>13287612.689125899</v>
      </c>
      <c r="I325">
        <f>[4]AgePivot!I10</f>
        <v>5162855.0036796099</v>
      </c>
      <c r="J325">
        <f>[4]AgePivot!J10</f>
        <v>16110202.947726</v>
      </c>
      <c r="K325">
        <f>[4]AgePivot!K10</f>
        <v>2540705.4346674001</v>
      </c>
      <c r="L325">
        <f>[4]AgePivot!L10</f>
        <v>778630.04198421596</v>
      </c>
      <c r="M325">
        <f>[4]AgePivot!M10</f>
        <v>296073.17455559003</v>
      </c>
      <c r="N325">
        <f>[4]AgePivot!N10</f>
        <v>58611.2690307597</v>
      </c>
      <c r="O325">
        <f>[4]AgePivot!O10</f>
        <v>28788.9143305125</v>
      </c>
      <c r="P325">
        <f>[4]AgePivot!P10</f>
        <v>25840.481072242299</v>
      </c>
    </row>
    <row r="326" spans="1:16" x14ac:dyDescent="0.2">
      <c r="A326" s="3">
        <f t="shared" si="4"/>
        <v>234222507.40337566</v>
      </c>
      <c r="B326">
        <f>[4]AgePivot!B11</f>
        <v>15721198.771404</v>
      </c>
      <c r="C326">
        <f>[4]AgePivot!C11</f>
        <v>7773880.3733878797</v>
      </c>
      <c r="D326">
        <f>[4]AgePivot!D11</f>
        <v>24314713.389568001</v>
      </c>
      <c r="E326">
        <f>[4]AgePivot!E11</f>
        <v>47640041.876987197</v>
      </c>
      <c r="F326">
        <f>[4]AgePivot!F11</f>
        <v>20536960.594996601</v>
      </c>
      <c r="G326">
        <f>[4]AgePivot!G11</f>
        <v>63389846.636579201</v>
      </c>
      <c r="H326">
        <f>[4]AgePivot!H11</f>
        <v>16983185.828149699</v>
      </c>
      <c r="I326">
        <f>[4]AgePivot!I11</f>
        <v>12027275.470047601</v>
      </c>
      <c r="J326">
        <f>[4]AgePivot!J11</f>
        <v>6679708.2599200802</v>
      </c>
      <c r="K326">
        <f>[4]AgePivot!K11</f>
        <v>16101297.0007217</v>
      </c>
      <c r="L326">
        <f>[4]AgePivot!L11</f>
        <v>1550733.67231137</v>
      </c>
      <c r="M326">
        <f>[4]AgePivot!M11</f>
        <v>912335.02278566896</v>
      </c>
      <c r="N326">
        <f>[4]AgePivot!N11</f>
        <v>202453.01811591201</v>
      </c>
      <c r="O326">
        <f>[4]AgePivot!O11</f>
        <v>244655.42265212801</v>
      </c>
      <c r="P326">
        <f>[4]AgePivot!P11</f>
        <v>144222.06574863399</v>
      </c>
    </row>
    <row r="327" spans="1:16" x14ac:dyDescent="0.2">
      <c r="A327" s="3">
        <f t="shared" si="4"/>
        <v>208381719.44151616</v>
      </c>
      <c r="B327">
        <f>[4]AgePivot!B12</f>
        <v>9045388.6047476791</v>
      </c>
      <c r="C327">
        <f>[4]AgePivot!C12</f>
        <v>5451633.6812119903</v>
      </c>
      <c r="D327">
        <f>[4]AgePivot!D12</f>
        <v>9594897.4426621906</v>
      </c>
      <c r="E327">
        <f>[4]AgePivot!E12</f>
        <v>30531376.532568101</v>
      </c>
      <c r="F327">
        <f>[4]AgePivot!F12</f>
        <v>67674814.832389399</v>
      </c>
      <c r="G327">
        <f>[4]AgePivot!G12</f>
        <v>12756643.9396702</v>
      </c>
      <c r="H327">
        <f>[4]AgePivot!H12</f>
        <v>45028752.912757799</v>
      </c>
      <c r="I327">
        <f>[4]AgePivot!I12</f>
        <v>6319707.9475059099</v>
      </c>
      <c r="J327">
        <f>[4]AgePivot!J12</f>
        <v>7001089.8469599802</v>
      </c>
      <c r="K327">
        <f>[4]AgePivot!K12</f>
        <v>2617073.29233468</v>
      </c>
      <c r="L327">
        <f>[4]AgePivot!L12</f>
        <v>8197902.3667813996</v>
      </c>
      <c r="M327">
        <f>[4]AgePivot!M12</f>
        <v>1401273.9437043199</v>
      </c>
      <c r="N327">
        <f>[4]AgePivot!N12</f>
        <v>1251940.77439149</v>
      </c>
      <c r="O327">
        <f>[4]AgePivot!O12</f>
        <v>585919.88101755898</v>
      </c>
      <c r="P327">
        <f>[4]AgePivot!P12</f>
        <v>923303.44281343697</v>
      </c>
    </row>
    <row r="328" spans="1:16" x14ac:dyDescent="0.2">
      <c r="A328" s="3">
        <f t="shared" si="4"/>
        <v>218495621.32439271</v>
      </c>
      <c r="B328">
        <f>[4]AgePivot!B13</f>
        <v>22226901.339978199</v>
      </c>
      <c r="C328">
        <f>[4]AgePivot!C13</f>
        <v>2761070.0211067698</v>
      </c>
      <c r="D328">
        <f>[4]AgePivot!D13</f>
        <v>1099600.74022376</v>
      </c>
      <c r="E328">
        <f>[4]AgePivot!E13</f>
        <v>11388230.135009199</v>
      </c>
      <c r="F328">
        <f>[4]AgePivot!F13</f>
        <v>25704041.481396601</v>
      </c>
      <c r="G328">
        <f>[4]AgePivot!G13</f>
        <v>83172249.362636</v>
      </c>
      <c r="H328">
        <f>[4]AgePivot!H13</f>
        <v>15303101.0847276</v>
      </c>
      <c r="I328">
        <f>[4]AgePivot!I13</f>
        <v>36320255.448197402</v>
      </c>
      <c r="J328">
        <f>[4]AgePivot!J13</f>
        <v>3435531.12167911</v>
      </c>
      <c r="K328">
        <f>[4]AgePivot!K13</f>
        <v>5911134.7230660403</v>
      </c>
      <c r="L328">
        <f>[4]AgePivot!L13</f>
        <v>894996.43698955199</v>
      </c>
      <c r="M328">
        <f>[4]AgePivot!M13</f>
        <v>8323377.5776428198</v>
      </c>
      <c r="N328">
        <f>[4]AgePivot!N13</f>
        <v>715854.66766826797</v>
      </c>
      <c r="O328">
        <f>[4]AgePivot!O13</f>
        <v>521652.13180127298</v>
      </c>
      <c r="P328">
        <f>[4]AgePivot!P13</f>
        <v>717625.05227017903</v>
      </c>
    </row>
    <row r="329" spans="1:16" x14ac:dyDescent="0.2">
      <c r="A329" s="3">
        <f t="shared" si="4"/>
        <v>131279642.35950911</v>
      </c>
      <c r="B329">
        <f>[4]AgePivot!B14</f>
        <v>32298906.470859401</v>
      </c>
      <c r="C329">
        <f>[4]AgePivot!C14</f>
        <v>9281835.6580339707</v>
      </c>
      <c r="D329">
        <f>[4]AgePivot!D14</f>
        <v>3572292.7368461001</v>
      </c>
      <c r="E329">
        <f>[4]AgePivot!E14</f>
        <v>1395060.73038829</v>
      </c>
      <c r="F329">
        <f>[4]AgePivot!F14</f>
        <v>9842053.6144254394</v>
      </c>
      <c r="G329">
        <f>[4]AgePivot!G14</f>
        <v>8416663.3948661704</v>
      </c>
      <c r="H329">
        <f>[4]AgePivot!H14</f>
        <v>25137376.3269163</v>
      </c>
      <c r="I329">
        <f>[4]AgePivot!I14</f>
        <v>8746967.2907915991</v>
      </c>
      <c r="J329">
        <f>[4]AgePivot!J14</f>
        <v>16907442.372808799</v>
      </c>
      <c r="K329">
        <f>[4]AgePivot!K14</f>
        <v>4270043.2416153802</v>
      </c>
      <c r="L329">
        <f>[4]AgePivot!L14</f>
        <v>5703730.4564042399</v>
      </c>
      <c r="M329">
        <f>[4]AgePivot!M14</f>
        <v>1169580.36659461</v>
      </c>
      <c r="N329">
        <f>[4]AgePivot!N14</f>
        <v>3425863.3494066298</v>
      </c>
      <c r="O329">
        <f>[4]AgePivot!O14</f>
        <v>520338.50319596799</v>
      </c>
      <c r="P329">
        <f>[4]AgePivot!P14</f>
        <v>591487.84635620401</v>
      </c>
    </row>
    <row r="330" spans="1:16" x14ac:dyDescent="0.2">
      <c r="A330" s="3">
        <f t="shared" si="4"/>
        <v>108615463.06848696</v>
      </c>
      <c r="B330">
        <f>[4]AgePivot!B15</f>
        <v>15591259.426588001</v>
      </c>
      <c r="C330">
        <f>[4]AgePivot!C15</f>
        <v>4378480.4942384697</v>
      </c>
      <c r="D330">
        <f>[4]AgePivot!D15</f>
        <v>29295026.226430099</v>
      </c>
      <c r="E330">
        <f>[4]AgePivot!E15</f>
        <v>4359981.4623811096</v>
      </c>
      <c r="F330">
        <f>[4]AgePivot!F15</f>
        <v>5255429.7008017804</v>
      </c>
      <c r="G330">
        <f>[4]AgePivot!G15</f>
        <v>8508346.0315588899</v>
      </c>
      <c r="H330">
        <f>[4]AgePivot!H15</f>
        <v>7572848.9479585998</v>
      </c>
      <c r="I330">
        <f>[4]AgePivot!I15</f>
        <v>10551672.652462499</v>
      </c>
      <c r="J330">
        <f>[4]AgePivot!J15</f>
        <v>4535727.8979380298</v>
      </c>
      <c r="K330">
        <f>[4]AgePivot!K15</f>
        <v>8386234.0295318896</v>
      </c>
      <c r="L330">
        <f>[4]AgePivot!L15</f>
        <v>2888373.70759671</v>
      </c>
      <c r="M330">
        <f>[4]AgePivot!M15</f>
        <v>3589960.4741604999</v>
      </c>
      <c r="N330">
        <f>[4]AgePivot!N15</f>
        <v>1531445.39050912</v>
      </c>
      <c r="O330">
        <f>[4]AgePivot!O15</f>
        <v>1205642.2433025001</v>
      </c>
      <c r="P330">
        <f>[4]AgePivot!P15</f>
        <v>965034.38302876102</v>
      </c>
    </row>
    <row r="331" spans="1:16" x14ac:dyDescent="0.2">
      <c r="A331" s="3">
        <f t="shared" si="4"/>
        <v>143648646.09666023</v>
      </c>
      <c r="B331">
        <f>[4]AgePivot!B16</f>
        <v>26831974.6102711</v>
      </c>
      <c r="C331">
        <f>[4]AgePivot!C16</f>
        <v>4429513.8794717202</v>
      </c>
      <c r="D331">
        <f>[4]AgePivot!D16</f>
        <v>11510462.076905999</v>
      </c>
      <c r="E331">
        <f>[4]AgePivot!E16</f>
        <v>51257439.304945402</v>
      </c>
      <c r="F331">
        <f>[4]AgePivot!F16</f>
        <v>10664547.7264967</v>
      </c>
      <c r="G331">
        <f>[4]AgePivot!G16</f>
        <v>8107782.7725243503</v>
      </c>
      <c r="H331">
        <f>[4]AgePivot!H16</f>
        <v>4050373.3913167398</v>
      </c>
      <c r="I331">
        <f>[4]AgePivot!I16</f>
        <v>5309957.1690487396</v>
      </c>
      <c r="J331">
        <f>[4]AgePivot!J16</f>
        <v>6725902.1948124003</v>
      </c>
      <c r="K331">
        <f>[4]AgePivot!K16</f>
        <v>4106511.7787757302</v>
      </c>
      <c r="L331">
        <f>[4]AgePivot!L16</f>
        <v>3551802.9271184602</v>
      </c>
      <c r="M331">
        <f>[4]AgePivot!M16</f>
        <v>2575157.6192721799</v>
      </c>
      <c r="N331">
        <f>[4]AgePivot!N16</f>
        <v>2052403.6914488501</v>
      </c>
      <c r="O331">
        <f>[4]AgePivot!O16</f>
        <v>1119582.2717689399</v>
      </c>
      <c r="P331">
        <f>[4]AgePivot!P16</f>
        <v>1355234.6824829299</v>
      </c>
    </row>
    <row r="332" spans="1:16" x14ac:dyDescent="0.2">
      <c r="A332" s="3">
        <f t="shared" si="4"/>
        <v>138622862.57325679</v>
      </c>
      <c r="B332">
        <f>[4]AgePivot!B17</f>
        <v>16300489.777956201</v>
      </c>
      <c r="C332">
        <f>[4]AgePivot!C17</f>
        <v>7250175.2155914595</v>
      </c>
      <c r="D332">
        <f>[4]AgePivot!D17</f>
        <v>5317648.4397865999</v>
      </c>
      <c r="E332">
        <f>[4]AgePivot!E17</f>
        <v>20643527.026220702</v>
      </c>
      <c r="F332">
        <f>[4]AgePivot!F17</f>
        <v>60111518.859813496</v>
      </c>
      <c r="G332">
        <f>[4]AgePivot!G17</f>
        <v>9773969.6272954494</v>
      </c>
      <c r="H332">
        <f>[4]AgePivot!H17</f>
        <v>2348752.1819104198</v>
      </c>
      <c r="I332">
        <f>[4]AgePivot!I17</f>
        <v>1811381.4285226299</v>
      </c>
      <c r="J332">
        <f>[4]AgePivot!J17</f>
        <v>1958684.71783979</v>
      </c>
      <c r="K332">
        <f>[4]AgePivot!K17</f>
        <v>3618517.6721605398</v>
      </c>
      <c r="L332">
        <f>[4]AgePivot!L17</f>
        <v>2207971.9705289998</v>
      </c>
      <c r="M332">
        <f>[4]AgePivot!M17</f>
        <v>3053850.8750358801</v>
      </c>
      <c r="N332">
        <f>[4]AgePivot!N17</f>
        <v>1164088.73401437</v>
      </c>
      <c r="O332">
        <f>[4]AgePivot!O17</f>
        <v>1141679.36219698</v>
      </c>
      <c r="P332">
        <f>[4]AgePivot!P17</f>
        <v>1920606.6843832801</v>
      </c>
    </row>
    <row r="333" spans="1:16" x14ac:dyDescent="0.2">
      <c r="A333" s="3">
        <f t="shared" si="4"/>
        <v>158010574.17477277</v>
      </c>
      <c r="B333">
        <f>[4]AgePivot!B18</f>
        <v>16172066.368646899</v>
      </c>
      <c r="C333">
        <f>[4]AgePivot!C18</f>
        <v>2163197.37359379</v>
      </c>
      <c r="D333">
        <f>[4]AgePivot!D18</f>
        <v>4766678.9051212799</v>
      </c>
      <c r="E333">
        <f>[4]AgePivot!E18</f>
        <v>20039763.278926302</v>
      </c>
      <c r="F333">
        <f>[4]AgePivot!F18</f>
        <v>29276360.7488763</v>
      </c>
      <c r="G333">
        <f>[4]AgePivot!G18</f>
        <v>51039895.6686645</v>
      </c>
      <c r="H333">
        <f>[4]AgePivot!H18</f>
        <v>18719841.155080602</v>
      </c>
      <c r="I333">
        <f>[4]AgePivot!I18</f>
        <v>4046350.5696561602</v>
      </c>
      <c r="J333">
        <f>[4]AgePivot!J18</f>
        <v>2352040.0368374302</v>
      </c>
      <c r="K333">
        <f>[4]AgePivot!K18</f>
        <v>1480145.77037509</v>
      </c>
      <c r="L333">
        <f>[4]AgePivot!L18</f>
        <v>2718517.3372577298</v>
      </c>
      <c r="M333">
        <f>[4]AgePivot!M18</f>
        <v>1101165.2114808799</v>
      </c>
      <c r="N333">
        <f>[4]AgePivot!N18</f>
        <v>2015442.4733543301</v>
      </c>
      <c r="O333">
        <f>[4]AgePivot!O18</f>
        <v>821290.59729405597</v>
      </c>
      <c r="P333">
        <f>[4]AgePivot!P18</f>
        <v>1297818.6796073599</v>
      </c>
    </row>
    <row r="334" spans="1:16" x14ac:dyDescent="0.2">
      <c r="A334" s="3">
        <f t="shared" si="4"/>
        <v>80360578.898066387</v>
      </c>
      <c r="B334">
        <f>[4]AgePivot!B19</f>
        <v>19509804.105760399</v>
      </c>
      <c r="C334">
        <f>[4]AgePivot!C19</f>
        <v>4281948.5403038496</v>
      </c>
      <c r="D334">
        <f>[4]AgePivot!D19</f>
        <v>1998104.7281460401</v>
      </c>
      <c r="E334">
        <f>[4]AgePivot!E19</f>
        <v>4089532.3444474102</v>
      </c>
      <c r="F334">
        <f>[4]AgePivot!F19</f>
        <v>11371114.7943142</v>
      </c>
      <c r="G334">
        <f>[4]AgePivot!G19</f>
        <v>15092896.2063554</v>
      </c>
      <c r="H334">
        <f>[4]AgePivot!H19</f>
        <v>12896445.395454099</v>
      </c>
      <c r="I334">
        <f>[4]AgePivot!I19</f>
        <v>4250633.7937668702</v>
      </c>
      <c r="J334">
        <f>[4]AgePivot!J19</f>
        <v>1028539.25664889</v>
      </c>
      <c r="K334">
        <f>[4]AgePivot!K19</f>
        <v>1113077.0861783801</v>
      </c>
      <c r="L334">
        <f>[4]AgePivot!L19</f>
        <v>743345.21833838103</v>
      </c>
      <c r="M334">
        <f>[4]AgePivot!M19</f>
        <v>1420222.4410808899</v>
      </c>
      <c r="N334">
        <f>[4]AgePivot!N19</f>
        <v>476942.76704130298</v>
      </c>
      <c r="O334">
        <f>[4]AgePivot!O19</f>
        <v>854141.71838997304</v>
      </c>
      <c r="P334">
        <f>[4]AgePivot!P19</f>
        <v>1233830.50184033</v>
      </c>
    </row>
    <row r="335" spans="1:16" x14ac:dyDescent="0.2">
      <c r="A335" s="3">
        <f t="shared" si="4"/>
        <v>103374330.21230976</v>
      </c>
      <c r="B335">
        <f>[4]AgePivot!B20</f>
        <v>23321877.3434094</v>
      </c>
      <c r="C335">
        <f>[4]AgePivot!C20</f>
        <v>4056464.3823756501</v>
      </c>
      <c r="D335">
        <f>[4]AgePivot!D20</f>
        <v>2202758.2367957602</v>
      </c>
      <c r="E335">
        <f>[4]AgePivot!E20</f>
        <v>2686353.9522297699</v>
      </c>
      <c r="F335">
        <f>[4]AgePivot!F20</f>
        <v>30780660.999782801</v>
      </c>
      <c r="G335">
        <f>[4]AgePivot!G20</f>
        <v>14116880.0314743</v>
      </c>
      <c r="H335">
        <f>[4]AgePivot!H20</f>
        <v>8291227.9427613104</v>
      </c>
      <c r="I335">
        <f>[4]AgePivot!I20</f>
        <v>10663663.6272281</v>
      </c>
      <c r="J335">
        <f>[4]AgePivot!J20</f>
        <v>1842194.98407276</v>
      </c>
      <c r="K335">
        <f>[4]AgePivot!K20</f>
        <v>927184.348024962</v>
      </c>
      <c r="L335">
        <f>[4]AgePivot!L20</f>
        <v>672693.77803286596</v>
      </c>
      <c r="M335">
        <f>[4]AgePivot!M20</f>
        <v>721163.06993338303</v>
      </c>
      <c r="N335">
        <f>[4]AgePivot!N20</f>
        <v>1228555.8871690501</v>
      </c>
      <c r="O335">
        <f>[4]AgePivot!O20</f>
        <v>393507.46871618403</v>
      </c>
      <c r="P335">
        <f>[4]AgePivot!P20</f>
        <v>1469144.16030345</v>
      </c>
    </row>
    <row r="336" spans="1:16" x14ac:dyDescent="0.2">
      <c r="A336" s="3">
        <f t="shared" si="4"/>
        <v>77261254.256069899</v>
      </c>
      <c r="B336">
        <f>[4]AgePivot!B21</f>
        <v>8710506.4689419605</v>
      </c>
      <c r="C336">
        <f>[4]AgePivot!C21</f>
        <v>6882750.6966391597</v>
      </c>
      <c r="D336">
        <f>[4]AgePivot!D21</f>
        <v>3709754.0406653499</v>
      </c>
      <c r="E336">
        <f>[4]AgePivot!E21</f>
        <v>2666862.7499272702</v>
      </c>
      <c r="F336">
        <f>[4]AgePivot!F21</f>
        <v>5566325.4217639398</v>
      </c>
      <c r="G336">
        <f>[4]AgePivot!G21</f>
        <v>30576666.713327002</v>
      </c>
      <c r="H336">
        <f>[4]AgePivot!H21</f>
        <v>7836743.3349238504</v>
      </c>
      <c r="I336">
        <f>[4]AgePivot!I21</f>
        <v>4743927.8398363004</v>
      </c>
      <c r="J336">
        <f>[4]AgePivot!J21</f>
        <v>3602094.2299219999</v>
      </c>
      <c r="K336">
        <f>[4]AgePivot!K21</f>
        <v>925925.35893913906</v>
      </c>
      <c r="L336">
        <f>[4]AgePivot!L21</f>
        <v>408505.21903899102</v>
      </c>
      <c r="M336">
        <f>[4]AgePivot!M21</f>
        <v>139881.58138303799</v>
      </c>
      <c r="N336">
        <f>[4]AgePivot!N21</f>
        <v>318779.54769731098</v>
      </c>
      <c r="O336">
        <f>[4]AgePivot!O21</f>
        <v>343422.18595558999</v>
      </c>
      <c r="P336">
        <f>[4]AgePivot!P21</f>
        <v>829108.867109015</v>
      </c>
    </row>
    <row r="337" spans="1:16" x14ac:dyDescent="0.2">
      <c r="A337" s="3">
        <f t="shared" si="4"/>
        <v>113237815.06085469</v>
      </c>
      <c r="B337">
        <f>[4]AgePivot!B22</f>
        <v>9913042.8278842792</v>
      </c>
      <c r="C337">
        <f>[4]AgePivot!C22</f>
        <v>11126238.6498603</v>
      </c>
      <c r="D337">
        <f>[4]AgePivot!D22</f>
        <v>12972902.585498599</v>
      </c>
      <c r="E337">
        <f>[4]AgePivot!E22</f>
        <v>12336593.098128799</v>
      </c>
      <c r="F337">
        <f>[4]AgePivot!F22</f>
        <v>6847299.0044815801</v>
      </c>
      <c r="G337">
        <f>[4]AgePivot!G22</f>
        <v>12601727.5695299</v>
      </c>
      <c r="H337">
        <f>[4]AgePivot!H22</f>
        <v>29493827.843818601</v>
      </c>
      <c r="I337">
        <f>[4]AgePivot!I22</f>
        <v>7567610.20581723</v>
      </c>
      <c r="J337">
        <f>[4]AgePivot!J22</f>
        <v>3601764.58767197</v>
      </c>
      <c r="K337">
        <f>[4]AgePivot!K22</f>
        <v>3327253.2671153499</v>
      </c>
      <c r="L337">
        <f>[4]AgePivot!L22</f>
        <v>1243839.98288019</v>
      </c>
      <c r="M337">
        <f>[4]AgePivot!M22</f>
        <v>527149.87480245903</v>
      </c>
      <c r="N337">
        <f>[4]AgePivot!N22</f>
        <v>215165.87303322001</v>
      </c>
      <c r="O337">
        <f>[4]AgePivot!O22</f>
        <v>318112.05139490601</v>
      </c>
      <c r="P337">
        <f>[4]AgePivot!P22</f>
        <v>1145287.6389373101</v>
      </c>
    </row>
    <row r="338" spans="1:16" x14ac:dyDescent="0.2">
      <c r="A338" s="3">
        <f t="shared" si="4"/>
        <v>137086751.92089966</v>
      </c>
      <c r="B338">
        <f>[4]AgePivot!B23</f>
        <v>10448664.909940099</v>
      </c>
      <c r="C338">
        <f>[4]AgePivot!C23</f>
        <v>3755297.9228753801</v>
      </c>
      <c r="D338">
        <f>[4]AgePivot!D23</f>
        <v>6910062.9679343598</v>
      </c>
      <c r="E338">
        <f>[4]AgePivot!E23</f>
        <v>21500309.211034302</v>
      </c>
      <c r="F338">
        <f>[4]AgePivot!F23</f>
        <v>21595549.185668699</v>
      </c>
      <c r="G338">
        <f>[4]AgePivot!G23</f>
        <v>11989499.150025999</v>
      </c>
      <c r="H338">
        <f>[4]AgePivot!H23</f>
        <v>9536075.9681254998</v>
      </c>
      <c r="I338">
        <f>[4]AgePivot!I23</f>
        <v>28947090.606250301</v>
      </c>
      <c r="J338">
        <f>[4]AgePivot!J23</f>
        <v>10961417.662543399</v>
      </c>
      <c r="K338">
        <f>[4]AgePivot!K23</f>
        <v>5720885.0075573102</v>
      </c>
      <c r="L338">
        <f>[4]AgePivot!L23</f>
        <v>2449524.0860186098</v>
      </c>
      <c r="M338">
        <f>[4]AgePivot!M23</f>
        <v>1568135.3122624201</v>
      </c>
      <c r="N338">
        <f>[4]AgePivot!N23</f>
        <v>491503.26319998002</v>
      </c>
      <c r="O338">
        <f>[4]AgePivot!O23</f>
        <v>222767.51548373699</v>
      </c>
      <c r="P338">
        <f>[4]AgePivot!P23</f>
        <v>989969.15197956399</v>
      </c>
    </row>
    <row r="339" spans="1:16" x14ac:dyDescent="0.2">
      <c r="A339" s="3">
        <f t="shared" si="4"/>
        <v>113813148.27946907</v>
      </c>
      <c r="B339">
        <f>[4]AgePivot!B24</f>
        <v>19866054.300051302</v>
      </c>
      <c r="C339">
        <f>[4]AgePivot!C24</f>
        <v>12222795.744160499</v>
      </c>
      <c r="D339">
        <f>[4]AgePivot!D24</f>
        <v>7257354.2739721099</v>
      </c>
      <c r="E339">
        <f>[4]AgePivot!E24</f>
        <v>7027317.9456200302</v>
      </c>
      <c r="F339">
        <f>[4]AgePivot!F24</f>
        <v>16891582.837152701</v>
      </c>
      <c r="G339">
        <f>[4]AgePivot!G24</f>
        <v>16558361.1551107</v>
      </c>
      <c r="H339">
        <f>[4]AgePivot!H24</f>
        <v>6898437.4829649404</v>
      </c>
      <c r="I339">
        <f>[4]AgePivot!I24</f>
        <v>3352512.3996226201</v>
      </c>
      <c r="J339">
        <f>[4]AgePivot!J24</f>
        <v>9955198.0531046204</v>
      </c>
      <c r="K339">
        <f>[4]AgePivot!K24</f>
        <v>7114905.8515774896</v>
      </c>
      <c r="L339">
        <f>[4]AgePivot!L24</f>
        <v>2710397.2158764298</v>
      </c>
      <c r="M339">
        <f>[4]AgePivot!M24</f>
        <v>2113402.2005417701</v>
      </c>
      <c r="N339">
        <f>[4]AgePivot!N24</f>
        <v>732768.05219698395</v>
      </c>
      <c r="O339">
        <f>[4]AgePivot!O24</f>
        <v>303873.95907754998</v>
      </c>
      <c r="P339">
        <f>[4]AgePivot!P24</f>
        <v>808186.80843930796</v>
      </c>
    </row>
    <row r="340" spans="1:16" x14ac:dyDescent="0.2">
      <c r="A340" s="3">
        <f t="shared" si="4"/>
        <v>109082038.68323191</v>
      </c>
      <c r="B340">
        <f>[4]AgePivot!B25</f>
        <v>13635855.0241549</v>
      </c>
      <c r="C340">
        <f>[4]AgePivot!C25</f>
        <v>3947946.22365927</v>
      </c>
      <c r="D340">
        <f>[4]AgePivot!D25</f>
        <v>7954137.7279658802</v>
      </c>
      <c r="E340">
        <f>[4]AgePivot!E25</f>
        <v>12397079.289259201</v>
      </c>
      <c r="F340">
        <f>[4]AgePivot!F25</f>
        <v>13675553.0055688</v>
      </c>
      <c r="G340">
        <f>[4]AgePivot!G25</f>
        <v>17717869.8007573</v>
      </c>
      <c r="H340">
        <f>[4]AgePivot!H25</f>
        <v>8844064.1329108905</v>
      </c>
      <c r="I340">
        <f>[4]AgePivot!I25</f>
        <v>4275741.9949846901</v>
      </c>
      <c r="J340">
        <f>[4]AgePivot!J25</f>
        <v>5723709.1558822701</v>
      </c>
      <c r="K340">
        <f>[4]AgePivot!K25</f>
        <v>10676031.9783793</v>
      </c>
      <c r="L340">
        <f>[4]AgePivot!L25</f>
        <v>5321374.60991868</v>
      </c>
      <c r="M340">
        <f>[4]AgePivot!M25</f>
        <v>2448024.60246245</v>
      </c>
      <c r="N340">
        <f>[4]AgePivot!N25</f>
        <v>1459013.9871593299</v>
      </c>
      <c r="O340">
        <f>[4]AgePivot!O25</f>
        <v>460654.73594351503</v>
      </c>
      <c r="P340">
        <f>[4]AgePivot!P25</f>
        <v>544982.41422542604</v>
      </c>
    </row>
    <row r="341" spans="1:16" x14ac:dyDescent="0.2">
      <c r="A341" s="3">
        <f t="shared" si="4"/>
        <v>143657734.06970313</v>
      </c>
      <c r="B341">
        <f>[4]AgePivot!B26</f>
        <v>5737576.9603504697</v>
      </c>
      <c r="C341">
        <f>[4]AgePivot!C26</f>
        <v>1659415.14152671</v>
      </c>
      <c r="D341">
        <f>[4]AgePivot!D26</f>
        <v>10661073.541534301</v>
      </c>
      <c r="E341">
        <f>[4]AgePivot!E26</f>
        <v>18279647.401159301</v>
      </c>
      <c r="F341">
        <f>[4]AgePivot!F26</f>
        <v>21598012.6217895</v>
      </c>
      <c r="G341">
        <f>[4]AgePivot!G26</f>
        <v>17999136.579072099</v>
      </c>
      <c r="H341">
        <f>[4]AgePivot!H26</f>
        <v>22581250.933334298</v>
      </c>
      <c r="I341">
        <f>[4]AgePivot!I26</f>
        <v>11663681.3412534</v>
      </c>
      <c r="J341">
        <f>[4]AgePivot!J26</f>
        <v>4860659.6331773102</v>
      </c>
      <c r="K341">
        <f>[4]AgePivot!K26</f>
        <v>6354239.9680312304</v>
      </c>
      <c r="L341">
        <f>[4]AgePivot!L26</f>
        <v>12371856.7544365</v>
      </c>
      <c r="M341">
        <f>[4]AgePivot!M26</f>
        <v>5597357.0957709998</v>
      </c>
      <c r="N341">
        <f>[4]AgePivot!N26</f>
        <v>2320152.2146739098</v>
      </c>
      <c r="O341">
        <f>[4]AgePivot!O26</f>
        <v>954650.86506785802</v>
      </c>
      <c r="P341">
        <f>[4]AgePivot!P26</f>
        <v>1019023.01852526</v>
      </c>
    </row>
    <row r="342" spans="1:16" x14ac:dyDescent="0.2">
      <c r="A342" s="3">
        <f t="shared" si="4"/>
        <v>80196992.789232463</v>
      </c>
      <c r="B342">
        <f>[4]AgePivot!B27</f>
        <v>3971309.62755587</v>
      </c>
      <c r="C342">
        <f>[4]AgePivot!C27</f>
        <v>2661212.6778871301</v>
      </c>
      <c r="D342">
        <f>[4]AgePivot!D27</f>
        <v>1887508.09233705</v>
      </c>
      <c r="E342">
        <f>[4]AgePivot!E27</f>
        <v>16144529.582410499</v>
      </c>
      <c r="F342">
        <f>[4]AgePivot!F27</f>
        <v>15888686.0489542</v>
      </c>
      <c r="G342">
        <f>[4]AgePivot!G27</f>
        <v>11776407.943177801</v>
      </c>
      <c r="H342">
        <f>[4]AgePivot!H27</f>
        <v>6574297.3892349899</v>
      </c>
      <c r="I342">
        <f>[4]AgePivot!I27</f>
        <v>6943471.4836398</v>
      </c>
      <c r="J342">
        <f>[4]AgePivot!J27</f>
        <v>3435546.6641396699</v>
      </c>
      <c r="K342">
        <f>[4]AgePivot!K27</f>
        <v>2168119.4423035202</v>
      </c>
      <c r="L342">
        <f>[4]AgePivot!L27</f>
        <v>2169458.4559832001</v>
      </c>
      <c r="M342">
        <f>[4]AgePivot!M27</f>
        <v>3976304.1876008501</v>
      </c>
      <c r="N342">
        <f>[4]AgePivot!N27</f>
        <v>1762489.4983145399</v>
      </c>
      <c r="O342">
        <f>[4]AgePivot!O27</f>
        <v>455624.56642578501</v>
      </c>
      <c r="P342">
        <f>[4]AgePivot!P27</f>
        <v>382027.12926753698</v>
      </c>
    </row>
    <row r="343" spans="1:16" x14ac:dyDescent="0.2">
      <c r="A343" s="3">
        <f t="shared" si="4"/>
        <v>102667092.58335477</v>
      </c>
      <c r="B343">
        <f>[4]AgePivot!B28</f>
        <v>4008208.1618505502</v>
      </c>
      <c r="C343">
        <f>[4]AgePivot!C28</f>
        <v>1475001.81060437</v>
      </c>
      <c r="D343">
        <f>[4]AgePivot!D28</f>
        <v>2199280.00870999</v>
      </c>
      <c r="E343">
        <f>[4]AgePivot!E28</f>
        <v>11044908.8662399</v>
      </c>
      <c r="F343">
        <f>[4]AgePivot!F28</f>
        <v>32386920.078519501</v>
      </c>
      <c r="G343">
        <f>[4]AgePivot!G28</f>
        <v>21787234.569160901</v>
      </c>
      <c r="H343">
        <f>[4]AgePivot!H28</f>
        <v>11405131.1795658</v>
      </c>
      <c r="I343">
        <f>[4]AgePivot!I28</f>
        <v>4548673.9516830603</v>
      </c>
      <c r="J343">
        <f>[4]AgePivot!J28</f>
        <v>3869508.8158726399</v>
      </c>
      <c r="K343">
        <f>[4]AgePivot!K28</f>
        <v>2702438.7559021199</v>
      </c>
      <c r="L343">
        <f>[4]AgePivot!L28</f>
        <v>783657.36676774896</v>
      </c>
      <c r="M343">
        <f>[4]AgePivot!M28</f>
        <v>1600063.57859671</v>
      </c>
      <c r="N343">
        <f>[4]AgePivot!N28</f>
        <v>2656970.6679108501</v>
      </c>
      <c r="O343">
        <f>[4]AgePivot!O28</f>
        <v>1055675.4212175901</v>
      </c>
      <c r="P343">
        <f>[4]AgePivot!P28</f>
        <v>1143419.3507530401</v>
      </c>
    </row>
    <row r="344" spans="1:16" x14ac:dyDescent="0.2">
      <c r="A344" s="3">
        <f t="shared" si="4"/>
        <v>69075835.449521601</v>
      </c>
      <c r="B344">
        <f>[4]AgePivot!B29</f>
        <v>8156013.5150606399</v>
      </c>
      <c r="C344">
        <f>[4]AgePivot!C29</f>
        <v>754624.10763693601</v>
      </c>
      <c r="D344">
        <f>[4]AgePivot!D29</f>
        <v>1134938.14698683</v>
      </c>
      <c r="E344">
        <f>[4]AgePivot!E29</f>
        <v>5185575.9325116798</v>
      </c>
      <c r="F344">
        <f>[4]AgePivot!F29</f>
        <v>13999692.682987301</v>
      </c>
      <c r="G344">
        <f>[4]AgePivot!G29</f>
        <v>16450247.714172799</v>
      </c>
      <c r="H344">
        <f>[4]AgePivot!H29</f>
        <v>9665799.2949382793</v>
      </c>
      <c r="I344">
        <f>[4]AgePivot!I29</f>
        <v>4401420.8653991101</v>
      </c>
      <c r="J344">
        <f>[4]AgePivot!J29</f>
        <v>2443650.57789393</v>
      </c>
      <c r="K344">
        <f>[4]AgePivot!K29</f>
        <v>2038641.1422488501</v>
      </c>
      <c r="L344">
        <f>[4]AgePivot!L29</f>
        <v>980045.78562935104</v>
      </c>
      <c r="M344">
        <f>[4]AgePivot!M29</f>
        <v>608058.18328810798</v>
      </c>
      <c r="N344">
        <f>[4]AgePivot!N29</f>
        <v>872189.86522274103</v>
      </c>
      <c r="O344">
        <f>[4]AgePivot!O29</f>
        <v>1175750.7828141199</v>
      </c>
      <c r="P344">
        <f>[4]AgePivot!P29</f>
        <v>1209186.8527309301</v>
      </c>
    </row>
    <row r="345" spans="1:16" x14ac:dyDescent="0.2">
      <c r="A345" s="3">
        <f t="shared" si="4"/>
        <v>126252241.69947773</v>
      </c>
      <c r="B345">
        <f>[4]AgePivot!B30</f>
        <v>27341965.702982198</v>
      </c>
      <c r="C345">
        <f>[4]AgePivot!C30</f>
        <v>678019.34163620695</v>
      </c>
      <c r="D345">
        <f>[4]AgePivot!D30</f>
        <v>2210945.20084331</v>
      </c>
      <c r="E345">
        <f>[4]AgePivot!E30</f>
        <v>7071104.0355054997</v>
      </c>
      <c r="F345">
        <f>[4]AgePivot!F30</f>
        <v>22182197.296949901</v>
      </c>
      <c r="G345">
        <f>[4]AgePivot!G30</f>
        <v>25081372.686613198</v>
      </c>
      <c r="H345">
        <f>[4]AgePivot!H30</f>
        <v>16726703.7793504</v>
      </c>
      <c r="I345">
        <f>[4]AgePivot!I30</f>
        <v>11659449.888640299</v>
      </c>
      <c r="J345">
        <f>[4]AgePivot!J30</f>
        <v>4624081.6520319199</v>
      </c>
      <c r="K345">
        <f>[4]AgePivot!K30</f>
        <v>1983255.7167177999</v>
      </c>
      <c r="L345">
        <f>[4]AgePivot!L30</f>
        <v>1738549.0849266599</v>
      </c>
      <c r="M345">
        <f>[4]AgePivot!M30</f>
        <v>1572777.6262042001</v>
      </c>
      <c r="N345">
        <f>[4]AgePivot!N30</f>
        <v>717016.20181457698</v>
      </c>
      <c r="O345">
        <f>[4]AgePivot!O30</f>
        <v>868156.31496002001</v>
      </c>
      <c r="P345">
        <f>[4]AgePivot!P30</f>
        <v>1796647.1703015601</v>
      </c>
    </row>
    <row r="346" spans="1:16" x14ac:dyDescent="0.2">
      <c r="A346" s="3">
        <f t="shared" si="4"/>
        <v>62380885.536114708</v>
      </c>
      <c r="B346">
        <f>[4]AgePivot!B31</f>
        <v>5026908.8713395502</v>
      </c>
      <c r="C346">
        <f>[4]AgePivot!C31</f>
        <v>1229266.3225861499</v>
      </c>
      <c r="D346">
        <f>[4]AgePivot!D31</f>
        <v>1364744.5919717599</v>
      </c>
      <c r="E346">
        <f>[4]AgePivot!E31</f>
        <v>2640640.5453404202</v>
      </c>
      <c r="F346">
        <f>[4]AgePivot!F31</f>
        <v>7836966.4632843398</v>
      </c>
      <c r="G346">
        <f>[4]AgePivot!G31</f>
        <v>15530947.6455134</v>
      </c>
      <c r="H346">
        <f>[4]AgePivot!H31</f>
        <v>11319399.2877752</v>
      </c>
      <c r="I346">
        <f>[4]AgePivot!I31</f>
        <v>7076204.9498563902</v>
      </c>
      <c r="J346">
        <f>[4]AgePivot!J31</f>
        <v>4305625.6203512195</v>
      </c>
      <c r="K346">
        <f>[4]AgePivot!K31</f>
        <v>1564026.58414144</v>
      </c>
      <c r="L346">
        <f>[4]AgePivot!L31</f>
        <v>1276787.5681260601</v>
      </c>
      <c r="M346">
        <f>[4]AgePivot!M31</f>
        <v>957687.31968934904</v>
      </c>
      <c r="N346">
        <f>[4]AgePivot!N31</f>
        <v>434243.23231427401</v>
      </c>
      <c r="O346">
        <f>[4]AgePivot!O31</f>
        <v>240823.91182167901</v>
      </c>
      <c r="P346">
        <f>[4]AgePivot!P31</f>
        <v>1576612.6220034801</v>
      </c>
    </row>
    <row r="347" spans="1:16" x14ac:dyDescent="0.2">
      <c r="A347" s="3">
        <f t="shared" si="4"/>
        <v>48953417.996340752</v>
      </c>
      <c r="B347">
        <f>[4]AgePivot!B32</f>
        <v>8423248.11151544</v>
      </c>
      <c r="C347">
        <f>[4]AgePivot!C32</f>
        <v>2107005.9911137298</v>
      </c>
      <c r="D347">
        <f>[4]AgePivot!D32</f>
        <v>4331186.1366522899</v>
      </c>
      <c r="E347">
        <f>[4]AgePivot!E32</f>
        <v>4899554.0494928798</v>
      </c>
      <c r="F347">
        <f>[4]AgePivot!F32</f>
        <v>3323841.6469736798</v>
      </c>
      <c r="G347">
        <f>[4]AgePivot!G32</f>
        <v>5015183.0561546199</v>
      </c>
      <c r="H347">
        <f>[4]AgePivot!H32</f>
        <v>7082004.0262393197</v>
      </c>
      <c r="I347">
        <f>[4]AgePivot!I32</f>
        <v>5383262.17195589</v>
      </c>
      <c r="J347">
        <f>[4]AgePivot!J32</f>
        <v>3854987.4527946599</v>
      </c>
      <c r="K347">
        <f>[4]AgePivot!K32</f>
        <v>1755691.0759548401</v>
      </c>
      <c r="L347">
        <f>[4]AgePivot!L32</f>
        <v>1104478.0272613401</v>
      </c>
      <c r="M347">
        <f>[4]AgePivot!M32</f>
        <v>349907.79894612997</v>
      </c>
      <c r="N347">
        <f>[4]AgePivot!N32</f>
        <v>351756.23707183398</v>
      </c>
      <c r="O347">
        <f>[4]AgePivot!O32</f>
        <v>181366.954581706</v>
      </c>
      <c r="P347">
        <f>[4]AgePivot!P32</f>
        <v>789945.259632395</v>
      </c>
    </row>
    <row r="348" spans="1:16" x14ac:dyDescent="0.2">
      <c r="A348" s="3">
        <f t="shared" si="4"/>
        <v>89604418.658050537</v>
      </c>
      <c r="B348">
        <f>[4]AgePivot!B33</f>
        <v>4800589.2047151998</v>
      </c>
      <c r="C348">
        <f>[4]AgePivot!C33</f>
        <v>1346455.9479759</v>
      </c>
      <c r="D348">
        <f>[4]AgePivot!D33</f>
        <v>3047328.7974732001</v>
      </c>
      <c r="E348">
        <f>[4]AgePivot!E33</f>
        <v>40506328.7463082</v>
      </c>
      <c r="F348">
        <f>[4]AgePivot!F33</f>
        <v>16685255.9173296</v>
      </c>
      <c r="G348">
        <f>[4]AgePivot!G33</f>
        <v>4685657.7252336396</v>
      </c>
      <c r="H348">
        <f>[4]AgePivot!H33</f>
        <v>3743015.8592007798</v>
      </c>
      <c r="I348">
        <f>[4]AgePivot!I33</f>
        <v>3828855.5389574901</v>
      </c>
      <c r="J348">
        <f>[4]AgePivot!J33</f>
        <v>3837498.5177275701</v>
      </c>
      <c r="K348">
        <f>[4]AgePivot!K33</f>
        <v>2628770.46325295</v>
      </c>
      <c r="L348">
        <f>[4]AgePivot!L33</f>
        <v>2237314.9572140998</v>
      </c>
      <c r="M348">
        <f>[4]AgePivot!M33</f>
        <v>814166.58570419496</v>
      </c>
      <c r="N348">
        <f>[4]AgePivot!N33</f>
        <v>486345.64947945898</v>
      </c>
      <c r="O348">
        <f>[4]AgePivot!O33</f>
        <v>287861.44588856702</v>
      </c>
      <c r="P348">
        <f>[4]AgePivot!P33</f>
        <v>668973.30158970505</v>
      </c>
    </row>
    <row r="349" spans="1:16" x14ac:dyDescent="0.2">
      <c r="A349" s="3">
        <f t="shared" si="4"/>
        <v>68873173.35258615</v>
      </c>
      <c r="B349">
        <f>[4]AgePivot!B34</f>
        <v>12920051.508882601</v>
      </c>
      <c r="C349">
        <f>[4]AgePivot!C34</f>
        <v>1361769.3920551599</v>
      </c>
      <c r="D349">
        <f>[4]AgePivot!D34</f>
        <v>3424695.7372248201</v>
      </c>
      <c r="E349">
        <f>[4]AgePivot!E34</f>
        <v>4262527.4090895299</v>
      </c>
      <c r="F349">
        <f>[4]AgePivot!F34</f>
        <v>21528083.6556524</v>
      </c>
      <c r="G349">
        <f>[4]AgePivot!G34</f>
        <v>10427647.841868101</v>
      </c>
      <c r="H349">
        <f>[4]AgePivot!H34</f>
        <v>2948261.1325651398</v>
      </c>
      <c r="I349">
        <f>[4]AgePivot!I34</f>
        <v>1604116.7676845901</v>
      </c>
      <c r="J349">
        <f>[4]AgePivot!J34</f>
        <v>2434947.2187868701</v>
      </c>
      <c r="K349">
        <f>[4]AgePivot!K34</f>
        <v>2401882.8689918602</v>
      </c>
      <c r="L349">
        <f>[4]AgePivot!L34</f>
        <v>2041112.0477622501</v>
      </c>
      <c r="M349">
        <f>[4]AgePivot!M34</f>
        <v>1565454.61985208</v>
      </c>
      <c r="N349">
        <f>[4]AgePivot!N34</f>
        <v>683836.27698566497</v>
      </c>
      <c r="O349">
        <f>[4]AgePivot!O34</f>
        <v>323576.92302449298</v>
      </c>
      <c r="P349">
        <f>[4]AgePivot!P34</f>
        <v>945209.95216057601</v>
      </c>
    </row>
    <row r="350" spans="1:16" x14ac:dyDescent="0.2">
      <c r="A350" s="3">
        <f t="shared" si="4"/>
        <v>99885084.180114403</v>
      </c>
      <c r="B350">
        <f>[4]AgePivot!B35</f>
        <v>12972591.788060199</v>
      </c>
      <c r="C350">
        <f>[4]AgePivot!C35</f>
        <v>2087692.16509478</v>
      </c>
      <c r="D350">
        <f>[4]AgePivot!D35</f>
        <v>4934353.7152756304</v>
      </c>
      <c r="E350">
        <f>[4]AgePivot!E35</f>
        <v>42492643.243836798</v>
      </c>
      <c r="F350">
        <f>[4]AgePivot!F35</f>
        <v>9645034.8595365491</v>
      </c>
      <c r="G350">
        <f>[4]AgePivot!G35</f>
        <v>14441576.410553699</v>
      </c>
      <c r="H350">
        <f>[4]AgePivot!H35</f>
        <v>4585875.8293913901</v>
      </c>
      <c r="I350">
        <f>[4]AgePivot!I35</f>
        <v>1717604.0593898699</v>
      </c>
      <c r="J350">
        <f>[4]AgePivot!J35</f>
        <v>1146282.599315</v>
      </c>
      <c r="K350">
        <f>[4]AgePivot!K35</f>
        <v>1574203.58214513</v>
      </c>
      <c r="L350">
        <f>[4]AgePivot!L35</f>
        <v>1266093.15511427</v>
      </c>
      <c r="M350">
        <f>[4]AgePivot!M35</f>
        <v>1095238.55019785</v>
      </c>
      <c r="N350">
        <f>[4]AgePivot!N35</f>
        <v>943797.94922364596</v>
      </c>
      <c r="O350">
        <f>[4]AgePivot!O35</f>
        <v>339095.225926149</v>
      </c>
      <c r="P350">
        <f>[4]AgePivot!P35</f>
        <v>643001.04705343803</v>
      </c>
    </row>
    <row r="351" spans="1:16" x14ac:dyDescent="0.2">
      <c r="A351" s="3">
        <f t="shared" si="4"/>
        <v>110242566.37373368</v>
      </c>
      <c r="B351">
        <f>[4]AgePivot!B36</f>
        <v>12516351.138061</v>
      </c>
      <c r="C351">
        <f>[4]AgePivot!C36</f>
        <v>1331414.6955716801</v>
      </c>
      <c r="D351">
        <f>[4]AgePivot!D36</f>
        <v>2719135.0689647798</v>
      </c>
      <c r="E351">
        <f>[4]AgePivot!E36</f>
        <v>11312127.922041601</v>
      </c>
      <c r="F351">
        <f>[4]AgePivot!F36</f>
        <v>54588377.210021503</v>
      </c>
      <c r="G351">
        <f>[4]AgePivot!G36</f>
        <v>12315141.3228873</v>
      </c>
      <c r="H351">
        <f>[4]AgePivot!H36</f>
        <v>7509078.6865230203</v>
      </c>
      <c r="I351">
        <f>[4]AgePivot!I36</f>
        <v>2626977.4553217799</v>
      </c>
      <c r="J351">
        <f>[4]AgePivot!J36</f>
        <v>889696.516048764</v>
      </c>
      <c r="K351">
        <f>[4]AgePivot!K36</f>
        <v>795045.41157902498</v>
      </c>
      <c r="L351">
        <f>[4]AgePivot!L36</f>
        <v>1044107.47463349</v>
      </c>
      <c r="M351">
        <f>[4]AgePivot!M36</f>
        <v>791614.44890202605</v>
      </c>
      <c r="N351">
        <f>[4]AgePivot!N36</f>
        <v>761609.53676321497</v>
      </c>
      <c r="O351">
        <f>[4]AgePivot!O36</f>
        <v>436128.54011752998</v>
      </c>
      <c r="P351">
        <f>[4]AgePivot!P36</f>
        <v>605760.94629696896</v>
      </c>
    </row>
    <row r="352" spans="1:16" x14ac:dyDescent="0.2">
      <c r="A352" s="3">
        <f t="shared" si="4"/>
        <v>194861149.54441056</v>
      </c>
      <c r="B352">
        <f>[4]AgePivot!B37</f>
        <v>25378686.143507101</v>
      </c>
      <c r="C352">
        <f>[4]AgePivot!C37</f>
        <v>4876512.2683694996</v>
      </c>
      <c r="D352">
        <f>[4]AgePivot!D37</f>
        <v>2785092.37422011</v>
      </c>
      <c r="E352">
        <f>[4]AgePivot!E37</f>
        <v>4941127.8173848204</v>
      </c>
      <c r="F352">
        <f>[4]AgePivot!F37</f>
        <v>22998938.763282102</v>
      </c>
      <c r="G352">
        <f>[4]AgePivot!G37</f>
        <v>77482489.417188898</v>
      </c>
      <c r="H352">
        <f>[4]AgePivot!H37</f>
        <v>38209563.5122995</v>
      </c>
      <c r="I352">
        <f>[4]AgePivot!I37</f>
        <v>8022328.7641793201</v>
      </c>
      <c r="J352">
        <f>[4]AgePivot!J37</f>
        <v>4363180.8357622596</v>
      </c>
      <c r="K352">
        <f>[4]AgePivot!K37</f>
        <v>1576299.4413270201</v>
      </c>
      <c r="L352">
        <f>[4]AgePivot!L37</f>
        <v>617041.82808300003</v>
      </c>
      <c r="M352">
        <f>[4]AgePivot!M37</f>
        <v>882338.14918445004</v>
      </c>
      <c r="N352">
        <f>[4]AgePivot!N37</f>
        <v>917453.62560813001</v>
      </c>
      <c r="O352">
        <f>[4]AgePivot!O37</f>
        <v>454361.44275968103</v>
      </c>
      <c r="P352">
        <f>[4]AgePivot!P37</f>
        <v>1355735.16125466</v>
      </c>
    </row>
    <row r="353" spans="1:20" x14ac:dyDescent="0.2">
      <c r="A353" s="3">
        <f t="shared" si="4"/>
        <v>175946935.59622511</v>
      </c>
      <c r="B353">
        <f>[4]AgePivot!B38</f>
        <v>14570602.836345701</v>
      </c>
      <c r="C353">
        <f>[4]AgePivot!C38</f>
        <v>9287210.0476073995</v>
      </c>
      <c r="D353">
        <f>[4]AgePivot!D38</f>
        <v>27666360.964924</v>
      </c>
      <c r="E353">
        <f>[4]AgePivot!E38</f>
        <v>7412849.3819824504</v>
      </c>
      <c r="F353">
        <f>[4]AgePivot!F38</f>
        <v>15161330.593746999</v>
      </c>
      <c r="G353">
        <f>[4]AgePivot!G38</f>
        <v>27357325.580514699</v>
      </c>
      <c r="H353">
        <f>[4]AgePivot!H38</f>
        <v>51509441.954418197</v>
      </c>
      <c r="I353">
        <f>[4]AgePivot!I38</f>
        <v>15215181.790152701</v>
      </c>
      <c r="J353">
        <f>[4]AgePivot!J38</f>
        <v>3849752.0415055202</v>
      </c>
      <c r="K353">
        <f>[4]AgePivot!K38</f>
        <v>1905497.56630907</v>
      </c>
      <c r="L353">
        <f>[4]AgePivot!L38</f>
        <v>273243.76532811997</v>
      </c>
      <c r="M353">
        <f>[4]AgePivot!M38</f>
        <v>259660.128001345</v>
      </c>
      <c r="N353">
        <f>[4]AgePivot!N38</f>
        <v>492805.23946413898</v>
      </c>
      <c r="O353">
        <f>[4]AgePivot!O38</f>
        <v>301584.41324032203</v>
      </c>
      <c r="P353">
        <f>[4]AgePivot!P38</f>
        <v>684089.292684488</v>
      </c>
    </row>
    <row r="354" spans="1:20" x14ac:dyDescent="0.2">
      <c r="A354" s="3">
        <f t="shared" si="4"/>
        <v>142989921.92717531</v>
      </c>
      <c r="B354">
        <f>[4]AgePivot!B39</f>
        <v>7941441.5278521702</v>
      </c>
      <c r="C354">
        <f>[4]AgePivot!C39</f>
        <v>4933720.7832396897</v>
      </c>
      <c r="D354">
        <f>[4]AgePivot!D39</f>
        <v>7280966.2906801198</v>
      </c>
      <c r="E354">
        <f>[4]AgePivot!E39</f>
        <v>40234752.7736063</v>
      </c>
      <c r="F354">
        <f>[4]AgePivot!F39</f>
        <v>16990612.895686999</v>
      </c>
      <c r="G354">
        <f>[4]AgePivot!G39</f>
        <v>12002854.0187358</v>
      </c>
      <c r="H354">
        <f>[4]AgePivot!H39</f>
        <v>17683480.832810201</v>
      </c>
      <c r="I354">
        <f>[4]AgePivot!I39</f>
        <v>26916812.6824673</v>
      </c>
      <c r="J354">
        <f>[4]AgePivot!J39</f>
        <v>5421347.8346778098</v>
      </c>
      <c r="K354">
        <f>[4]AgePivot!K39</f>
        <v>2219756.7917613201</v>
      </c>
      <c r="L354">
        <f>[4]AgePivot!L39</f>
        <v>800491.83111522696</v>
      </c>
      <c r="M354">
        <f>[4]AgePivot!M39</f>
        <v>175307.05855688301</v>
      </c>
      <c r="N354">
        <f>[4]AgePivot!N39</f>
        <v>183181.62916087601</v>
      </c>
      <c r="O354">
        <f>[4]AgePivot!O39</f>
        <v>66413.893460413194</v>
      </c>
      <c r="P354">
        <f>[4]AgePivot!P39</f>
        <v>138781.083364227</v>
      </c>
    </row>
    <row r="355" spans="1:20" x14ac:dyDescent="0.2">
      <c r="A355" s="3">
        <f t="shared" si="4"/>
        <v>139232383.88090676</v>
      </c>
      <c r="B355">
        <f>[4]AgePivot!B40</f>
        <v>7835995.1838214099</v>
      </c>
      <c r="C355">
        <f>[4]AgePivot!C40</f>
        <v>3214697.8162231301</v>
      </c>
      <c r="D355">
        <f>[4]AgePivot!D40</f>
        <v>5449588.2010550797</v>
      </c>
      <c r="E355">
        <f>[4]AgePivot!E40</f>
        <v>26483257.231641099</v>
      </c>
      <c r="F355">
        <f>[4]AgePivot!F40</f>
        <v>34955817.768618599</v>
      </c>
      <c r="G355">
        <f>[4]AgePivot!G40</f>
        <v>15973015.853458401</v>
      </c>
      <c r="H355">
        <f>[4]AgePivot!H40</f>
        <v>12309447.3700897</v>
      </c>
      <c r="I355">
        <f>[4]AgePivot!I40</f>
        <v>11547000.189348301</v>
      </c>
      <c r="J355">
        <f>[4]AgePivot!J40</f>
        <v>14759950.209909</v>
      </c>
      <c r="K355">
        <f>[4]AgePivot!K40</f>
        <v>4236452.4896050002</v>
      </c>
      <c r="L355">
        <f>[4]AgePivot!L40</f>
        <v>1626289.8823387499</v>
      </c>
      <c r="M355">
        <f>[4]AgePivot!M40</f>
        <v>546154.70575948805</v>
      </c>
      <c r="N355">
        <f>[4]AgePivot!N40</f>
        <v>82885.440540199706</v>
      </c>
      <c r="O355">
        <f>[4]AgePivot!O40</f>
        <v>48759.4895831049</v>
      </c>
      <c r="P355">
        <f>[4]AgePivot!P40</f>
        <v>163072.04891548399</v>
      </c>
    </row>
    <row r="356" spans="1:20" x14ac:dyDescent="0.2">
      <c r="A356" s="3">
        <f t="shared" si="4"/>
        <v>80163447.857310206</v>
      </c>
      <c r="B356">
        <f>[4]AgePivot!B41</f>
        <v>11286192.270435501</v>
      </c>
      <c r="C356">
        <f>[4]AgePivot!C41</f>
        <v>4732793.6619869601</v>
      </c>
      <c r="D356">
        <f>[4]AgePivot!D41</f>
        <v>2514980.6017866801</v>
      </c>
      <c r="E356">
        <f>[4]AgePivot!E41</f>
        <v>3644291.3317505601</v>
      </c>
      <c r="F356">
        <f>[4]AgePivot!F41</f>
        <v>25017136.571692001</v>
      </c>
      <c r="G356">
        <f>[4]AgePivot!G41</f>
        <v>15376458.9127289</v>
      </c>
      <c r="H356">
        <f>[4]AgePivot!H41</f>
        <v>5329573.7819736497</v>
      </c>
      <c r="I356">
        <f>[4]AgePivot!I41</f>
        <v>3877931.6350245699</v>
      </c>
      <c r="J356">
        <f>[4]AgePivot!J41</f>
        <v>3983520.8119236901</v>
      </c>
      <c r="K356">
        <f>[4]AgePivot!K41</f>
        <v>3265517.4227273301</v>
      </c>
      <c r="L356">
        <f>[4]AgePivot!L41</f>
        <v>914786.24742378702</v>
      </c>
      <c r="M356">
        <f>[4]AgePivot!M41</f>
        <v>142478.710097831</v>
      </c>
      <c r="N356">
        <f>[4]AgePivot!N41</f>
        <v>18267.3271693155</v>
      </c>
      <c r="O356">
        <f>[4]AgePivot!O41</f>
        <v>3004.33073055762</v>
      </c>
      <c r="P356">
        <f>[4]AgePivot!P41</f>
        <v>56514.239858890098</v>
      </c>
    </row>
    <row r="357" spans="1:20" x14ac:dyDescent="0.2">
      <c r="A357" s="3">
        <f t="shared" si="4"/>
        <v>166520581.33733532</v>
      </c>
      <c r="B357">
        <f>[4]AgePivot!B42</f>
        <v>26795702.009224299</v>
      </c>
      <c r="C357">
        <f>[4]AgePivot!C42</f>
        <v>7133716.5654144697</v>
      </c>
      <c r="D357">
        <f>[4]AgePivot!D42</f>
        <v>5930177.0410660496</v>
      </c>
      <c r="E357">
        <f>[4]AgePivot!E42</f>
        <v>6152047.19672962</v>
      </c>
      <c r="F357">
        <f>[4]AgePivot!F42</f>
        <v>17596778.628679901</v>
      </c>
      <c r="G357">
        <f>[4]AgePivot!G42</f>
        <v>62768466.637020603</v>
      </c>
      <c r="H357">
        <f>[4]AgePivot!H42</f>
        <v>25067658.534419999</v>
      </c>
      <c r="I357">
        <f>[4]AgePivot!I42</f>
        <v>5958068.9450741997</v>
      </c>
      <c r="J357">
        <f>[4]AgePivot!J42</f>
        <v>4295960.4012729004</v>
      </c>
      <c r="K357">
        <f>[4]AgePivot!K42</f>
        <v>2541978.3243035902</v>
      </c>
      <c r="L357">
        <f>[4]AgePivot!L42</f>
        <v>1336557.43998952</v>
      </c>
      <c r="M357">
        <f>[4]AgePivot!M42</f>
        <v>606917.86426083103</v>
      </c>
      <c r="N357">
        <f>[4]AgePivot!N42</f>
        <v>239831.759678662</v>
      </c>
      <c r="O357">
        <f>[4]AgePivot!O42</f>
        <v>69125.767119646902</v>
      </c>
      <c r="P357">
        <f>[4]AgePivot!P42</f>
        <v>27594.223081028202</v>
      </c>
    </row>
    <row r="358" spans="1:20" x14ac:dyDescent="0.2">
      <c r="A358" s="3">
        <f t="shared" si="4"/>
        <v>92843794.111640856</v>
      </c>
      <c r="B358">
        <f>[4]AgePivot!B43</f>
        <v>10321941.107230401</v>
      </c>
      <c r="C358">
        <f>[4]AgePivot!C43</f>
        <v>7980262.7680814303</v>
      </c>
      <c r="D358">
        <f>[4]AgePivot!D43</f>
        <v>19643040.994242501</v>
      </c>
      <c r="E358">
        <f>[4]AgePivot!E43</f>
        <v>7534073.0473998496</v>
      </c>
      <c r="F358">
        <f>[4]AgePivot!F43</f>
        <v>6888789.5908251097</v>
      </c>
      <c r="G358">
        <f>[4]AgePivot!G43</f>
        <v>5019764.1405570898</v>
      </c>
      <c r="H358">
        <f>[4]AgePivot!H43</f>
        <v>12791898.633880099</v>
      </c>
      <c r="I358">
        <f>[4]AgePivot!I43</f>
        <v>14770243.6181076</v>
      </c>
      <c r="J358">
        <f>[4]AgePivot!J43</f>
        <v>3919545.9709568801</v>
      </c>
      <c r="K358">
        <f>[4]AgePivot!K43</f>
        <v>1521761.9978549399</v>
      </c>
      <c r="L358">
        <f>[4]AgePivot!L43</f>
        <v>1274924.0175382399</v>
      </c>
      <c r="M358">
        <f>[4]AgePivot!M43</f>
        <v>825848.337958068</v>
      </c>
      <c r="N358">
        <f>[4]AgePivot!N43</f>
        <v>180076.859317603</v>
      </c>
      <c r="O358">
        <f>[4]AgePivot!O43</f>
        <v>127919.17277277401</v>
      </c>
      <c r="P358">
        <f>[4]AgePivot!P43</f>
        <v>43703.854918281198</v>
      </c>
    </row>
    <row r="359" spans="1:20" x14ac:dyDescent="0.2">
      <c r="A359" s="3">
        <f t="shared" si="4"/>
        <v>117255151.52097046</v>
      </c>
      <c r="B359">
        <f>[4]AgePivot!B44</f>
        <v>8119155.4789981097</v>
      </c>
      <c r="C359">
        <f>[4]AgePivot!C44</f>
        <v>3512415.1722926102</v>
      </c>
      <c r="D359">
        <f>[4]AgePivot!D44</f>
        <v>5999539.4952552496</v>
      </c>
      <c r="E359">
        <f>[4]AgePivot!E44</f>
        <v>40060934.4575978</v>
      </c>
      <c r="F359">
        <f>[4]AgePivot!F44</f>
        <v>18724630.110852499</v>
      </c>
      <c r="G359">
        <f>[4]AgePivot!G44</f>
        <v>7295680.6874011699</v>
      </c>
      <c r="H359">
        <f>[4]AgePivot!H44</f>
        <v>8107799.0645883</v>
      </c>
      <c r="I359">
        <f>[4]AgePivot!I44</f>
        <v>11423969.807732601</v>
      </c>
      <c r="J359">
        <f>[4]AgePivot!J44</f>
        <v>8559664.4369053897</v>
      </c>
      <c r="K359">
        <f>[4]AgePivot!K44</f>
        <v>2718413.7017737101</v>
      </c>
      <c r="L359">
        <f>[4]AgePivot!L44</f>
        <v>1159337.26925105</v>
      </c>
      <c r="M359">
        <f>[4]AgePivot!M44</f>
        <v>966027.28932664695</v>
      </c>
      <c r="N359">
        <f>[4]AgePivot!N44</f>
        <v>372666.78153455799</v>
      </c>
      <c r="O359">
        <f>[4]AgePivot!O44</f>
        <v>213040.35805945299</v>
      </c>
      <c r="P359">
        <f>[4]AgePivot!P44</f>
        <v>21877.409401341702</v>
      </c>
    </row>
    <row r="360" spans="1:20" x14ac:dyDescent="0.2">
      <c r="A360" s="3">
        <f t="shared" si="4"/>
        <v>83198430.781342998</v>
      </c>
      <c r="B360">
        <f>[4]AgePivot!B45</f>
        <v>11137835.3580554</v>
      </c>
      <c r="C360">
        <f>[4]AgePivot!C45</f>
        <v>3821529.6571778501</v>
      </c>
      <c r="D360">
        <f>[4]AgePivot!D45</f>
        <v>3417362.30158898</v>
      </c>
      <c r="E360">
        <f>[4]AgePivot!E45</f>
        <v>6362056.5565748001</v>
      </c>
      <c r="F360">
        <f>[4]AgePivot!F45</f>
        <v>27500461.752457101</v>
      </c>
      <c r="G360">
        <f>[4]AgePivot!G45</f>
        <v>8082480.3632932799</v>
      </c>
      <c r="H360">
        <f>[4]AgePivot!H45</f>
        <v>4453183.5229307897</v>
      </c>
      <c r="I360">
        <f>[4]AgePivot!I45</f>
        <v>4429531.4949839003</v>
      </c>
      <c r="J360">
        <f>[4]AgePivot!J45</f>
        <v>7032284.8866445702</v>
      </c>
      <c r="K360">
        <f>[4]AgePivot!K45</f>
        <v>4966833.3140758798</v>
      </c>
      <c r="L360">
        <f>[4]AgePivot!L45</f>
        <v>1060140.98091226</v>
      </c>
      <c r="M360">
        <f>[4]AgePivot!M45</f>
        <v>439895.46716770198</v>
      </c>
      <c r="N360">
        <f>[4]AgePivot!N45</f>
        <v>269472.08576631499</v>
      </c>
      <c r="O360">
        <f>[4]AgePivot!O45</f>
        <v>106526.825823259</v>
      </c>
      <c r="P360">
        <f>[4]AgePivot!P45</f>
        <v>118836.213890902</v>
      </c>
    </row>
    <row r="361" spans="1:20" x14ac:dyDescent="0.2">
      <c r="A361" s="3">
        <f t="shared" si="4"/>
        <v>164867228.15063199</v>
      </c>
      <c r="B361" s="2">
        <f>[4]AgePivot!B46</f>
        <v>16262095.5924962</v>
      </c>
      <c r="C361" s="2">
        <f>[4]AgePivot!C46</f>
        <v>10959913.955809601</v>
      </c>
      <c r="D361" s="2">
        <f>[4]AgePivot!D46</f>
        <v>9746020.6600887198</v>
      </c>
      <c r="E361" s="2">
        <f>[4]AgePivot!E46</f>
        <v>6623305.5987449903</v>
      </c>
      <c r="F361" s="2">
        <f>[4]AgePivot!F46</f>
        <v>20779428.819194701</v>
      </c>
      <c r="G361" s="2">
        <f>[4]AgePivot!G46</f>
        <v>68044769.383987904</v>
      </c>
      <c r="H361" s="2">
        <f>[4]AgePivot!H46</f>
        <v>15085251.925883999</v>
      </c>
      <c r="I361" s="2">
        <f>[4]AgePivot!I46</f>
        <v>4701781.4321535304</v>
      </c>
      <c r="J361" s="2">
        <f>[4]AgePivot!J46</f>
        <v>4432455.9634271301</v>
      </c>
      <c r="K361" s="2">
        <f>[4]AgePivot!K46</f>
        <v>3989283.0266505899</v>
      </c>
      <c r="L361" s="2">
        <f>[4]AgePivot!L46</f>
        <v>2725271.1924725999</v>
      </c>
      <c r="M361" s="2">
        <f>[4]AgePivot!M46</f>
        <v>1025842.99965635</v>
      </c>
      <c r="N361" s="2">
        <f>[4]AgePivot!N46</f>
        <v>324711.81848925003</v>
      </c>
      <c r="O361" s="2">
        <f>[4]AgePivot!O46</f>
        <v>123823.855641377</v>
      </c>
      <c r="P361" s="2">
        <f>[4]AgePivot!P46</f>
        <v>43271.925935078798</v>
      </c>
    </row>
    <row r="362" spans="1:20" s="5" customFormat="1" x14ac:dyDescent="0.2">
      <c r="A362" s="4"/>
      <c r="B362" s="5" t="s">
        <v>46</v>
      </c>
    </row>
    <row r="363" spans="1:20" x14ac:dyDescent="0.2">
      <c r="A363" s="3">
        <f>COUNT(B363:CI363)</f>
        <v>19</v>
      </c>
      <c r="B363" cm="1">
        <f t="array" ref="B363:T363">TRANSPOSE(A365:A383)</f>
        <v>12474.960387810002</v>
      </c>
      <c r="C363">
        <v>8138.5492593199997</v>
      </c>
      <c r="D363">
        <v>20859.613505149995</v>
      </c>
      <c r="E363">
        <v>11466.161332165002</v>
      </c>
      <c r="F363">
        <v>8726.1326550230006</v>
      </c>
      <c r="G363">
        <v>13350.630550372001</v>
      </c>
      <c r="H363">
        <v>7893.6920064500018</v>
      </c>
      <c r="I363">
        <v>3910.2966855000004</v>
      </c>
      <c r="J363">
        <v>10042.369373692001</v>
      </c>
      <c r="K363">
        <v>5240.0222765940007</v>
      </c>
      <c r="L363">
        <v>8629.6091374840016</v>
      </c>
      <c r="M363">
        <v>12968.074884827003</v>
      </c>
      <c r="N363">
        <v>7492.0467291989999</v>
      </c>
      <c r="O363">
        <v>19512.653790018998</v>
      </c>
      <c r="P363">
        <v>12219.624646979999</v>
      </c>
      <c r="Q363">
        <v>5569.848331795999</v>
      </c>
      <c r="R363">
        <v>13660</v>
      </c>
      <c r="S363">
        <v>9674.4017718380001</v>
      </c>
      <c r="T363" s="2">
        <v>11358.629198546767</v>
      </c>
    </row>
    <row r="364" spans="1:20" s="5" customFormat="1" x14ac:dyDescent="0.2">
      <c r="A364" s="4"/>
      <c r="B364" s="5" t="s">
        <v>47</v>
      </c>
    </row>
    <row r="365" spans="1:20" x14ac:dyDescent="0.2">
      <c r="A365" s="3">
        <f t="shared" ref="A365:A383" si="5">SUM(B365:P365)</f>
        <v>12474.960387810002</v>
      </c>
      <c r="B365">
        <v>1140.0851399999999</v>
      </c>
      <c r="C365">
        <v>4969.0522559999999</v>
      </c>
      <c r="D365">
        <v>1424.4732690000001</v>
      </c>
      <c r="E365">
        <v>1818.5809260000001</v>
      </c>
      <c r="F365">
        <v>2251.768172</v>
      </c>
      <c r="G365">
        <v>389.1130852</v>
      </c>
      <c r="H365">
        <v>108.5917858</v>
      </c>
      <c r="I365">
        <v>95.88827757</v>
      </c>
      <c r="J365">
        <v>56.201938560000002</v>
      </c>
      <c r="K365">
        <v>67.125239690000001</v>
      </c>
      <c r="L365">
        <v>30.325586779999998</v>
      </c>
      <c r="M365">
        <v>51.13689729</v>
      </c>
      <c r="N365">
        <v>20.633513789999999</v>
      </c>
      <c r="O365">
        <v>17.628238899999999</v>
      </c>
      <c r="P365">
        <v>34.356061230000002</v>
      </c>
    </row>
    <row r="366" spans="1:20" x14ac:dyDescent="0.2">
      <c r="A366" s="3">
        <f t="shared" si="5"/>
        <v>8138.5492593199997</v>
      </c>
      <c r="B366">
        <v>1800.2540550000001</v>
      </c>
      <c r="C366">
        <v>566.66512890000001</v>
      </c>
      <c r="D366">
        <v>552.1605677</v>
      </c>
      <c r="E366">
        <v>2741.05969</v>
      </c>
      <c r="F366">
        <v>914.96275760000003</v>
      </c>
      <c r="G366">
        <v>633.53149229999997</v>
      </c>
      <c r="H366">
        <v>585.04104989999996</v>
      </c>
      <c r="I366">
        <v>141.69026349999999</v>
      </c>
      <c r="J366">
        <v>38.61581297</v>
      </c>
      <c r="K366">
        <v>28.170044690000001</v>
      </c>
      <c r="L366">
        <v>22.42098893</v>
      </c>
      <c r="M366">
        <v>39.471901750000001</v>
      </c>
      <c r="N366">
        <v>13.931626980000001</v>
      </c>
      <c r="O366">
        <v>24.815192199999998</v>
      </c>
      <c r="P366">
        <v>35.758686900000001</v>
      </c>
    </row>
    <row r="367" spans="1:20" x14ac:dyDescent="0.2">
      <c r="A367" s="3">
        <f t="shared" si="5"/>
        <v>20859.613505149995</v>
      </c>
      <c r="B367">
        <v>13226.7894</v>
      </c>
      <c r="C367">
        <v>2881.0381910000001</v>
      </c>
      <c r="D367">
        <v>440.49410610000001</v>
      </c>
      <c r="E367">
        <v>535.64101100000005</v>
      </c>
      <c r="F367">
        <v>2330.3172880000002</v>
      </c>
      <c r="G367">
        <v>546.44430469999998</v>
      </c>
      <c r="H367">
        <v>313.01169629999998</v>
      </c>
      <c r="I367">
        <v>290.36236860000002</v>
      </c>
      <c r="J367">
        <v>75.110043140000002</v>
      </c>
      <c r="K367">
        <v>27.829137540000001</v>
      </c>
      <c r="L367">
        <v>30.8666707</v>
      </c>
      <c r="M367">
        <v>35.150965890000002</v>
      </c>
      <c r="N367">
        <v>38.921928800000003</v>
      </c>
      <c r="O367">
        <v>18.714737329999998</v>
      </c>
      <c r="P367">
        <v>68.921656049999996</v>
      </c>
    </row>
    <row r="368" spans="1:20" x14ac:dyDescent="0.2">
      <c r="A368" s="3">
        <f t="shared" si="5"/>
        <v>11466.161332165002</v>
      </c>
      <c r="B368">
        <v>607.20365200000003</v>
      </c>
      <c r="C368">
        <v>1779.9949570000001</v>
      </c>
      <c r="D368">
        <v>3717.060555</v>
      </c>
      <c r="E368">
        <v>1809.6749420000001</v>
      </c>
      <c r="F368">
        <v>651.86233589999995</v>
      </c>
      <c r="G368">
        <v>397.52067219999998</v>
      </c>
      <c r="H368">
        <v>1548.0324539999999</v>
      </c>
      <c r="I368">
        <v>526.25221790000001</v>
      </c>
      <c r="J368">
        <v>180.02083870000001</v>
      </c>
      <c r="K368">
        <v>141.64589910000001</v>
      </c>
      <c r="L368">
        <v>48.242948499999997</v>
      </c>
      <c r="M368">
        <v>20.49954722</v>
      </c>
      <c r="N368">
        <v>10.26681262</v>
      </c>
      <c r="O368">
        <v>7.7953667949999996</v>
      </c>
      <c r="P368">
        <v>20.08813323</v>
      </c>
    </row>
    <row r="369" spans="1:16" x14ac:dyDescent="0.2">
      <c r="A369" s="3">
        <f t="shared" si="5"/>
        <v>8726.1326550230006</v>
      </c>
      <c r="B369">
        <v>460.36640310000001</v>
      </c>
      <c r="C369">
        <v>1322.0302790000001</v>
      </c>
      <c r="D369">
        <v>1230.0548590000001</v>
      </c>
      <c r="E369">
        <v>2588.0272890000001</v>
      </c>
      <c r="F369">
        <v>1011.827791</v>
      </c>
      <c r="G369">
        <v>326.61534289999997</v>
      </c>
      <c r="H369">
        <v>308.36422210000001</v>
      </c>
      <c r="I369">
        <v>949.55203489999997</v>
      </c>
      <c r="J369">
        <v>277.58517160000002</v>
      </c>
      <c r="K369">
        <v>134.09810970000001</v>
      </c>
      <c r="L369">
        <v>60.258588899999999</v>
      </c>
      <c r="M369">
        <v>35.599602249999997</v>
      </c>
      <c r="N369">
        <v>6.9873676480000002</v>
      </c>
      <c r="O369">
        <v>4.555128345</v>
      </c>
      <c r="P369">
        <v>10.210465579999999</v>
      </c>
    </row>
    <row r="370" spans="1:16" x14ac:dyDescent="0.2">
      <c r="A370" s="3">
        <f t="shared" si="5"/>
        <v>13350.630550372001</v>
      </c>
      <c r="B370">
        <v>796.39685029999998</v>
      </c>
      <c r="C370">
        <v>4943.941366</v>
      </c>
      <c r="D370">
        <v>3385.1004800000001</v>
      </c>
      <c r="E370">
        <v>1294.9325980000001</v>
      </c>
      <c r="F370">
        <v>660.61841949999996</v>
      </c>
      <c r="G370">
        <v>935.29347289999998</v>
      </c>
      <c r="H370">
        <v>538.44206770000005</v>
      </c>
      <c r="I370">
        <v>140.35786479999999</v>
      </c>
      <c r="J370">
        <v>162.4464571</v>
      </c>
      <c r="K370">
        <v>304.46125019999999</v>
      </c>
      <c r="L370">
        <v>103.61153</v>
      </c>
      <c r="M370">
        <v>45.372169960000001</v>
      </c>
      <c r="N370">
        <v>20.195607760000001</v>
      </c>
      <c r="O370">
        <v>12.17925292</v>
      </c>
      <c r="P370">
        <v>7.2811632319999999</v>
      </c>
    </row>
    <row r="371" spans="1:16" x14ac:dyDescent="0.2">
      <c r="A371" s="3">
        <f t="shared" si="5"/>
        <v>7893.6920064500018</v>
      </c>
      <c r="B371">
        <v>83.054497420000004</v>
      </c>
      <c r="C371">
        <v>313.46852799999999</v>
      </c>
      <c r="D371">
        <v>1216.887645</v>
      </c>
      <c r="E371">
        <v>3122.587708</v>
      </c>
      <c r="F371">
        <v>1634.3134190000001</v>
      </c>
      <c r="G371">
        <v>567.11590469999999</v>
      </c>
      <c r="H371">
        <v>287.70947890000002</v>
      </c>
      <c r="I371">
        <v>282.71122029999998</v>
      </c>
      <c r="J371">
        <v>120.9099574</v>
      </c>
      <c r="K371">
        <v>68.490474460000001</v>
      </c>
      <c r="L371">
        <v>58.851892059999997</v>
      </c>
      <c r="M371">
        <v>77.005276300000006</v>
      </c>
      <c r="N371">
        <v>37.421352769999999</v>
      </c>
      <c r="O371">
        <v>12.53381701</v>
      </c>
      <c r="P371">
        <v>10.630835129999999</v>
      </c>
    </row>
    <row r="372" spans="1:16" x14ac:dyDescent="0.2">
      <c r="A372" s="3">
        <f t="shared" si="5"/>
        <v>3910.2966855000004</v>
      </c>
      <c r="B372">
        <v>524.71095969999999</v>
      </c>
      <c r="C372">
        <v>216.99598520000001</v>
      </c>
      <c r="D372">
        <v>291.2456803</v>
      </c>
      <c r="E372">
        <v>654.09685420000005</v>
      </c>
      <c r="F372">
        <v>783.37609299999997</v>
      </c>
      <c r="G372">
        <v>658.55630099999996</v>
      </c>
      <c r="H372">
        <v>390.20024899999999</v>
      </c>
      <c r="I372">
        <v>144.88895460000001</v>
      </c>
      <c r="J372">
        <v>74.79552563</v>
      </c>
      <c r="K372">
        <v>58.553903579999997</v>
      </c>
      <c r="L372">
        <v>32.824918349999997</v>
      </c>
      <c r="M372">
        <v>21.719213159999999</v>
      </c>
      <c r="N372">
        <v>16.492805369999999</v>
      </c>
      <c r="O372">
        <v>19.794140970000001</v>
      </c>
      <c r="P372">
        <v>22.04510144</v>
      </c>
    </row>
    <row r="373" spans="1:16" x14ac:dyDescent="0.2">
      <c r="A373" s="3">
        <f t="shared" si="5"/>
        <v>10042.369373692001</v>
      </c>
      <c r="B373">
        <v>5775.2941449999998</v>
      </c>
      <c r="C373">
        <v>1040.5871460000001</v>
      </c>
      <c r="D373">
        <v>345.09752650000001</v>
      </c>
      <c r="E373">
        <v>477.80343290000002</v>
      </c>
      <c r="F373">
        <v>793.68820619999997</v>
      </c>
      <c r="G373">
        <v>729.4436647</v>
      </c>
      <c r="H373">
        <v>406.88807780000002</v>
      </c>
      <c r="I373">
        <v>240.79008139999999</v>
      </c>
      <c r="J373">
        <v>97.686941759999996</v>
      </c>
      <c r="K373">
        <v>39.261616619999998</v>
      </c>
      <c r="L373">
        <v>37.240400149999999</v>
      </c>
      <c r="M373">
        <v>18.81644455</v>
      </c>
      <c r="N373">
        <v>9.1721203960000004</v>
      </c>
      <c r="O373">
        <v>9.5783720559999992</v>
      </c>
      <c r="P373">
        <v>21.021197659999999</v>
      </c>
    </row>
    <row r="374" spans="1:16" x14ac:dyDescent="0.2">
      <c r="A374" s="3">
        <f t="shared" si="5"/>
        <v>5240.0222765940007</v>
      </c>
      <c r="B374">
        <v>70.869874030000005</v>
      </c>
      <c r="C374">
        <v>2914.7813299999998</v>
      </c>
      <c r="D374">
        <v>1046.982702</v>
      </c>
      <c r="E374">
        <v>166.03642120000001</v>
      </c>
      <c r="F374">
        <v>160.8390551</v>
      </c>
      <c r="G374">
        <v>287.56999400000001</v>
      </c>
      <c r="H374">
        <v>234.90743119999999</v>
      </c>
      <c r="I374">
        <v>136.08854969999999</v>
      </c>
      <c r="J374">
        <v>101.8481235</v>
      </c>
      <c r="K374">
        <v>31.995840619999999</v>
      </c>
      <c r="L374">
        <v>30.135659059999998</v>
      </c>
      <c r="M374">
        <v>19.00020739</v>
      </c>
      <c r="N374">
        <v>10.87302568</v>
      </c>
      <c r="O374">
        <v>5.6228518940000001</v>
      </c>
      <c r="P374">
        <v>22.471211220000001</v>
      </c>
    </row>
    <row r="375" spans="1:16" x14ac:dyDescent="0.2">
      <c r="A375" s="3">
        <f t="shared" si="5"/>
        <v>8629.6091374840016</v>
      </c>
      <c r="B375">
        <v>5196.7862720000003</v>
      </c>
      <c r="C375">
        <v>815.82891099999995</v>
      </c>
      <c r="D375">
        <v>1734.132089</v>
      </c>
      <c r="E375">
        <v>281.2670693</v>
      </c>
      <c r="F375">
        <v>76.694509479999994</v>
      </c>
      <c r="G375">
        <v>94.104663790000004</v>
      </c>
      <c r="H375">
        <v>128.87727380000001</v>
      </c>
      <c r="I375">
        <v>110.7631581</v>
      </c>
      <c r="J375">
        <v>76.720420290000007</v>
      </c>
      <c r="K375">
        <v>44.225916609999999</v>
      </c>
      <c r="L375">
        <v>25.174215019999998</v>
      </c>
      <c r="M375">
        <v>11.28920278</v>
      </c>
      <c r="N375">
        <v>10.05579329</v>
      </c>
      <c r="O375">
        <v>5.5001058839999999</v>
      </c>
      <c r="P375">
        <v>18.189537139999999</v>
      </c>
    </row>
    <row r="376" spans="1:16" x14ac:dyDescent="0.2">
      <c r="A376" s="3">
        <f t="shared" si="5"/>
        <v>12968.074884827003</v>
      </c>
      <c r="B376">
        <v>2567.932041</v>
      </c>
      <c r="C376">
        <v>6404.1275569999998</v>
      </c>
      <c r="D376">
        <v>983.55517599999996</v>
      </c>
      <c r="E376">
        <v>2294.894996</v>
      </c>
      <c r="F376">
        <v>445.87511439999997</v>
      </c>
      <c r="G376">
        <v>73.082948389999999</v>
      </c>
      <c r="H376">
        <v>33.246447269999997</v>
      </c>
      <c r="I376">
        <v>36.887298229999999</v>
      </c>
      <c r="J376">
        <v>37.752843140000003</v>
      </c>
      <c r="K376">
        <v>28.93219886</v>
      </c>
      <c r="L376">
        <v>25.956083540000002</v>
      </c>
      <c r="M376">
        <v>13.14394723</v>
      </c>
      <c r="N376">
        <v>8.0262054999999997</v>
      </c>
      <c r="O376">
        <v>4.8905865229999996</v>
      </c>
      <c r="P376">
        <v>9.7714417440000005</v>
      </c>
    </row>
    <row r="377" spans="1:16" x14ac:dyDescent="0.2">
      <c r="A377" s="3">
        <f t="shared" si="5"/>
        <v>7492.0467291989999</v>
      </c>
      <c r="B377">
        <v>177.3461428</v>
      </c>
      <c r="C377">
        <v>1988.6601330000001</v>
      </c>
      <c r="D377">
        <v>1692.89158</v>
      </c>
      <c r="E377">
        <v>2710.228204</v>
      </c>
      <c r="F377">
        <v>279.68625370000001</v>
      </c>
      <c r="G377">
        <v>366.66840280000002</v>
      </c>
      <c r="H377">
        <v>113.14035490000001</v>
      </c>
      <c r="I377">
        <v>35.687332980000001</v>
      </c>
      <c r="J377">
        <v>24.894591999999999</v>
      </c>
      <c r="K377">
        <v>28.74222129</v>
      </c>
      <c r="L377">
        <v>25.056611</v>
      </c>
      <c r="M377">
        <v>17.894431229999999</v>
      </c>
      <c r="N377">
        <v>16.169349969999999</v>
      </c>
      <c r="O377">
        <v>5.0759217850000002</v>
      </c>
      <c r="P377">
        <v>9.9051977440000005</v>
      </c>
    </row>
    <row r="378" spans="1:16" x14ac:dyDescent="0.2">
      <c r="A378" s="3">
        <f t="shared" si="5"/>
        <v>19512.653790018998</v>
      </c>
      <c r="B378">
        <v>4750.826376</v>
      </c>
      <c r="C378">
        <v>8655.1263670000008</v>
      </c>
      <c r="D378">
        <v>969.46123390000002</v>
      </c>
      <c r="E378">
        <v>1161.049534</v>
      </c>
      <c r="F378">
        <v>1118.694291</v>
      </c>
      <c r="G378">
        <v>1769.616489</v>
      </c>
      <c r="H378">
        <v>740.11967319999997</v>
      </c>
      <c r="I378">
        <v>170.14623449999999</v>
      </c>
      <c r="J378">
        <v>78.810030260000005</v>
      </c>
      <c r="K378">
        <v>31.519963990000001</v>
      </c>
      <c r="L378">
        <v>12.57992471</v>
      </c>
      <c r="M378">
        <v>13.86996375</v>
      </c>
      <c r="N378">
        <v>14.05970784</v>
      </c>
      <c r="O378">
        <v>7.7035707990000004</v>
      </c>
      <c r="P378">
        <v>19.07043007</v>
      </c>
    </row>
    <row r="379" spans="1:16" x14ac:dyDescent="0.2">
      <c r="A379" s="3">
        <f t="shared" si="5"/>
        <v>12219.624646979999</v>
      </c>
      <c r="B379">
        <v>173.75231439999999</v>
      </c>
      <c r="C379">
        <v>1037.867561</v>
      </c>
      <c r="D379">
        <v>4496.0586929999999</v>
      </c>
      <c r="E379">
        <v>4476.3974740000003</v>
      </c>
      <c r="F379">
        <v>715.46514920000004</v>
      </c>
      <c r="G379">
        <v>348.09875110000002</v>
      </c>
      <c r="H379">
        <v>392.19569949999999</v>
      </c>
      <c r="I379">
        <v>420.28668090000002</v>
      </c>
      <c r="J379">
        <v>95.667050090000004</v>
      </c>
      <c r="K379">
        <v>30.74347277</v>
      </c>
      <c r="L379">
        <v>17.982651109999999</v>
      </c>
      <c r="M379">
        <v>5.8435077839999998</v>
      </c>
      <c r="N379">
        <v>3.5520013060000002</v>
      </c>
      <c r="O379">
        <v>2.24751704</v>
      </c>
      <c r="P379">
        <v>3.4661237800000002</v>
      </c>
    </row>
    <row r="380" spans="1:16" x14ac:dyDescent="0.2">
      <c r="A380" s="3">
        <f t="shared" si="5"/>
        <v>5569.848331795999</v>
      </c>
      <c r="B380">
        <v>449.9560697</v>
      </c>
      <c r="C380">
        <v>516.60935610000001</v>
      </c>
      <c r="D380">
        <v>248.6421369</v>
      </c>
      <c r="E380">
        <v>621.18175280000003</v>
      </c>
      <c r="F380">
        <v>2267.541471</v>
      </c>
      <c r="G380">
        <v>944.10345310000002</v>
      </c>
      <c r="H380">
        <v>198.37848009999999</v>
      </c>
      <c r="I380">
        <v>111.75346140000001</v>
      </c>
      <c r="J380">
        <v>107.3072124</v>
      </c>
      <c r="K380">
        <v>74.910888819999997</v>
      </c>
      <c r="L380">
        <v>19.72410485</v>
      </c>
      <c r="M380">
        <v>5.5064802530000003</v>
      </c>
      <c r="N380">
        <v>2.8538340980000001</v>
      </c>
      <c r="O380">
        <v>0</v>
      </c>
      <c r="P380">
        <v>1.379630275</v>
      </c>
    </row>
    <row r="381" spans="1:16" x14ac:dyDescent="0.2">
      <c r="A381" s="3">
        <f t="shared" si="5"/>
        <v>13660</v>
      </c>
      <c r="B381">
        <v>350</v>
      </c>
      <c r="C381">
        <v>1180</v>
      </c>
      <c r="D381">
        <v>4550</v>
      </c>
      <c r="E381">
        <v>4440</v>
      </c>
      <c r="F381">
        <v>1190</v>
      </c>
      <c r="G381">
        <v>490</v>
      </c>
      <c r="H381">
        <v>560</v>
      </c>
      <c r="I381">
        <v>650</v>
      </c>
      <c r="J381">
        <v>130</v>
      </c>
      <c r="K381">
        <v>60</v>
      </c>
      <c r="L381">
        <v>30</v>
      </c>
      <c r="M381">
        <v>10</v>
      </c>
      <c r="N381">
        <v>10</v>
      </c>
      <c r="O381">
        <v>0</v>
      </c>
      <c r="P381">
        <v>10</v>
      </c>
    </row>
    <row r="382" spans="1:16" x14ac:dyDescent="0.2">
      <c r="A382" s="3">
        <f t="shared" si="5"/>
        <v>9674.4017718380001</v>
      </c>
      <c r="B382">
        <v>141.55993710000001</v>
      </c>
      <c r="C382">
        <v>332.3180686</v>
      </c>
      <c r="D382">
        <v>975.2239558</v>
      </c>
      <c r="E382">
        <v>6577.7283360000001</v>
      </c>
      <c r="F382">
        <v>819.42248919999997</v>
      </c>
      <c r="G382">
        <v>211.0354178</v>
      </c>
      <c r="H382">
        <v>132.9748998</v>
      </c>
      <c r="I382">
        <v>239.12243620000001</v>
      </c>
      <c r="J382">
        <v>166.25072309999999</v>
      </c>
      <c r="K382">
        <v>33.859152139999999</v>
      </c>
      <c r="L382">
        <v>16.726261139999998</v>
      </c>
      <c r="M382">
        <v>17.897776409999999</v>
      </c>
      <c r="N382">
        <v>6.5767711320000002</v>
      </c>
      <c r="O382">
        <v>2.1390213710000001</v>
      </c>
      <c r="P382">
        <v>1.566526045</v>
      </c>
    </row>
    <row r="383" spans="1:16" x14ac:dyDescent="0.2">
      <c r="A383" s="3">
        <f t="shared" si="5"/>
        <v>11358.629198546767</v>
      </c>
      <c r="B383" s="2">
        <f>[2]pollock_biomass_num_length_by_r!R20</f>
        <v>5074.8172258820614</v>
      </c>
      <c r="C383" s="2">
        <f>[2]pollock_biomass_num_length_by_r!S20</f>
        <v>1146.363794175641</v>
      </c>
      <c r="D383" s="2">
        <f>[2]pollock_biomass_num_length_by_r!T20</f>
        <v>680.58221017369851</v>
      </c>
      <c r="E383" s="2">
        <f>[2]pollock_biomass_num_length_by_r!U20</f>
        <v>379.34652255278274</v>
      </c>
      <c r="F383" s="2">
        <f>[2]pollock_biomass_num_length_by_r!V20</f>
        <v>820.12204516353449</v>
      </c>
      <c r="G383" s="2">
        <f>[2]pollock_biomass_num_length_by_r!W20</f>
        <v>2485.0123600608745</v>
      </c>
      <c r="H383" s="2">
        <f>[2]pollock_biomass_num_length_by_r!X20</f>
        <v>449.9546161300982</v>
      </c>
      <c r="I383" s="2">
        <f>[2]pollock_biomass_num_length_by_r!Y20</f>
        <v>109.80323691178894</v>
      </c>
      <c r="J383" s="2">
        <f>[2]pollock_biomass_num_length_by_r!Z20</f>
        <v>86.062392800342309</v>
      </c>
      <c r="K383" s="2">
        <f>[2]pollock_biomass_num_length_by_r!AA20</f>
        <v>69.71616604296392</v>
      </c>
      <c r="L383" s="2">
        <f>[2]pollock_biomass_num_length_by_r!AB20</f>
        <v>37.761125577487412</v>
      </c>
      <c r="M383" s="2">
        <f>[2]pollock_biomass_num_length_by_r!AC20</f>
        <v>13.88930220602397</v>
      </c>
      <c r="N383" s="2">
        <f>[2]pollock_biomass_num_length_by_r!AD20</f>
        <v>3.3965576951246805</v>
      </c>
      <c r="O383" s="2">
        <f>[2]pollock_biomass_num_length_by_r!AE20</f>
        <v>1.0954886012162097</v>
      </c>
      <c r="P383" s="2">
        <f>[2]pollock_biomass_num_length_by_r!AF20</f>
        <v>0.70615457312735019</v>
      </c>
    </row>
    <row r="384" spans="1:16" s="5" customFormat="1" x14ac:dyDescent="0.2">
      <c r="A384" s="4"/>
      <c r="B384" s="5" t="s">
        <v>48</v>
      </c>
    </row>
    <row r="385" spans="1:23" x14ac:dyDescent="0.2">
      <c r="A385" s="3">
        <f>COUNT(B385:CI385)</f>
        <v>19</v>
      </c>
      <c r="B385">
        <v>3628.9292999999998</v>
      </c>
      <c r="C385">
        <v>2944.77187</v>
      </c>
      <c r="D385">
        <v>3590.8405400000001</v>
      </c>
      <c r="E385">
        <v>4141.37057</v>
      </c>
      <c r="F385">
        <v>3625.86364</v>
      </c>
      <c r="G385">
        <v>4305.86229</v>
      </c>
      <c r="H385">
        <v>4009.9370399999998</v>
      </c>
      <c r="I385">
        <v>1872.8632700000001</v>
      </c>
      <c r="J385">
        <v>2277.944</v>
      </c>
      <c r="K385">
        <v>1405.59025</v>
      </c>
      <c r="L385">
        <v>1324.7813699999999</v>
      </c>
      <c r="M385">
        <v>2642.6749</v>
      </c>
      <c r="N385">
        <v>2295.9518499999999</v>
      </c>
      <c r="O385">
        <v>4729.8277200000002</v>
      </c>
      <c r="P385">
        <v>4828.7934800000003</v>
      </c>
      <c r="Q385">
        <v>2499.4010600000001</v>
      </c>
      <c r="R385">
        <v>3617</v>
      </c>
      <c r="S385">
        <v>3834.0425100000002</v>
      </c>
      <c r="T385" s="2">
        <f>[2]pollock_biomass_num_length_by_r!$P$20</f>
        <v>2870.6369945798874</v>
      </c>
    </row>
    <row r="386" spans="1:23" s="5" customFormat="1" x14ac:dyDescent="0.2">
      <c r="A386" s="4"/>
      <c r="B386" s="5" t="s">
        <v>49</v>
      </c>
      <c r="P386" s="5">
        <f>P387/P385</f>
        <v>8.7405081983336338E-2</v>
      </c>
      <c r="Q386" s="5">
        <f>Q387/Q385</f>
        <v>0.18435589924891846</v>
      </c>
      <c r="R386" s="5">
        <f>R387/R385</f>
        <v>0.44938648603815318</v>
      </c>
      <c r="S386" s="5">
        <f>S387/S385</f>
        <v>0.32031750999025826</v>
      </c>
      <c r="T386" s="5">
        <f>S386/W386</f>
        <v>0.26284878025671193</v>
      </c>
      <c r="U386" s="36">
        <v>5.5800000000000002E-2</v>
      </c>
      <c r="V386" s="5">
        <v>6.8000000000000005E-2</v>
      </c>
      <c r="W386" s="5">
        <f>V386/U386</f>
        <v>1.2186379928315412</v>
      </c>
    </row>
    <row r="387" spans="1:23" x14ac:dyDescent="0.2">
      <c r="A387" s="3" t="s">
        <v>59</v>
      </c>
      <c r="B387">
        <v>685.88779999999997</v>
      </c>
      <c r="C387">
        <v>437.87997999999999</v>
      </c>
      <c r="D387">
        <v>485.94997999999998</v>
      </c>
      <c r="E387">
        <v>846.42433000000005</v>
      </c>
      <c r="F387">
        <v>466.54349000000002</v>
      </c>
      <c r="G387">
        <v>535.67926999999997</v>
      </c>
      <c r="H387">
        <v>579.13679999999999</v>
      </c>
      <c r="I387">
        <v>293.23714999999999</v>
      </c>
      <c r="J387">
        <v>399.67315000000002</v>
      </c>
      <c r="K387">
        <v>365.98969</v>
      </c>
      <c r="L387">
        <v>425.21071999999998</v>
      </c>
      <c r="M387">
        <v>661.55564000000004</v>
      </c>
      <c r="N387">
        <v>365.48014000000001</v>
      </c>
      <c r="O387">
        <v>761.94960000000003</v>
      </c>
      <c r="P387">
        <v>422.06108999999998</v>
      </c>
      <c r="Q387">
        <v>460.77933000000002</v>
      </c>
      <c r="R387">
        <v>1625.43092</v>
      </c>
      <c r="S387">
        <v>1228.11095</v>
      </c>
      <c r="T387" s="2">
        <v>754.54343258511676</v>
      </c>
    </row>
    <row r="388" spans="1:23" s="5" customFormat="1" x14ac:dyDescent="0.2">
      <c r="A388" s="4"/>
      <c r="B388" s="5" t="s">
        <v>50</v>
      </c>
    </row>
    <row r="389" spans="1:23" x14ac:dyDescent="0.2">
      <c r="B389">
        <v>2.8098301999999999E-2</v>
      </c>
      <c r="C389">
        <v>8.8950365000000003E-2</v>
      </c>
      <c r="D389">
        <v>0.23383385100000001</v>
      </c>
      <c r="E389">
        <v>0.38728862400000003</v>
      </c>
      <c r="F389">
        <v>0.56223516200000001</v>
      </c>
      <c r="G389">
        <v>0.63220144</v>
      </c>
      <c r="H389">
        <v>0.70435157900000001</v>
      </c>
      <c r="I389">
        <v>0.848887748</v>
      </c>
      <c r="J389">
        <v>0.96902235599999997</v>
      </c>
      <c r="K389">
        <v>1.1383616519999999</v>
      </c>
      <c r="L389">
        <v>1.2318210599999999</v>
      </c>
      <c r="M389">
        <v>1.4452066619999999</v>
      </c>
      <c r="N389">
        <v>1.403855796</v>
      </c>
      <c r="O389">
        <v>1.3566260560000001</v>
      </c>
      <c r="P389">
        <v>1.8225866049999999</v>
      </c>
    </row>
    <row r="390" spans="1:23" x14ac:dyDescent="0.2">
      <c r="B390">
        <v>3.7773965999999999E-2</v>
      </c>
      <c r="C390">
        <v>7.9180711000000001E-2</v>
      </c>
      <c r="D390">
        <v>0.228031394</v>
      </c>
      <c r="E390">
        <v>0.33085802600000003</v>
      </c>
      <c r="F390">
        <v>0.48248502199999999</v>
      </c>
      <c r="G390">
        <v>0.67108446499999996</v>
      </c>
      <c r="H390">
        <v>0.82861438300000001</v>
      </c>
      <c r="I390">
        <v>0.85391744400000003</v>
      </c>
      <c r="J390">
        <v>0.97196752099999995</v>
      </c>
      <c r="K390">
        <v>1.046543204</v>
      </c>
      <c r="L390">
        <v>1.211815358</v>
      </c>
      <c r="M390">
        <v>1.406491996</v>
      </c>
      <c r="N390">
        <v>1.1713102390000001</v>
      </c>
      <c r="O390">
        <v>1.470779469</v>
      </c>
      <c r="P390">
        <v>1.5958965300000001</v>
      </c>
    </row>
    <row r="391" spans="1:23" x14ac:dyDescent="0.2">
      <c r="B391">
        <v>3.3802090999999999E-2</v>
      </c>
      <c r="C391">
        <v>0.134739627</v>
      </c>
      <c r="D391">
        <v>0.25756815599999999</v>
      </c>
      <c r="E391">
        <v>0.38417733300000001</v>
      </c>
      <c r="F391">
        <v>0.479309027</v>
      </c>
      <c r="G391">
        <v>0.61145219299999998</v>
      </c>
      <c r="H391">
        <v>0.785806012</v>
      </c>
      <c r="I391">
        <v>0.97908672699999999</v>
      </c>
      <c r="J391">
        <v>1.045964863</v>
      </c>
      <c r="K391">
        <v>1.1455787909999999</v>
      </c>
      <c r="L391">
        <v>1.2395724539999999</v>
      </c>
      <c r="M391">
        <v>1.7150218610000001</v>
      </c>
      <c r="N391">
        <v>2.033758674</v>
      </c>
      <c r="O391">
        <v>1.6727860459999999</v>
      </c>
      <c r="P391">
        <v>1.423109296</v>
      </c>
    </row>
    <row r="392" spans="1:23" x14ac:dyDescent="0.2">
      <c r="B392">
        <v>2.9428196E-2</v>
      </c>
      <c r="C392">
        <v>9.8627188000000005E-2</v>
      </c>
      <c r="D392">
        <v>0.23558357999999999</v>
      </c>
      <c r="E392">
        <v>0.38024560800000001</v>
      </c>
      <c r="F392">
        <v>0.466445375</v>
      </c>
      <c r="G392">
        <v>0.59992930700000002</v>
      </c>
      <c r="H392">
        <v>0.64284738399999997</v>
      </c>
      <c r="I392">
        <v>0.69693298599999998</v>
      </c>
      <c r="J392">
        <v>0.80857328500000003</v>
      </c>
      <c r="K392">
        <v>0.93479224100000002</v>
      </c>
      <c r="L392">
        <v>0.98371624300000005</v>
      </c>
      <c r="M392">
        <v>1.1100902319999999</v>
      </c>
      <c r="N392">
        <v>0.89625691500000004</v>
      </c>
      <c r="O392">
        <v>1.6190419739999999</v>
      </c>
      <c r="P392">
        <v>1.2896664550000001</v>
      </c>
    </row>
    <row r="393" spans="1:23" x14ac:dyDescent="0.2">
      <c r="B393">
        <v>3.1532787E-2</v>
      </c>
      <c r="C393">
        <v>0.113172734</v>
      </c>
      <c r="D393">
        <v>0.24018762299999999</v>
      </c>
      <c r="E393">
        <v>0.39289284899999999</v>
      </c>
      <c r="F393">
        <v>0.54301159700000001</v>
      </c>
      <c r="G393">
        <v>0.63974694700000001</v>
      </c>
      <c r="H393">
        <v>0.71219186199999995</v>
      </c>
      <c r="I393">
        <v>0.74585136799999996</v>
      </c>
      <c r="J393">
        <v>0.78238122899999996</v>
      </c>
      <c r="K393">
        <v>0.90146914700000003</v>
      </c>
      <c r="L393">
        <v>1.0948500249999999</v>
      </c>
      <c r="M393">
        <v>0.92357504999999995</v>
      </c>
      <c r="N393">
        <v>1.072474776</v>
      </c>
      <c r="O393">
        <v>1.892101509</v>
      </c>
      <c r="P393">
        <v>1.416936706</v>
      </c>
    </row>
    <row r="394" spans="1:23" x14ac:dyDescent="0.2">
      <c r="B394">
        <v>3.3327848E-2</v>
      </c>
      <c r="C394">
        <v>0.133008776</v>
      </c>
      <c r="D394">
        <v>0.25604884</v>
      </c>
      <c r="E394">
        <v>0.39670786000000002</v>
      </c>
      <c r="F394">
        <v>0.56382238500000004</v>
      </c>
      <c r="G394">
        <v>0.67988364700000004</v>
      </c>
      <c r="H394">
        <v>0.80502076199999995</v>
      </c>
      <c r="I394">
        <v>0.93651840099999994</v>
      </c>
      <c r="J394">
        <v>1.006467236</v>
      </c>
      <c r="K394">
        <v>1.0344345909999999</v>
      </c>
      <c r="L394">
        <v>1.142940509</v>
      </c>
      <c r="M394">
        <v>1.0969760900000001</v>
      </c>
      <c r="N394">
        <v>1.5081782880000001</v>
      </c>
      <c r="O394">
        <v>1.440500871</v>
      </c>
      <c r="P394">
        <v>1.309022423</v>
      </c>
    </row>
    <row r="395" spans="1:23" x14ac:dyDescent="0.2">
      <c r="B395">
        <v>2.3417064000000001E-2</v>
      </c>
      <c r="C395">
        <v>0.115008316</v>
      </c>
      <c r="D395">
        <v>0.27688895600000002</v>
      </c>
      <c r="E395">
        <v>0.459929374</v>
      </c>
      <c r="F395">
        <v>0.56925742599999996</v>
      </c>
      <c r="G395">
        <v>0.69299112299999999</v>
      </c>
      <c r="H395">
        <v>0.76798241</v>
      </c>
      <c r="I395">
        <v>0.85736804499999997</v>
      </c>
      <c r="J395">
        <v>0.913345976</v>
      </c>
      <c r="K395">
        <v>0.98701144799999996</v>
      </c>
      <c r="L395">
        <v>1.022179787</v>
      </c>
      <c r="M395">
        <v>1.104971366</v>
      </c>
      <c r="N395">
        <v>1.048272624</v>
      </c>
      <c r="O395">
        <v>1.070253326</v>
      </c>
      <c r="P395">
        <v>1.3495686819999999</v>
      </c>
    </row>
    <row r="396" spans="1:23" x14ac:dyDescent="0.2">
      <c r="B396">
        <v>1.9380752000000001E-2</v>
      </c>
      <c r="C396">
        <v>0.10145982200000001</v>
      </c>
      <c r="D396">
        <v>0.24414475499999999</v>
      </c>
      <c r="E396">
        <v>0.37814567100000002</v>
      </c>
      <c r="F396">
        <v>0.52699222899999998</v>
      </c>
      <c r="G396">
        <v>0.65206661499999996</v>
      </c>
      <c r="H396">
        <v>0.76360385099999994</v>
      </c>
      <c r="I396">
        <v>0.84666801899999999</v>
      </c>
      <c r="J396">
        <v>0.93351983299999997</v>
      </c>
      <c r="K396">
        <v>0.97143749400000001</v>
      </c>
      <c r="L396">
        <v>1.0011509190000001</v>
      </c>
      <c r="M396">
        <v>1.1495346909999999</v>
      </c>
      <c r="N396">
        <v>1.2116872009999999</v>
      </c>
      <c r="O396">
        <v>1.281049807</v>
      </c>
      <c r="P396">
        <v>1.179917849</v>
      </c>
    </row>
    <row r="397" spans="1:23" x14ac:dyDescent="0.2">
      <c r="B397">
        <v>1.8495648999999999E-2</v>
      </c>
      <c r="C397">
        <v>8.7193363999999995E-2</v>
      </c>
      <c r="D397">
        <v>0.279247415</v>
      </c>
      <c r="E397">
        <v>0.43718783300000003</v>
      </c>
      <c r="F397">
        <v>0.58248880300000005</v>
      </c>
      <c r="G397">
        <v>0.68663239899999995</v>
      </c>
      <c r="H397">
        <v>0.78823631599999999</v>
      </c>
      <c r="I397">
        <v>0.87099972599999997</v>
      </c>
      <c r="J397">
        <v>0.970100191</v>
      </c>
      <c r="K397">
        <v>1.1027085160000001</v>
      </c>
      <c r="L397">
        <v>1.1056714510000001</v>
      </c>
      <c r="M397">
        <v>1.2369484479999999</v>
      </c>
      <c r="N397">
        <v>1.2354868450000001</v>
      </c>
      <c r="O397">
        <v>1.749460306</v>
      </c>
      <c r="P397">
        <v>1.230626606</v>
      </c>
    </row>
    <row r="398" spans="1:23" x14ac:dyDescent="0.2">
      <c r="B398">
        <v>2.2553568E-2</v>
      </c>
      <c r="C398">
        <v>8.3533376000000006E-2</v>
      </c>
      <c r="D398">
        <v>0.21397105999999999</v>
      </c>
      <c r="E398">
        <v>0.40660791499999999</v>
      </c>
      <c r="F398">
        <v>0.57580060799999999</v>
      </c>
      <c r="G398">
        <v>0.68906324200000002</v>
      </c>
      <c r="H398">
        <v>0.80522349299999996</v>
      </c>
      <c r="I398">
        <v>0.98197084899999998</v>
      </c>
      <c r="J398">
        <v>0.96832022399999995</v>
      </c>
      <c r="K398">
        <v>1.262557586</v>
      </c>
      <c r="L398">
        <v>1.2472124309999999</v>
      </c>
      <c r="M398">
        <v>1.2466489679999999</v>
      </c>
      <c r="N398">
        <v>1.389705798</v>
      </c>
      <c r="O398">
        <v>1.6380326970000001</v>
      </c>
      <c r="P398">
        <v>1.2469683009999999</v>
      </c>
    </row>
    <row r="399" spans="1:23" x14ac:dyDescent="0.2">
      <c r="B399">
        <v>2.0319990999999999E-2</v>
      </c>
      <c r="C399">
        <v>0.10850145999999999</v>
      </c>
      <c r="D399">
        <v>0.24195861900000001</v>
      </c>
      <c r="E399">
        <v>0.41645069600000001</v>
      </c>
      <c r="F399">
        <v>0.64661924500000001</v>
      </c>
      <c r="G399">
        <v>0.78533266300000004</v>
      </c>
      <c r="H399">
        <v>0.95014345300000003</v>
      </c>
      <c r="I399">
        <v>1.0306215750000001</v>
      </c>
      <c r="J399">
        <v>1.0640246280000001</v>
      </c>
      <c r="K399">
        <v>1.3283554529999999</v>
      </c>
      <c r="L399">
        <v>1.326541881</v>
      </c>
      <c r="M399">
        <v>1.5470371329999999</v>
      </c>
      <c r="N399">
        <v>1.5565858539999999</v>
      </c>
      <c r="O399">
        <v>1.5368162080000001</v>
      </c>
      <c r="P399">
        <v>1.7437159609999999</v>
      </c>
    </row>
    <row r="400" spans="1:23" x14ac:dyDescent="0.2">
      <c r="B400">
        <v>3.1689083999999999E-2</v>
      </c>
      <c r="C400">
        <v>0.11734314799999999</v>
      </c>
      <c r="D400">
        <v>0.221257593</v>
      </c>
      <c r="E400">
        <v>0.44114833799999997</v>
      </c>
      <c r="F400">
        <v>0.56523318099999997</v>
      </c>
      <c r="G400">
        <v>0.72191307000000005</v>
      </c>
      <c r="H400">
        <v>0.93679943799999998</v>
      </c>
      <c r="I400">
        <v>1.3365648569999999</v>
      </c>
      <c r="J400">
        <v>1.574484153</v>
      </c>
      <c r="K400">
        <v>1.6224372220000001</v>
      </c>
      <c r="L400">
        <v>1.692529159</v>
      </c>
      <c r="M400">
        <v>1.895356839</v>
      </c>
      <c r="N400">
        <v>1.9269976470000001</v>
      </c>
      <c r="O400">
        <v>1.9414515240000001</v>
      </c>
      <c r="P400">
        <v>1.96177442</v>
      </c>
    </row>
    <row r="401" spans="1:43" x14ac:dyDescent="0.2">
      <c r="B401">
        <v>2.7062065E-2</v>
      </c>
      <c r="C401">
        <v>9.5919641999999999E-2</v>
      </c>
      <c r="D401">
        <v>0.196687891</v>
      </c>
      <c r="E401">
        <v>0.37567857900000001</v>
      </c>
      <c r="F401">
        <v>0.53248356900000005</v>
      </c>
      <c r="G401">
        <v>0.68980872500000001</v>
      </c>
      <c r="H401">
        <v>0.83813980099999996</v>
      </c>
      <c r="I401">
        <v>0.92838321599999996</v>
      </c>
      <c r="J401">
        <v>1.269596435</v>
      </c>
      <c r="K401">
        <v>1.2671114489999999</v>
      </c>
      <c r="L401">
        <v>1.3283080629999999</v>
      </c>
      <c r="M401">
        <v>1.3877407589999999</v>
      </c>
      <c r="N401">
        <v>1.461337291</v>
      </c>
      <c r="O401">
        <v>1.764743441</v>
      </c>
      <c r="P401">
        <v>1.757660864</v>
      </c>
    </row>
    <row r="402" spans="1:43" x14ac:dyDescent="0.2">
      <c r="B402">
        <v>2.5225422000000001E-2</v>
      </c>
      <c r="C402">
        <v>0.13456103799999999</v>
      </c>
      <c r="D402">
        <v>0.22362502000000001</v>
      </c>
      <c r="E402">
        <v>0.39429725100000002</v>
      </c>
      <c r="F402">
        <v>0.54727595100000004</v>
      </c>
      <c r="G402">
        <v>0.69453373399999996</v>
      </c>
      <c r="H402">
        <v>0.76282845600000004</v>
      </c>
      <c r="I402">
        <v>0.99709786499999997</v>
      </c>
      <c r="J402">
        <v>1.142014088</v>
      </c>
      <c r="K402">
        <v>1.2663642900000001</v>
      </c>
      <c r="L402">
        <v>1.4441065390000001</v>
      </c>
      <c r="M402">
        <v>1.7110011249999999</v>
      </c>
      <c r="N402">
        <v>1.9030163040000001</v>
      </c>
      <c r="O402">
        <v>1.7945568460000001</v>
      </c>
      <c r="P402">
        <v>1.7766869240000001</v>
      </c>
    </row>
    <row r="403" spans="1:43" x14ac:dyDescent="0.2">
      <c r="B403">
        <v>3.3300215000000001E-2</v>
      </c>
      <c r="C403">
        <v>0.109915022</v>
      </c>
      <c r="D403">
        <v>0.26589982299999998</v>
      </c>
      <c r="E403">
        <v>0.48098001200000001</v>
      </c>
      <c r="F403">
        <v>0.53885808499999999</v>
      </c>
      <c r="G403">
        <v>0.63233835000000005</v>
      </c>
      <c r="H403">
        <v>0.69664412799999997</v>
      </c>
      <c r="I403">
        <v>0.78559349499999998</v>
      </c>
      <c r="J403">
        <v>0.84670904400000002</v>
      </c>
      <c r="K403">
        <v>0.96047921300000005</v>
      </c>
      <c r="L403">
        <v>1.166773547</v>
      </c>
      <c r="M403">
        <v>1.3694739359999999</v>
      </c>
      <c r="N403">
        <v>1.6232018939999999</v>
      </c>
      <c r="O403">
        <v>1.6847912089999999</v>
      </c>
      <c r="P403">
        <v>1.738218</v>
      </c>
    </row>
    <row r="404" spans="1:43" x14ac:dyDescent="0.2">
      <c r="B404">
        <v>2.9279013E-2</v>
      </c>
      <c r="C404">
        <v>0.113887513</v>
      </c>
      <c r="D404">
        <v>0.25112267500000002</v>
      </c>
      <c r="E404">
        <v>0.40643369000000001</v>
      </c>
      <c r="F404">
        <v>0.51202235500000004</v>
      </c>
      <c r="G404">
        <v>0.59579568500000002</v>
      </c>
      <c r="H404">
        <v>0.67860015600000001</v>
      </c>
      <c r="I404">
        <v>0.72186286099999997</v>
      </c>
      <c r="J404">
        <v>0.81782518000000004</v>
      </c>
      <c r="K404">
        <v>0.874899121</v>
      </c>
      <c r="L404">
        <v>0.97760769599999997</v>
      </c>
      <c r="M404">
        <v>1.044707584</v>
      </c>
      <c r="N404">
        <v>1.1519333899999999</v>
      </c>
      <c r="O404">
        <v>1.389053393</v>
      </c>
      <c r="P404">
        <v>1.6261733949999999</v>
      </c>
    </row>
    <row r="405" spans="1:43" x14ac:dyDescent="0.2">
      <c r="B405">
        <v>2.9279013E-2</v>
      </c>
      <c r="C405">
        <v>0.113887513</v>
      </c>
      <c r="D405">
        <v>0.25112267500000002</v>
      </c>
      <c r="E405">
        <v>0.40643369000000001</v>
      </c>
      <c r="F405">
        <v>0.51202235500000004</v>
      </c>
      <c r="G405">
        <v>0.59579568500000002</v>
      </c>
      <c r="H405">
        <v>0.67860015600000001</v>
      </c>
      <c r="I405">
        <v>0.72186286099999997</v>
      </c>
      <c r="J405">
        <v>0.81782518000000004</v>
      </c>
      <c r="K405">
        <v>0.874899121</v>
      </c>
      <c r="L405">
        <v>0.97760769599999997</v>
      </c>
      <c r="M405">
        <v>1.044707584</v>
      </c>
      <c r="N405">
        <v>1.1519333899999999</v>
      </c>
      <c r="O405">
        <v>1.389053393</v>
      </c>
      <c r="P405">
        <v>1.6261733949999999</v>
      </c>
    </row>
    <row r="406" spans="1:43" x14ac:dyDescent="0.2">
      <c r="B406">
        <v>2.2340125999999998E-2</v>
      </c>
      <c r="C406">
        <v>0.16307050200000001</v>
      </c>
      <c r="D406">
        <v>0.28087430200000002</v>
      </c>
      <c r="E406">
        <v>0.37731543899999997</v>
      </c>
      <c r="F406">
        <v>0.47539210599999998</v>
      </c>
      <c r="G406">
        <v>0.56840108600000006</v>
      </c>
      <c r="H406">
        <v>0.73328093900000002</v>
      </c>
      <c r="I406">
        <v>0.80313542400000004</v>
      </c>
      <c r="J406">
        <v>0.84026475199999995</v>
      </c>
      <c r="K406">
        <v>0.95574643400000003</v>
      </c>
      <c r="L406">
        <v>1.077189269</v>
      </c>
      <c r="M406">
        <v>0.99408522200000005</v>
      </c>
      <c r="N406">
        <v>1.21649973</v>
      </c>
      <c r="O406">
        <v>1.350697939</v>
      </c>
      <c r="P406">
        <v>1.969390269</v>
      </c>
    </row>
    <row r="407" spans="1:43" x14ac:dyDescent="0.2">
      <c r="B407" s="2">
        <f t="shared" ref="B407:P407" si="6">B180</f>
        <v>1.6258697083952819E-2</v>
      </c>
      <c r="C407" s="2">
        <f t="shared" si="6"/>
        <v>8.6594741842514353E-2</v>
      </c>
      <c r="D407" s="2">
        <f t="shared" si="6"/>
        <v>0.3018241641951897</v>
      </c>
      <c r="E407" s="2">
        <f t="shared" si="6"/>
        <v>0.42924925136143305</v>
      </c>
      <c r="F407" s="2">
        <f t="shared" si="6"/>
        <v>0.50915455990978109</v>
      </c>
      <c r="G407" s="2">
        <f t="shared" si="6"/>
        <v>0.54300278449549078</v>
      </c>
      <c r="H407" s="2">
        <f t="shared" si="6"/>
        <v>0.62247715852368202</v>
      </c>
      <c r="I407" s="2">
        <f t="shared" si="6"/>
        <v>0.73992141762545305</v>
      </c>
      <c r="J407" s="2">
        <f t="shared" si="6"/>
        <v>0.84854919864226985</v>
      </c>
      <c r="K407" s="2">
        <f t="shared" si="6"/>
        <v>0.89023341590477723</v>
      </c>
      <c r="L407" s="2">
        <f t="shared" si="6"/>
        <v>0.96316922837351082</v>
      </c>
      <c r="M407" s="2">
        <f t="shared" si="6"/>
        <v>1.0248896323979517</v>
      </c>
      <c r="N407" s="2">
        <f t="shared" si="6"/>
        <v>1.1394465531104383</v>
      </c>
      <c r="O407" s="2">
        <f t="shared" si="6"/>
        <v>0.97998985468666777</v>
      </c>
      <c r="P407" s="2">
        <f t="shared" si="6"/>
        <v>2.4030599449299168</v>
      </c>
    </row>
    <row r="408" spans="1:43" s="5" customFormat="1" x14ac:dyDescent="0.2">
      <c r="A408" s="4"/>
      <c r="B408" s="5" t="s">
        <v>51</v>
      </c>
    </row>
    <row r="409" spans="1:43" x14ac:dyDescent="0.2">
      <c r="A409" s="3">
        <f>COUNT(B409:CI409)</f>
        <v>42</v>
      </c>
      <c r="B409">
        <v>0.80156997399999996</v>
      </c>
      <c r="C409">
        <v>1.3087779260000001</v>
      </c>
      <c r="D409">
        <v>0.88700000000000001</v>
      </c>
      <c r="E409">
        <v>0.96299999999999997</v>
      </c>
      <c r="F409">
        <v>0.66069537300000003</v>
      </c>
      <c r="G409">
        <v>1.363870605</v>
      </c>
      <c r="H409">
        <v>0.93734663900000004</v>
      </c>
      <c r="I409">
        <v>1.263771226</v>
      </c>
      <c r="J409">
        <v>1.0361090150000001</v>
      </c>
      <c r="K409">
        <v>1.218350075</v>
      </c>
      <c r="L409">
        <v>0.770514845</v>
      </c>
      <c r="M409">
        <v>1.31695717</v>
      </c>
      <c r="N409">
        <v>0.565789349</v>
      </c>
      <c r="O409">
        <v>0.64625486399999998</v>
      </c>
      <c r="P409">
        <v>1.4475777780000001</v>
      </c>
      <c r="Q409">
        <v>1.095249208</v>
      </c>
      <c r="R409">
        <v>1.4759994009999999</v>
      </c>
      <c r="S409">
        <v>0.14905569799999999</v>
      </c>
      <c r="T409">
        <v>0.87097416800000005</v>
      </c>
      <c r="U409">
        <v>1.0491986369999999</v>
      </c>
      <c r="V409">
        <v>1.431904869</v>
      </c>
      <c r="W409">
        <v>1.629112326</v>
      </c>
      <c r="X409">
        <v>1.4675960459999999</v>
      </c>
      <c r="Y409">
        <v>1.4998822730000001</v>
      </c>
      <c r="Z409">
        <v>0.65158360800000004</v>
      </c>
      <c r="AA409">
        <v>0.64470445300000001</v>
      </c>
      <c r="AB409">
        <v>0.407246675</v>
      </c>
      <c r="AC409">
        <v>0.43967159300000003</v>
      </c>
      <c r="AD409">
        <v>0.43967159300000003</v>
      </c>
      <c r="AE409">
        <v>0.43967159300000003</v>
      </c>
      <c r="AF409">
        <v>0.43967159300000003</v>
      </c>
      <c r="AG409">
        <v>0.43967159300000003</v>
      </c>
      <c r="AH409">
        <v>0.43967159300000003</v>
      </c>
      <c r="AI409">
        <v>0.43967159300000003</v>
      </c>
      <c r="AJ409">
        <v>0.4</v>
      </c>
      <c r="AK409">
        <v>0.4</v>
      </c>
      <c r="AL409">
        <v>0.4</v>
      </c>
      <c r="AM409">
        <v>0.4</v>
      </c>
      <c r="AN409">
        <v>0.4</v>
      </c>
      <c r="AO409">
        <v>0.4</v>
      </c>
      <c r="AP409">
        <v>0.4</v>
      </c>
      <c r="AQ409" s="2">
        <v>0.4</v>
      </c>
    </row>
    <row r="410" spans="1:43" s="5" customFormat="1" x14ac:dyDescent="0.2">
      <c r="A410" s="4"/>
      <c r="B410" s="5" t="s">
        <v>53</v>
      </c>
    </row>
    <row r="411" spans="1:43" x14ac:dyDescent="0.2">
      <c r="B411">
        <v>1</v>
      </c>
    </row>
    <row r="412" spans="1:43" s="5" customFormat="1" x14ac:dyDescent="0.2">
      <c r="A412" s="4"/>
      <c r="B412" s="5" t="s">
        <v>54</v>
      </c>
    </row>
    <row r="413" spans="1:43" x14ac:dyDescent="0.2">
      <c r="B413">
        <v>0.99399999999999999</v>
      </c>
      <c r="C413">
        <v>5.7600000000000004E-3</v>
      </c>
      <c r="D413">
        <v>1.7199999999999999E-14</v>
      </c>
      <c r="E413">
        <v>0</v>
      </c>
      <c r="F413">
        <v>0</v>
      </c>
      <c r="G413">
        <v>0</v>
      </c>
      <c r="H413">
        <v>0</v>
      </c>
      <c r="I413">
        <v>0</v>
      </c>
      <c r="J413">
        <v>0</v>
      </c>
      <c r="K413">
        <v>0</v>
      </c>
      <c r="L413">
        <v>0</v>
      </c>
      <c r="M413">
        <v>0</v>
      </c>
      <c r="N413">
        <v>0</v>
      </c>
      <c r="O413">
        <v>0</v>
      </c>
      <c r="P413">
        <v>0</v>
      </c>
    </row>
    <row r="414" spans="1:43" x14ac:dyDescent="0.2">
      <c r="B414">
        <v>1.7600000000000001E-2</v>
      </c>
      <c r="C414">
        <v>0.96499999999999997</v>
      </c>
      <c r="D414">
        <v>1.7600000000000001E-2</v>
      </c>
      <c r="E414">
        <v>1.3200000000000001E-10</v>
      </c>
      <c r="F414">
        <v>0</v>
      </c>
      <c r="G414">
        <v>0</v>
      </c>
      <c r="H414">
        <v>0</v>
      </c>
      <c r="I414">
        <v>0</v>
      </c>
      <c r="J414">
        <v>0</v>
      </c>
      <c r="K414">
        <v>0</v>
      </c>
      <c r="L414">
        <v>0</v>
      </c>
      <c r="M414">
        <v>0</v>
      </c>
      <c r="N414">
        <v>0</v>
      </c>
      <c r="O414">
        <v>0</v>
      </c>
      <c r="P414">
        <v>0</v>
      </c>
    </row>
    <row r="415" spans="1:43" x14ac:dyDescent="0.2">
      <c r="B415">
        <v>3.0199999999999999E-8</v>
      </c>
      <c r="C415">
        <v>3.5499999999999997E-2</v>
      </c>
      <c r="D415">
        <v>0.92900000000000005</v>
      </c>
      <c r="E415">
        <v>3.5499999999999997E-2</v>
      </c>
      <c r="F415">
        <v>3.0199999999999999E-8</v>
      </c>
      <c r="G415">
        <v>0</v>
      </c>
      <c r="H415">
        <v>0</v>
      </c>
      <c r="I415">
        <v>0</v>
      </c>
      <c r="J415">
        <v>0</v>
      </c>
      <c r="K415">
        <v>0</v>
      </c>
      <c r="L415">
        <v>0</v>
      </c>
      <c r="M415">
        <v>0</v>
      </c>
      <c r="N415">
        <v>0</v>
      </c>
      <c r="O415">
        <v>0</v>
      </c>
      <c r="P415">
        <v>0</v>
      </c>
    </row>
    <row r="416" spans="1:43" x14ac:dyDescent="0.2">
      <c r="B416">
        <v>1.3799999999999999E-15</v>
      </c>
      <c r="C416">
        <v>1.06E-6</v>
      </c>
      <c r="D416">
        <v>5.7000000000000002E-2</v>
      </c>
      <c r="E416">
        <v>0.88600000000000001</v>
      </c>
      <c r="F416">
        <v>5.7015090999999997E-2</v>
      </c>
      <c r="G416">
        <v>1.06E-6</v>
      </c>
      <c r="H416">
        <v>0</v>
      </c>
      <c r="I416">
        <v>0</v>
      </c>
      <c r="J416">
        <v>0</v>
      </c>
      <c r="K416">
        <v>0</v>
      </c>
      <c r="L416">
        <v>0</v>
      </c>
      <c r="M416">
        <v>0</v>
      </c>
      <c r="N416">
        <v>0</v>
      </c>
      <c r="O416">
        <v>0</v>
      </c>
      <c r="P416">
        <v>0</v>
      </c>
    </row>
    <row r="417" spans="1:51" x14ac:dyDescent="0.2">
      <c r="B417">
        <v>3.9999999999999998E-23</v>
      </c>
      <c r="C417">
        <v>1.0700000000000001E-12</v>
      </c>
      <c r="D417">
        <v>1.2500000000000001E-5</v>
      </c>
      <c r="E417">
        <v>0.08</v>
      </c>
      <c r="F417">
        <v>0.84</v>
      </c>
      <c r="G417">
        <v>8.0011094000000005E-2</v>
      </c>
      <c r="H417">
        <v>1.2500000000000001E-5</v>
      </c>
      <c r="I417">
        <v>1.0700000000000001E-12</v>
      </c>
      <c r="J417">
        <v>0</v>
      </c>
      <c r="K417">
        <v>0</v>
      </c>
      <c r="L417">
        <v>0</v>
      </c>
      <c r="M417">
        <v>0</v>
      </c>
      <c r="N417">
        <v>0</v>
      </c>
      <c r="O417">
        <v>0</v>
      </c>
      <c r="P417">
        <v>0</v>
      </c>
    </row>
    <row r="418" spans="1:51" x14ac:dyDescent="0.2">
      <c r="B418">
        <v>2.5999999999999999E-30</v>
      </c>
      <c r="C418">
        <v>4.3000000000000002E-19</v>
      </c>
      <c r="D418">
        <v>1.28E-10</v>
      </c>
      <c r="E418">
        <v>7.4200000000000001E-5</v>
      </c>
      <c r="F418">
        <v>0.10299999999999999</v>
      </c>
      <c r="G418">
        <v>0.79400000000000004</v>
      </c>
      <c r="H418">
        <v>0.102942042</v>
      </c>
      <c r="I418">
        <v>7.4200000000000001E-5</v>
      </c>
      <c r="J418">
        <v>1.28E-10</v>
      </c>
      <c r="K418">
        <v>0</v>
      </c>
      <c r="L418">
        <v>0</v>
      </c>
      <c r="M418">
        <v>0</v>
      </c>
      <c r="N418">
        <v>0</v>
      </c>
      <c r="O418">
        <v>0</v>
      </c>
      <c r="P418">
        <v>0</v>
      </c>
    </row>
    <row r="419" spans="1:51" x14ac:dyDescent="0.2">
      <c r="B419">
        <v>5.8400000000000001E-37</v>
      </c>
      <c r="C419">
        <v>2.1499999999999999E-25</v>
      </c>
      <c r="D419">
        <v>4.2099999999999999E-16</v>
      </c>
      <c r="E419">
        <v>4.4999999999999998E-9</v>
      </c>
      <c r="F419">
        <v>2.81E-4</v>
      </c>
      <c r="G419">
        <v>0.125</v>
      </c>
      <c r="H419">
        <v>0.75</v>
      </c>
      <c r="I419">
        <v>0.124855101</v>
      </c>
      <c r="J419">
        <v>2.81265E-4</v>
      </c>
      <c r="K419">
        <v>4.4999999999999998E-9</v>
      </c>
      <c r="L419">
        <v>0</v>
      </c>
      <c r="M419">
        <v>0</v>
      </c>
      <c r="N419">
        <v>0</v>
      </c>
      <c r="O419">
        <v>0</v>
      </c>
      <c r="P419">
        <v>0</v>
      </c>
    </row>
    <row r="420" spans="1:51" x14ac:dyDescent="0.2">
      <c r="B420">
        <v>4.98E-43</v>
      </c>
      <c r="C420">
        <v>2.2199999999999998E-31</v>
      </c>
      <c r="D420">
        <v>1.21E-21</v>
      </c>
      <c r="E420">
        <v>8.0499999999999998E-14</v>
      </c>
      <c r="F420">
        <v>6.8299999999999996E-8</v>
      </c>
      <c r="G420">
        <v>7.8399999999999997E-4</v>
      </c>
      <c r="H420">
        <v>0.14499999999999999</v>
      </c>
      <c r="I420">
        <v>0.70799999999999996</v>
      </c>
      <c r="J420">
        <v>0.145168358</v>
      </c>
      <c r="K420">
        <v>7.8375799999999996E-4</v>
      </c>
      <c r="L420">
        <v>6.8299999999999996E-8</v>
      </c>
      <c r="M420">
        <v>8.0499999999999998E-14</v>
      </c>
      <c r="N420">
        <v>0</v>
      </c>
      <c r="O420">
        <v>0</v>
      </c>
      <c r="P420">
        <v>0</v>
      </c>
    </row>
    <row r="421" spans="1:51" x14ac:dyDescent="0.2">
      <c r="B421">
        <v>1.5299999999999999E-48</v>
      </c>
      <c r="C421">
        <v>5.7200000000000001E-37</v>
      </c>
      <c r="D421">
        <v>4.9599999999999999E-27</v>
      </c>
      <c r="E421">
        <v>1.01E-18</v>
      </c>
      <c r="F421">
        <v>4.8599999999999999E-12</v>
      </c>
      <c r="G421">
        <v>5.7299999999999996E-7</v>
      </c>
      <c r="H421">
        <v>1.7600000000000001E-3</v>
      </c>
      <c r="I421">
        <v>0.16400000000000001</v>
      </c>
      <c r="J421">
        <v>0.66900000000000004</v>
      </c>
      <c r="K421">
        <v>0.163535451</v>
      </c>
      <c r="L421">
        <v>1.7562719999999999E-3</v>
      </c>
      <c r="M421">
        <v>5.7299999999999996E-7</v>
      </c>
      <c r="N421">
        <v>4.8599999999999999E-12</v>
      </c>
      <c r="O421">
        <v>0</v>
      </c>
      <c r="P421">
        <v>0</v>
      </c>
    </row>
    <row r="422" spans="1:51" x14ac:dyDescent="0.2">
      <c r="B422">
        <v>1.5300000000000001E-53</v>
      </c>
      <c r="C422">
        <v>3.8400000000000003E-42</v>
      </c>
      <c r="D422">
        <v>3.7300000000000001E-32</v>
      </c>
      <c r="E422">
        <v>1.4199999999999999E-23</v>
      </c>
      <c r="F422">
        <v>2.1199999999999999E-16</v>
      </c>
      <c r="G422">
        <v>1.27E-10</v>
      </c>
      <c r="H422">
        <v>3.1300000000000001E-6</v>
      </c>
      <c r="I422">
        <v>3.3600000000000001E-3</v>
      </c>
      <c r="J422">
        <v>0.18</v>
      </c>
      <c r="K422">
        <v>0.63400000000000001</v>
      </c>
      <c r="L422">
        <v>0.179774235</v>
      </c>
      <c r="M422">
        <v>3.3563550000000001E-3</v>
      </c>
      <c r="N422">
        <v>3.1300000000000001E-6</v>
      </c>
      <c r="O422">
        <v>1.27E-10</v>
      </c>
      <c r="P422">
        <v>0</v>
      </c>
    </row>
    <row r="423" spans="1:51" x14ac:dyDescent="0.2">
      <c r="B423">
        <v>4.4499999999999998E-58</v>
      </c>
      <c r="C423">
        <v>6.5200000000000004E-47</v>
      </c>
      <c r="D423">
        <v>5.6400000000000002E-37</v>
      </c>
      <c r="E423">
        <v>2.8799999999999998E-28</v>
      </c>
      <c r="F423">
        <v>8.7800000000000005E-21</v>
      </c>
      <c r="G423">
        <v>1.6000000000000001E-14</v>
      </c>
      <c r="H423">
        <v>1.7800000000000001E-9</v>
      </c>
      <c r="I423">
        <v>1.24E-5</v>
      </c>
      <c r="J423">
        <v>5.6899999999999997E-3</v>
      </c>
      <c r="K423">
        <v>0.19400000000000001</v>
      </c>
      <c r="L423">
        <v>0.60093454000000002</v>
      </c>
      <c r="M423">
        <v>0.19382756100000001</v>
      </c>
      <c r="N423">
        <v>5.6927599999999998E-3</v>
      </c>
      <c r="O423">
        <v>1.24E-5</v>
      </c>
      <c r="P423">
        <v>1.7800000000000001E-9</v>
      </c>
    </row>
    <row r="424" spans="1:51" x14ac:dyDescent="0.2">
      <c r="B424">
        <v>3.3199999999999998E-62</v>
      </c>
      <c r="C424">
        <v>2.6499999999999999E-51</v>
      </c>
      <c r="D424">
        <v>1.75E-41</v>
      </c>
      <c r="E424">
        <v>9.6399999999999999E-33</v>
      </c>
      <c r="F424">
        <v>4.4300000000000003E-25</v>
      </c>
      <c r="G424">
        <v>1.71E-18</v>
      </c>
      <c r="H424">
        <v>5.5700000000000005E-13</v>
      </c>
      <c r="I424">
        <v>1.5600000000000001E-8</v>
      </c>
      <c r="J424">
        <v>3.8600000000000003E-5</v>
      </c>
      <c r="K424">
        <v>8.8100000000000001E-3</v>
      </c>
      <c r="L424">
        <v>0.20599999999999999</v>
      </c>
      <c r="M424">
        <v>0.57083187300000005</v>
      </c>
      <c r="N424">
        <v>0.205734376</v>
      </c>
      <c r="O424">
        <v>8.8111119999999994E-3</v>
      </c>
      <c r="P424">
        <v>3.8600000000000003E-5</v>
      </c>
    </row>
    <row r="425" spans="1:51" x14ac:dyDescent="0.2">
      <c r="B425">
        <v>5.7299999999999998E-66</v>
      </c>
      <c r="C425">
        <v>2.39E-55</v>
      </c>
      <c r="D425">
        <v>1.1E-45</v>
      </c>
      <c r="E425">
        <v>5.5699999999999996E-37</v>
      </c>
      <c r="F425">
        <v>3.13E-29</v>
      </c>
      <c r="G425">
        <v>1.95E-22</v>
      </c>
      <c r="H425">
        <v>1.3599999999999999E-16</v>
      </c>
      <c r="I425">
        <v>1.0599999999999999E-11</v>
      </c>
      <c r="J425">
        <v>9.5000000000000004E-8</v>
      </c>
      <c r="K425">
        <v>9.9300000000000001E-5</v>
      </c>
      <c r="L425">
        <v>1.2699999999999999E-2</v>
      </c>
      <c r="M425">
        <v>0.215603453</v>
      </c>
      <c r="N425">
        <v>0.54320473700000005</v>
      </c>
      <c r="O425">
        <v>0.215603453</v>
      </c>
      <c r="P425">
        <v>1.2794178E-2</v>
      </c>
    </row>
    <row r="426" spans="1:51" x14ac:dyDescent="0.2">
      <c r="B426">
        <v>2.08E-69</v>
      </c>
      <c r="C426">
        <v>4.4700000000000001E-59</v>
      </c>
      <c r="D426">
        <v>1.3400000000000001E-49</v>
      </c>
      <c r="E426">
        <v>5.6499999999999999E-41</v>
      </c>
      <c r="F426">
        <v>3.3300000000000002E-33</v>
      </c>
      <c r="G426">
        <v>2.7600000000000002E-26</v>
      </c>
      <c r="H426">
        <v>3.2199999999999998E-20</v>
      </c>
      <c r="I426">
        <v>5.34E-15</v>
      </c>
      <c r="J426">
        <v>1.26E-10</v>
      </c>
      <c r="K426">
        <v>4.3300000000000003E-7</v>
      </c>
      <c r="L426">
        <v>2.2000000000000001E-4</v>
      </c>
      <c r="M426">
        <v>1.7275672999999998E-2</v>
      </c>
      <c r="N426">
        <v>0.22358935199999999</v>
      </c>
      <c r="O426">
        <v>0.51782865899999997</v>
      </c>
      <c r="P426">
        <v>0.24108567</v>
      </c>
    </row>
    <row r="427" spans="1:51" x14ac:dyDescent="0.2">
      <c r="B427">
        <v>1.46E-72</v>
      </c>
      <c r="C427">
        <v>1.6199999999999999E-62</v>
      </c>
      <c r="D427">
        <v>3.0699999999999999E-53</v>
      </c>
      <c r="E427">
        <v>9.9400000000000004E-45</v>
      </c>
      <c r="F427">
        <v>5.5200000000000002E-37</v>
      </c>
      <c r="G427">
        <v>5.26E-30</v>
      </c>
      <c r="H427">
        <v>8.6300000000000002E-24</v>
      </c>
      <c r="I427">
        <v>2.4400000000000001E-18</v>
      </c>
      <c r="J427">
        <v>1.1999999999999999E-13</v>
      </c>
      <c r="K427">
        <v>1.03E-9</v>
      </c>
      <c r="L427">
        <v>1.57E-6</v>
      </c>
      <c r="M427">
        <v>4.33888E-4</v>
      </c>
      <c r="N427">
        <v>2.2448549000000002E-2</v>
      </c>
      <c r="O427">
        <v>0.229871987</v>
      </c>
      <c r="P427">
        <v>0.74724400199999996</v>
      </c>
    </row>
    <row r="428" spans="1:51" s="5" customFormat="1" x14ac:dyDescent="0.2">
      <c r="A428" s="4"/>
      <c r="B428" s="5" t="s">
        <v>55</v>
      </c>
    </row>
    <row r="429" spans="1:51" x14ac:dyDescent="0.2">
      <c r="B429">
        <v>50</v>
      </c>
    </row>
    <row r="430" spans="1:51" s="5" customFormat="1" x14ac:dyDescent="0.2">
      <c r="A430" s="4"/>
      <c r="B430" s="5" t="s">
        <v>56</v>
      </c>
    </row>
    <row r="431" spans="1:51" x14ac:dyDescent="0.2">
      <c r="B431">
        <v>356.30169999999998</v>
      </c>
      <c r="C431">
        <v>191.3244</v>
      </c>
      <c r="D431">
        <v>175.99860000000001</v>
      </c>
      <c r="E431">
        <v>272.32119999999998</v>
      </c>
      <c r="F431">
        <v>300.42899999999997</v>
      </c>
      <c r="G431">
        <v>379.95339999999999</v>
      </c>
      <c r="H431">
        <v>1060.6808000000001</v>
      </c>
      <c r="I431">
        <v>1871.7529999999999</v>
      </c>
      <c r="J431">
        <v>3406.3110000000001</v>
      </c>
      <c r="K431">
        <v>8008.7790000000005</v>
      </c>
      <c r="L431">
        <v>14866.69</v>
      </c>
      <c r="M431">
        <v>28191.33</v>
      </c>
      <c r="N431">
        <v>47829.85</v>
      </c>
      <c r="O431">
        <v>75761.34</v>
      </c>
      <c r="P431">
        <v>118991.21</v>
      </c>
      <c r="Q431">
        <v>160278.74</v>
      </c>
      <c r="R431">
        <v>187798.99</v>
      </c>
      <c r="S431">
        <v>195005.81</v>
      </c>
      <c r="T431">
        <v>161925.57</v>
      </c>
      <c r="U431">
        <v>120952.47</v>
      </c>
      <c r="V431">
        <v>81832.509999999995</v>
      </c>
      <c r="W431">
        <v>58525.5</v>
      </c>
      <c r="X431">
        <v>48529.8</v>
      </c>
      <c r="Y431">
        <v>53112.68</v>
      </c>
      <c r="Z431">
        <v>63932.6</v>
      </c>
      <c r="AA431">
        <v>85089.87</v>
      </c>
      <c r="AB431">
        <v>99836.23</v>
      </c>
      <c r="AC431">
        <v>108665.82</v>
      </c>
      <c r="AD431">
        <v>106007.88</v>
      </c>
      <c r="AE431">
        <v>95931.45</v>
      </c>
      <c r="AF431">
        <v>84187.29</v>
      </c>
      <c r="AG431">
        <v>68509.41</v>
      </c>
      <c r="AH431">
        <v>54431.39</v>
      </c>
      <c r="AI431">
        <v>41751.01</v>
      </c>
      <c r="AJ431">
        <v>29627.829000000002</v>
      </c>
      <c r="AK431">
        <v>23569.507000000001</v>
      </c>
      <c r="AL431">
        <v>16344.513000000001</v>
      </c>
      <c r="AM431">
        <v>12779.3747</v>
      </c>
      <c r="AN431">
        <v>8947.8269</v>
      </c>
      <c r="AO431">
        <v>6733.8239000000003</v>
      </c>
      <c r="AP431">
        <v>5031.3190000000004</v>
      </c>
      <c r="AQ431">
        <v>3361.0409</v>
      </c>
      <c r="AR431">
        <v>2788.0421000000001</v>
      </c>
      <c r="AS431">
        <v>1906.3801000000001</v>
      </c>
      <c r="AT431">
        <v>1438.2577000000001</v>
      </c>
      <c r="AU431">
        <v>870.67470000000003</v>
      </c>
      <c r="AV431">
        <v>733.15530000000001</v>
      </c>
      <c r="AW431">
        <v>561.25170000000003</v>
      </c>
      <c r="AX431">
        <v>392.63940000000002</v>
      </c>
      <c r="AY431">
        <v>298.4975</v>
      </c>
    </row>
    <row r="432" spans="1:51" s="5" customFormat="1" x14ac:dyDescent="0.2">
      <c r="A432" s="4"/>
      <c r="B432" s="5" t="s">
        <v>57</v>
      </c>
    </row>
    <row r="433" spans="1:26" x14ac:dyDescent="0.2">
      <c r="B433">
        <v>1</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row>
    <row r="434" spans="1:26" x14ac:dyDescent="0.2">
      <c r="B434">
        <v>0.99</v>
      </c>
      <c r="C434">
        <v>9.4900000000000002E-3</v>
      </c>
      <c r="D434">
        <v>2.2200000000000001E-5</v>
      </c>
      <c r="E434">
        <v>2.2200000000000001E-5</v>
      </c>
      <c r="F434">
        <v>3.4400000000000001E-7</v>
      </c>
      <c r="G434">
        <v>8.8900000000000005E-9</v>
      </c>
      <c r="H434">
        <v>6.4199999999999995E-10</v>
      </c>
      <c r="I434">
        <v>3.83E-11</v>
      </c>
      <c r="J434">
        <v>1.8899999999999998E-12</v>
      </c>
      <c r="K434">
        <v>7.6700000000000004E-14</v>
      </c>
      <c r="L434">
        <v>2.55E-15</v>
      </c>
      <c r="M434">
        <v>1.11E-16</v>
      </c>
      <c r="N434">
        <v>0</v>
      </c>
      <c r="O434">
        <v>0</v>
      </c>
      <c r="P434">
        <v>0</v>
      </c>
      <c r="Q434">
        <v>0</v>
      </c>
      <c r="R434">
        <v>0</v>
      </c>
      <c r="S434">
        <v>0</v>
      </c>
      <c r="T434">
        <v>0</v>
      </c>
      <c r="U434">
        <v>0</v>
      </c>
      <c r="V434">
        <v>0</v>
      </c>
      <c r="W434">
        <v>0</v>
      </c>
      <c r="X434">
        <v>0</v>
      </c>
      <c r="Y434">
        <v>0</v>
      </c>
      <c r="Z434">
        <v>0</v>
      </c>
    </row>
    <row r="435" spans="1:26" x14ac:dyDescent="0.2">
      <c r="B435">
        <v>0.18</v>
      </c>
      <c r="C435">
        <v>0.23400000000000001</v>
      </c>
      <c r="D435">
        <v>0.27100000000000002</v>
      </c>
      <c r="E435">
        <v>0.19600000000000001</v>
      </c>
      <c r="F435">
        <v>7.46E-2</v>
      </c>
      <c r="G435">
        <v>2.41E-2</v>
      </c>
      <c r="H435">
        <v>1.1827654E-2</v>
      </c>
      <c r="I435">
        <v>5.1483179999999998E-3</v>
      </c>
      <c r="J435">
        <v>1.985807E-3</v>
      </c>
      <c r="K435">
        <v>6.7874700000000005E-4</v>
      </c>
      <c r="L435">
        <v>2.0557600000000001E-4</v>
      </c>
      <c r="M435">
        <v>5.52E-5</v>
      </c>
      <c r="N435">
        <v>1.31E-5</v>
      </c>
      <c r="O435">
        <v>2.7599999999999998E-6</v>
      </c>
      <c r="P435">
        <v>5.1600000000000001E-7</v>
      </c>
      <c r="Q435">
        <v>9.4500000000000006E-8</v>
      </c>
      <c r="R435">
        <v>5.14E-9</v>
      </c>
      <c r="S435">
        <v>6.6399999999999998E-11</v>
      </c>
      <c r="T435">
        <v>5.3199999999999995E-13</v>
      </c>
      <c r="U435">
        <v>2.6599999999999998E-15</v>
      </c>
      <c r="V435">
        <v>0</v>
      </c>
      <c r="W435">
        <v>0</v>
      </c>
      <c r="X435">
        <v>0</v>
      </c>
      <c r="Y435">
        <v>0</v>
      </c>
      <c r="Z435">
        <v>0</v>
      </c>
    </row>
    <row r="436" spans="1:26" x14ac:dyDescent="0.2">
      <c r="B436">
        <v>1.66E-3</v>
      </c>
      <c r="C436">
        <v>9.1299999999999992E-3</v>
      </c>
      <c r="D436">
        <v>3.7699999999999997E-2</v>
      </c>
      <c r="E436">
        <v>0.105</v>
      </c>
      <c r="F436">
        <v>0.14000000000000001</v>
      </c>
      <c r="G436">
        <v>0.11799999999999999</v>
      </c>
      <c r="H436">
        <v>0.127</v>
      </c>
      <c r="I436">
        <v>0.123</v>
      </c>
      <c r="J436">
        <v>0.108</v>
      </c>
      <c r="K436">
        <v>8.5342971000000004E-2</v>
      </c>
      <c r="L436">
        <v>6.1163852999999997E-2</v>
      </c>
      <c r="M436">
        <v>3.9625368000000001E-2</v>
      </c>
      <c r="N436">
        <v>2.3206067E-2</v>
      </c>
      <c r="O436">
        <v>1.2285068E-2</v>
      </c>
      <c r="P436">
        <v>5.8789389999999997E-3</v>
      </c>
      <c r="Q436">
        <v>3.1615749999999998E-3</v>
      </c>
      <c r="R436">
        <v>7.99915E-4</v>
      </c>
      <c r="S436">
        <v>7.7899999999999996E-5</v>
      </c>
      <c r="T436">
        <v>5.1000000000000003E-6</v>
      </c>
      <c r="U436">
        <v>2.2399999999999999E-7</v>
      </c>
      <c r="V436">
        <v>6.6100000000000001E-9</v>
      </c>
      <c r="W436">
        <v>1.3100000000000001E-10</v>
      </c>
      <c r="X436">
        <v>1.7300000000000001E-12</v>
      </c>
      <c r="Y436">
        <v>1.5299999999999999E-14</v>
      </c>
      <c r="Z436">
        <v>0</v>
      </c>
    </row>
    <row r="437" spans="1:26" x14ac:dyDescent="0.2">
      <c r="B437">
        <v>2.2299999999999998E-6</v>
      </c>
      <c r="C437">
        <v>3.4499999999999998E-5</v>
      </c>
      <c r="D437">
        <v>3.8200000000000002E-4</v>
      </c>
      <c r="E437">
        <v>2.8900000000000002E-3</v>
      </c>
      <c r="F437">
        <v>9.0100000000000006E-3</v>
      </c>
      <c r="G437">
        <v>1.4200000000000001E-2</v>
      </c>
      <c r="H437">
        <v>2.58E-2</v>
      </c>
      <c r="I437">
        <v>4.2700000000000002E-2</v>
      </c>
      <c r="J437">
        <v>6.4100000000000004E-2</v>
      </c>
      <c r="K437">
        <v>8.7300000000000003E-2</v>
      </c>
      <c r="L437">
        <v>0.107985505</v>
      </c>
      <c r="M437">
        <v>0.121217889</v>
      </c>
      <c r="N437">
        <v>0.123525185</v>
      </c>
      <c r="O437">
        <v>0.114269917</v>
      </c>
      <c r="P437">
        <v>9.5961196999999998E-2</v>
      </c>
      <c r="Q437">
        <v>0.101110882</v>
      </c>
      <c r="R437">
        <v>6.4927078999999999E-2</v>
      </c>
      <c r="S437">
        <v>1.9725952000000001E-2</v>
      </c>
      <c r="T437">
        <v>4.1035680000000001E-3</v>
      </c>
      <c r="U437">
        <v>5.8414899999999995E-4</v>
      </c>
      <c r="V437">
        <v>5.6900000000000001E-5</v>
      </c>
      <c r="W437">
        <v>3.7799999999999998E-6</v>
      </c>
      <c r="X437">
        <v>1.72E-7</v>
      </c>
      <c r="Y437">
        <v>5.3199999999999998E-9</v>
      </c>
      <c r="Z437">
        <v>1.1399999999999999E-10</v>
      </c>
    </row>
    <row r="438" spans="1:26" x14ac:dyDescent="0.2">
      <c r="B438">
        <v>2.7100000000000001E-8</v>
      </c>
      <c r="C438">
        <v>5.2200000000000004E-7</v>
      </c>
      <c r="D438">
        <v>7.6499999999999996E-6</v>
      </c>
      <c r="E438">
        <v>8.2000000000000001E-5</v>
      </c>
      <c r="F438">
        <v>3.57E-4</v>
      </c>
      <c r="G438">
        <v>7.36E-4</v>
      </c>
      <c r="H438">
        <v>1.72E-3</v>
      </c>
      <c r="I438">
        <v>3.7299999999999998E-3</v>
      </c>
      <c r="J438">
        <v>7.4700000000000001E-3</v>
      </c>
      <c r="K438">
        <v>1.38E-2</v>
      </c>
      <c r="L438">
        <v>2.3599999999999999E-2</v>
      </c>
      <c r="M438">
        <v>3.7274810999999998E-2</v>
      </c>
      <c r="N438">
        <v>5.4378942999999999E-2</v>
      </c>
      <c r="O438">
        <v>7.3305192000000005E-2</v>
      </c>
      <c r="P438">
        <v>9.1312009999999999E-2</v>
      </c>
      <c r="Q438">
        <v>0.160683414</v>
      </c>
      <c r="R438">
        <v>0.21765195200000001</v>
      </c>
      <c r="S438">
        <v>0.16675665200000001</v>
      </c>
      <c r="T438">
        <v>9.3721299999999994E-2</v>
      </c>
      <c r="U438">
        <v>3.8633431000000003E-2</v>
      </c>
      <c r="V438">
        <v>1.1677831E-2</v>
      </c>
      <c r="W438">
        <v>2.5876879999999999E-3</v>
      </c>
      <c r="X438">
        <v>4.2021099999999998E-4</v>
      </c>
      <c r="Y438">
        <v>5.0000000000000002E-5</v>
      </c>
      <c r="Z438">
        <v>4.6500000000000004E-6</v>
      </c>
    </row>
    <row r="439" spans="1:26" x14ac:dyDescent="0.2">
      <c r="B439">
        <v>8.2800000000000004E-10</v>
      </c>
      <c r="C439">
        <v>1.7500000000000001E-8</v>
      </c>
      <c r="D439">
        <v>2.9200000000000002E-7</v>
      </c>
      <c r="E439">
        <v>3.7299999999999999E-6</v>
      </c>
      <c r="F439">
        <v>1.9300000000000002E-5</v>
      </c>
      <c r="G439">
        <v>4.5899999999999998E-5</v>
      </c>
      <c r="H439">
        <v>1.2300000000000001E-4</v>
      </c>
      <c r="I439">
        <v>3.1E-4</v>
      </c>
      <c r="J439">
        <v>7.2800000000000002E-4</v>
      </c>
      <c r="K439">
        <v>1.6000000000000001E-3</v>
      </c>
      <c r="L439">
        <v>3.2699999999999999E-3</v>
      </c>
      <c r="M439">
        <v>6.2700000000000004E-3</v>
      </c>
      <c r="N439">
        <v>1.122592E-2</v>
      </c>
      <c r="O439">
        <v>1.8785278999999998E-2</v>
      </c>
      <c r="P439">
        <v>2.9377785E-2</v>
      </c>
      <c r="Q439">
        <v>7.0216606000000001E-2</v>
      </c>
      <c r="R439">
        <v>0.14928418600000001</v>
      </c>
      <c r="S439">
        <v>0.19759977500000001</v>
      </c>
      <c r="T439">
        <v>0.20043524800000001</v>
      </c>
      <c r="U439">
        <v>0.15580370900000001</v>
      </c>
      <c r="V439">
        <v>9.2806707000000002E-2</v>
      </c>
      <c r="W439">
        <v>4.2358646999999999E-2</v>
      </c>
      <c r="X439">
        <v>1.4811937000000001E-2</v>
      </c>
      <c r="Y439">
        <v>3.9675190000000001E-3</v>
      </c>
      <c r="Z439">
        <v>9.5866199999999999E-4</v>
      </c>
    </row>
    <row r="440" spans="1:26" x14ac:dyDescent="0.2">
      <c r="B440">
        <v>5.2999999999999998E-11</v>
      </c>
      <c r="C440">
        <v>1.1599999999999999E-9</v>
      </c>
      <c r="D440">
        <v>2.0599999999999999E-8</v>
      </c>
      <c r="E440">
        <v>2.8799999999999998E-7</v>
      </c>
      <c r="F440">
        <v>1.64E-6</v>
      </c>
      <c r="G440">
        <v>4.2400000000000001E-6</v>
      </c>
      <c r="H440">
        <v>1.2300000000000001E-5</v>
      </c>
      <c r="I440">
        <v>3.3800000000000002E-5</v>
      </c>
      <c r="J440">
        <v>8.7100000000000003E-5</v>
      </c>
      <c r="K440">
        <v>2.12E-4</v>
      </c>
      <c r="L440">
        <v>4.8500000000000003E-4</v>
      </c>
      <c r="M440">
        <v>1.0399999999999999E-3</v>
      </c>
      <c r="N440">
        <v>2.1199999999999999E-3</v>
      </c>
      <c r="O440">
        <v>4.0525709999999996E-3</v>
      </c>
      <c r="P440">
        <v>7.2959449999999999E-3</v>
      </c>
      <c r="Q440">
        <v>2.1165228000000001E-2</v>
      </c>
      <c r="R440">
        <v>6.0018578000000003E-2</v>
      </c>
      <c r="S440">
        <v>0.112301599</v>
      </c>
      <c r="T440">
        <v>0.16588472900000001</v>
      </c>
      <c r="U440">
        <v>0.193449022</v>
      </c>
      <c r="V440">
        <v>0.17810416500000001</v>
      </c>
      <c r="W440">
        <v>0.12945679500000001</v>
      </c>
      <c r="X440">
        <v>7.4285303999999996E-2</v>
      </c>
      <c r="Y440">
        <v>3.3649677000000003E-2</v>
      </c>
      <c r="Z440">
        <v>1.6336399000000001E-2</v>
      </c>
    </row>
    <row r="441" spans="1:26" x14ac:dyDescent="0.2">
      <c r="B441">
        <v>1.1100000000000001E-11</v>
      </c>
      <c r="C441">
        <v>2.24E-10</v>
      </c>
      <c r="D441">
        <v>3.8099999999999999E-9</v>
      </c>
      <c r="E441">
        <v>5.2399999999999999E-8</v>
      </c>
      <c r="F441">
        <v>2.9900000000000002E-7</v>
      </c>
      <c r="G441">
        <v>7.8199999999999999E-7</v>
      </c>
      <c r="H441">
        <v>2.3199999999999998E-6</v>
      </c>
      <c r="I441">
        <v>6.5300000000000002E-6</v>
      </c>
      <c r="J441">
        <v>1.7399999999999999E-5</v>
      </c>
      <c r="K441">
        <v>4.3999999999999999E-5</v>
      </c>
      <c r="L441">
        <v>1.06E-4</v>
      </c>
      <c r="M441">
        <v>2.4000000000000001E-4</v>
      </c>
      <c r="N441">
        <v>5.1699999999999999E-4</v>
      </c>
      <c r="O441">
        <v>1.058055E-3</v>
      </c>
      <c r="P441">
        <v>2.0514980000000001E-3</v>
      </c>
      <c r="Q441">
        <v>6.6261050000000002E-3</v>
      </c>
      <c r="R441">
        <v>2.2217206E-2</v>
      </c>
      <c r="S441">
        <v>5.1214137999999999E-2</v>
      </c>
      <c r="T441">
        <v>9.5720020000000003E-2</v>
      </c>
      <c r="U441">
        <v>0.145060566</v>
      </c>
      <c r="V441">
        <v>0.17825592800000001</v>
      </c>
      <c r="W441">
        <v>0.177620793</v>
      </c>
      <c r="X441">
        <v>0.14351546900000001</v>
      </c>
      <c r="Y441">
        <v>9.4026716999999996E-2</v>
      </c>
      <c r="Z441">
        <v>8.1699130999999994E-2</v>
      </c>
    </row>
    <row r="442" spans="1:26" x14ac:dyDescent="0.2">
      <c r="B442">
        <v>1.41E-11</v>
      </c>
      <c r="C442">
        <v>2.1999999999999999E-10</v>
      </c>
      <c r="D442">
        <v>3.0300000000000001E-9</v>
      </c>
      <c r="E442">
        <v>3.4900000000000001E-8</v>
      </c>
      <c r="F442">
        <v>1.7599999999999999E-7</v>
      </c>
      <c r="G442">
        <v>4.27E-7</v>
      </c>
      <c r="H442">
        <v>1.1999999999999999E-6</v>
      </c>
      <c r="I442">
        <v>3.1999999999999999E-6</v>
      </c>
      <c r="J442">
        <v>8.1899999999999995E-6</v>
      </c>
      <c r="K442">
        <v>2.0000000000000002E-5</v>
      </c>
      <c r="L442">
        <v>4.6699999999999997E-5</v>
      </c>
      <c r="M442">
        <v>1.0399999999999999E-4</v>
      </c>
      <c r="N442">
        <v>2.22E-4</v>
      </c>
      <c r="O442">
        <v>4.529E-4</v>
      </c>
      <c r="P442">
        <v>8.8199000000000003E-4</v>
      </c>
      <c r="Q442">
        <v>2.8999360000000001E-3</v>
      </c>
      <c r="R442">
        <v>1.0186588E-2</v>
      </c>
      <c r="S442">
        <v>2.5417433999999999E-2</v>
      </c>
      <c r="T442">
        <v>5.2999644999999998E-2</v>
      </c>
      <c r="U442">
        <v>9.2356586000000004E-2</v>
      </c>
      <c r="V442">
        <v>0.13450183900000001</v>
      </c>
      <c r="W442">
        <v>0.16370506700000001</v>
      </c>
      <c r="X442">
        <v>0.16652285</v>
      </c>
      <c r="Y442">
        <v>0.14156755500000001</v>
      </c>
      <c r="Z442">
        <v>0.20810120200000001</v>
      </c>
    </row>
    <row r="443" spans="1:26" x14ac:dyDescent="0.2">
      <c r="B443">
        <v>2.4299999999999999E-11</v>
      </c>
      <c r="C443">
        <v>3.0199999999999999E-10</v>
      </c>
      <c r="D443">
        <v>3.4299999999999999E-9</v>
      </c>
      <c r="E443">
        <v>3.33E-8</v>
      </c>
      <c r="F443">
        <v>1.49E-7</v>
      </c>
      <c r="G443">
        <v>3.34E-7</v>
      </c>
      <c r="H443">
        <v>8.8100000000000001E-7</v>
      </c>
      <c r="I443">
        <v>2.2299999999999998E-6</v>
      </c>
      <c r="J443">
        <v>5.4299999999999997E-6</v>
      </c>
      <c r="K443">
        <v>1.27E-5</v>
      </c>
      <c r="L443">
        <v>2.8600000000000001E-5</v>
      </c>
      <c r="M443">
        <v>6.1799999999999998E-5</v>
      </c>
      <c r="N443">
        <v>1.2799999999999999E-4</v>
      </c>
      <c r="O443">
        <v>2.5700000000000001E-4</v>
      </c>
      <c r="P443">
        <v>4.9299999999999995E-4</v>
      </c>
      <c r="Q443">
        <v>1.6072390000000001E-3</v>
      </c>
      <c r="R443">
        <v>5.6727959999999999E-3</v>
      </c>
      <c r="S443">
        <v>1.4542307000000001E-2</v>
      </c>
      <c r="T443">
        <v>3.1884033999999999E-2</v>
      </c>
      <c r="U443">
        <v>5.9789887E-2</v>
      </c>
      <c r="V443">
        <v>9.5897088000000005E-2</v>
      </c>
      <c r="W443">
        <v>0.131556698</v>
      </c>
      <c r="X443">
        <v>0.15436714100000001</v>
      </c>
      <c r="Y443">
        <v>0.154929241</v>
      </c>
      <c r="Z443">
        <v>0.348763235</v>
      </c>
    </row>
    <row r="444" spans="1:26" x14ac:dyDescent="0.2">
      <c r="B444">
        <v>5.09E-11</v>
      </c>
      <c r="C444">
        <v>5.1199999999999999E-10</v>
      </c>
      <c r="D444">
        <v>4.8699999999999999E-9</v>
      </c>
      <c r="E444">
        <v>4.0299999999999997E-8</v>
      </c>
      <c r="F444">
        <v>1.61E-7</v>
      </c>
      <c r="G444">
        <v>3.3500000000000002E-7</v>
      </c>
      <c r="H444">
        <v>8.3099999999999996E-7</v>
      </c>
      <c r="I444">
        <v>1.99E-6</v>
      </c>
      <c r="J444">
        <v>4.6E-6</v>
      </c>
      <c r="K444">
        <v>1.03E-5</v>
      </c>
      <c r="L444">
        <v>2.2200000000000001E-5</v>
      </c>
      <c r="M444">
        <v>4.6300000000000001E-5</v>
      </c>
      <c r="N444">
        <v>9.31E-5</v>
      </c>
      <c r="O444">
        <v>1.8100000000000001E-4</v>
      </c>
      <c r="P444">
        <v>3.4000000000000002E-4</v>
      </c>
      <c r="Q444">
        <v>1.0831390000000001E-3</v>
      </c>
      <c r="R444">
        <v>3.7533850000000001E-3</v>
      </c>
      <c r="S444">
        <v>9.5939839999999998E-3</v>
      </c>
      <c r="T444">
        <v>2.1360052000000001E-2</v>
      </c>
      <c r="U444">
        <v>4.1422900999999998E-2</v>
      </c>
      <c r="V444">
        <v>6.9971294000000003E-2</v>
      </c>
      <c r="W444">
        <v>0.102954544</v>
      </c>
      <c r="X444">
        <v>0.131953561</v>
      </c>
      <c r="Y444">
        <v>0.14731572600000001</v>
      </c>
      <c r="Z444">
        <v>0.46989056299999998</v>
      </c>
    </row>
    <row r="445" spans="1:26" x14ac:dyDescent="0.2">
      <c r="B445">
        <v>1.1800000000000001E-10</v>
      </c>
      <c r="C445">
        <v>9.8199999999999992E-10</v>
      </c>
      <c r="D445">
        <v>7.9500000000000001E-9</v>
      </c>
      <c r="E445">
        <v>5.69E-8</v>
      </c>
      <c r="F445">
        <v>2.04E-7</v>
      </c>
      <c r="G445">
        <v>3.96E-7</v>
      </c>
      <c r="H445">
        <v>9.2800000000000005E-7</v>
      </c>
      <c r="I445">
        <v>2.1100000000000001E-6</v>
      </c>
      <c r="J445">
        <v>4.6399999999999996E-6</v>
      </c>
      <c r="K445">
        <v>9.9000000000000001E-6</v>
      </c>
      <c r="L445">
        <v>2.05E-5</v>
      </c>
      <c r="M445">
        <v>4.1100000000000003E-5</v>
      </c>
      <c r="N445">
        <v>7.9800000000000002E-5</v>
      </c>
      <c r="O445">
        <v>1.4999999999999999E-4</v>
      </c>
      <c r="P445">
        <v>2.7500000000000002E-4</v>
      </c>
      <c r="Q445">
        <v>8.5008000000000002E-4</v>
      </c>
      <c r="R445">
        <v>2.856071E-3</v>
      </c>
      <c r="S445">
        <v>7.1557239999999996E-3</v>
      </c>
      <c r="T445">
        <v>1.5846849999999999E-2</v>
      </c>
      <c r="U445">
        <v>3.1020045999999999E-2</v>
      </c>
      <c r="V445">
        <v>5.3673089E-2</v>
      </c>
      <c r="W445">
        <v>8.2089790999999995E-2</v>
      </c>
      <c r="X445">
        <v>0.110979571</v>
      </c>
      <c r="Y445">
        <v>0.132623461</v>
      </c>
      <c r="Z445">
        <v>0.56232035800000002</v>
      </c>
    </row>
    <row r="446" spans="1:26" x14ac:dyDescent="0.2">
      <c r="B446">
        <v>2.8899999999999998E-10</v>
      </c>
      <c r="C446">
        <v>2.0099999999999999E-9</v>
      </c>
      <c r="D446">
        <v>1.4100000000000001E-8</v>
      </c>
      <c r="E446">
        <v>8.8500000000000005E-8</v>
      </c>
      <c r="F446">
        <v>2.8799999999999998E-7</v>
      </c>
      <c r="G446">
        <v>5.2200000000000004E-7</v>
      </c>
      <c r="H446">
        <v>1.1599999999999999E-6</v>
      </c>
      <c r="I446">
        <v>2.5000000000000002E-6</v>
      </c>
      <c r="J446">
        <v>5.2599999999999996E-6</v>
      </c>
      <c r="K446">
        <v>1.0699999999999999E-5</v>
      </c>
      <c r="L446">
        <v>2.1299999999999999E-5</v>
      </c>
      <c r="M446">
        <v>4.1100000000000003E-5</v>
      </c>
      <c r="N446">
        <v>7.7200000000000006E-5</v>
      </c>
      <c r="O446">
        <v>1.4100000000000001E-4</v>
      </c>
      <c r="P446">
        <v>2.5000000000000001E-4</v>
      </c>
      <c r="Q446">
        <v>7.4830800000000005E-4</v>
      </c>
      <c r="R446">
        <v>2.4220539999999999E-3</v>
      </c>
      <c r="S446">
        <v>5.8915759999999999E-3</v>
      </c>
      <c r="T446">
        <v>1.2820811E-2</v>
      </c>
      <c r="U446">
        <v>2.4959709E-2</v>
      </c>
      <c r="V446">
        <v>4.3471721999999997E-2</v>
      </c>
      <c r="W446">
        <v>6.7736108000000003E-2</v>
      </c>
      <c r="X446">
        <v>9.4423906000000002E-2</v>
      </c>
      <c r="Y446">
        <v>0.11775888599999999</v>
      </c>
      <c r="Z446">
        <v>0.62921567300000003</v>
      </c>
    </row>
    <row r="447" spans="1:26" x14ac:dyDescent="0.2">
      <c r="B447">
        <v>2.3600000000000001E-10</v>
      </c>
      <c r="C447">
        <v>1.3600000000000001E-9</v>
      </c>
      <c r="D447">
        <v>8.2800000000000004E-9</v>
      </c>
      <c r="E447">
        <v>4.58E-8</v>
      </c>
      <c r="F447">
        <v>1.36E-7</v>
      </c>
      <c r="G447">
        <v>2.34E-7</v>
      </c>
      <c r="H447">
        <v>4.9699999999999996E-7</v>
      </c>
      <c r="I447">
        <v>1.0300000000000001E-6</v>
      </c>
      <c r="J447">
        <v>2.0899999999999999E-6</v>
      </c>
      <c r="K447">
        <v>4.1500000000000001E-6</v>
      </c>
      <c r="L447">
        <v>8.0199999999999994E-6</v>
      </c>
      <c r="M447">
        <v>1.52E-5</v>
      </c>
      <c r="N447">
        <v>2.8E-5</v>
      </c>
      <c r="O447">
        <v>5.0500000000000001E-5</v>
      </c>
      <c r="P447">
        <v>8.8900000000000006E-5</v>
      </c>
      <c r="Q447">
        <v>2.6535799999999999E-4</v>
      </c>
      <c r="R447">
        <v>8.6649100000000005E-4</v>
      </c>
      <c r="S447">
        <v>2.1640240000000001E-3</v>
      </c>
      <c r="T447">
        <v>4.9218930000000001E-3</v>
      </c>
      <c r="U447">
        <v>1.0194751E-2</v>
      </c>
      <c r="V447">
        <v>1.9230809000000001E-2</v>
      </c>
      <c r="W447">
        <v>3.3036712000000003E-2</v>
      </c>
      <c r="X447">
        <v>5.1686364999999998E-2</v>
      </c>
      <c r="Y447">
        <v>7.3643837000000004E-2</v>
      </c>
      <c r="Z447">
        <v>0.80379094399999995</v>
      </c>
    </row>
    <row r="448" spans="1:26" s="5" customFormat="1" x14ac:dyDescent="0.2">
      <c r="A448" s="4"/>
      <c r="B448" s="5" t="s">
        <v>58</v>
      </c>
    </row>
    <row r="449" spans="2:2" x14ac:dyDescent="0.2">
      <c r="B449">
        <v>1234567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E369-F353-A843-8CEC-1BC5FF556C80}">
  <dimension ref="B2:AS50"/>
  <sheetViews>
    <sheetView workbookViewId="0">
      <selection activeCell="B2" sqref="B2:AG50"/>
    </sheetView>
  </sheetViews>
  <sheetFormatPr baseColWidth="10" defaultRowHeight="16" x14ac:dyDescent="0.2"/>
  <sheetData>
    <row r="2" spans="2:33" x14ac:dyDescent="0.2">
      <c r="C2" t="s">
        <v>92</v>
      </c>
      <c r="D2">
        <v>1</v>
      </c>
      <c r="E2" t="s">
        <v>92</v>
      </c>
      <c r="F2">
        <v>2</v>
      </c>
      <c r="G2" t="s">
        <v>92</v>
      </c>
      <c r="H2">
        <v>3</v>
      </c>
      <c r="I2" t="s">
        <v>92</v>
      </c>
      <c r="J2">
        <v>4</v>
      </c>
      <c r="K2" t="s">
        <v>92</v>
      </c>
      <c r="L2">
        <v>5</v>
      </c>
      <c r="M2" t="s">
        <v>92</v>
      </c>
      <c r="N2">
        <v>6</v>
      </c>
      <c r="O2" t="s">
        <v>92</v>
      </c>
      <c r="P2">
        <v>7</v>
      </c>
      <c r="Q2" t="s">
        <v>92</v>
      </c>
      <c r="R2">
        <v>8</v>
      </c>
      <c r="S2" t="s">
        <v>92</v>
      </c>
      <c r="T2">
        <v>9</v>
      </c>
      <c r="U2" t="s">
        <v>92</v>
      </c>
      <c r="V2">
        <v>10</v>
      </c>
      <c r="W2" t="s">
        <v>92</v>
      </c>
      <c r="X2">
        <v>11</v>
      </c>
      <c r="Y2" t="s">
        <v>92</v>
      </c>
      <c r="Z2">
        <v>12</v>
      </c>
      <c r="AA2" t="s">
        <v>92</v>
      </c>
      <c r="AB2">
        <v>13</v>
      </c>
      <c r="AC2" t="s">
        <v>92</v>
      </c>
      <c r="AD2">
        <v>14</v>
      </c>
      <c r="AE2" t="s">
        <v>92</v>
      </c>
      <c r="AF2" t="s">
        <v>97</v>
      </c>
      <c r="AG2" t="s">
        <v>93</v>
      </c>
    </row>
    <row r="3" spans="2:33" x14ac:dyDescent="0.2">
      <c r="B3" t="s">
        <v>95</v>
      </c>
    </row>
    <row r="4" spans="2:33" x14ac:dyDescent="0.2">
      <c r="B4">
        <v>1979</v>
      </c>
      <c r="C4" t="s">
        <v>92</v>
      </c>
      <c r="D4">
        <v>101.4</v>
      </c>
      <c r="E4" t="s">
        <v>92</v>
      </c>
      <c r="F4">
        <v>543</v>
      </c>
      <c r="G4" t="s">
        <v>92</v>
      </c>
      <c r="H4">
        <v>719.8</v>
      </c>
      <c r="I4" t="s">
        <v>92</v>
      </c>
      <c r="J4">
        <v>420.1</v>
      </c>
      <c r="K4" t="s">
        <v>92</v>
      </c>
      <c r="L4">
        <v>392.5</v>
      </c>
      <c r="M4" t="s">
        <v>92</v>
      </c>
      <c r="N4">
        <v>215.5</v>
      </c>
      <c r="O4" t="s">
        <v>92</v>
      </c>
      <c r="P4">
        <v>56.3</v>
      </c>
      <c r="Q4" t="s">
        <v>92</v>
      </c>
      <c r="R4">
        <v>25.7</v>
      </c>
      <c r="S4" t="s">
        <v>92</v>
      </c>
      <c r="T4">
        <v>35.9</v>
      </c>
      <c r="U4" t="s">
        <v>92</v>
      </c>
      <c r="V4">
        <v>27.5</v>
      </c>
      <c r="W4" t="s">
        <v>92</v>
      </c>
      <c r="X4">
        <v>17.600000000000001</v>
      </c>
      <c r="Y4" t="s">
        <v>92</v>
      </c>
      <c r="Z4">
        <v>7.9</v>
      </c>
      <c r="AA4" t="s">
        <v>92</v>
      </c>
      <c r="AB4">
        <v>3</v>
      </c>
      <c r="AC4" t="s">
        <v>92</v>
      </c>
      <c r="AD4">
        <v>1.1000000000000001</v>
      </c>
      <c r="AE4" t="s">
        <v>92</v>
      </c>
      <c r="AF4" s="12">
        <f>SUM(C4:AE4)</f>
        <v>2567.2999999999997</v>
      </c>
      <c r="AG4" t="s">
        <v>93</v>
      </c>
    </row>
    <row r="5" spans="2:33" x14ac:dyDescent="0.2">
      <c r="B5">
        <v>1980</v>
      </c>
      <c r="C5" t="s">
        <v>92</v>
      </c>
      <c r="D5">
        <v>9.8000000000000007</v>
      </c>
      <c r="E5" t="s">
        <v>92</v>
      </c>
      <c r="F5">
        <v>462.2</v>
      </c>
      <c r="G5" t="s">
        <v>92</v>
      </c>
      <c r="H5">
        <v>822.9</v>
      </c>
      <c r="I5" t="s">
        <v>92</v>
      </c>
      <c r="J5">
        <v>443.3</v>
      </c>
      <c r="K5" t="s">
        <v>92</v>
      </c>
      <c r="L5">
        <v>252.1</v>
      </c>
      <c r="M5" t="s">
        <v>92</v>
      </c>
      <c r="N5">
        <v>210.9</v>
      </c>
      <c r="O5" t="s">
        <v>92</v>
      </c>
      <c r="P5">
        <v>83.7</v>
      </c>
      <c r="Q5" t="s">
        <v>92</v>
      </c>
      <c r="R5">
        <v>37.6</v>
      </c>
      <c r="S5" t="s">
        <v>92</v>
      </c>
      <c r="T5">
        <v>21.7</v>
      </c>
      <c r="U5" t="s">
        <v>92</v>
      </c>
      <c r="V5">
        <v>23.9</v>
      </c>
      <c r="W5" t="s">
        <v>92</v>
      </c>
      <c r="X5">
        <v>25.4</v>
      </c>
      <c r="Y5" t="s">
        <v>92</v>
      </c>
      <c r="Z5">
        <v>15.9</v>
      </c>
      <c r="AA5" t="s">
        <v>92</v>
      </c>
      <c r="AB5">
        <v>7.7</v>
      </c>
      <c r="AC5" t="s">
        <v>92</v>
      </c>
      <c r="AD5">
        <v>3.7</v>
      </c>
      <c r="AE5" t="s">
        <v>92</v>
      </c>
      <c r="AF5" s="12">
        <f t="shared" ref="AF5:AF48" si="0">SUM(C5:AE5)</f>
        <v>2420.7999999999993</v>
      </c>
      <c r="AG5" t="s">
        <v>93</v>
      </c>
    </row>
    <row r="6" spans="2:33" x14ac:dyDescent="0.2">
      <c r="B6">
        <v>1981</v>
      </c>
      <c r="C6" t="s">
        <v>92</v>
      </c>
      <c r="D6">
        <v>0.6</v>
      </c>
      <c r="E6" t="s">
        <v>92</v>
      </c>
      <c r="F6">
        <v>72.2</v>
      </c>
      <c r="G6" t="s">
        <v>92</v>
      </c>
      <c r="H6" s="13">
        <v>1012.7</v>
      </c>
      <c r="I6" t="s">
        <v>92</v>
      </c>
      <c r="J6">
        <v>637.9</v>
      </c>
      <c r="K6" t="s">
        <v>92</v>
      </c>
      <c r="L6">
        <v>227</v>
      </c>
      <c r="M6" t="s">
        <v>92</v>
      </c>
      <c r="N6">
        <v>102.9</v>
      </c>
      <c r="O6" t="s">
        <v>92</v>
      </c>
      <c r="P6">
        <v>51.7</v>
      </c>
      <c r="Q6" t="s">
        <v>92</v>
      </c>
      <c r="R6">
        <v>29.6</v>
      </c>
      <c r="S6" t="s">
        <v>92</v>
      </c>
      <c r="T6">
        <v>16.100000000000001</v>
      </c>
      <c r="U6" t="s">
        <v>92</v>
      </c>
      <c r="V6">
        <v>9.3000000000000007</v>
      </c>
      <c r="W6" t="s">
        <v>92</v>
      </c>
      <c r="X6">
        <v>7.5</v>
      </c>
      <c r="Y6" t="s">
        <v>92</v>
      </c>
      <c r="Z6">
        <v>4.5999999999999996</v>
      </c>
      <c r="AA6" t="s">
        <v>92</v>
      </c>
      <c r="AB6">
        <v>1.5</v>
      </c>
      <c r="AC6" t="s">
        <v>92</v>
      </c>
      <c r="AD6">
        <v>1</v>
      </c>
      <c r="AE6" t="s">
        <v>92</v>
      </c>
      <c r="AF6" s="12">
        <f t="shared" si="0"/>
        <v>2174.6</v>
      </c>
      <c r="AG6" t="s">
        <v>93</v>
      </c>
    </row>
    <row r="7" spans="2:33" x14ac:dyDescent="0.2">
      <c r="B7">
        <v>1982</v>
      </c>
      <c r="C7" t="s">
        <v>92</v>
      </c>
      <c r="D7">
        <v>4.7</v>
      </c>
      <c r="E7" t="s">
        <v>92</v>
      </c>
      <c r="F7">
        <v>25.3</v>
      </c>
      <c r="G7" t="s">
        <v>92</v>
      </c>
      <c r="H7">
        <v>161.4</v>
      </c>
      <c r="I7" t="s">
        <v>92</v>
      </c>
      <c r="J7" s="13">
        <v>1172.2</v>
      </c>
      <c r="K7" t="s">
        <v>92</v>
      </c>
      <c r="L7">
        <v>422.3</v>
      </c>
      <c r="M7" t="s">
        <v>92</v>
      </c>
      <c r="N7">
        <v>103.7</v>
      </c>
      <c r="O7" t="s">
        <v>92</v>
      </c>
      <c r="P7">
        <v>36</v>
      </c>
      <c r="Q7" t="s">
        <v>92</v>
      </c>
      <c r="R7">
        <v>36</v>
      </c>
      <c r="S7" t="s">
        <v>92</v>
      </c>
      <c r="T7">
        <v>21.5</v>
      </c>
      <c r="U7" t="s">
        <v>92</v>
      </c>
      <c r="V7">
        <v>9.1</v>
      </c>
      <c r="W7" t="s">
        <v>92</v>
      </c>
      <c r="X7">
        <v>5.4</v>
      </c>
      <c r="Y7" t="s">
        <v>92</v>
      </c>
      <c r="Z7">
        <v>3.2</v>
      </c>
      <c r="AA7" t="s">
        <v>92</v>
      </c>
      <c r="AB7">
        <v>1.9</v>
      </c>
      <c r="AC7" t="s">
        <v>92</v>
      </c>
      <c r="AD7">
        <v>1</v>
      </c>
      <c r="AE7" t="s">
        <v>92</v>
      </c>
      <c r="AF7" s="12">
        <f t="shared" si="0"/>
        <v>2003.7000000000003</v>
      </c>
      <c r="AG7" t="s">
        <v>93</v>
      </c>
    </row>
    <row r="8" spans="2:33" x14ac:dyDescent="0.2">
      <c r="B8">
        <v>1983</v>
      </c>
      <c r="C8" t="s">
        <v>92</v>
      </c>
      <c r="D8">
        <v>5.0999999999999996</v>
      </c>
      <c r="E8" t="s">
        <v>92</v>
      </c>
      <c r="F8">
        <v>118.6</v>
      </c>
      <c r="G8" t="s">
        <v>92</v>
      </c>
      <c r="H8">
        <v>157.80000000000001</v>
      </c>
      <c r="I8" t="s">
        <v>92</v>
      </c>
      <c r="J8">
        <v>312.89999999999998</v>
      </c>
      <c r="K8" t="s">
        <v>92</v>
      </c>
      <c r="L8">
        <v>816.8</v>
      </c>
      <c r="M8" t="s">
        <v>92</v>
      </c>
      <c r="N8">
        <v>218.2</v>
      </c>
      <c r="O8" t="s">
        <v>92</v>
      </c>
      <c r="P8">
        <v>41.4</v>
      </c>
      <c r="Q8" t="s">
        <v>92</v>
      </c>
      <c r="R8">
        <v>24.7</v>
      </c>
      <c r="S8" t="s">
        <v>92</v>
      </c>
      <c r="T8">
        <v>19.8</v>
      </c>
      <c r="U8" t="s">
        <v>92</v>
      </c>
      <c r="V8">
        <v>11.1</v>
      </c>
      <c r="W8" t="s">
        <v>92</v>
      </c>
      <c r="X8">
        <v>7.6</v>
      </c>
      <c r="Y8" t="s">
        <v>92</v>
      </c>
      <c r="Z8">
        <v>4.9000000000000004</v>
      </c>
      <c r="AA8" t="s">
        <v>92</v>
      </c>
      <c r="AB8">
        <v>3.5</v>
      </c>
      <c r="AC8" t="s">
        <v>92</v>
      </c>
      <c r="AD8">
        <v>2.1</v>
      </c>
      <c r="AE8" t="s">
        <v>92</v>
      </c>
      <c r="AF8" s="12">
        <f t="shared" si="0"/>
        <v>1744.4999999999998</v>
      </c>
      <c r="AG8" t="s">
        <v>93</v>
      </c>
    </row>
    <row r="9" spans="2:33" x14ac:dyDescent="0.2">
      <c r="B9">
        <v>1984</v>
      </c>
      <c r="C9" t="s">
        <v>92</v>
      </c>
      <c r="D9">
        <v>2.1</v>
      </c>
      <c r="E9" t="s">
        <v>92</v>
      </c>
      <c r="F9">
        <v>45.8</v>
      </c>
      <c r="G9" t="s">
        <v>92</v>
      </c>
      <c r="H9">
        <v>88.6</v>
      </c>
      <c r="I9" t="s">
        <v>92</v>
      </c>
      <c r="J9">
        <v>430.4</v>
      </c>
      <c r="K9" t="s">
        <v>92</v>
      </c>
      <c r="L9">
        <v>491.4</v>
      </c>
      <c r="M9" t="s">
        <v>92</v>
      </c>
      <c r="N9">
        <v>653.6</v>
      </c>
      <c r="O9" t="s">
        <v>92</v>
      </c>
      <c r="P9">
        <v>133.69999999999999</v>
      </c>
      <c r="Q9" t="s">
        <v>92</v>
      </c>
      <c r="R9">
        <v>35.5</v>
      </c>
      <c r="S9" t="s">
        <v>92</v>
      </c>
      <c r="T9">
        <v>25.1</v>
      </c>
      <c r="U9" t="s">
        <v>92</v>
      </c>
      <c r="V9">
        <v>15.6</v>
      </c>
      <c r="W9" t="s">
        <v>92</v>
      </c>
      <c r="X9">
        <v>7.1</v>
      </c>
      <c r="Y9" t="s">
        <v>92</v>
      </c>
      <c r="Z9">
        <v>2.5</v>
      </c>
      <c r="AA9" t="s">
        <v>92</v>
      </c>
      <c r="AB9">
        <v>2.9</v>
      </c>
      <c r="AC9" t="s">
        <v>92</v>
      </c>
      <c r="AD9">
        <v>3.7</v>
      </c>
      <c r="AE9" t="s">
        <v>92</v>
      </c>
      <c r="AF9" s="12">
        <f t="shared" si="0"/>
        <v>1938</v>
      </c>
      <c r="AG9" t="s">
        <v>93</v>
      </c>
    </row>
    <row r="10" spans="2:33" x14ac:dyDescent="0.2">
      <c r="B10">
        <v>1985</v>
      </c>
      <c r="C10" t="s">
        <v>92</v>
      </c>
      <c r="D10">
        <v>2.6</v>
      </c>
      <c r="E10" t="s">
        <v>92</v>
      </c>
      <c r="F10">
        <v>55.2</v>
      </c>
      <c r="G10" t="s">
        <v>92</v>
      </c>
      <c r="H10">
        <v>381.2</v>
      </c>
      <c r="I10" t="s">
        <v>92</v>
      </c>
      <c r="J10">
        <v>121.7</v>
      </c>
      <c r="K10" t="s">
        <v>92</v>
      </c>
      <c r="L10">
        <v>365.7</v>
      </c>
      <c r="M10" t="s">
        <v>92</v>
      </c>
      <c r="N10">
        <v>321.5</v>
      </c>
      <c r="O10" t="s">
        <v>92</v>
      </c>
      <c r="P10">
        <v>443.2</v>
      </c>
      <c r="Q10" t="s">
        <v>92</v>
      </c>
      <c r="R10">
        <v>112.5</v>
      </c>
      <c r="S10" t="s">
        <v>92</v>
      </c>
      <c r="T10">
        <v>36.6</v>
      </c>
      <c r="U10" t="s">
        <v>92</v>
      </c>
      <c r="V10">
        <v>25.8</v>
      </c>
      <c r="W10" t="s">
        <v>92</v>
      </c>
      <c r="X10">
        <v>24.8</v>
      </c>
      <c r="Y10" t="s">
        <v>92</v>
      </c>
      <c r="Z10">
        <v>10.7</v>
      </c>
      <c r="AA10" t="s">
        <v>92</v>
      </c>
      <c r="AB10">
        <v>9.4</v>
      </c>
      <c r="AC10" t="s">
        <v>92</v>
      </c>
      <c r="AD10">
        <v>9.1</v>
      </c>
      <c r="AE10" t="s">
        <v>92</v>
      </c>
      <c r="AF10" s="12">
        <f t="shared" si="0"/>
        <v>1920</v>
      </c>
      <c r="AG10" t="s">
        <v>93</v>
      </c>
    </row>
    <row r="11" spans="2:33" x14ac:dyDescent="0.2">
      <c r="B11">
        <v>1986</v>
      </c>
      <c r="C11" t="s">
        <v>92</v>
      </c>
      <c r="D11">
        <v>3.1</v>
      </c>
      <c r="E11" t="s">
        <v>92</v>
      </c>
      <c r="F11">
        <v>86</v>
      </c>
      <c r="G11" t="s">
        <v>92</v>
      </c>
      <c r="H11">
        <v>92.3</v>
      </c>
      <c r="I11" t="s">
        <v>92</v>
      </c>
      <c r="J11">
        <v>748.6</v>
      </c>
      <c r="K11" t="s">
        <v>92</v>
      </c>
      <c r="L11">
        <v>214.1</v>
      </c>
      <c r="M11" t="s">
        <v>92</v>
      </c>
      <c r="N11">
        <v>378.1</v>
      </c>
      <c r="O11" t="s">
        <v>92</v>
      </c>
      <c r="P11">
        <v>221.9</v>
      </c>
      <c r="Q11" t="s">
        <v>92</v>
      </c>
      <c r="R11">
        <v>214.3</v>
      </c>
      <c r="S11" t="s">
        <v>92</v>
      </c>
      <c r="T11">
        <v>59.7</v>
      </c>
      <c r="U11" t="s">
        <v>92</v>
      </c>
      <c r="V11">
        <v>15.2</v>
      </c>
      <c r="W11" t="s">
        <v>92</v>
      </c>
      <c r="X11">
        <v>3.3</v>
      </c>
      <c r="Y11" t="s">
        <v>92</v>
      </c>
      <c r="Z11">
        <v>2.6</v>
      </c>
      <c r="AA11" t="s">
        <v>92</v>
      </c>
      <c r="AB11">
        <v>0.3</v>
      </c>
      <c r="AC11" t="s">
        <v>92</v>
      </c>
      <c r="AD11">
        <v>1.2</v>
      </c>
      <c r="AE11" t="s">
        <v>92</v>
      </c>
      <c r="AF11" s="12">
        <f t="shared" si="0"/>
        <v>2040.6999999999998</v>
      </c>
      <c r="AG11" t="s">
        <v>93</v>
      </c>
    </row>
    <row r="12" spans="2:33" x14ac:dyDescent="0.2">
      <c r="B12">
        <v>1987</v>
      </c>
      <c r="C12" t="s">
        <v>92</v>
      </c>
      <c r="D12" t="s">
        <v>94</v>
      </c>
      <c r="E12" t="s">
        <v>92</v>
      </c>
      <c r="F12">
        <v>19.8</v>
      </c>
      <c r="G12" t="s">
        <v>92</v>
      </c>
      <c r="H12">
        <v>111.5</v>
      </c>
      <c r="I12" t="s">
        <v>92</v>
      </c>
      <c r="J12">
        <v>77.599999999999994</v>
      </c>
      <c r="K12" t="s">
        <v>92</v>
      </c>
      <c r="L12">
        <v>413.4</v>
      </c>
      <c r="M12" t="s">
        <v>92</v>
      </c>
      <c r="N12">
        <v>138.80000000000001</v>
      </c>
      <c r="O12" t="s">
        <v>92</v>
      </c>
      <c r="P12">
        <v>122.4</v>
      </c>
      <c r="Q12" t="s">
        <v>92</v>
      </c>
      <c r="R12">
        <v>90.6</v>
      </c>
      <c r="S12" t="s">
        <v>92</v>
      </c>
      <c r="T12">
        <v>247.2</v>
      </c>
      <c r="U12" t="s">
        <v>92</v>
      </c>
      <c r="V12">
        <v>54.1</v>
      </c>
      <c r="W12" t="s">
        <v>92</v>
      </c>
      <c r="X12">
        <v>38.700000000000003</v>
      </c>
      <c r="Y12" t="s">
        <v>92</v>
      </c>
      <c r="Z12">
        <v>21.4</v>
      </c>
      <c r="AA12" t="s">
        <v>92</v>
      </c>
      <c r="AB12">
        <v>28.9</v>
      </c>
      <c r="AC12" t="s">
        <v>92</v>
      </c>
      <c r="AD12">
        <v>14.1</v>
      </c>
      <c r="AE12" t="s">
        <v>92</v>
      </c>
      <c r="AF12" s="12">
        <f t="shared" si="0"/>
        <v>1378.5</v>
      </c>
      <c r="AG12" t="s">
        <v>93</v>
      </c>
    </row>
    <row r="13" spans="2:33" x14ac:dyDescent="0.2">
      <c r="B13">
        <v>1988</v>
      </c>
      <c r="C13" t="s">
        <v>92</v>
      </c>
      <c r="D13" t="s">
        <v>94</v>
      </c>
      <c r="E13" t="s">
        <v>92</v>
      </c>
      <c r="F13">
        <v>10.7</v>
      </c>
      <c r="G13" t="s">
        <v>92</v>
      </c>
      <c r="H13">
        <v>454</v>
      </c>
      <c r="I13" t="s">
        <v>92</v>
      </c>
      <c r="J13">
        <v>421.6</v>
      </c>
      <c r="K13" t="s">
        <v>92</v>
      </c>
      <c r="L13">
        <v>252.1</v>
      </c>
      <c r="M13" t="s">
        <v>92</v>
      </c>
      <c r="N13">
        <v>544.29999999999995</v>
      </c>
      <c r="O13" t="s">
        <v>92</v>
      </c>
      <c r="P13">
        <v>224.8</v>
      </c>
      <c r="Q13" t="s">
        <v>92</v>
      </c>
      <c r="R13">
        <v>104.9</v>
      </c>
      <c r="S13" t="s">
        <v>92</v>
      </c>
      <c r="T13">
        <v>39.200000000000003</v>
      </c>
      <c r="U13" t="s">
        <v>92</v>
      </c>
      <c r="V13">
        <v>96.8</v>
      </c>
      <c r="W13" t="s">
        <v>92</v>
      </c>
      <c r="X13">
        <v>18.2</v>
      </c>
      <c r="Y13" t="s">
        <v>92</v>
      </c>
      <c r="Z13">
        <v>10.199999999999999</v>
      </c>
      <c r="AA13" t="s">
        <v>92</v>
      </c>
      <c r="AB13">
        <v>3.8</v>
      </c>
      <c r="AC13" t="s">
        <v>92</v>
      </c>
      <c r="AD13">
        <v>11.7</v>
      </c>
      <c r="AE13" t="s">
        <v>92</v>
      </c>
      <c r="AF13" s="12">
        <f t="shared" si="0"/>
        <v>2192.2999999999997</v>
      </c>
      <c r="AG13" t="s">
        <v>93</v>
      </c>
    </row>
    <row r="14" spans="2:33" x14ac:dyDescent="0.2">
      <c r="B14">
        <v>1989</v>
      </c>
      <c r="C14" t="s">
        <v>92</v>
      </c>
      <c r="D14" t="s">
        <v>94</v>
      </c>
      <c r="E14" t="s">
        <v>92</v>
      </c>
      <c r="F14">
        <v>4.8</v>
      </c>
      <c r="G14" t="s">
        <v>92</v>
      </c>
      <c r="H14">
        <v>55.1</v>
      </c>
      <c r="I14" t="s">
        <v>92</v>
      </c>
      <c r="J14">
        <v>149</v>
      </c>
      <c r="K14" t="s">
        <v>92</v>
      </c>
      <c r="L14">
        <v>451.1</v>
      </c>
      <c r="M14" t="s">
        <v>92</v>
      </c>
      <c r="N14">
        <v>166.7</v>
      </c>
      <c r="O14" t="s">
        <v>92</v>
      </c>
      <c r="P14">
        <v>572.20000000000005</v>
      </c>
      <c r="Q14" t="s">
        <v>92</v>
      </c>
      <c r="R14">
        <v>96.3</v>
      </c>
      <c r="S14" t="s">
        <v>92</v>
      </c>
      <c r="T14">
        <v>103.8</v>
      </c>
      <c r="U14" t="s">
        <v>92</v>
      </c>
      <c r="V14">
        <v>32.4</v>
      </c>
      <c r="W14" t="s">
        <v>92</v>
      </c>
      <c r="X14">
        <v>129</v>
      </c>
      <c r="Y14" t="s">
        <v>92</v>
      </c>
      <c r="Z14">
        <v>10.9</v>
      </c>
      <c r="AA14" t="s">
        <v>92</v>
      </c>
      <c r="AB14">
        <v>4</v>
      </c>
      <c r="AC14" t="s">
        <v>92</v>
      </c>
      <c r="AD14">
        <v>8.5</v>
      </c>
      <c r="AE14" t="s">
        <v>92</v>
      </c>
      <c r="AF14" s="12">
        <f t="shared" si="0"/>
        <v>1783.8000000000002</v>
      </c>
      <c r="AG14" t="s">
        <v>93</v>
      </c>
    </row>
    <row r="15" spans="2:33" x14ac:dyDescent="0.2">
      <c r="B15">
        <v>1990</v>
      </c>
      <c r="C15" t="s">
        <v>92</v>
      </c>
      <c r="D15">
        <v>1.3</v>
      </c>
      <c r="E15" t="s">
        <v>92</v>
      </c>
      <c r="F15">
        <v>33</v>
      </c>
      <c r="G15" t="s">
        <v>92</v>
      </c>
      <c r="H15">
        <v>57</v>
      </c>
      <c r="I15" t="s">
        <v>92</v>
      </c>
      <c r="J15">
        <v>219.5</v>
      </c>
      <c r="K15" t="s">
        <v>92</v>
      </c>
      <c r="L15">
        <v>200.7</v>
      </c>
      <c r="M15" t="s">
        <v>92</v>
      </c>
      <c r="N15">
        <v>477.7</v>
      </c>
      <c r="O15" t="s">
        <v>92</v>
      </c>
      <c r="P15">
        <v>129.19999999999999</v>
      </c>
      <c r="Q15" t="s">
        <v>92</v>
      </c>
      <c r="R15">
        <v>368.4</v>
      </c>
      <c r="S15" t="s">
        <v>92</v>
      </c>
      <c r="T15">
        <v>65.7</v>
      </c>
      <c r="U15" t="s">
        <v>92</v>
      </c>
      <c r="V15">
        <v>101.9</v>
      </c>
      <c r="W15" t="s">
        <v>92</v>
      </c>
      <c r="X15">
        <v>9</v>
      </c>
      <c r="Y15" t="s">
        <v>92</v>
      </c>
      <c r="Z15">
        <v>60.1</v>
      </c>
      <c r="AA15" t="s">
        <v>92</v>
      </c>
      <c r="AB15">
        <v>8.5</v>
      </c>
      <c r="AC15" t="s">
        <v>92</v>
      </c>
      <c r="AD15">
        <v>13.9</v>
      </c>
      <c r="AE15" t="s">
        <v>92</v>
      </c>
      <c r="AF15" s="12">
        <f t="shared" si="0"/>
        <v>1745.9000000000003</v>
      </c>
      <c r="AG15" t="s">
        <v>93</v>
      </c>
    </row>
    <row r="16" spans="2:33" x14ac:dyDescent="0.2">
      <c r="B16">
        <v>1991</v>
      </c>
      <c r="C16" t="s">
        <v>92</v>
      </c>
      <c r="D16" s="14">
        <f>('pm_24.dat '!B237)/1000000</f>
        <v>0.68357768650000283</v>
      </c>
      <c r="E16" t="s">
        <v>92</v>
      </c>
      <c r="F16" s="14">
        <f>('pm_24.dat '!C237)/1000000</f>
        <v>112.88008761000169</v>
      </c>
      <c r="G16" t="s">
        <v>92</v>
      </c>
      <c r="H16" s="14">
        <f>('pm_24.dat '!D237)/1000000</f>
        <v>43.777914009999918</v>
      </c>
      <c r="I16" t="s">
        <v>92</v>
      </c>
      <c r="J16" s="14">
        <f>('pm_24.dat '!E237)/1000000</f>
        <v>90.273357909999746</v>
      </c>
      <c r="K16" t="s">
        <v>92</v>
      </c>
      <c r="L16" s="14">
        <f>('pm_24.dat '!F237)/1000000</f>
        <v>153.87204611000078</v>
      </c>
      <c r="M16" t="s">
        <v>92</v>
      </c>
      <c r="N16" s="14">
        <f>('pm_24.dat '!G237)/1000000</f>
        <v>184.4218290099991</v>
      </c>
      <c r="O16" t="s">
        <v>92</v>
      </c>
      <c r="P16" s="14">
        <f>('pm_24.dat '!H237)/1000000</f>
        <v>497.4884730099937</v>
      </c>
      <c r="Q16" t="s">
        <v>92</v>
      </c>
      <c r="R16" s="14">
        <f>('pm_24.dat '!I237)/1000000</f>
        <v>78.130957209999764</v>
      </c>
      <c r="S16" t="s">
        <v>92</v>
      </c>
      <c r="T16" s="14">
        <f>('pm_24.dat '!J237)/1000000</f>
        <v>288.014647009996</v>
      </c>
      <c r="U16" t="s">
        <v>92</v>
      </c>
      <c r="V16" s="14">
        <f>('pm_24.dat '!K237)/1000000</f>
        <v>28.863692300000082</v>
      </c>
      <c r="W16" t="s">
        <v>92</v>
      </c>
      <c r="X16" s="14">
        <f>('pm_24.dat '!L237)/1000000</f>
        <v>144.0799220100015</v>
      </c>
      <c r="Y16" t="s">
        <v>92</v>
      </c>
      <c r="Z16" s="14">
        <f>('pm_24.dat '!M237)/1000000</f>
        <v>18.68756696000003</v>
      </c>
      <c r="AA16" t="s">
        <v>92</v>
      </c>
      <c r="AB16" s="14">
        <f>('pm_24.dat '!N237)/1000000</f>
        <v>91.160640010000023</v>
      </c>
      <c r="AC16" t="s">
        <v>92</v>
      </c>
      <c r="AD16" s="14">
        <f>('pm_24.dat '!O237)/1000000</f>
        <v>22.766499420000063</v>
      </c>
      <c r="AE16" t="s">
        <v>92</v>
      </c>
      <c r="AF16" s="12">
        <f t="shared" si="0"/>
        <v>1755.1012102664927</v>
      </c>
      <c r="AG16" t="s">
        <v>93</v>
      </c>
    </row>
    <row r="17" spans="2:33" x14ac:dyDescent="0.2">
      <c r="B17">
        <v>1992</v>
      </c>
      <c r="C17" t="s">
        <v>92</v>
      </c>
      <c r="D17" s="14">
        <f>('pm_24.dat '!B238)/1000000</f>
        <v>1.1026227100000041</v>
      </c>
      <c r="E17" t="s">
        <v>92</v>
      </c>
      <c r="F17" s="14">
        <f>('pm_24.dat '!C238)/1000000</f>
        <v>84.678150409999773</v>
      </c>
      <c r="G17" t="s">
        <v>92</v>
      </c>
      <c r="H17" s="14">
        <f>('pm_24.dat '!D238)/1000000</f>
        <v>675.76178000999289</v>
      </c>
      <c r="I17" t="s">
        <v>92</v>
      </c>
      <c r="J17" s="14">
        <f>('pm_24.dat '!E238)/1000000</f>
        <v>130.0669756100018</v>
      </c>
      <c r="K17" t="s">
        <v>92</v>
      </c>
      <c r="L17" s="14">
        <f>('pm_24.dat '!F238)/1000000</f>
        <v>79.592747509999811</v>
      </c>
      <c r="M17" t="s">
        <v>92</v>
      </c>
      <c r="N17" s="14">
        <f>('pm_24.dat '!G238)/1000000</f>
        <v>108.67358711000102</v>
      </c>
      <c r="O17" t="s">
        <v>92</v>
      </c>
      <c r="P17" s="14">
        <f>('pm_24.dat '!H238)/1000000</f>
        <v>133.75983711000225</v>
      </c>
      <c r="Q17" t="s">
        <v>92</v>
      </c>
      <c r="R17" s="14">
        <f>('pm_24.dat '!I238)/1000000</f>
        <v>253.63015910999675</v>
      </c>
      <c r="S17" t="s">
        <v>92</v>
      </c>
      <c r="T17" s="14">
        <f>('pm_24.dat '!J238)/1000000</f>
        <v>102.28840321000051</v>
      </c>
      <c r="U17" t="s">
        <v>92</v>
      </c>
      <c r="V17" s="14">
        <f>('pm_24.dat '!K238)/1000000</f>
        <v>147.0112841100013</v>
      </c>
      <c r="W17" t="s">
        <v>92</v>
      </c>
      <c r="X17" s="14">
        <f>('pm_24.dat '!L238)/1000000</f>
        <v>57.95182050999982</v>
      </c>
      <c r="Y17" t="s">
        <v>92</v>
      </c>
      <c r="Z17" s="14">
        <f>('pm_24.dat '!M238)/1000000</f>
        <v>46.342257419999903</v>
      </c>
      <c r="AA17" t="s">
        <v>92</v>
      </c>
      <c r="AB17" s="14">
        <f>('pm_24.dat '!N238)/1000000</f>
        <v>13.43473235600001</v>
      </c>
      <c r="AC17" t="s">
        <v>92</v>
      </c>
      <c r="AD17" s="14">
        <f>('pm_24.dat '!O238)/1000000</f>
        <v>43.823793019999911</v>
      </c>
      <c r="AE17" t="s">
        <v>92</v>
      </c>
      <c r="AF17" s="12">
        <f t="shared" si="0"/>
        <v>1878.118150205996</v>
      </c>
      <c r="AG17" t="s">
        <v>93</v>
      </c>
    </row>
    <row r="18" spans="2:33" x14ac:dyDescent="0.2">
      <c r="B18">
        <v>1993</v>
      </c>
      <c r="C18" t="s">
        <v>92</v>
      </c>
      <c r="D18" s="14">
        <f>('pm_24.dat '!B239)/1000000</f>
        <v>6.61760862000004E-2</v>
      </c>
      <c r="E18" t="s">
        <v>92</v>
      </c>
      <c r="F18" s="14">
        <f>('pm_24.dat '!C239)/1000000</f>
        <v>7.4263371079999869</v>
      </c>
      <c r="G18" t="s">
        <v>92</v>
      </c>
      <c r="H18" s="14">
        <f>('pm_24.dat '!D239)/1000000</f>
        <v>260.51244600999661</v>
      </c>
      <c r="I18" t="s">
        <v>92</v>
      </c>
      <c r="J18" s="14">
        <f>('pm_24.dat '!E239)/1000000</f>
        <v>1146.6784080099919</v>
      </c>
      <c r="K18" t="s">
        <v>92</v>
      </c>
      <c r="L18" s="14">
        <f>('pm_24.dat '!F239)/1000000</f>
        <v>102.97639421000058</v>
      </c>
      <c r="M18" t="s">
        <v>92</v>
      </c>
      <c r="N18" s="14">
        <f>('pm_24.dat '!G239)/1000000</f>
        <v>66.160521509999754</v>
      </c>
      <c r="O18" t="s">
        <v>92</v>
      </c>
      <c r="P18" s="14">
        <f>('pm_24.dat '!H239)/1000000</f>
        <v>66.364140509999714</v>
      </c>
      <c r="Q18" t="s">
        <v>92</v>
      </c>
      <c r="R18" s="14">
        <f>('pm_24.dat '!I239)/1000000</f>
        <v>56.464135009999836</v>
      </c>
      <c r="S18" t="s">
        <v>92</v>
      </c>
      <c r="T18" s="14">
        <f>('pm_24.dat '!J239)/1000000</f>
        <v>86.182155409999794</v>
      </c>
      <c r="U18" t="s">
        <v>92</v>
      </c>
      <c r="V18" s="14">
        <f>('pm_24.dat '!K239)/1000000</f>
        <v>21.16022248000009</v>
      </c>
      <c r="W18" t="s">
        <v>92</v>
      </c>
      <c r="X18" s="14">
        <f>('pm_24.dat '!L239)/1000000</f>
        <v>32.68304530000011</v>
      </c>
      <c r="Y18" t="s">
        <v>92</v>
      </c>
      <c r="Z18" s="14">
        <f>('pm_24.dat '!M239)/1000000</f>
        <v>12.357607926000005</v>
      </c>
      <c r="AA18" t="s">
        <v>92</v>
      </c>
      <c r="AB18" s="14">
        <f>('pm_24.dat '!N239)/1000000</f>
        <v>13.469629876000031</v>
      </c>
      <c r="AC18" t="s">
        <v>92</v>
      </c>
      <c r="AD18" s="14">
        <f>('pm_24.dat '!O239)/1000000</f>
        <v>6.761918464999999</v>
      </c>
      <c r="AE18" t="s">
        <v>92</v>
      </c>
      <c r="AF18" s="12">
        <f t="shared" si="0"/>
        <v>1879.2631379111883</v>
      </c>
      <c r="AG18" t="s">
        <v>93</v>
      </c>
    </row>
    <row r="19" spans="2:33" x14ac:dyDescent="0.2">
      <c r="B19">
        <v>1994</v>
      </c>
      <c r="C19" t="s">
        <v>92</v>
      </c>
      <c r="D19" s="14">
        <f>('pm_24.dat '!B240)/1000000</f>
        <v>0.74951842200000285</v>
      </c>
      <c r="E19" t="s">
        <v>92</v>
      </c>
      <c r="F19" s="14">
        <f>('pm_24.dat '!C240)/1000000</f>
        <v>30.188763760000089</v>
      </c>
      <c r="G19" t="s">
        <v>92</v>
      </c>
      <c r="H19" s="14">
        <f>('pm_24.dat '!D240)/1000000</f>
        <v>55.14532110999982</v>
      </c>
      <c r="I19" t="s">
        <v>92</v>
      </c>
      <c r="J19" s="14">
        <f>('pm_24.dat '!E240)/1000000</f>
        <v>361.15131300999491</v>
      </c>
      <c r="K19" t="s">
        <v>92</v>
      </c>
      <c r="L19" s="14">
        <f>('pm_24.dat '!F240)/1000000</f>
        <v>1059.6600520099921</v>
      </c>
      <c r="M19" t="s">
        <v>92</v>
      </c>
      <c r="N19" s="14">
        <f>('pm_24.dat '!G240)/1000000</f>
        <v>175.69439210999951</v>
      </c>
      <c r="O19" t="s">
        <v>92</v>
      </c>
      <c r="P19" s="14">
        <f>('pm_24.dat '!H240)/1000000</f>
        <v>53.531420309999859</v>
      </c>
      <c r="Q19" t="s">
        <v>92</v>
      </c>
      <c r="R19" s="14">
        <f>('pm_24.dat '!I240)/1000000</f>
        <v>19.10597847000005</v>
      </c>
      <c r="S19" t="s">
        <v>92</v>
      </c>
      <c r="T19" s="14">
        <f>('pm_24.dat '!J240)/1000000</f>
        <v>13.140716680000024</v>
      </c>
      <c r="U19" t="s">
        <v>92</v>
      </c>
      <c r="V19" s="14">
        <f>('pm_24.dat '!K240)/1000000</f>
        <v>20.163830980000064</v>
      </c>
      <c r="W19" t="s">
        <v>92</v>
      </c>
      <c r="X19" s="14">
        <f>('pm_24.dat '!L240)/1000000</f>
        <v>9.7152403139999937</v>
      </c>
      <c r="Y19" t="s">
        <v>92</v>
      </c>
      <c r="Z19" s="14">
        <f>('pm_24.dat '!M240)/1000000</f>
        <v>9.3818806299999995</v>
      </c>
      <c r="AA19" t="s">
        <v>92</v>
      </c>
      <c r="AB19" s="14">
        <f>('pm_24.dat '!N240)/1000000</f>
        <v>7.5549726099999983</v>
      </c>
      <c r="AC19" t="s">
        <v>92</v>
      </c>
      <c r="AD19" s="14">
        <f>('pm_24.dat '!O240)/1000000</f>
        <v>3.9648417330000032</v>
      </c>
      <c r="AE19" t="s">
        <v>92</v>
      </c>
      <c r="AF19" s="12">
        <f t="shared" si="0"/>
        <v>1819.1482421489866</v>
      </c>
      <c r="AG19" t="s">
        <v>93</v>
      </c>
    </row>
    <row r="20" spans="2:33" x14ac:dyDescent="0.2">
      <c r="B20">
        <v>1995</v>
      </c>
      <c r="C20" t="s">
        <v>92</v>
      </c>
      <c r="D20" s="14">
        <f>('pm_24.dat '!B241)/1000000</f>
        <v>1.0009999999999831E-5</v>
      </c>
      <c r="E20" t="s">
        <v>92</v>
      </c>
      <c r="F20" s="14">
        <f>('pm_24.dat '!C241)/1000000</f>
        <v>0.51434873127000202</v>
      </c>
      <c r="G20" t="s">
        <v>92</v>
      </c>
      <c r="H20" s="14">
        <f>('pm_24.dat '!D241)/1000000</f>
        <v>72.906750009999698</v>
      </c>
      <c r="I20" t="s">
        <v>92</v>
      </c>
      <c r="J20" s="14">
        <f>('pm_24.dat '!E241)/1000000</f>
        <v>146.78664811000132</v>
      </c>
      <c r="K20" t="s">
        <v>92</v>
      </c>
      <c r="L20" s="14">
        <f>('pm_24.dat '!F241)/1000000</f>
        <v>395.47251800999453</v>
      </c>
      <c r="M20" t="s">
        <v>92</v>
      </c>
      <c r="N20" s="14">
        <f>('pm_24.dat '!G241)/1000000</f>
        <v>761.10642300999257</v>
      </c>
      <c r="O20" t="s">
        <v>92</v>
      </c>
      <c r="P20" s="14">
        <f>('pm_24.dat '!H241)/1000000</f>
        <v>136.27121561000183</v>
      </c>
      <c r="Q20" t="s">
        <v>92</v>
      </c>
      <c r="R20" s="14">
        <f>('pm_24.dat '!I241)/1000000</f>
        <v>34.575493260000108</v>
      </c>
      <c r="S20" t="s">
        <v>92</v>
      </c>
      <c r="T20" s="14">
        <f>('pm_24.dat '!J241)/1000000</f>
        <v>12.271419881000012</v>
      </c>
      <c r="U20" t="s">
        <v>92</v>
      </c>
      <c r="V20" s="14">
        <f>('pm_24.dat '!K241)/1000000</f>
        <v>7.5019281120000043</v>
      </c>
      <c r="W20" t="s">
        <v>92</v>
      </c>
      <c r="X20" s="14">
        <f>('pm_24.dat '!L241)/1000000</f>
        <v>17.477639980000053</v>
      </c>
      <c r="Y20" t="s">
        <v>92</v>
      </c>
      <c r="Z20" s="14">
        <f>('pm_24.dat '!M241)/1000000</f>
        <v>5.0036508580000012</v>
      </c>
      <c r="AA20" t="s">
        <v>92</v>
      </c>
      <c r="AB20" s="14">
        <f>('pm_24.dat '!N241)/1000000</f>
        <v>5.8135724649999974</v>
      </c>
      <c r="AC20" t="s">
        <v>92</v>
      </c>
      <c r="AD20" s="14">
        <f>('pm_24.dat '!O241)/1000000</f>
        <v>1.6571030390000014</v>
      </c>
      <c r="AE20" t="s">
        <v>92</v>
      </c>
      <c r="AF20" s="12">
        <f t="shared" si="0"/>
        <v>1597.3587210862602</v>
      </c>
      <c r="AG20" t="s">
        <v>93</v>
      </c>
    </row>
    <row r="21" spans="2:33" x14ac:dyDescent="0.2">
      <c r="B21">
        <v>1996</v>
      </c>
      <c r="C21" t="s">
        <v>92</v>
      </c>
      <c r="D21" s="14">
        <f>('pm_24.dat '!B242)/1000000</f>
        <v>1.0009999999999831E-5</v>
      </c>
      <c r="E21" t="s">
        <v>92</v>
      </c>
      <c r="F21" s="14">
        <f>('pm_24.dat '!C242)/1000000</f>
        <v>21.661749058000073</v>
      </c>
      <c r="G21" t="s">
        <v>92</v>
      </c>
      <c r="H21" s="14">
        <f>('pm_24.dat '!D242)/1000000</f>
        <v>48.084775628999871</v>
      </c>
      <c r="I21" t="s">
        <v>92</v>
      </c>
      <c r="J21" s="14">
        <f>('pm_24.dat '!E242)/1000000</f>
        <v>71.786097109999744</v>
      </c>
      <c r="K21" t="s">
        <v>92</v>
      </c>
      <c r="L21" s="14">
        <f>('pm_24.dat '!F242)/1000000</f>
        <v>160.97489141000037</v>
      </c>
      <c r="M21" t="s">
        <v>92</v>
      </c>
      <c r="N21" s="14">
        <f>('pm_24.dat '!G242)/1000000</f>
        <v>361.90614100999488</v>
      </c>
      <c r="O21" t="s">
        <v>92</v>
      </c>
      <c r="P21" s="14">
        <f>('pm_24.dat '!H242)/1000000</f>
        <v>481.72689300999377</v>
      </c>
      <c r="Q21" t="s">
        <v>92</v>
      </c>
      <c r="R21" s="14">
        <f>('pm_24.dat '!I242)/1000000</f>
        <v>184.63842400999911</v>
      </c>
      <c r="S21" t="s">
        <v>92</v>
      </c>
      <c r="T21" s="14">
        <f>('pm_24.dat '!J242)/1000000</f>
        <v>33.635762390000096</v>
      </c>
      <c r="U21" t="s">
        <v>92</v>
      </c>
      <c r="V21" s="14">
        <f>('pm_24.dat '!K242)/1000000</f>
        <v>13.44844254000003</v>
      </c>
      <c r="W21" t="s">
        <v>92</v>
      </c>
      <c r="X21" s="14">
        <f>('pm_24.dat '!L242)/1000000</f>
        <v>7.9484999059999932</v>
      </c>
      <c r="Y21" t="s">
        <v>92</v>
      </c>
      <c r="Z21" s="14">
        <f>('pm_24.dat '!M242)/1000000</f>
        <v>8.813779683999984</v>
      </c>
      <c r="AA21" t="s">
        <v>92</v>
      </c>
      <c r="AB21" s="14">
        <f>('pm_24.dat '!N242)/1000000</f>
        <v>4.3354508322999958</v>
      </c>
      <c r="AC21" t="s">
        <v>92</v>
      </c>
      <c r="AD21" s="14">
        <f>('pm_24.dat '!O242)/1000000</f>
        <v>5.8345447330000049</v>
      </c>
      <c r="AE21" t="s">
        <v>92</v>
      </c>
      <c r="AF21" s="12">
        <f t="shared" si="0"/>
        <v>1404.7954613322881</v>
      </c>
      <c r="AG21" t="s">
        <v>93</v>
      </c>
    </row>
    <row r="22" spans="2:33" x14ac:dyDescent="0.2">
      <c r="B22">
        <v>1997</v>
      </c>
      <c r="C22" t="s">
        <v>92</v>
      </c>
      <c r="D22" s="14">
        <f>('pm_24.dat '!B243)/1000000</f>
        <v>1.0306614370000036</v>
      </c>
      <c r="E22" t="s">
        <v>92</v>
      </c>
      <c r="F22" s="14">
        <f>('pm_24.dat '!C243)/1000000</f>
        <v>77.692162959999749</v>
      </c>
      <c r="G22" t="s">
        <v>92</v>
      </c>
      <c r="H22" s="14">
        <f>('pm_24.dat '!D243)/1000000</f>
        <v>40.326288640000008</v>
      </c>
      <c r="I22" t="s">
        <v>92</v>
      </c>
      <c r="J22" s="14">
        <f>('pm_24.dat '!E243)/1000000</f>
        <v>118.97461221000152</v>
      </c>
      <c r="K22" t="s">
        <v>92</v>
      </c>
      <c r="L22" s="14">
        <f>('pm_24.dat '!F243)/1000000</f>
        <v>455.13795500999402</v>
      </c>
      <c r="M22" t="s">
        <v>92</v>
      </c>
      <c r="N22" s="14">
        <f>('pm_24.dat '!G243)/1000000</f>
        <v>288.95682200999602</v>
      </c>
      <c r="O22" t="s">
        <v>92</v>
      </c>
      <c r="P22" s="14">
        <f>('pm_24.dat '!H243)/1000000</f>
        <v>256.37188800999667</v>
      </c>
      <c r="Q22" t="s">
        <v>92</v>
      </c>
      <c r="R22" s="14">
        <f>('pm_24.dat '!I243)/1000000</f>
        <v>198.55520790999847</v>
      </c>
      <c r="S22" t="s">
        <v>92</v>
      </c>
      <c r="T22" s="14">
        <f>('pm_24.dat '!J243)/1000000</f>
        <v>64.018159779999763</v>
      </c>
      <c r="U22" t="s">
        <v>92</v>
      </c>
      <c r="V22" s="14">
        <f>('pm_24.dat '!K243)/1000000</f>
        <v>13.335152930000003</v>
      </c>
      <c r="W22" t="s">
        <v>92</v>
      </c>
      <c r="X22" s="14">
        <f>('pm_24.dat '!L243)/1000000</f>
        <v>5.9702666279999912</v>
      </c>
      <c r="Y22" t="s">
        <v>92</v>
      </c>
      <c r="Z22" s="14">
        <f>('pm_24.dat '!M243)/1000000</f>
        <v>4.6464954379999908</v>
      </c>
      <c r="AA22" t="s">
        <v>92</v>
      </c>
      <c r="AB22" s="14">
        <f>('pm_24.dat '!N243)/1000000</f>
        <v>2.8947593890000016</v>
      </c>
      <c r="AC22" t="s">
        <v>92</v>
      </c>
      <c r="AD22" s="14">
        <f>('pm_24.dat '!O243)/1000000</f>
        <v>4.7813158990000009</v>
      </c>
      <c r="AE22" t="s">
        <v>92</v>
      </c>
      <c r="AF22" s="12">
        <f t="shared" si="0"/>
        <v>1532.6917482509862</v>
      </c>
      <c r="AG22" t="s">
        <v>93</v>
      </c>
    </row>
    <row r="23" spans="2:33" x14ac:dyDescent="0.2">
      <c r="B23">
        <v>1998</v>
      </c>
      <c r="C23" t="s">
        <v>92</v>
      </c>
      <c r="D23" s="14">
        <f>('pm_24.dat '!B244)/1000000</f>
        <v>0.2883878760000016</v>
      </c>
      <c r="E23" t="s">
        <v>92</v>
      </c>
      <c r="F23" s="14">
        <f>('pm_24.dat '!C244)/1000000</f>
        <v>42.025190849999987</v>
      </c>
      <c r="G23" t="s">
        <v>92</v>
      </c>
      <c r="H23" s="14">
        <f>('pm_24.dat '!D244)/1000000</f>
        <v>84.532243609999711</v>
      </c>
      <c r="I23" t="s">
        <v>92</v>
      </c>
      <c r="J23" s="14">
        <f>('pm_24.dat '!E244)/1000000</f>
        <v>70.495498309999718</v>
      </c>
      <c r="K23" t="s">
        <v>92</v>
      </c>
      <c r="L23" s="14">
        <f>('pm_24.dat '!F244)/1000000</f>
        <v>153.35471631000081</v>
      </c>
      <c r="M23" t="s">
        <v>92</v>
      </c>
      <c r="N23" s="14">
        <f>('pm_24.dat '!G244)/1000000</f>
        <v>702.79224200999272</v>
      </c>
      <c r="O23" t="s">
        <v>92</v>
      </c>
      <c r="P23" s="14">
        <f>('pm_24.dat '!H244)/1000000</f>
        <v>199.57018700999848</v>
      </c>
      <c r="Q23" t="s">
        <v>92</v>
      </c>
      <c r="R23" s="14">
        <f>('pm_24.dat '!I244)/1000000</f>
        <v>131.72343661000224</v>
      </c>
      <c r="S23" t="s">
        <v>92</v>
      </c>
      <c r="T23" s="14">
        <f>('pm_24.dat '!J244)/1000000</f>
        <v>110.74418821000147</v>
      </c>
      <c r="U23" t="s">
        <v>92</v>
      </c>
      <c r="V23" s="14">
        <f>('pm_24.dat '!K244)/1000000</f>
        <v>27.795326130000106</v>
      </c>
      <c r="W23" t="s">
        <v>92</v>
      </c>
      <c r="X23" s="14">
        <f>('pm_24.dat '!L244)/1000000</f>
        <v>6.1453187349999929</v>
      </c>
      <c r="Y23" t="s">
        <v>92</v>
      </c>
      <c r="Z23" s="14">
        <f>('pm_24.dat '!M244)/1000000</f>
        <v>5.5648513230000063</v>
      </c>
      <c r="AA23" t="s">
        <v>92</v>
      </c>
      <c r="AB23" s="14">
        <f>('pm_24.dat '!N244)/1000000</f>
        <v>2.5547892948999977</v>
      </c>
      <c r="AC23" t="s">
        <v>92</v>
      </c>
      <c r="AD23" s="14">
        <f>('pm_24.dat '!O244)/1000000</f>
        <v>2.5022426040999965</v>
      </c>
      <c r="AE23" t="s">
        <v>92</v>
      </c>
      <c r="AF23" s="12">
        <f t="shared" si="0"/>
        <v>1540.0886188829957</v>
      </c>
      <c r="AG23" t="s">
        <v>93</v>
      </c>
    </row>
    <row r="24" spans="2:33" x14ac:dyDescent="0.2">
      <c r="B24">
        <v>1999</v>
      </c>
      <c r="C24" t="s">
        <v>92</v>
      </c>
      <c r="D24" s="14">
        <f>('pm_24.dat '!B245)/1000000</f>
        <v>0.23257412200000127</v>
      </c>
      <c r="E24" t="s">
        <v>92</v>
      </c>
      <c r="F24" s="14">
        <f>('pm_24.dat '!C245)/1000000</f>
        <v>10.347391936000005</v>
      </c>
      <c r="G24" t="s">
        <v>92</v>
      </c>
      <c r="H24" s="14">
        <f>('pm_24.dat '!D245)/1000000</f>
        <v>298.71437500999582</v>
      </c>
      <c r="I24" t="s">
        <v>92</v>
      </c>
      <c r="J24" s="14">
        <f>('pm_24.dat '!E245)/1000000</f>
        <v>225.03334400999751</v>
      </c>
      <c r="K24" t="s">
        <v>92</v>
      </c>
      <c r="L24" s="14">
        <f>('pm_24.dat '!F245)/1000000</f>
        <v>103.03747461000069</v>
      </c>
      <c r="M24" t="s">
        <v>92</v>
      </c>
      <c r="N24" s="14">
        <f>('pm_24.dat '!G245)/1000000</f>
        <v>157.01798701000061</v>
      </c>
      <c r="O24" t="s">
        <v>92</v>
      </c>
      <c r="P24" s="14">
        <f>('pm_24.dat '!H245)/1000000</f>
        <v>469.73714600999392</v>
      </c>
      <c r="Q24" t="s">
        <v>92</v>
      </c>
      <c r="R24" s="14">
        <f>('pm_24.dat '!I245)/1000000</f>
        <v>130.99845191000227</v>
      </c>
      <c r="S24" t="s">
        <v>92</v>
      </c>
      <c r="T24" s="14">
        <f>('pm_24.dat '!J245)/1000000</f>
        <v>56.503034209999804</v>
      </c>
      <c r="U24" t="s">
        <v>92</v>
      </c>
      <c r="V24" s="14">
        <f>('pm_24.dat '!K245)/1000000</f>
        <v>33.1805229100001</v>
      </c>
      <c r="W24" t="s">
        <v>92</v>
      </c>
      <c r="X24" s="14">
        <f>('pm_24.dat '!L245)/1000000</f>
        <v>3.9600798099999976</v>
      </c>
      <c r="Y24" t="s">
        <v>92</v>
      </c>
      <c r="Z24" s="14">
        <f>('pm_24.dat '!M245)/1000000</f>
        <v>2.1838426932000012</v>
      </c>
      <c r="AA24" t="s">
        <v>92</v>
      </c>
      <c r="AB24" s="14">
        <f>('pm_24.dat '!N245)/1000000</f>
        <v>0.85672732370000082</v>
      </c>
      <c r="AC24" t="s">
        <v>92</v>
      </c>
      <c r="AD24" s="14">
        <f>('pm_24.dat '!O245)/1000000</f>
        <v>0.47739884600000276</v>
      </c>
      <c r="AE24" t="s">
        <v>92</v>
      </c>
      <c r="AF24" s="12">
        <f t="shared" si="0"/>
        <v>1492.2803504108906</v>
      </c>
      <c r="AG24" t="s">
        <v>93</v>
      </c>
    </row>
    <row r="25" spans="2:33" x14ac:dyDescent="0.2">
      <c r="B25">
        <v>2000</v>
      </c>
      <c r="C25" t="s">
        <v>92</v>
      </c>
      <c r="D25" s="14">
        <f>('pm_24.dat '!B246)/1000000</f>
        <v>1.0009999999999831E-5</v>
      </c>
      <c r="E25" t="s">
        <v>92</v>
      </c>
      <c r="F25" s="14">
        <f>('pm_24.dat '!C246)/1000000</f>
        <v>16.076799820000062</v>
      </c>
      <c r="G25" t="s">
        <v>92</v>
      </c>
      <c r="H25" s="14">
        <f>('pm_24.dat '!D246)/1000000</f>
        <v>82.441649609999743</v>
      </c>
      <c r="I25" t="s">
        <v>92</v>
      </c>
      <c r="J25" s="14">
        <f>('pm_24.dat '!E246)/1000000</f>
        <v>428.50121500999421</v>
      </c>
      <c r="K25" t="s">
        <v>92</v>
      </c>
      <c r="L25" s="14">
        <f>('pm_24.dat '!F246)/1000000</f>
        <v>346.51236500999511</v>
      </c>
      <c r="M25" t="s">
        <v>92</v>
      </c>
      <c r="N25" s="14">
        <f>('pm_24.dat '!G246)/1000000</f>
        <v>106.68158031000102</v>
      </c>
      <c r="O25" t="s">
        <v>92</v>
      </c>
      <c r="P25" s="14">
        <f>('pm_24.dat '!H246)/1000000</f>
        <v>168.38538000999995</v>
      </c>
      <c r="Q25" t="s">
        <v>92</v>
      </c>
      <c r="R25" s="14">
        <f>('pm_24.dat '!I246)/1000000</f>
        <v>357.71594700999492</v>
      </c>
      <c r="S25" t="s">
        <v>92</v>
      </c>
      <c r="T25" s="14">
        <f>('pm_24.dat '!J246)/1000000</f>
        <v>84.913329409999591</v>
      </c>
      <c r="U25" t="s">
        <v>92</v>
      </c>
      <c r="V25" s="14">
        <f>('pm_24.dat '!K246)/1000000</f>
        <v>29.722613810000105</v>
      </c>
      <c r="W25" t="s">
        <v>92</v>
      </c>
      <c r="X25" s="14">
        <f>('pm_24.dat '!L246)/1000000</f>
        <v>22.045490030000085</v>
      </c>
      <c r="Y25" t="s">
        <v>92</v>
      </c>
      <c r="Z25" s="14">
        <f>('pm_24.dat '!M246)/1000000</f>
        <v>5.2458997440000026</v>
      </c>
      <c r="AA25" t="s">
        <v>92</v>
      </c>
      <c r="AB25" s="14">
        <f>('pm_24.dat '!N246)/1000000</f>
        <v>1.4182590910000026</v>
      </c>
      <c r="AC25" t="s">
        <v>92</v>
      </c>
      <c r="AD25" s="14">
        <f>('pm_24.dat '!O246)/1000000</f>
        <v>0.60884292600000167</v>
      </c>
      <c r="AE25" t="s">
        <v>92</v>
      </c>
      <c r="AF25" s="12">
        <f t="shared" si="0"/>
        <v>1650.2693818009852</v>
      </c>
      <c r="AG25" t="s">
        <v>93</v>
      </c>
    </row>
    <row r="26" spans="2:33" x14ac:dyDescent="0.2">
      <c r="B26">
        <v>2001</v>
      </c>
      <c r="C26" t="s">
        <v>92</v>
      </c>
      <c r="D26" s="14">
        <f>('pm_24.dat '!B247)/1000000</f>
        <v>1.0009999999999831E-5</v>
      </c>
      <c r="E26" t="s">
        <v>92</v>
      </c>
      <c r="F26" s="14">
        <f>('pm_24.dat '!C247)/1000000</f>
        <v>3.2138220203999905</v>
      </c>
      <c r="G26" t="s">
        <v>92</v>
      </c>
      <c r="H26" s="14">
        <f>('pm_24.dat '!D247)/1000000</f>
        <v>42.795561009999915</v>
      </c>
      <c r="I26" t="s">
        <v>92</v>
      </c>
      <c r="J26" s="14">
        <f>('pm_24.dat '!E247)/1000000</f>
        <v>154.50110701000077</v>
      </c>
      <c r="K26" t="s">
        <v>92</v>
      </c>
      <c r="L26" s="14">
        <f>('pm_24.dat '!F247)/1000000</f>
        <v>581.03983100999324</v>
      </c>
      <c r="M26" t="s">
        <v>92</v>
      </c>
      <c r="N26" s="14">
        <f>('pm_24.dat '!G247)/1000000</f>
        <v>415.04452700999434</v>
      </c>
      <c r="O26" t="s">
        <v>92</v>
      </c>
      <c r="P26" s="14">
        <f>('pm_24.dat '!H247)/1000000</f>
        <v>137.18479401000207</v>
      </c>
      <c r="Q26" t="s">
        <v>92</v>
      </c>
      <c r="R26" s="14">
        <f>('pm_24.dat '!I247)/1000000</f>
        <v>129.00292111000218</v>
      </c>
      <c r="S26" t="s">
        <v>92</v>
      </c>
      <c r="T26" s="14">
        <f>('pm_24.dat '!J247)/1000000</f>
        <v>157.22959001000058</v>
      </c>
      <c r="U26" t="s">
        <v>92</v>
      </c>
      <c r="V26" s="14">
        <f>('pm_24.dat '!K247)/1000000</f>
        <v>57.854815909999864</v>
      </c>
      <c r="W26" t="s">
        <v>92</v>
      </c>
      <c r="X26" s="14">
        <f>('pm_24.dat '!L247)/1000000</f>
        <v>33.643741510000048</v>
      </c>
      <c r="Y26" t="s">
        <v>92</v>
      </c>
      <c r="Z26" s="14">
        <f>('pm_24.dat '!M247)/1000000</f>
        <v>16.205780640000054</v>
      </c>
      <c r="AA26" t="s">
        <v>92</v>
      </c>
      <c r="AB26" s="14">
        <f>('pm_24.dat '!N247)/1000000</f>
        <v>5.4860372319999975</v>
      </c>
      <c r="AC26" t="s">
        <v>92</v>
      </c>
      <c r="AD26" s="14">
        <f>('pm_24.dat '!O247)/1000000</f>
        <v>3.0910531239999997</v>
      </c>
      <c r="AE26" t="s">
        <v>92</v>
      </c>
      <c r="AF26" s="12">
        <f t="shared" si="0"/>
        <v>1736.2935916163931</v>
      </c>
      <c r="AG26" t="s">
        <v>93</v>
      </c>
    </row>
    <row r="27" spans="2:33" x14ac:dyDescent="0.2">
      <c r="B27">
        <v>2002</v>
      </c>
      <c r="C27" t="s">
        <v>92</v>
      </c>
      <c r="D27" s="14">
        <f>('pm_24.dat '!B248)/1000000</f>
        <v>0.77333606900000318</v>
      </c>
      <c r="E27" t="s">
        <v>92</v>
      </c>
      <c r="F27" s="14">
        <f>('pm_24.dat '!C248)/1000000</f>
        <v>47.047125409999907</v>
      </c>
      <c r="G27" t="s">
        <v>92</v>
      </c>
      <c r="H27" s="14">
        <f>('pm_24.dat '!D248)/1000000</f>
        <v>108.0516559100011</v>
      </c>
      <c r="I27" t="s">
        <v>92</v>
      </c>
      <c r="J27" s="14">
        <f>('pm_24.dat '!E248)/1000000</f>
        <v>217.81811700999779</v>
      </c>
      <c r="K27" t="s">
        <v>92</v>
      </c>
      <c r="L27" s="14">
        <f>('pm_24.dat '!F248)/1000000</f>
        <v>287.55010300999601</v>
      </c>
      <c r="M27" t="s">
        <v>92</v>
      </c>
      <c r="N27" s="14">
        <f>('pm_24.dat '!G248)/1000000</f>
        <v>606.33090200999322</v>
      </c>
      <c r="O27" t="s">
        <v>92</v>
      </c>
      <c r="P27" s="14">
        <f>('pm_24.dat '!H248)/1000000</f>
        <v>267.95574500999641</v>
      </c>
      <c r="Q27" t="s">
        <v>92</v>
      </c>
      <c r="R27" s="14">
        <f>('pm_24.dat '!I248)/1000000</f>
        <v>98.464239410000303</v>
      </c>
      <c r="S27" t="s">
        <v>92</v>
      </c>
      <c r="T27" s="14">
        <f>('pm_24.dat '!J248)/1000000</f>
        <v>85.885590809999655</v>
      </c>
      <c r="U27" t="s">
        <v>92</v>
      </c>
      <c r="V27" s="14">
        <f>('pm_24.dat '!K248)/1000000</f>
        <v>93.924689410000198</v>
      </c>
      <c r="W27" t="s">
        <v>92</v>
      </c>
      <c r="X27" s="14">
        <f>('pm_24.dat '!L248)/1000000</f>
        <v>34.608141210000035</v>
      </c>
      <c r="Y27" t="s">
        <v>92</v>
      </c>
      <c r="Z27" s="14">
        <f>('pm_24.dat '!M248)/1000000</f>
        <v>14.401940320000016</v>
      </c>
      <c r="AA27" t="s">
        <v>92</v>
      </c>
      <c r="AB27" s="14">
        <f>('pm_24.dat '!N248)/1000000</f>
        <v>11.043775810000009</v>
      </c>
      <c r="AC27" t="s">
        <v>92</v>
      </c>
      <c r="AD27" s="14">
        <f>('pm_24.dat '!O248)/1000000</f>
        <v>2.9553560709999922</v>
      </c>
      <c r="AE27" t="s">
        <v>92</v>
      </c>
      <c r="AF27" s="12">
        <f t="shared" si="0"/>
        <v>1876.8107174699846</v>
      </c>
      <c r="AG27" t="s">
        <v>93</v>
      </c>
    </row>
    <row r="28" spans="2:33" x14ac:dyDescent="0.2">
      <c r="B28">
        <v>2003</v>
      </c>
      <c r="C28" t="s">
        <v>92</v>
      </c>
      <c r="D28" s="14">
        <f>('pm_24.dat '!B249)/1000000</f>
        <v>1.0009999999999831E-5</v>
      </c>
      <c r="E28" t="s">
        <v>92</v>
      </c>
      <c r="F28" s="14">
        <f>('pm_24.dat '!C249)/1000000</f>
        <v>14.537705940000054</v>
      </c>
      <c r="G28" t="s">
        <v>92</v>
      </c>
      <c r="H28" s="14">
        <f>('pm_24.dat '!D249)/1000000</f>
        <v>411.77250600999434</v>
      </c>
      <c r="I28" t="s">
        <v>92</v>
      </c>
      <c r="J28" s="14">
        <f>('pm_24.dat '!E249)/1000000</f>
        <v>324.1183140099954</v>
      </c>
      <c r="K28" t="s">
        <v>92</v>
      </c>
      <c r="L28" s="14">
        <f>('pm_24.dat '!F249)/1000000</f>
        <v>360.40864500999493</v>
      </c>
      <c r="M28" t="s">
        <v>92</v>
      </c>
      <c r="N28" s="14">
        <f>('pm_24.dat '!G249)/1000000</f>
        <v>301.47608900999575</v>
      </c>
      <c r="O28" t="s">
        <v>92</v>
      </c>
      <c r="P28" s="14">
        <f>('pm_24.dat '!H249)/1000000</f>
        <v>337.59389500999521</v>
      </c>
      <c r="Q28" t="s">
        <v>92</v>
      </c>
      <c r="R28" s="14">
        <f>('pm_24.dat '!I249)/1000000</f>
        <v>158.55181101000053</v>
      </c>
      <c r="S28" t="s">
        <v>92</v>
      </c>
      <c r="T28" s="14">
        <f>('pm_24.dat '!J249)/1000000</f>
        <v>49.422631709999919</v>
      </c>
      <c r="U28" t="s">
        <v>92</v>
      </c>
      <c r="V28" s="14">
        <f>('pm_24.dat '!K249)/1000000</f>
        <v>39.279391709999992</v>
      </c>
      <c r="W28" t="s">
        <v>92</v>
      </c>
      <c r="X28" s="14">
        <f>('pm_24.dat '!L249)/1000000</f>
        <v>35.708840710000096</v>
      </c>
      <c r="Y28" t="s">
        <v>92</v>
      </c>
      <c r="Z28" s="14">
        <f>('pm_24.dat '!M249)/1000000</f>
        <v>22.936312140000101</v>
      </c>
      <c r="AA28" t="s">
        <v>92</v>
      </c>
      <c r="AB28" s="14">
        <f>('pm_24.dat '!N249)/1000000</f>
        <v>6.6191774099999812</v>
      </c>
      <c r="AC28" t="s">
        <v>92</v>
      </c>
      <c r="AD28" s="14">
        <f>('pm_24.dat '!O249)/1000000</f>
        <v>3.6447517929999975</v>
      </c>
      <c r="AE28" t="s">
        <v>92</v>
      </c>
      <c r="AF28" s="12">
        <f t="shared" si="0"/>
        <v>2066.0700814829761</v>
      </c>
      <c r="AG28" t="s">
        <v>93</v>
      </c>
    </row>
    <row r="29" spans="2:33" x14ac:dyDescent="0.2">
      <c r="B29">
        <v>2004</v>
      </c>
      <c r="C29" t="s">
        <v>92</v>
      </c>
      <c r="D29" s="14">
        <f>('pm_24.dat '!B250)/1000000</f>
        <v>1.0009999999999831E-5</v>
      </c>
      <c r="E29" t="s">
        <v>92</v>
      </c>
      <c r="F29" s="14">
        <f>('pm_24.dat '!C250)/1000000</f>
        <v>0.53918904580000238</v>
      </c>
      <c r="G29" t="s">
        <v>92</v>
      </c>
      <c r="H29" s="14">
        <f>('pm_24.dat '!D250)/1000000</f>
        <v>89.601071610000048</v>
      </c>
      <c r="I29" t="s">
        <v>92</v>
      </c>
      <c r="J29" s="14">
        <f>('pm_24.dat '!E250)/1000000</f>
        <v>831.12129600999253</v>
      </c>
      <c r="K29" t="s">
        <v>92</v>
      </c>
      <c r="L29" s="14">
        <f>('pm_24.dat '!F250)/1000000</f>
        <v>480.64805000999377</v>
      </c>
      <c r="M29" t="s">
        <v>92</v>
      </c>
      <c r="N29" s="14">
        <f>('pm_24.dat '!G250)/1000000</f>
        <v>236.81793400999723</v>
      </c>
      <c r="O29" t="s">
        <v>92</v>
      </c>
      <c r="P29" s="14">
        <f>('pm_24.dat '!H250)/1000000</f>
        <v>169.2787920099999</v>
      </c>
      <c r="Q29" t="s">
        <v>92</v>
      </c>
      <c r="R29" s="14">
        <f>('pm_24.dat '!I250)/1000000</f>
        <v>156.28083601000068</v>
      </c>
      <c r="S29" t="s">
        <v>92</v>
      </c>
      <c r="T29" s="14">
        <f>('pm_24.dat '!J250)/1000000</f>
        <v>64.958948409999692</v>
      </c>
      <c r="U29" t="s">
        <v>92</v>
      </c>
      <c r="V29" s="14">
        <f>('pm_24.dat '!K250)/1000000</f>
        <v>16.118106200000042</v>
      </c>
      <c r="W29" t="s">
        <v>92</v>
      </c>
      <c r="X29" s="14">
        <f>('pm_24.dat '!L250)/1000000</f>
        <v>17.061328110000051</v>
      </c>
      <c r="Y29" t="s">
        <v>92</v>
      </c>
      <c r="Z29" s="14">
        <f>('pm_24.dat '!M250)/1000000</f>
        <v>25.272130730000114</v>
      </c>
      <c r="AA29" t="s">
        <v>92</v>
      </c>
      <c r="AB29" s="14">
        <f>('pm_24.dat '!N250)/1000000</f>
        <v>9.4483944449999875</v>
      </c>
      <c r="AC29" t="s">
        <v>92</v>
      </c>
      <c r="AD29" s="14">
        <f>('pm_24.dat '!O250)/1000000</f>
        <v>5.9186702809999883</v>
      </c>
      <c r="AE29" t="s">
        <v>92</v>
      </c>
      <c r="AF29" s="12">
        <f t="shared" si="0"/>
        <v>2103.0647568917839</v>
      </c>
      <c r="AG29" t="s">
        <v>93</v>
      </c>
    </row>
    <row r="30" spans="2:33" x14ac:dyDescent="0.2">
      <c r="B30">
        <v>2005</v>
      </c>
      <c r="C30" t="s">
        <v>92</v>
      </c>
      <c r="D30" s="14">
        <f>('pm_24.dat '!B251)/1000000</f>
        <v>1.0009999999999831E-5</v>
      </c>
      <c r="E30" t="s">
        <v>92</v>
      </c>
      <c r="F30" s="14">
        <f>('pm_24.dat '!C251)/1000000</f>
        <v>4.7949227247999922</v>
      </c>
      <c r="G30" t="s">
        <v>92</v>
      </c>
      <c r="H30" s="14">
        <f>('pm_24.dat '!D251)/1000000</f>
        <v>52.152254309999847</v>
      </c>
      <c r="I30" t="s">
        <v>92</v>
      </c>
      <c r="J30" s="14">
        <f>('pm_24.dat '!E251)/1000000</f>
        <v>392.85118200999449</v>
      </c>
      <c r="K30" t="s">
        <v>92</v>
      </c>
      <c r="L30" s="14">
        <f>('pm_24.dat '!F251)/1000000</f>
        <v>863.7933970099923</v>
      </c>
      <c r="M30" t="s">
        <v>92</v>
      </c>
      <c r="N30" s="14">
        <f>('pm_24.dat '!G251)/1000000</f>
        <v>484.63643900999381</v>
      </c>
      <c r="O30" t="s">
        <v>92</v>
      </c>
      <c r="P30" s="14">
        <f>('pm_24.dat '!H251)/1000000</f>
        <v>159.46186781000048</v>
      </c>
      <c r="Q30" t="s">
        <v>92</v>
      </c>
      <c r="R30" s="14">
        <f>('pm_24.dat '!I251)/1000000</f>
        <v>68.08221270999978</v>
      </c>
      <c r="S30" t="s">
        <v>92</v>
      </c>
      <c r="T30" s="14">
        <f>('pm_24.dat '!J251)/1000000</f>
        <v>66.622232709999807</v>
      </c>
      <c r="U30" t="s">
        <v>92</v>
      </c>
      <c r="V30" s="14">
        <f>('pm_24.dat '!K251)/1000000</f>
        <v>30.10369751000011</v>
      </c>
      <c r="W30" t="s">
        <v>92</v>
      </c>
      <c r="X30" s="14">
        <f>('pm_24.dat '!L251)/1000000</f>
        <v>9.9991176500000005</v>
      </c>
      <c r="Y30" t="s">
        <v>92</v>
      </c>
      <c r="Z30" s="14">
        <f>('pm_24.dat '!M251)/1000000</f>
        <v>9.1432084179999844</v>
      </c>
      <c r="AA30" t="s">
        <v>92</v>
      </c>
      <c r="AB30" s="14">
        <f>('pm_24.dat '!N251)/1000000</f>
        <v>3.1938460109999984</v>
      </c>
      <c r="AC30" t="s">
        <v>92</v>
      </c>
      <c r="AD30" s="14">
        <f>('pm_24.dat '!O251)/1000000</f>
        <v>2.4820316840000007</v>
      </c>
      <c r="AE30" t="s">
        <v>92</v>
      </c>
      <c r="AF30" s="12">
        <f t="shared" si="0"/>
        <v>2147.3164195777804</v>
      </c>
      <c r="AG30" t="s">
        <v>93</v>
      </c>
    </row>
    <row r="31" spans="2:33" x14ac:dyDescent="0.2">
      <c r="B31">
        <v>2006</v>
      </c>
      <c r="C31" t="s">
        <v>92</v>
      </c>
      <c r="D31" s="14">
        <f>('pm_24.dat '!B252)/1000000</f>
        <v>1.0009999999999831E-5</v>
      </c>
      <c r="E31" t="s">
        <v>92</v>
      </c>
      <c r="F31" s="14">
        <f>('pm_24.dat '!C252)/1000000</f>
        <v>9.8958865200000155</v>
      </c>
      <c r="G31" t="s">
        <v>92</v>
      </c>
      <c r="H31" s="14">
        <f>('pm_24.dat '!D252)/1000000</f>
        <v>84.176891909999853</v>
      </c>
      <c r="I31" t="s">
        <v>92</v>
      </c>
      <c r="J31" s="14">
        <f>('pm_24.dat '!E252)/1000000</f>
        <v>295.75967800999587</v>
      </c>
      <c r="K31" t="s">
        <v>92</v>
      </c>
      <c r="L31" s="14">
        <f>('pm_24.dat '!F252)/1000000</f>
        <v>619.63253400999304</v>
      </c>
      <c r="M31" t="s">
        <v>92</v>
      </c>
      <c r="N31" s="14">
        <f>('pm_24.dat '!G252)/1000000</f>
        <v>597.61410900999317</v>
      </c>
      <c r="O31" t="s">
        <v>92</v>
      </c>
      <c r="P31" s="14">
        <f>('pm_24.dat '!H252)/1000000</f>
        <v>278.58897300999615</v>
      </c>
      <c r="Q31" t="s">
        <v>92</v>
      </c>
      <c r="R31" s="14">
        <f>('pm_24.dat '!I252)/1000000</f>
        <v>107.34291981000105</v>
      </c>
      <c r="S31" t="s">
        <v>92</v>
      </c>
      <c r="T31" s="14">
        <f>('pm_24.dat '!J252)/1000000</f>
        <v>48.01854260999982</v>
      </c>
      <c r="U31" t="s">
        <v>92</v>
      </c>
      <c r="V31" s="14">
        <f>('pm_24.dat '!K252)/1000000</f>
        <v>38.365705909999946</v>
      </c>
      <c r="W31" t="s">
        <v>92</v>
      </c>
      <c r="X31" s="14">
        <f>('pm_24.dat '!L252)/1000000</f>
        <v>17.699070450000065</v>
      </c>
      <c r="Y31" t="s">
        <v>92</v>
      </c>
      <c r="Z31" s="14">
        <f>('pm_24.dat '!M252)/1000000</f>
        <v>8.2423748879999845</v>
      </c>
      <c r="AA31" t="s">
        <v>92</v>
      </c>
      <c r="AB31" s="14">
        <f>('pm_24.dat '!N252)/1000000</f>
        <v>8.3123015719999991</v>
      </c>
      <c r="AC31" t="s">
        <v>92</v>
      </c>
      <c r="AD31" s="14">
        <f>('pm_24.dat '!O252)/1000000</f>
        <v>5.3204528049000075</v>
      </c>
      <c r="AE31" t="s">
        <v>92</v>
      </c>
      <c r="AF31" s="12">
        <f t="shared" si="0"/>
        <v>2118.969450524879</v>
      </c>
      <c r="AG31" t="s">
        <v>93</v>
      </c>
    </row>
    <row r="32" spans="2:33" x14ac:dyDescent="0.2">
      <c r="B32">
        <v>2007</v>
      </c>
      <c r="C32" t="s">
        <v>92</v>
      </c>
      <c r="D32" s="14">
        <f>('pm_24.dat '!B253)/1000000</f>
        <v>1.6596595100000011</v>
      </c>
      <c r="E32" t="s">
        <v>92</v>
      </c>
      <c r="F32" s="14">
        <f>('pm_24.dat '!C253)/1000000</f>
        <v>15.740402410000051</v>
      </c>
      <c r="G32" t="s">
        <v>92</v>
      </c>
      <c r="H32" s="14">
        <f>('pm_24.dat '!D253)/1000000</f>
        <v>59.186795609999884</v>
      </c>
      <c r="I32" t="s">
        <v>92</v>
      </c>
      <c r="J32" s="14">
        <f>('pm_24.dat '!E253)/1000000</f>
        <v>139.16057811000192</v>
      </c>
      <c r="K32" t="s">
        <v>92</v>
      </c>
      <c r="L32" s="14">
        <f>('pm_24.dat '!F253)/1000000</f>
        <v>389.41642500999455</v>
      </c>
      <c r="M32" t="s">
        <v>92</v>
      </c>
      <c r="N32" s="14">
        <f>('pm_24.dat '!G253)/1000000</f>
        <v>511.98596500999355</v>
      </c>
      <c r="O32" t="s">
        <v>92</v>
      </c>
      <c r="P32" s="14">
        <f>('pm_24.dat '!H253)/1000000</f>
        <v>300.78114200999573</v>
      </c>
      <c r="Q32" t="s">
        <v>92</v>
      </c>
      <c r="R32" s="14">
        <f>('pm_24.dat '!I253)/1000000</f>
        <v>137.0844771100021</v>
      </c>
      <c r="S32" t="s">
        <v>92</v>
      </c>
      <c r="T32" s="14">
        <f>('pm_24.dat '!J253)/1000000</f>
        <v>47.608280409999885</v>
      </c>
      <c r="U32" t="s">
        <v>92</v>
      </c>
      <c r="V32" s="14">
        <f>('pm_24.dat '!K253)/1000000</f>
        <v>27.511730010000079</v>
      </c>
      <c r="W32" t="s">
        <v>92</v>
      </c>
      <c r="X32" s="14">
        <f>('pm_24.dat '!L253)/1000000</f>
        <v>21.87033365000007</v>
      </c>
      <c r="Y32" t="s">
        <v>92</v>
      </c>
      <c r="Z32" s="14">
        <f>('pm_24.dat '!M253)/1000000</f>
        <v>8.9182904299999919</v>
      </c>
      <c r="AA32" t="s">
        <v>92</v>
      </c>
      <c r="AB32" s="14">
        <f>('pm_24.dat '!N253)/1000000</f>
        <v>6.5301154550000007</v>
      </c>
      <c r="AC32" t="s">
        <v>92</v>
      </c>
      <c r="AD32" s="14">
        <f>('pm_24.dat '!O253)/1000000</f>
        <v>3.4050304490000025</v>
      </c>
      <c r="AE32" t="s">
        <v>92</v>
      </c>
      <c r="AF32" s="12">
        <f t="shared" si="0"/>
        <v>1670.859225183988</v>
      </c>
      <c r="AG32" t="s">
        <v>93</v>
      </c>
    </row>
    <row r="33" spans="2:45" x14ac:dyDescent="0.2">
      <c r="B33">
        <v>2008</v>
      </c>
      <c r="C33" t="s">
        <v>92</v>
      </c>
      <c r="D33" s="14">
        <f>('pm_24.dat '!B254)/1000000</f>
        <v>1.0009999999999831E-5</v>
      </c>
      <c r="E33" t="s">
        <v>92</v>
      </c>
      <c r="F33" s="14">
        <f>('pm_24.dat '!C254)/1000000</f>
        <v>25.191428110000111</v>
      </c>
      <c r="G33" t="s">
        <v>92</v>
      </c>
      <c r="H33" s="14">
        <f>('pm_24.dat '!D254)/1000000</f>
        <v>58.819667409999816</v>
      </c>
      <c r="I33" t="s">
        <v>92</v>
      </c>
      <c r="J33" s="14">
        <f>('pm_24.dat '!E254)/1000000</f>
        <v>79.220410509999724</v>
      </c>
      <c r="K33" t="s">
        <v>92</v>
      </c>
      <c r="L33" s="14">
        <f>('pm_24.dat '!F254)/1000000</f>
        <v>147.0075140100013</v>
      </c>
      <c r="M33" t="s">
        <v>92</v>
      </c>
      <c r="N33" s="14">
        <f>('pm_24.dat '!G254)/1000000</f>
        <v>309.6717510099956</v>
      </c>
      <c r="O33" t="s">
        <v>92</v>
      </c>
      <c r="P33" s="14">
        <f>('pm_24.dat '!H254)/1000000</f>
        <v>242.28907100999703</v>
      </c>
      <c r="Q33" t="s">
        <v>92</v>
      </c>
      <c r="R33" s="14">
        <f>('pm_24.dat '!I254)/1000000</f>
        <v>148.73401901000119</v>
      </c>
      <c r="S33" t="s">
        <v>92</v>
      </c>
      <c r="T33" s="14">
        <f>('pm_24.dat '!J254)/1000000</f>
        <v>84.27508590999966</v>
      </c>
      <c r="U33" t="s">
        <v>92</v>
      </c>
      <c r="V33" s="14">
        <f>('pm_24.dat '!K254)/1000000</f>
        <v>22.177833210000088</v>
      </c>
      <c r="W33" t="s">
        <v>92</v>
      </c>
      <c r="X33" s="14">
        <f>('pm_24.dat '!L254)/1000000</f>
        <v>17.567691480000075</v>
      </c>
      <c r="Y33" t="s">
        <v>92</v>
      </c>
      <c r="Z33" s="14">
        <f>('pm_24.dat '!M254)/1000000</f>
        <v>14.435328120000047</v>
      </c>
      <c r="AA33" t="s">
        <v>92</v>
      </c>
      <c r="AB33" s="14">
        <f>('pm_24.dat '!N254)/1000000</f>
        <v>8.6329813899999994</v>
      </c>
      <c r="AC33" t="s">
        <v>92</v>
      </c>
      <c r="AD33" s="14">
        <f>('pm_24.dat '!O254)/1000000</f>
        <v>2.7694525057999995</v>
      </c>
      <c r="AE33" t="s">
        <v>92</v>
      </c>
      <c r="AF33" s="12">
        <f t="shared" si="0"/>
        <v>1160.7922436957947</v>
      </c>
      <c r="AG33" t="s">
        <v>93</v>
      </c>
    </row>
    <row r="34" spans="2:45" x14ac:dyDescent="0.2">
      <c r="B34">
        <v>2009</v>
      </c>
      <c r="C34" t="s">
        <v>92</v>
      </c>
      <c r="D34" s="14">
        <f>('pm_24.dat '!B255)/1000000</f>
        <v>1.0009999999999831E-5</v>
      </c>
      <c r="E34" t="s">
        <v>92</v>
      </c>
      <c r="F34" s="14">
        <f>('pm_24.dat '!C255)/1000000</f>
        <v>1.3162643350000012</v>
      </c>
      <c r="G34" t="s">
        <v>92</v>
      </c>
      <c r="H34" s="14">
        <f>('pm_24.dat '!D255)/1000000</f>
        <v>175.52408100999958</v>
      </c>
      <c r="I34" t="s">
        <v>92</v>
      </c>
      <c r="J34" s="14">
        <f>('pm_24.dat '!E255)/1000000</f>
        <v>200.57959200999838</v>
      </c>
      <c r="K34" t="s">
        <v>92</v>
      </c>
      <c r="L34" s="14">
        <f>('pm_24.dat '!F255)/1000000</f>
        <v>82.553813309999782</v>
      </c>
      <c r="M34" t="s">
        <v>92</v>
      </c>
      <c r="N34" s="14">
        <f>('pm_24.dat '!G255)/1000000</f>
        <v>114.44355711000156</v>
      </c>
      <c r="O34" t="s">
        <v>92</v>
      </c>
      <c r="P34" s="14">
        <f>('pm_24.dat '!H255)/1000000</f>
        <v>124.31576441000205</v>
      </c>
      <c r="Q34" t="s">
        <v>92</v>
      </c>
      <c r="R34" s="14">
        <f>('pm_24.dat '!I255)/1000000</f>
        <v>104.3206391100009</v>
      </c>
      <c r="S34" t="s">
        <v>92</v>
      </c>
      <c r="T34" s="14">
        <f>('pm_24.dat '!J255)/1000000</f>
        <v>66.639422909999723</v>
      </c>
      <c r="U34" t="s">
        <v>92</v>
      </c>
      <c r="V34" s="14">
        <f>('pm_24.dat '!K255)/1000000</f>
        <v>40.218133210000026</v>
      </c>
      <c r="W34" t="s">
        <v>92</v>
      </c>
      <c r="X34" s="14">
        <f>('pm_24.dat '!L255)/1000000</f>
        <v>23.534400190000088</v>
      </c>
      <c r="Y34" t="s">
        <v>92</v>
      </c>
      <c r="Z34" s="14">
        <f>('pm_24.dat '!M255)/1000000</f>
        <v>7.6159509469999938</v>
      </c>
      <c r="AA34" t="s">
        <v>92</v>
      </c>
      <c r="AB34" s="14">
        <f>('pm_24.dat '!N255)/1000000</f>
        <v>7.4661649579999922</v>
      </c>
      <c r="AC34" t="s">
        <v>92</v>
      </c>
      <c r="AD34" s="14">
        <f>('pm_24.dat '!O255)/1000000</f>
        <v>2.7097259579999999</v>
      </c>
      <c r="AE34" t="s">
        <v>92</v>
      </c>
      <c r="AF34" s="12">
        <f t="shared" si="0"/>
        <v>951.23751947800224</v>
      </c>
      <c r="AG34" t="s">
        <v>93</v>
      </c>
    </row>
    <row r="35" spans="2:45" x14ac:dyDescent="0.2">
      <c r="B35">
        <v>2010</v>
      </c>
      <c r="C35" t="s">
        <v>92</v>
      </c>
      <c r="D35" s="14">
        <f>('pm_24.dat '!B256)/1000000</f>
        <v>1.0808659710000024</v>
      </c>
      <c r="E35" t="s">
        <v>92</v>
      </c>
      <c r="F35" s="14">
        <f>('pm_24.dat '!C256)/1000000</f>
        <v>26.460160580000075</v>
      </c>
      <c r="G35" t="s">
        <v>92</v>
      </c>
      <c r="H35" s="14">
        <f>('pm_24.dat '!D256)/1000000</f>
        <v>31.848667650000092</v>
      </c>
      <c r="I35" t="s">
        <v>92</v>
      </c>
      <c r="J35" s="14">
        <f>('pm_24.dat '!E256)/1000000</f>
        <v>559.37181000999328</v>
      </c>
      <c r="K35" t="s">
        <v>92</v>
      </c>
      <c r="L35" s="14">
        <f>('pm_24.dat '!F256)/1000000</f>
        <v>220.48488200999768</v>
      </c>
      <c r="M35" t="s">
        <v>92</v>
      </c>
      <c r="N35" s="14">
        <f>('pm_24.dat '!G256)/1000000</f>
        <v>54.738225909999812</v>
      </c>
      <c r="O35" t="s">
        <v>92</v>
      </c>
      <c r="P35" s="14">
        <f>('pm_24.dat '!H256)/1000000</f>
        <v>43.008810309999987</v>
      </c>
      <c r="Q35" t="s">
        <v>92</v>
      </c>
      <c r="R35" s="14">
        <f>('pm_24.dat '!I256)/1000000</f>
        <v>57.679465309999834</v>
      </c>
      <c r="S35" t="s">
        <v>92</v>
      </c>
      <c r="T35" s="14">
        <f>('pm_24.dat '!J256)/1000000</f>
        <v>51.779004609999824</v>
      </c>
      <c r="U35" t="s">
        <v>92</v>
      </c>
      <c r="V35" s="14">
        <f>('pm_24.dat '!K256)/1000000</f>
        <v>31.823597710000083</v>
      </c>
      <c r="W35" t="s">
        <v>92</v>
      </c>
      <c r="X35" s="14">
        <f>('pm_24.dat '!L256)/1000000</f>
        <v>15.964115780000046</v>
      </c>
      <c r="Y35" t="s">
        <v>92</v>
      </c>
      <c r="Z35" s="14">
        <f>('pm_24.dat '!M256)/1000000</f>
        <v>8.6328129599999883</v>
      </c>
      <c r="AA35" t="s">
        <v>92</v>
      </c>
      <c r="AB35" s="14">
        <f>('pm_24.dat '!N256)/1000000</f>
        <v>5.960336976999999</v>
      </c>
      <c r="AC35" t="s">
        <v>92</v>
      </c>
      <c r="AD35" s="14">
        <f>('pm_24.dat '!O256)/1000000</f>
        <v>4.3754599320000045</v>
      </c>
      <c r="AE35" t="s">
        <v>92</v>
      </c>
      <c r="AF35" s="12">
        <f t="shared" si="0"/>
        <v>1113.2082157199909</v>
      </c>
      <c r="AG35" t="s">
        <v>93</v>
      </c>
    </row>
    <row r="36" spans="2:45" x14ac:dyDescent="0.2">
      <c r="B36">
        <v>2011</v>
      </c>
      <c r="C36" t="s">
        <v>92</v>
      </c>
      <c r="D36" s="14">
        <f>('pm_24.dat '!B257)/1000000</f>
        <v>0.38213280100000324</v>
      </c>
      <c r="E36" t="s">
        <v>92</v>
      </c>
      <c r="F36" s="14">
        <f>('pm_24.dat '!C257)/1000000</f>
        <v>10.353313847000008</v>
      </c>
      <c r="G36" t="s">
        <v>92</v>
      </c>
      <c r="H36" s="14">
        <f>('pm_24.dat '!D257)/1000000</f>
        <v>193.3252340099987</v>
      </c>
      <c r="I36" t="s">
        <v>92</v>
      </c>
      <c r="J36" s="14">
        <f>('pm_24.dat '!E257)/1000000</f>
        <v>115.37030811000182</v>
      </c>
      <c r="K36" t="s">
        <v>92</v>
      </c>
      <c r="L36" s="14">
        <f>('pm_24.dat '!F257)/1000000</f>
        <v>809.1680930099925</v>
      </c>
      <c r="M36" t="s">
        <v>92</v>
      </c>
      <c r="N36" s="14">
        <f>('pm_24.dat '!G257)/1000000</f>
        <v>284.7002600099961</v>
      </c>
      <c r="O36" t="s">
        <v>92</v>
      </c>
      <c r="P36" s="14">
        <f>('pm_24.dat '!H257)/1000000</f>
        <v>63.56486370999977</v>
      </c>
      <c r="Q36" t="s">
        <v>92</v>
      </c>
      <c r="R36" s="14">
        <f>('pm_24.dat '!I257)/1000000</f>
        <v>37.514185310000052</v>
      </c>
      <c r="S36" t="s">
        <v>92</v>
      </c>
      <c r="T36" s="14">
        <f>('pm_24.dat '!J257)/1000000</f>
        <v>38.494702210000028</v>
      </c>
      <c r="U36" t="s">
        <v>92</v>
      </c>
      <c r="V36" s="14">
        <f>('pm_24.dat '!K257)/1000000</f>
        <v>41.410187910000033</v>
      </c>
      <c r="W36" t="s">
        <v>92</v>
      </c>
      <c r="X36" s="14">
        <f>('pm_24.dat '!L257)/1000000</f>
        <v>25.804157680000088</v>
      </c>
      <c r="Y36" t="s">
        <v>92</v>
      </c>
      <c r="Z36" s="14">
        <f>('pm_24.dat '!M257)/1000000</f>
        <v>12.465707980000023</v>
      </c>
      <c r="AA36" t="s">
        <v>92</v>
      </c>
      <c r="AB36" s="14">
        <f>('pm_24.dat '!N257)/1000000</f>
        <v>1.7581791825999973</v>
      </c>
      <c r="AC36" t="s">
        <v>92</v>
      </c>
      <c r="AD36" s="14">
        <f>('pm_24.dat '!O257)/1000000</f>
        <v>3.9762054019999975</v>
      </c>
      <c r="AE36" t="s">
        <v>92</v>
      </c>
      <c r="AF36" s="12">
        <f t="shared" si="0"/>
        <v>1638.2875311725893</v>
      </c>
      <c r="AG36" t="s">
        <v>93</v>
      </c>
    </row>
    <row r="37" spans="2:45" x14ac:dyDescent="0.2">
      <c r="B37">
        <v>2012</v>
      </c>
      <c r="C37" t="s">
        <v>92</v>
      </c>
      <c r="D37" s="14">
        <f>('pm_24.dat '!B258)/1000000</f>
        <v>1.0009999999999831E-5</v>
      </c>
      <c r="E37" t="s">
        <v>92</v>
      </c>
      <c r="F37" s="14">
        <f>('pm_24.dat '!C258)/1000000</f>
        <v>22.2716703500001</v>
      </c>
      <c r="G37" t="s">
        <v>92</v>
      </c>
      <c r="H37" s="14">
        <f>('pm_24.dat '!D258)/1000000</f>
        <v>116.74821661000158</v>
      </c>
      <c r="I37" t="s">
        <v>92</v>
      </c>
      <c r="J37" s="14">
        <f>('pm_24.dat '!E258)/1000000</f>
        <v>946.69818600999213</v>
      </c>
      <c r="K37" t="s">
        <v>92</v>
      </c>
      <c r="L37" s="14">
        <f>('pm_24.dat '!F258)/1000000</f>
        <v>172.7861120099997</v>
      </c>
      <c r="M37" t="s">
        <v>92</v>
      </c>
      <c r="N37" s="14">
        <f>('pm_24.dat '!G258)/1000000</f>
        <v>432.56129800999418</v>
      </c>
      <c r="O37" t="s">
        <v>92</v>
      </c>
      <c r="P37" s="14">
        <f>('pm_24.dat '!H258)/1000000</f>
        <v>141.55073921000172</v>
      </c>
      <c r="Q37" t="s">
        <v>92</v>
      </c>
      <c r="R37" s="14">
        <f>('pm_24.dat '!I258)/1000000</f>
        <v>36.68120521000008</v>
      </c>
      <c r="S37" t="s">
        <v>92</v>
      </c>
      <c r="T37" s="14">
        <f>('pm_24.dat '!J258)/1000000</f>
        <v>17.431762810000055</v>
      </c>
      <c r="U37" t="s">
        <v>92</v>
      </c>
      <c r="V37" s="14">
        <f>('pm_24.dat '!K258)/1000000</f>
        <v>14.602365660000052</v>
      </c>
      <c r="W37" t="s">
        <v>92</v>
      </c>
      <c r="X37" s="14">
        <f>('pm_24.dat '!L258)/1000000</f>
        <v>15.918743070000069</v>
      </c>
      <c r="Y37" t="s">
        <v>92</v>
      </c>
      <c r="Z37" s="14">
        <f>('pm_24.dat '!M258)/1000000</f>
        <v>13.49182046000004</v>
      </c>
      <c r="AA37" t="s">
        <v>92</v>
      </c>
      <c r="AB37" s="14">
        <f>('pm_24.dat '!N258)/1000000</f>
        <v>7.4080317189999967</v>
      </c>
      <c r="AC37" t="s">
        <v>92</v>
      </c>
      <c r="AD37" s="14">
        <f>('pm_24.dat '!O258)/1000000</f>
        <v>6.1434606159999978</v>
      </c>
      <c r="AE37" t="s">
        <v>92</v>
      </c>
      <c r="AF37" s="12">
        <f t="shared" si="0"/>
        <v>1944.29362175499</v>
      </c>
      <c r="AG37" t="s">
        <v>93</v>
      </c>
    </row>
    <row r="38" spans="2:45" x14ac:dyDescent="0.2">
      <c r="B38">
        <v>2013</v>
      </c>
      <c r="C38" t="s">
        <v>92</v>
      </c>
      <c r="D38" s="14">
        <f>('pm_24.dat '!B259)/1000000</f>
        <v>1.8459811070000016</v>
      </c>
      <c r="E38" t="s">
        <v>92</v>
      </c>
      <c r="F38" s="14">
        <f>('pm_24.dat '!C259)/1000000</f>
        <v>0.97216306390000051</v>
      </c>
      <c r="G38" t="s">
        <v>92</v>
      </c>
      <c r="H38" s="14">
        <f>('pm_24.dat '!D259)/1000000</f>
        <v>63.950723609999791</v>
      </c>
      <c r="I38" t="s">
        <v>92</v>
      </c>
      <c r="J38" s="14">
        <f>('pm_24.dat '!E259)/1000000</f>
        <v>342.39238100999512</v>
      </c>
      <c r="K38" t="s">
        <v>92</v>
      </c>
      <c r="L38" s="14">
        <f>('pm_24.dat '!F259)/1000000</f>
        <v>955.86574600999211</v>
      </c>
      <c r="M38" t="s">
        <v>92</v>
      </c>
      <c r="N38" s="14">
        <f>('pm_24.dat '!G259)/1000000</f>
        <v>194.43270100999865</v>
      </c>
      <c r="O38" t="s">
        <v>92</v>
      </c>
      <c r="P38" s="14">
        <f>('pm_24.dat '!H259)/1000000</f>
        <v>156.53832961000063</v>
      </c>
      <c r="Q38" t="s">
        <v>92</v>
      </c>
      <c r="R38" s="14">
        <f>('pm_24.dat '!I259)/1000000</f>
        <v>69.971108609999646</v>
      </c>
      <c r="S38" t="s">
        <v>92</v>
      </c>
      <c r="T38" s="14">
        <f>('pm_24.dat '!J259)/1000000</f>
        <v>20.678954110000085</v>
      </c>
      <c r="U38" t="s">
        <v>92</v>
      </c>
      <c r="V38" s="14">
        <f>('pm_24.dat '!K259)/1000000</f>
        <v>12.750152460000024</v>
      </c>
      <c r="W38" t="s">
        <v>92</v>
      </c>
      <c r="X38" s="14">
        <f>('pm_24.dat '!L259)/1000000</f>
        <v>12.754855850000016</v>
      </c>
      <c r="Y38" t="s">
        <v>92</v>
      </c>
      <c r="Z38" s="14">
        <f>('pm_24.dat '!M259)/1000000</f>
        <v>10.850689280000008</v>
      </c>
      <c r="AA38" t="s">
        <v>92</v>
      </c>
      <c r="AB38" s="14">
        <f>('pm_24.dat '!N259)/1000000</f>
        <v>7.8321364019999962</v>
      </c>
      <c r="AC38" t="s">
        <v>92</v>
      </c>
      <c r="AD38" s="14">
        <f>('pm_24.dat '!O259)/1000000</f>
        <v>4.8061172830000043</v>
      </c>
      <c r="AE38" t="s">
        <v>92</v>
      </c>
      <c r="AF38" s="12">
        <f t="shared" si="0"/>
        <v>1855.6420394158863</v>
      </c>
      <c r="AG38" t="s">
        <v>93</v>
      </c>
    </row>
    <row r="39" spans="2:45" x14ac:dyDescent="0.2">
      <c r="B39">
        <v>2014</v>
      </c>
      <c r="C39" t="s">
        <v>92</v>
      </c>
      <c r="D39" s="14">
        <f>('pm_24.dat '!B260)/1000000</f>
        <v>1.0009999999999831E-5</v>
      </c>
      <c r="E39" t="s">
        <v>92</v>
      </c>
      <c r="F39" s="14">
        <f>('pm_24.dat '!C260)/1000000</f>
        <v>39.223065109999972</v>
      </c>
      <c r="G39" t="s">
        <v>92</v>
      </c>
      <c r="H39" s="14">
        <f>('pm_24.dat '!D260)/1000000</f>
        <v>31.030785400000134</v>
      </c>
      <c r="I39" t="s">
        <v>92</v>
      </c>
      <c r="J39" s="14">
        <f>('pm_24.dat '!E260)/1000000</f>
        <v>167.77924900999994</v>
      </c>
      <c r="K39" t="s">
        <v>92</v>
      </c>
      <c r="L39" s="14">
        <f>('pm_24.dat '!F260)/1000000</f>
        <v>399.29236100999447</v>
      </c>
      <c r="M39" t="s">
        <v>92</v>
      </c>
      <c r="N39" s="14">
        <f>('pm_24.dat '!G260)/1000000</f>
        <v>751.75541500999259</v>
      </c>
      <c r="O39" t="s">
        <v>92</v>
      </c>
      <c r="P39" s="14">
        <f>('pm_24.dat '!H260)/1000000</f>
        <v>210.22707200999798</v>
      </c>
      <c r="Q39" t="s">
        <v>92</v>
      </c>
      <c r="R39" s="14">
        <f>('pm_24.dat '!I260)/1000000</f>
        <v>86.232072609999676</v>
      </c>
      <c r="S39" t="s">
        <v>92</v>
      </c>
      <c r="T39" s="14">
        <f>('pm_24.dat '!J260)/1000000</f>
        <v>29.830652170000096</v>
      </c>
      <c r="U39" t="s">
        <v>92</v>
      </c>
      <c r="V39" s="14">
        <f>('pm_24.dat '!K260)/1000000</f>
        <v>8.9660211749999856</v>
      </c>
      <c r="W39" t="s">
        <v>92</v>
      </c>
      <c r="X39" s="14">
        <f>('pm_24.dat '!L260)/1000000</f>
        <v>4.4904702710000004</v>
      </c>
      <c r="Y39" t="s">
        <v>92</v>
      </c>
      <c r="Z39" s="14">
        <f>('pm_24.dat '!M260)/1000000</f>
        <v>4.525356668999998</v>
      </c>
      <c r="AA39" t="s">
        <v>92</v>
      </c>
      <c r="AB39" s="14">
        <f>('pm_24.dat '!N260)/1000000</f>
        <v>4.5645477162999999</v>
      </c>
      <c r="AC39" t="s">
        <v>92</v>
      </c>
      <c r="AD39" s="14">
        <f>('pm_24.dat '!O260)/1000000</f>
        <v>2.7641896950999962</v>
      </c>
      <c r="AE39" t="s">
        <v>92</v>
      </c>
      <c r="AF39" s="12">
        <f t="shared" si="0"/>
        <v>1740.681267866385</v>
      </c>
      <c r="AG39" t="s">
        <v>93</v>
      </c>
    </row>
    <row r="40" spans="2:45" x14ac:dyDescent="0.2">
      <c r="B40">
        <v>2015</v>
      </c>
      <c r="C40" t="s">
        <v>92</v>
      </c>
      <c r="D40" s="14">
        <f>('pm_24.dat '!B261)/1000000</f>
        <v>1.0009999999999831E-5</v>
      </c>
      <c r="E40" t="s">
        <v>92</v>
      </c>
      <c r="F40" s="14">
        <f>('pm_24.dat '!C261)/1000000</f>
        <v>15.473070680000029</v>
      </c>
      <c r="G40" t="s">
        <v>92</v>
      </c>
      <c r="H40" s="14">
        <f>('pm_24.dat '!D261)/1000000</f>
        <v>632.44023200999311</v>
      </c>
      <c r="I40" t="s">
        <v>92</v>
      </c>
      <c r="J40" s="14">
        <f>('pm_24.dat '!E261)/1000000</f>
        <v>196.40393000999856</v>
      </c>
      <c r="K40" t="s">
        <v>92</v>
      </c>
      <c r="L40" s="14">
        <f>('pm_24.dat '!F261)/1000000</f>
        <v>228.57462300999742</v>
      </c>
      <c r="M40" t="s">
        <v>92</v>
      </c>
      <c r="N40" s="14">
        <f>('pm_24.dat '!G261)/1000000</f>
        <v>384.28702500999464</v>
      </c>
      <c r="O40" t="s">
        <v>92</v>
      </c>
      <c r="P40" s="14">
        <f>('pm_24.dat '!H261)/1000000</f>
        <v>510.14013300999363</v>
      </c>
      <c r="Q40" t="s">
        <v>92</v>
      </c>
      <c r="R40" s="14">
        <f>('pm_24.dat '!I261)/1000000</f>
        <v>88.813654209999868</v>
      </c>
      <c r="S40" t="s">
        <v>92</v>
      </c>
      <c r="T40" s="14">
        <f>('pm_24.dat '!J261)/1000000</f>
        <v>42.13008360999995</v>
      </c>
      <c r="U40" t="s">
        <v>92</v>
      </c>
      <c r="V40" s="14">
        <f>('pm_24.dat '!K261)/1000000</f>
        <v>17.652618170000089</v>
      </c>
      <c r="W40" t="s">
        <v>92</v>
      </c>
      <c r="X40" s="14">
        <f>('pm_24.dat '!L261)/1000000</f>
        <v>2.9355568649999908</v>
      </c>
      <c r="Y40" t="s">
        <v>92</v>
      </c>
      <c r="Z40" s="14">
        <f>('pm_24.dat '!M261)/1000000</f>
        <v>2.0544314030000015</v>
      </c>
      <c r="AA40" t="s">
        <v>92</v>
      </c>
      <c r="AB40" s="14">
        <f>('pm_24.dat '!N261)/1000000</f>
        <v>3.0944570559999969</v>
      </c>
      <c r="AC40" t="s">
        <v>92</v>
      </c>
      <c r="AD40" s="14">
        <f>('pm_24.dat '!O261)/1000000</f>
        <v>2.6574779400000015</v>
      </c>
      <c r="AE40" t="s">
        <v>92</v>
      </c>
      <c r="AF40" s="12">
        <f t="shared" si="0"/>
        <v>2126.6573029939768</v>
      </c>
      <c r="AG40" t="s">
        <v>93</v>
      </c>
    </row>
    <row r="41" spans="2:45" x14ac:dyDescent="0.2">
      <c r="B41">
        <v>2016</v>
      </c>
      <c r="C41" t="s">
        <v>92</v>
      </c>
      <c r="D41" s="14">
        <f>('pm_24.dat '!B262)/1000000</f>
        <v>1.0009999999999831E-5</v>
      </c>
      <c r="E41" t="s">
        <v>92</v>
      </c>
      <c r="F41" s="14">
        <f>('pm_24.dat '!C262)/1000000</f>
        <v>0.49735655000000345</v>
      </c>
      <c r="G41" t="s">
        <v>92</v>
      </c>
      <c r="H41" s="14">
        <f>('pm_24.dat '!D262)/1000000</f>
        <v>90.562431009999926</v>
      </c>
      <c r="I41" t="s">
        <v>92</v>
      </c>
      <c r="J41" s="14">
        <f>('pm_24.dat '!E262)/1000000</f>
        <v>1390.2950600099916</v>
      </c>
      <c r="K41" t="s">
        <v>92</v>
      </c>
      <c r="L41" s="14">
        <f>('pm_24.dat '!F262)/1000000</f>
        <v>159.88171401000048</v>
      </c>
      <c r="M41" t="s">
        <v>92</v>
      </c>
      <c r="N41" s="14">
        <f>('pm_24.dat '!G262)/1000000</f>
        <v>174.49488400999957</v>
      </c>
      <c r="O41" t="s">
        <v>92</v>
      </c>
      <c r="P41" s="14">
        <f>('pm_24.dat '!H262)/1000000</f>
        <v>174.78736380999959</v>
      </c>
      <c r="Q41" t="s">
        <v>92</v>
      </c>
      <c r="R41" s="14">
        <f>('pm_24.dat '!I262)/1000000</f>
        <v>224.67181800999754</v>
      </c>
      <c r="S41" t="s">
        <v>92</v>
      </c>
      <c r="T41" s="14">
        <f>('pm_24.dat '!J262)/1000000</f>
        <v>34.077950470000118</v>
      </c>
      <c r="U41" t="s">
        <v>92</v>
      </c>
      <c r="V41" s="14">
        <f>('pm_24.dat '!K262)/1000000</f>
        <v>13.820848694000038</v>
      </c>
      <c r="W41" t="s">
        <v>92</v>
      </c>
      <c r="X41" s="14">
        <f>('pm_24.dat '!L262)/1000000</f>
        <v>7.9963247049999966</v>
      </c>
      <c r="Y41" t="s">
        <v>92</v>
      </c>
      <c r="Z41" s="14">
        <f>('pm_24.dat '!M262)/1000000</f>
        <v>0.48520334000000365</v>
      </c>
      <c r="AA41" t="s">
        <v>92</v>
      </c>
      <c r="AB41" s="14">
        <f>('pm_24.dat '!N262)/1000000</f>
        <v>1.1770499310000022</v>
      </c>
      <c r="AC41" t="s">
        <v>92</v>
      </c>
      <c r="AD41" s="14">
        <f>('pm_24.dat '!O262)/1000000</f>
        <v>0.66934065860000092</v>
      </c>
      <c r="AE41" t="s">
        <v>92</v>
      </c>
      <c r="AF41" s="12">
        <f t="shared" si="0"/>
        <v>2273.4173552185894</v>
      </c>
      <c r="AG41" t="s">
        <v>93</v>
      </c>
    </row>
    <row r="42" spans="2:45" x14ac:dyDescent="0.2">
      <c r="B42">
        <v>2017</v>
      </c>
      <c r="C42" t="s">
        <v>92</v>
      </c>
      <c r="D42" s="14">
        <f>('pm_24.dat '!B263)/1000000</f>
        <v>1.0009999999999831E-5</v>
      </c>
      <c r="E42" t="s">
        <v>92</v>
      </c>
      <c r="F42" s="14">
        <f>('pm_24.dat '!C263)/1000000</f>
        <v>2.1761318437599995</v>
      </c>
      <c r="G42" t="s">
        <v>92</v>
      </c>
      <c r="H42" s="14">
        <f>('pm_24.dat '!D263)/1000000</f>
        <v>28.170152850000111</v>
      </c>
      <c r="I42" t="s">
        <v>92</v>
      </c>
      <c r="J42" s="14">
        <f>('pm_24.dat '!E263)/1000000</f>
        <v>549.07370600999343</v>
      </c>
      <c r="K42" t="s">
        <v>92</v>
      </c>
      <c r="L42" s="14">
        <f>('pm_24.dat '!F263)/1000000</f>
        <v>899.02300100999219</v>
      </c>
      <c r="M42" t="s">
        <v>92</v>
      </c>
      <c r="N42" s="14">
        <f>('pm_24.dat '!G263)/1000000</f>
        <v>215.49250100999785</v>
      </c>
      <c r="O42" t="s">
        <v>92</v>
      </c>
      <c r="P42" s="14">
        <f>('pm_24.dat '!H263)/1000000</f>
        <v>147.56302891000126</v>
      </c>
      <c r="Q42" t="s">
        <v>92</v>
      </c>
      <c r="R42" s="14">
        <f>('pm_24.dat '!I263)/1000000</f>
        <v>122.12914821000192</v>
      </c>
      <c r="S42" t="s">
        <v>92</v>
      </c>
      <c r="T42" s="14">
        <f>('pm_24.dat '!J263)/1000000</f>
        <v>97.250345910000192</v>
      </c>
      <c r="U42" t="s">
        <v>92</v>
      </c>
      <c r="V42" s="14">
        <f>('pm_24.dat '!K263)/1000000</f>
        <v>21.756105020000099</v>
      </c>
      <c r="W42" t="s">
        <v>92</v>
      </c>
      <c r="X42" s="14">
        <f>('pm_24.dat '!L263)/1000000</f>
        <v>7.2152048289999993</v>
      </c>
      <c r="Y42" t="s">
        <v>92</v>
      </c>
      <c r="Z42" s="14">
        <f>('pm_24.dat '!M263)/1000000</f>
        <v>5.6055380329999833</v>
      </c>
      <c r="AA42" t="s">
        <v>92</v>
      </c>
      <c r="AB42" s="14">
        <f>('pm_24.dat '!N263)/1000000</f>
        <v>0.49350116100000452</v>
      </c>
      <c r="AC42" t="s">
        <v>92</v>
      </c>
      <c r="AD42" s="14">
        <f>('pm_24.dat '!O263)/1000000</f>
        <v>0.24497531290000166</v>
      </c>
      <c r="AE42" t="s">
        <v>92</v>
      </c>
      <c r="AF42" s="12">
        <f t="shared" si="0"/>
        <v>2096.1933501196468</v>
      </c>
      <c r="AG42" t="s">
        <v>93</v>
      </c>
    </row>
    <row r="43" spans="2:45" x14ac:dyDescent="0.2">
      <c r="B43">
        <v>2018</v>
      </c>
      <c r="C43" t="s">
        <v>92</v>
      </c>
      <c r="D43" s="14">
        <f>('pm_24.dat '!B264)/1000000</f>
        <v>1.0009999999999831E-5</v>
      </c>
      <c r="E43" t="s">
        <v>92</v>
      </c>
      <c r="F43" s="14">
        <f>('pm_24.dat '!C264)/1000000</f>
        <v>1.2972873090000034</v>
      </c>
      <c r="G43" t="s">
        <v>92</v>
      </c>
      <c r="H43" s="14">
        <f>('pm_24.dat '!D264)/1000000</f>
        <v>13.801701367000033</v>
      </c>
      <c r="I43" t="s">
        <v>92</v>
      </c>
      <c r="J43" s="14">
        <f>('pm_24.dat '!E264)/1000000</f>
        <v>115.01772371000156</v>
      </c>
      <c r="K43" t="s">
        <v>92</v>
      </c>
      <c r="L43" s="14">
        <f>('pm_24.dat '!F264)/1000000</f>
        <v>1216.103650009992</v>
      </c>
      <c r="M43" t="s">
        <v>92</v>
      </c>
      <c r="N43" s="14">
        <f>('pm_24.dat '!G264)/1000000</f>
        <v>506.56515600999359</v>
      </c>
      <c r="O43" t="s">
        <v>92</v>
      </c>
      <c r="P43" s="14">
        <f>('pm_24.dat '!H264)/1000000</f>
        <v>104.80347051000092</v>
      </c>
      <c r="Q43" t="s">
        <v>92</v>
      </c>
      <c r="R43" s="14">
        <f>('pm_24.dat '!I264)/1000000</f>
        <v>81.982744709999722</v>
      </c>
      <c r="S43" t="s">
        <v>92</v>
      </c>
      <c r="T43" s="14">
        <f>('pm_24.dat '!J264)/1000000</f>
        <v>60.624830609999727</v>
      </c>
      <c r="U43" t="s">
        <v>92</v>
      </c>
      <c r="V43" s="14">
        <f>('pm_24.dat '!K264)/1000000</f>
        <v>25.893995110000098</v>
      </c>
      <c r="W43" t="s">
        <v>92</v>
      </c>
      <c r="X43" s="14">
        <f>('pm_24.dat '!L264)/1000000</f>
        <v>4.271129143999989</v>
      </c>
      <c r="Y43" t="s">
        <v>92</v>
      </c>
      <c r="Z43" s="14">
        <f>('pm_24.dat '!M264)/1000000</f>
        <v>1.0984978140000021</v>
      </c>
      <c r="AA43" t="s">
        <v>92</v>
      </c>
      <c r="AB43" s="14">
        <f>('pm_24.dat '!N264)/1000000</f>
        <v>0.36296271360000243</v>
      </c>
      <c r="AC43" t="s">
        <v>92</v>
      </c>
      <c r="AD43" s="14">
        <f>('pm_24.dat '!O264)/1000000</f>
        <v>0.63616682200000352</v>
      </c>
      <c r="AE43" t="s">
        <v>92</v>
      </c>
      <c r="AF43" s="12">
        <f t="shared" si="0"/>
        <v>2132.4593258495879</v>
      </c>
      <c r="AG43" t="s">
        <v>93</v>
      </c>
    </row>
    <row r="44" spans="2:45" x14ac:dyDescent="0.2">
      <c r="B44">
        <v>2019</v>
      </c>
      <c r="C44" t="s">
        <v>92</v>
      </c>
      <c r="D44" s="14">
        <f>('pm_24.dat '!B265)/1000000</f>
        <v>0.69502407700000246</v>
      </c>
      <c r="E44" t="s">
        <v>92</v>
      </c>
      <c r="F44" s="14">
        <f>('pm_24.dat '!C265)/1000000</f>
        <v>10.900812700000033</v>
      </c>
      <c r="G44" t="s">
        <v>92</v>
      </c>
      <c r="H44" s="14">
        <f>('pm_24.dat '!D265)/1000000</f>
        <v>12.311938070000032</v>
      </c>
      <c r="I44" t="s">
        <v>92</v>
      </c>
      <c r="J44" s="14">
        <f>('pm_24.dat '!E265)/1000000</f>
        <v>18.362616070000065</v>
      </c>
      <c r="K44" t="s">
        <v>92</v>
      </c>
      <c r="L44" s="14">
        <f>('pm_24.dat '!F265)/1000000</f>
        <v>157.59898501000058</v>
      </c>
      <c r="M44" t="s">
        <v>92</v>
      </c>
      <c r="N44" s="14">
        <f>('pm_24.dat '!G265)/1000000</f>
        <v>916.76310000999229</v>
      </c>
      <c r="O44" t="s">
        <v>92</v>
      </c>
      <c r="P44" s="14">
        <f>('pm_24.dat '!H265)/1000000</f>
        <v>422.45703200999424</v>
      </c>
      <c r="Q44" t="s">
        <v>92</v>
      </c>
      <c r="R44" s="14">
        <f>('pm_24.dat '!I265)/1000000</f>
        <v>93.181390309999969</v>
      </c>
      <c r="S44" t="s">
        <v>92</v>
      </c>
      <c r="T44" s="14">
        <f>('pm_24.dat '!J265)/1000000</f>
        <v>52.142666209999888</v>
      </c>
      <c r="U44" t="s">
        <v>92</v>
      </c>
      <c r="V44" s="14">
        <f>('pm_24.dat '!K265)/1000000</f>
        <v>52.991770709999841</v>
      </c>
      <c r="W44" t="s">
        <v>92</v>
      </c>
      <c r="X44" s="14">
        <f>('pm_24.dat '!L265)/1000000</f>
        <v>10.059287879999998</v>
      </c>
      <c r="Y44" t="s">
        <v>92</v>
      </c>
      <c r="Z44" s="14">
        <f>('pm_24.dat '!M265)/1000000</f>
        <v>2.9081053174999947</v>
      </c>
      <c r="AA44" t="s">
        <v>92</v>
      </c>
      <c r="AB44" s="14">
        <f>('pm_24.dat '!N265)/1000000</f>
        <v>0.84291049600000334</v>
      </c>
      <c r="AC44" t="s">
        <v>92</v>
      </c>
      <c r="AD44" s="14">
        <f>('pm_24.dat '!O265)/1000000</f>
        <v>1.0009999999999831E-5</v>
      </c>
      <c r="AE44" t="s">
        <v>92</v>
      </c>
      <c r="AF44" s="12">
        <f t="shared" si="0"/>
        <v>1751.2156488804869</v>
      </c>
      <c r="AG44" t="s">
        <v>93</v>
      </c>
    </row>
    <row r="45" spans="2:45" x14ac:dyDescent="0.2">
      <c r="B45">
        <v>2020</v>
      </c>
      <c r="C45" t="s">
        <v>92</v>
      </c>
      <c r="D45" s="14">
        <f>('pm_24.dat '!B266)/1000000</f>
        <v>3.4761265099999918</v>
      </c>
      <c r="E45" t="s">
        <v>92</v>
      </c>
      <c r="F45" s="14">
        <f>('pm_24.dat '!C266)/1000000</f>
        <v>247.72642200999692</v>
      </c>
      <c r="G45" t="s">
        <v>92</v>
      </c>
      <c r="H45" s="14">
        <f>('pm_24.dat '!D266)/1000000</f>
        <v>85.51762910999976</v>
      </c>
      <c r="I45" t="s">
        <v>92</v>
      </c>
      <c r="J45" s="14">
        <f>('pm_24.dat '!E266)/1000000</f>
        <v>101.05319911000073</v>
      </c>
      <c r="K45" t="s">
        <v>92</v>
      </c>
      <c r="L45" s="14">
        <f>('pm_24.dat '!F266)/1000000</f>
        <v>135.16073071000224</v>
      </c>
      <c r="M45" t="s">
        <v>92</v>
      </c>
      <c r="N45" s="14">
        <f>('pm_24.dat '!G266)/1000000</f>
        <v>551.12927800999341</v>
      </c>
      <c r="O45" t="s">
        <v>92</v>
      </c>
      <c r="P45" s="14">
        <f>('pm_24.dat '!H266)/1000000</f>
        <v>597.81617900999322</v>
      </c>
      <c r="Q45" t="s">
        <v>92</v>
      </c>
      <c r="R45" s="14">
        <f>('pm_24.dat '!I266)/1000000</f>
        <v>123.95808191000206</v>
      </c>
      <c r="S45" t="s">
        <v>92</v>
      </c>
      <c r="T45" s="14">
        <f>('pm_24.dat '!J266)/1000000</f>
        <v>52.764647309999923</v>
      </c>
      <c r="U45" t="s">
        <v>92</v>
      </c>
      <c r="V45" s="14">
        <f>('pm_24.dat '!K266)/1000000</f>
        <v>38.639087410000016</v>
      </c>
      <c r="W45" t="s">
        <v>92</v>
      </c>
      <c r="X45" s="14">
        <f>('pm_24.dat '!L266)/1000000</f>
        <v>27.260537210000116</v>
      </c>
      <c r="Y45" t="s">
        <v>92</v>
      </c>
      <c r="Z45" s="14">
        <f>('pm_24.dat '!M266)/1000000</f>
        <v>6.7875708090000026</v>
      </c>
      <c r="AA45" t="s">
        <v>92</v>
      </c>
      <c r="AB45" s="14">
        <f>('pm_24.dat '!N266)/1000000</f>
        <v>1.7873492597999987</v>
      </c>
      <c r="AC45" t="s">
        <v>92</v>
      </c>
      <c r="AD45" s="14">
        <f>('pm_24.dat '!O266)/1000000</f>
        <v>1.1347169380000028</v>
      </c>
      <c r="AE45" t="s">
        <v>92</v>
      </c>
      <c r="AF45" s="12">
        <f t="shared" si="0"/>
        <v>1974.2115553167885</v>
      </c>
      <c r="AG45" t="s">
        <v>93</v>
      </c>
    </row>
    <row r="46" spans="2:45" x14ac:dyDescent="0.2">
      <c r="B46">
        <v>2021</v>
      </c>
      <c r="C46" t="s">
        <v>92</v>
      </c>
      <c r="D46" s="14">
        <f>('pm_24.dat '!B267)/1000000</f>
        <v>1.0009999999999831E-5</v>
      </c>
      <c r="E46" t="s">
        <v>92</v>
      </c>
      <c r="F46" s="14">
        <f>('pm_24.dat '!C267)/1000000</f>
        <v>111.4543764100013</v>
      </c>
      <c r="G46" t="s">
        <v>92</v>
      </c>
      <c r="H46" s="14">
        <f>('pm_24.dat '!D267)/1000000</f>
        <v>1296.9514900099919</v>
      </c>
      <c r="I46" t="s">
        <v>92</v>
      </c>
      <c r="J46" s="14">
        <f>('pm_24.dat '!E267)/1000000</f>
        <v>144.17354771000151</v>
      </c>
      <c r="K46" t="s">
        <v>92</v>
      </c>
      <c r="L46" s="14">
        <f>('pm_24.dat '!F267)/1000000</f>
        <v>110.06742191000136</v>
      </c>
      <c r="M46" t="s">
        <v>92</v>
      </c>
      <c r="N46" s="14">
        <f>('pm_24.dat '!G267)/1000000</f>
        <v>107.22452381000114</v>
      </c>
      <c r="O46" t="s">
        <v>92</v>
      </c>
      <c r="P46" s="14">
        <f>('pm_24.dat '!H267)/1000000</f>
        <v>309.62822700999561</v>
      </c>
      <c r="Q46" t="s">
        <v>92</v>
      </c>
      <c r="R46" s="14">
        <f>('pm_24.dat '!I267)/1000000</f>
        <v>296.04666000999589</v>
      </c>
      <c r="S46" t="s">
        <v>92</v>
      </c>
      <c r="T46" s="14">
        <f>('pm_24.dat '!J267)/1000000</f>
        <v>72.136752109999762</v>
      </c>
      <c r="U46" t="s">
        <v>92</v>
      </c>
      <c r="V46" s="14">
        <f>('pm_24.dat '!K267)/1000000</f>
        <v>26.5461657100001</v>
      </c>
      <c r="W46" t="s">
        <v>92</v>
      </c>
      <c r="X46" s="14">
        <f>('pm_24.dat '!L267)/1000000</f>
        <v>16.152710330000058</v>
      </c>
      <c r="Y46" t="s">
        <v>92</v>
      </c>
      <c r="Z46" s="14">
        <f>('pm_24.dat '!M267)/1000000</f>
        <v>8.5107001799999935</v>
      </c>
      <c r="AA46" t="s">
        <v>92</v>
      </c>
      <c r="AB46" s="14">
        <f>('pm_24.dat '!N267)/1000000</f>
        <v>2.0522974350000012</v>
      </c>
      <c r="AC46" t="s">
        <v>92</v>
      </c>
      <c r="AD46" s="14">
        <f>('pm_24.dat '!O267)/1000000</f>
        <v>1.0009999999999831E-5</v>
      </c>
      <c r="AE46" t="s">
        <v>92</v>
      </c>
      <c r="AF46" s="12">
        <f t="shared" si="0"/>
        <v>2500.9448926549885</v>
      </c>
      <c r="AG46" t="s">
        <v>93</v>
      </c>
    </row>
    <row r="47" spans="2:45" x14ac:dyDescent="0.2">
      <c r="B47">
        <v>2022</v>
      </c>
      <c r="C47" t="s">
        <v>92</v>
      </c>
      <c r="D47" s="14">
        <f>('pm_24.dat '!B268)/1000000</f>
        <v>1.0009999999999831E-5</v>
      </c>
      <c r="E47" t="s">
        <v>92</v>
      </c>
      <c r="F47" s="14">
        <f>('pm_24.dat '!C268)/1000000</f>
        <v>62.263751709999703</v>
      </c>
      <c r="G47" t="s">
        <v>92</v>
      </c>
      <c r="H47" s="14">
        <f>('pm_24.dat '!D268)/1000000</f>
        <v>174.4685980099996</v>
      </c>
      <c r="I47" t="s">
        <v>92</v>
      </c>
      <c r="J47" s="14">
        <f>('pm_24.dat '!E268)/1000000</f>
        <v>1035.4017580099919</v>
      </c>
      <c r="K47" t="s">
        <v>92</v>
      </c>
      <c r="L47" s="14">
        <f>('pm_24.dat '!F268)/1000000</f>
        <v>183.67121700999914</v>
      </c>
      <c r="M47" t="s">
        <v>92</v>
      </c>
      <c r="N47" s="14">
        <f>('pm_24.dat '!G268)/1000000</f>
        <v>70.439397709999696</v>
      </c>
      <c r="O47" t="s">
        <v>92</v>
      </c>
      <c r="P47" s="14">
        <f>('pm_24.dat '!H268)/1000000</f>
        <v>79.535291209999713</v>
      </c>
      <c r="Q47" t="s">
        <v>92</v>
      </c>
      <c r="R47" s="14">
        <f>('pm_24.dat '!I268)/1000000</f>
        <v>141.9178970100017</v>
      </c>
      <c r="S47" t="s">
        <v>92</v>
      </c>
      <c r="T47" s="14">
        <f>('pm_24.dat '!J268)/1000000</f>
        <v>81.128750609999742</v>
      </c>
      <c r="U47" t="s">
        <v>92</v>
      </c>
      <c r="V47" s="14">
        <f>('pm_24.dat '!K268)/1000000</f>
        <v>16.332880010000054</v>
      </c>
      <c r="W47" t="s">
        <v>92</v>
      </c>
      <c r="X47" s="14">
        <f>('pm_24.dat '!L268)/1000000</f>
        <v>11.26896282000002</v>
      </c>
      <c r="Y47" t="s">
        <v>92</v>
      </c>
      <c r="Z47" s="14">
        <f>('pm_24.dat '!M268)/1000000</f>
        <v>4.0779903750000024</v>
      </c>
      <c r="AA47" t="s">
        <v>92</v>
      </c>
      <c r="AB47" s="14">
        <f>('pm_24.dat '!N268)/1000000</f>
        <v>5.9643727909999962</v>
      </c>
      <c r="AC47" t="s">
        <v>92</v>
      </c>
      <c r="AD47" s="14">
        <f>('pm_24.dat '!O268)/1000000</f>
        <v>1.022329703000002</v>
      </c>
      <c r="AE47" t="s">
        <v>92</v>
      </c>
      <c r="AF47" s="12">
        <f t="shared" si="0"/>
        <v>1867.4932069889912</v>
      </c>
      <c r="AG47" t="s">
        <v>93</v>
      </c>
    </row>
    <row r="48" spans="2:45" x14ac:dyDescent="0.2">
      <c r="B48">
        <v>2023</v>
      </c>
      <c r="C48" t="s">
        <v>92</v>
      </c>
      <c r="D48" s="14">
        <f>('pm_24.dat '!B269)/1000000</f>
        <v>0</v>
      </c>
      <c r="E48" t="s">
        <v>92</v>
      </c>
      <c r="F48" s="14">
        <f>('pm_24.dat '!C269)/1000000</f>
        <v>25.232198769999993</v>
      </c>
      <c r="G48" t="s">
        <v>92</v>
      </c>
      <c r="H48" s="14">
        <f>('pm_24.dat '!D269)/1000000</f>
        <v>86.614446099999938</v>
      </c>
      <c r="I48" t="s">
        <v>92</v>
      </c>
      <c r="J48" s="14">
        <f>('pm_24.dat '!E269)/1000000</f>
        <v>263.02279900000002</v>
      </c>
      <c r="K48" t="s">
        <v>92</v>
      </c>
      <c r="L48" s="14">
        <f>('pm_24.dat '!F269)/1000000</f>
        <v>1473.0875799999999</v>
      </c>
      <c r="M48" t="s">
        <v>92</v>
      </c>
      <c r="N48" s="14">
        <f>('pm_24.dat '!G269)/1000000</f>
        <v>227.24626000000001</v>
      </c>
      <c r="O48" t="s">
        <v>92</v>
      </c>
      <c r="P48" s="14">
        <f>('pm_24.dat '!H269)/1000000</f>
        <v>29.365171410000023</v>
      </c>
      <c r="Q48" t="s">
        <v>92</v>
      </c>
      <c r="R48" s="14">
        <f>('pm_24.dat '!I269)/1000000</f>
        <v>45.350426099999986</v>
      </c>
      <c r="S48" t="s">
        <v>92</v>
      </c>
      <c r="T48" s="14">
        <f>('pm_24.dat '!J269)/1000000</f>
        <v>63.553232300000005</v>
      </c>
      <c r="U48" t="s">
        <v>92</v>
      </c>
      <c r="V48" s="14">
        <f>('pm_24.dat '!K269)/1000000</f>
        <v>42.62730870000005</v>
      </c>
      <c r="W48" t="s">
        <v>92</v>
      </c>
      <c r="X48" s="14">
        <f>('pm_24.dat '!L269)/1000000</f>
        <v>18.819884963999993</v>
      </c>
      <c r="Y48" t="s">
        <v>92</v>
      </c>
      <c r="Z48" s="14">
        <f>('pm_24.dat '!M269)/1000000</f>
        <v>5.4271902689999987</v>
      </c>
      <c r="AA48" t="s">
        <v>92</v>
      </c>
      <c r="AB48" s="14">
        <f>('pm_24.dat '!N269)/1000000</f>
        <v>8.5621653170000034</v>
      </c>
      <c r="AC48" t="s">
        <v>92</v>
      </c>
      <c r="AD48" s="14">
        <f>('pm_24.dat '!O269)/1000000</f>
        <v>2.600553252000001</v>
      </c>
      <c r="AE48" t="s">
        <v>92</v>
      </c>
      <c r="AF48" s="12">
        <f t="shared" si="0"/>
        <v>2291.5092161819998</v>
      </c>
      <c r="AG48" t="s">
        <v>93</v>
      </c>
      <c r="AI48" s="1">
        <v>1000000</v>
      </c>
      <c r="AS48" s="12"/>
    </row>
    <row r="49" spans="2:33" x14ac:dyDescent="0.2">
      <c r="B49" t="s">
        <v>95</v>
      </c>
    </row>
    <row r="50" spans="2:33" x14ac:dyDescent="0.2">
      <c r="B50" t="s">
        <v>96</v>
      </c>
      <c r="C50" s="15" t="s">
        <v>92</v>
      </c>
      <c r="D50" s="15">
        <f t="shared" ref="D50" si="1">AVERAGE(D4:D48)</f>
        <v>3.4468291563023854</v>
      </c>
      <c r="E50" s="15" t="s">
        <v>92</v>
      </c>
      <c r="F50" s="15">
        <f t="shared" ref="F50" si="2">AVERAGE(F4:F48)</f>
        <v>57.303766882065098</v>
      </c>
      <c r="G50" s="15" t="s">
        <v>92</v>
      </c>
      <c r="H50" s="15">
        <f t="shared" ref="H50" si="3">AVERAGE(H4:H48)</f>
        <v>215.91836165013254</v>
      </c>
      <c r="I50" s="15" t="s">
        <v>92</v>
      </c>
      <c r="J50" s="15">
        <f t="shared" ref="J50" si="4">AVERAGE(J4:J48)</f>
        <v>367.20208928399825</v>
      </c>
      <c r="K50" s="15" t="s">
        <v>92</v>
      </c>
      <c r="L50" s="15">
        <f t="shared" ref="L50" si="5">AVERAGE(L4:L48)</f>
        <v>409.83572420710891</v>
      </c>
      <c r="M50" s="15" t="s">
        <v>92</v>
      </c>
      <c r="N50" s="15">
        <f t="shared" ref="N50" si="6">AVERAGE(N4:N48)</f>
        <v>331.00361830710864</v>
      </c>
      <c r="O50" s="15" t="s">
        <v>92</v>
      </c>
      <c r="P50" s="15">
        <f t="shared" ref="P50" si="7">AVERAGE(P4:P48)</f>
        <v>213.0698297028876</v>
      </c>
      <c r="Q50" s="15" t="s">
        <v>92</v>
      </c>
      <c r="R50" s="15">
        <f t="shared" ref="R50" si="8">AVERAGE(R4:R48)</f>
        <v>116.34738051844445</v>
      </c>
      <c r="S50" s="15" t="s">
        <v>92</v>
      </c>
      <c r="T50" s="15">
        <f t="shared" ref="T50" si="9">AVERAGE(T4:T48)</f>
        <v>65.082143927355432</v>
      </c>
      <c r="U50" s="15" t="s">
        <v>92</v>
      </c>
      <c r="V50" s="15">
        <f t="shared" ref="V50" si="10">AVERAGE(V4:V48)</f>
        <v>33.250004974022282</v>
      </c>
      <c r="W50" s="15" t="s">
        <v>92</v>
      </c>
      <c r="X50" s="15">
        <f t="shared" ref="X50" si="11">AVERAGE(X4:X48)</f>
        <v>22.092931768466723</v>
      </c>
      <c r="Y50" s="15" t="s">
        <v>92</v>
      </c>
      <c r="Z50" s="15">
        <f t="shared" ref="Z50" si="12">AVERAGE(Z4:Z48)</f>
        <v>10.82712809330445</v>
      </c>
      <c r="AA50" s="15" t="s">
        <v>92</v>
      </c>
      <c r="AB50" s="15">
        <f t="shared" ref="AB50" si="13">AVERAGE(AB4:AB48)</f>
        <v>7.4997027930711102</v>
      </c>
      <c r="AC50" s="15" t="s">
        <v>92</v>
      </c>
      <c r="AD50" s="15">
        <f t="shared" ref="AD50" si="14">AVERAGE(AD4:AD48)</f>
        <v>5.05791197623111</v>
      </c>
      <c r="AE50" s="15" t="s">
        <v>92</v>
      </c>
      <c r="AF50" s="15">
        <f>AVERAGE(AF4:AF48)</f>
        <v>1857.7076346300785</v>
      </c>
      <c r="AG50" t="s">
        <v>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7B18-50F7-3546-8351-AA0D3682B39E}">
  <dimension ref="B2:V74"/>
  <sheetViews>
    <sheetView topLeftCell="A31" workbookViewId="0">
      <selection activeCell="G68" sqref="G68"/>
    </sheetView>
  </sheetViews>
  <sheetFormatPr baseColWidth="10" defaultColWidth="8.83203125" defaultRowHeight="15" x14ac:dyDescent="0.2"/>
  <cols>
    <col min="1" max="2" width="8.83203125" style="6"/>
    <col min="3" max="3" width="15.1640625" style="6" customWidth="1"/>
    <col min="4" max="4" width="6.5" style="6" customWidth="1"/>
    <col min="5" max="5" width="11.6640625" style="6" customWidth="1"/>
    <col min="6" max="6" width="10.83203125" style="6" customWidth="1"/>
    <col min="7" max="16384" width="8.83203125" style="6"/>
  </cols>
  <sheetData>
    <row r="2" spans="2:10" ht="17" x14ac:dyDescent="0.25">
      <c r="B2" s="11" t="s">
        <v>85</v>
      </c>
      <c r="C2" s="11" t="s">
        <v>84</v>
      </c>
      <c r="D2" s="11"/>
      <c r="E2" s="11" t="s">
        <v>83</v>
      </c>
      <c r="F2" s="10" t="s">
        <v>82</v>
      </c>
    </row>
    <row r="3" spans="2:10" x14ac:dyDescent="0.2">
      <c r="B3" s="9"/>
      <c r="C3" s="9" t="s">
        <v>81</v>
      </c>
      <c r="D3" s="9"/>
      <c r="E3" s="9"/>
      <c r="F3" s="9"/>
    </row>
    <row r="5" spans="2:10" x14ac:dyDescent="0.2">
      <c r="B5" s="6">
        <v>2009</v>
      </c>
      <c r="C5" s="6">
        <v>0.69510000000000005</v>
      </c>
      <c r="E5" s="6">
        <f t="shared" ref="E5:E17" si="0">(C5*1.96)*F5</f>
        <v>0.16644934028077177</v>
      </c>
      <c r="F5" s="6">
        <v>0.12217397899052239</v>
      </c>
      <c r="H5" s="6">
        <f t="shared" ref="H5:H17" si="1">RANK(C5,$C$5:$C$17)</f>
        <v>13</v>
      </c>
    </row>
    <row r="6" spans="2:10" x14ac:dyDescent="0.2">
      <c r="B6" s="6">
        <v>2010</v>
      </c>
      <c r="C6" s="6">
        <v>1.9218</v>
      </c>
      <c r="E6" s="6">
        <f t="shared" si="0"/>
        <v>0.24713509401936595</v>
      </c>
      <c r="F6" s="6">
        <v>6.561001856767093E-2</v>
      </c>
      <c r="H6" s="6">
        <f t="shared" si="1"/>
        <v>11</v>
      </c>
    </row>
    <row r="7" spans="2:10" x14ac:dyDescent="0.2">
      <c r="B7" s="6">
        <v>2012</v>
      </c>
      <c r="C7" s="6">
        <v>1.5206</v>
      </c>
      <c r="E7" s="6">
        <f t="shared" si="0"/>
        <v>0.15870185385942098</v>
      </c>
      <c r="F7" s="6">
        <v>5.3248936999701041E-2</v>
      </c>
      <c r="H7" s="6">
        <f t="shared" si="1"/>
        <v>12</v>
      </c>
    </row>
    <row r="8" spans="2:10" x14ac:dyDescent="0.2">
      <c r="B8" s="6">
        <v>2014</v>
      </c>
      <c r="C8" s="6">
        <v>3.0769000000000002</v>
      </c>
      <c r="E8" s="6">
        <f t="shared" si="0"/>
        <v>0.24758423469117044</v>
      </c>
      <c r="F8" s="6">
        <v>4.1053816207004407E-2</v>
      </c>
      <c r="H8" s="6">
        <f t="shared" si="1"/>
        <v>2</v>
      </c>
    </row>
    <row r="9" spans="2:10" x14ac:dyDescent="0.2">
      <c r="B9" s="6">
        <v>2015</v>
      </c>
      <c r="C9" s="6">
        <v>3.5926999999999998</v>
      </c>
      <c r="E9" s="6">
        <f t="shared" si="0"/>
        <v>0.17334535148586452</v>
      </c>
      <c r="F9" s="6">
        <v>2.4617002772325817E-2</v>
      </c>
      <c r="H9" s="6">
        <f t="shared" si="1"/>
        <v>1</v>
      </c>
    </row>
    <row r="10" spans="2:10" x14ac:dyDescent="0.2">
      <c r="B10" s="6">
        <v>2016</v>
      </c>
      <c r="C10" s="6">
        <v>2.8319000000000001</v>
      </c>
      <c r="E10" s="6">
        <f t="shared" si="0"/>
        <v>0.16175451479331701</v>
      </c>
      <c r="F10" s="6">
        <v>2.9142206176086618E-2</v>
      </c>
      <c r="H10" s="6">
        <f t="shared" si="1"/>
        <v>4</v>
      </c>
    </row>
    <row r="11" spans="2:10" x14ac:dyDescent="0.2">
      <c r="B11" s="6">
        <v>2017</v>
      </c>
      <c r="C11" s="6">
        <v>2.2629999999999999</v>
      </c>
      <c r="E11" s="6">
        <f t="shared" si="0"/>
        <v>0.13542633771354493</v>
      </c>
      <c r="F11" s="6">
        <v>3.0532510058335269E-2</v>
      </c>
      <c r="H11" s="6">
        <f t="shared" si="1"/>
        <v>8</v>
      </c>
    </row>
    <row r="12" spans="2:10" x14ac:dyDescent="0.2">
      <c r="B12" s="6">
        <v>2018</v>
      </c>
      <c r="C12" s="6">
        <v>2.0840999999999998</v>
      </c>
      <c r="E12" s="6">
        <f t="shared" si="0"/>
        <v>0.10878871160442709</v>
      </c>
      <c r="F12" s="6">
        <v>2.663233275569132E-2</v>
      </c>
      <c r="H12" s="6">
        <f t="shared" si="1"/>
        <v>9</v>
      </c>
    </row>
    <row r="13" spans="2:10" x14ac:dyDescent="0.2">
      <c r="B13" s="6">
        <v>2019</v>
      </c>
      <c r="C13" s="6">
        <v>2.8292000000000002</v>
      </c>
      <c r="E13" s="6">
        <f t="shared" si="0"/>
        <v>0.27111575895114054</v>
      </c>
      <c r="F13" s="6">
        <v>4.8891689103565103E-2</v>
      </c>
      <c r="H13" s="6">
        <f t="shared" si="1"/>
        <v>5</v>
      </c>
    </row>
    <row r="14" spans="2:10" x14ac:dyDescent="0.2">
      <c r="B14" s="6">
        <v>2021</v>
      </c>
      <c r="C14" s="6">
        <v>2.4100999999999999</v>
      </c>
      <c r="E14" s="6">
        <f t="shared" si="0"/>
        <v>0.22611451291029397</v>
      </c>
      <c r="F14" s="6">
        <v>4.786712061873416E-2</v>
      </c>
      <c r="H14" s="6">
        <f t="shared" si="1"/>
        <v>7</v>
      </c>
    </row>
    <row r="15" spans="2:10" x14ac:dyDescent="0.2">
      <c r="B15" s="6">
        <v>2022</v>
      </c>
      <c r="C15" s="6">
        <v>2.9030999999999998</v>
      </c>
      <c r="E15" s="6">
        <f t="shared" si="0"/>
        <v>0.19404952659361593</v>
      </c>
      <c r="F15" s="6">
        <v>3.4103151977867424E-2</v>
      </c>
      <c r="H15" s="6">
        <f t="shared" si="1"/>
        <v>3</v>
      </c>
    </row>
    <row r="16" spans="2:10" x14ac:dyDescent="0.2">
      <c r="B16" s="6">
        <v>2023</v>
      </c>
      <c r="C16" s="6">
        <v>2.4809999999999999</v>
      </c>
      <c r="E16" s="6">
        <f t="shared" si="0"/>
        <v>0.14308964055924109</v>
      </c>
      <c r="F16" s="8">
        <v>2.9425602036547371E-2</v>
      </c>
      <c r="H16" s="6">
        <f t="shared" si="1"/>
        <v>6</v>
      </c>
      <c r="J16" s="6">
        <f>F16*C16</f>
        <v>7.3004918652674028E-2</v>
      </c>
    </row>
    <row r="17" spans="2:13" x14ac:dyDescent="0.2">
      <c r="B17" s="6">
        <v>2024</v>
      </c>
      <c r="C17" s="7">
        <v>2.0070095902</v>
      </c>
      <c r="E17" s="6">
        <f t="shared" si="0"/>
        <v>0.1070196455352285</v>
      </c>
      <c r="F17" s="6">
        <v>2.720558E-2</v>
      </c>
      <c r="H17" s="6">
        <f t="shared" si="1"/>
        <v>10</v>
      </c>
      <c r="J17" s="6">
        <f>F17*C17</f>
        <v>5.4601859966953319E-2</v>
      </c>
    </row>
    <row r="18" spans="2:13" x14ac:dyDescent="0.2">
      <c r="J18" s="6">
        <f>J17/J16</f>
        <v>0.74792029050433517</v>
      </c>
    </row>
    <row r="23" spans="2:13" x14ac:dyDescent="0.2">
      <c r="E23" s="6" t="s">
        <v>87</v>
      </c>
      <c r="H23" s="6">
        <f>I28/J28</f>
        <v>4.5935150388253385</v>
      </c>
    </row>
    <row r="24" spans="2:13" x14ac:dyDescent="0.2">
      <c r="E24" s="6" t="s">
        <v>18</v>
      </c>
      <c r="F24" s="6" t="s">
        <v>19</v>
      </c>
      <c r="K24" s="6" t="s">
        <v>86</v>
      </c>
    </row>
    <row r="25" spans="2:13" x14ac:dyDescent="0.2">
      <c r="B25" s="6" t="s">
        <v>17</v>
      </c>
      <c r="D25" s="6">
        <v>2006</v>
      </c>
      <c r="E25" s="6">
        <v>1.7414761030000001</v>
      </c>
      <c r="F25" s="6">
        <v>0.40797433101276398</v>
      </c>
      <c r="I25" s="6">
        <f>F25/E25</f>
        <v>0.23426926749666915</v>
      </c>
      <c r="K25" s="6">
        <v>2006</v>
      </c>
      <c r="L25" s="6">
        <f>E25</f>
        <v>1.7414761030000001</v>
      </c>
      <c r="M25" s="6">
        <f>I25*E25</f>
        <v>0.40797433101276398</v>
      </c>
    </row>
    <row r="26" spans="2:13" x14ac:dyDescent="0.2">
      <c r="D26" s="6">
        <v>2007</v>
      </c>
      <c r="E26" s="6">
        <v>2.0019130700000001</v>
      </c>
      <c r="F26" s="6">
        <v>0.79543823960141902</v>
      </c>
      <c r="I26" s="6">
        <f t="shared" ref="I26:I42" si="2">F26/E26</f>
        <v>0.39733905109147372</v>
      </c>
      <c r="K26" s="6">
        <v>2007</v>
      </c>
      <c r="L26" s="6">
        <f t="shared" ref="L26:L27" si="3">E26</f>
        <v>2.0019130700000001</v>
      </c>
      <c r="M26" s="6">
        <f t="shared" ref="M26:M41" si="4">I26*E26</f>
        <v>0.79543823960141902</v>
      </c>
    </row>
    <row r="27" spans="2:13" x14ac:dyDescent="0.2">
      <c r="D27" s="6">
        <v>2008</v>
      </c>
      <c r="E27" s="6">
        <v>0.99154315100000001</v>
      </c>
      <c r="F27" s="6">
        <v>0.292865176659236</v>
      </c>
      <c r="I27" s="6">
        <f t="shared" si="2"/>
        <v>0.2953630170949928</v>
      </c>
      <c r="K27" s="6">
        <v>2008</v>
      </c>
      <c r="L27" s="6">
        <f t="shared" si="3"/>
        <v>0.99154315100000001</v>
      </c>
      <c r="M27" s="6">
        <f t="shared" si="4"/>
        <v>0.292865176659236</v>
      </c>
    </row>
    <row r="28" spans="2:13" x14ac:dyDescent="0.2">
      <c r="D28" s="6">
        <v>2009</v>
      </c>
      <c r="E28" s="6">
        <v>0.69510000000000005</v>
      </c>
      <c r="F28" s="6">
        <v>0.39009568764402103</v>
      </c>
      <c r="G28" s="6">
        <v>0.69510000000000005</v>
      </c>
      <c r="H28" s="6">
        <f>$H$23*J28</f>
        <v>0.56120800984609553</v>
      </c>
      <c r="I28" s="6">
        <f t="shared" si="2"/>
        <v>0.56120800984609553</v>
      </c>
      <c r="J28" s="6">
        <f>F5</f>
        <v>0.12217397899052239</v>
      </c>
      <c r="K28" s="6">
        <v>2009</v>
      </c>
      <c r="L28" s="6">
        <f>G28</f>
        <v>0.69510000000000005</v>
      </c>
      <c r="M28" s="6">
        <f t="shared" si="4"/>
        <v>0.39009568764402103</v>
      </c>
    </row>
    <row r="29" spans="2:13" x14ac:dyDescent="0.2">
      <c r="D29" s="6">
        <v>2010</v>
      </c>
      <c r="E29" s="6">
        <v>1.9218</v>
      </c>
      <c r="F29" s="6">
        <v>0.579193250959401</v>
      </c>
      <c r="G29" s="6">
        <v>1.9218</v>
      </c>
      <c r="H29" s="6">
        <f>$H$23*J29</f>
        <v>0.30138060698820612</v>
      </c>
      <c r="I29" s="6">
        <f t="shared" si="2"/>
        <v>0.30138060722208398</v>
      </c>
      <c r="J29" s="6">
        <f>F6</f>
        <v>6.561001856767093E-2</v>
      </c>
      <c r="K29" s="6">
        <v>2010</v>
      </c>
      <c r="L29" s="6">
        <f>G29</f>
        <v>1.9218</v>
      </c>
      <c r="M29" s="6">
        <f t="shared" si="4"/>
        <v>0.579193250959401</v>
      </c>
    </row>
    <row r="30" spans="2:13" x14ac:dyDescent="0.2">
      <c r="D30" s="6">
        <v>2011</v>
      </c>
      <c r="E30" s="6">
        <v>1.7038225659999999</v>
      </c>
      <c r="F30" s="6">
        <v>0.44767777809083897</v>
      </c>
      <c r="I30" s="6">
        <f t="shared" si="2"/>
        <v>0.26274906027441297</v>
      </c>
      <c r="K30" s="6">
        <v>2011</v>
      </c>
      <c r="L30" s="6">
        <v>1.7038225659999999</v>
      </c>
      <c r="M30" s="6">
        <f t="shared" si="4"/>
        <v>0.44767777809083897</v>
      </c>
    </row>
    <row r="31" spans="2:13" x14ac:dyDescent="0.2">
      <c r="D31" s="6">
        <v>2012</v>
      </c>
      <c r="E31" s="6">
        <v>1.5206</v>
      </c>
      <c r="F31" s="6">
        <v>0.37193844549241101</v>
      </c>
      <c r="G31" s="6">
        <v>1.5206</v>
      </c>
      <c r="H31" s="6">
        <f>$H$23*J31</f>
        <v>0.24459979290958972</v>
      </c>
      <c r="I31" s="6">
        <f t="shared" si="2"/>
        <v>0.24459979316875644</v>
      </c>
      <c r="J31" s="6">
        <f>F7</f>
        <v>5.3248936999701041E-2</v>
      </c>
      <c r="K31" s="6">
        <v>2012</v>
      </c>
      <c r="L31" s="6">
        <f>G31</f>
        <v>1.5206</v>
      </c>
      <c r="M31" s="6">
        <f t="shared" si="4"/>
        <v>0.37193844549241101</v>
      </c>
    </row>
    <row r="32" spans="2:13" x14ac:dyDescent="0.2">
      <c r="D32" s="6">
        <v>2013</v>
      </c>
      <c r="E32" s="6">
        <v>2.1776295779999999</v>
      </c>
      <c r="F32" s="6">
        <v>0.39011599480868497</v>
      </c>
      <c r="I32" s="6">
        <f t="shared" si="2"/>
        <v>0.1791470866991893</v>
      </c>
      <c r="K32" s="6">
        <v>2013</v>
      </c>
      <c r="L32" s="6">
        <v>2.1776295779999999</v>
      </c>
      <c r="M32" s="6">
        <f t="shared" si="4"/>
        <v>0.39011599480868497</v>
      </c>
    </row>
    <row r="33" spans="4:22" x14ac:dyDescent="0.2">
      <c r="D33" s="6">
        <v>2014</v>
      </c>
      <c r="E33" s="6">
        <v>3.0769000000000002</v>
      </c>
      <c r="F33" s="6">
        <v>0.58024587036179998</v>
      </c>
      <c r="G33" s="6">
        <v>3.0769000000000002</v>
      </c>
      <c r="H33" s="6">
        <f t="shared" ref="H33:H42" si="5">$H$23*J33</f>
        <v>0.18858132214804615</v>
      </c>
      <c r="I33" s="6">
        <f t="shared" si="2"/>
        <v>0.18858132222750168</v>
      </c>
      <c r="J33" s="6">
        <f>F8</f>
        <v>4.1053816207004407E-2</v>
      </c>
      <c r="K33" s="6">
        <v>2014</v>
      </c>
      <c r="L33" s="6">
        <f t="shared" ref="L33:L42" si="6">G33</f>
        <v>3.0769000000000002</v>
      </c>
      <c r="M33" s="6">
        <f t="shared" si="4"/>
        <v>0.58024587036179998</v>
      </c>
    </row>
    <row r="34" spans="4:22" x14ac:dyDescent="0.2">
      <c r="D34" s="6">
        <v>2015</v>
      </c>
      <c r="E34" s="6">
        <v>3.5926999999999998</v>
      </c>
      <c r="F34" s="6">
        <v>0.40625738752985002</v>
      </c>
      <c r="G34" s="6">
        <v>3.5926999999999998</v>
      </c>
      <c r="H34" s="6">
        <f t="shared" si="5"/>
        <v>0.11307857244548369</v>
      </c>
      <c r="I34" s="6">
        <f t="shared" si="2"/>
        <v>0.11307857253036714</v>
      </c>
      <c r="J34" s="6">
        <f t="shared" ref="J34:J42" si="7">F9</f>
        <v>2.4617002772325817E-2</v>
      </c>
      <c r="K34" s="6">
        <v>2015</v>
      </c>
      <c r="L34" s="6">
        <f t="shared" si="6"/>
        <v>3.5926999999999998</v>
      </c>
      <c r="M34" s="6">
        <f t="shared" si="4"/>
        <v>0.40625738752985002</v>
      </c>
    </row>
    <row r="35" spans="4:22" x14ac:dyDescent="0.2">
      <c r="D35" s="6">
        <v>2016</v>
      </c>
      <c r="E35" s="6">
        <v>2.8319000000000001</v>
      </c>
      <c r="F35" s="6">
        <v>0.379092753078342</v>
      </c>
      <c r="G35" s="6">
        <v>2.8319000000000001</v>
      </c>
      <c r="H35" s="6">
        <f t="shared" si="5"/>
        <v>0.13386516233440254</v>
      </c>
      <c r="I35" s="6">
        <f t="shared" si="2"/>
        <v>0.13386516228621845</v>
      </c>
      <c r="J35" s="6">
        <f t="shared" si="7"/>
        <v>2.9142206176086618E-2</v>
      </c>
      <c r="K35" s="6">
        <v>2016</v>
      </c>
      <c r="L35" s="6">
        <f t="shared" si="6"/>
        <v>2.8319000000000001</v>
      </c>
      <c r="M35" s="6">
        <f t="shared" si="4"/>
        <v>0.37909275307834206</v>
      </c>
    </row>
    <row r="36" spans="4:22" x14ac:dyDescent="0.2">
      <c r="D36" s="6">
        <v>2017</v>
      </c>
      <c r="E36" s="6">
        <v>2.2629999999999999</v>
      </c>
      <c r="F36" s="6">
        <v>0.31738924504004401</v>
      </c>
      <c r="G36" s="6">
        <v>2.2629999999999999</v>
      </c>
      <c r="H36" s="6">
        <f t="shared" si="5"/>
        <v>0.14025154412604898</v>
      </c>
      <c r="I36" s="6">
        <f t="shared" si="2"/>
        <v>0.14025154442777021</v>
      </c>
      <c r="J36" s="6">
        <f t="shared" si="7"/>
        <v>3.0532510058335269E-2</v>
      </c>
      <c r="K36" s="6">
        <v>2017</v>
      </c>
      <c r="L36" s="6">
        <f t="shared" si="6"/>
        <v>2.2629999999999999</v>
      </c>
      <c r="M36" s="6">
        <f t="shared" si="4"/>
        <v>0.31738924504004395</v>
      </c>
    </row>
    <row r="37" spans="4:22" x14ac:dyDescent="0.2">
      <c r="D37" s="6">
        <v>2018</v>
      </c>
      <c r="E37" s="6">
        <v>2.0840999999999998</v>
      </c>
      <c r="F37" s="6">
        <v>0.25496050188299002</v>
      </c>
      <c r="G37" s="6">
        <v>2.0840999999999998</v>
      </c>
      <c r="H37" s="6">
        <f t="shared" si="5"/>
        <v>0.12233602103226875</v>
      </c>
      <c r="I37" s="6">
        <f t="shared" si="2"/>
        <v>0.12233602124801594</v>
      </c>
      <c r="J37" s="6">
        <f t="shared" si="7"/>
        <v>2.663233275569132E-2</v>
      </c>
      <c r="K37" s="6">
        <v>2018</v>
      </c>
      <c r="L37" s="6">
        <f t="shared" si="6"/>
        <v>2.0840999999999998</v>
      </c>
      <c r="M37" s="6">
        <f t="shared" si="4"/>
        <v>0.25496050188299002</v>
      </c>
    </row>
    <row r="38" spans="4:22" x14ac:dyDescent="0.2">
      <c r="D38" s="6">
        <v>2019</v>
      </c>
      <c r="E38" s="6">
        <v>2.8292000000000002</v>
      </c>
      <c r="F38" s="6">
        <v>0.63539505959713005</v>
      </c>
      <c r="G38" s="6">
        <v>2.8292000000000002</v>
      </c>
      <c r="H38" s="6">
        <f t="shared" si="5"/>
        <v>0.22458470917079923</v>
      </c>
      <c r="I38" s="6">
        <f t="shared" si="2"/>
        <v>0.22458470931610702</v>
      </c>
      <c r="J38" s="6">
        <f t="shared" si="7"/>
        <v>4.8891689103565103E-2</v>
      </c>
      <c r="K38" s="6">
        <v>2019</v>
      </c>
      <c r="L38" s="6">
        <f t="shared" si="6"/>
        <v>2.8292000000000002</v>
      </c>
      <c r="M38" s="6">
        <f t="shared" si="4"/>
        <v>0.63539505959713005</v>
      </c>
    </row>
    <row r="39" spans="4:22" x14ac:dyDescent="0.2">
      <c r="D39" s="6">
        <v>2021</v>
      </c>
      <c r="E39" s="6">
        <v>2.4100999999999999</v>
      </c>
      <c r="F39" s="6">
        <v>0.52992878360997797</v>
      </c>
      <c r="G39" s="6">
        <v>2.4100999999999999</v>
      </c>
      <c r="H39" s="6">
        <f t="shared" si="5"/>
        <v>0.2198783384274218</v>
      </c>
      <c r="I39" s="6">
        <f t="shared" si="2"/>
        <v>0.21987833849631883</v>
      </c>
      <c r="J39" s="6">
        <f t="shared" si="7"/>
        <v>4.786712061873416E-2</v>
      </c>
      <c r="K39" s="6">
        <v>2021</v>
      </c>
      <c r="L39" s="6">
        <f t="shared" si="6"/>
        <v>2.4100999999999999</v>
      </c>
      <c r="M39" s="6">
        <f t="shared" si="4"/>
        <v>0.52992878360997797</v>
      </c>
    </row>
    <row r="40" spans="4:22" x14ac:dyDescent="0.2">
      <c r="D40" s="6">
        <v>2022</v>
      </c>
      <c r="E40" s="6">
        <v>2.9030999999999998</v>
      </c>
      <c r="F40" s="6">
        <v>0.45478031610391201</v>
      </c>
      <c r="G40" s="6">
        <v>2.9030999999999998</v>
      </c>
      <c r="H40" s="6">
        <f t="shared" si="5"/>
        <v>0.15665334148168011</v>
      </c>
      <c r="I40" s="6">
        <f t="shared" si="2"/>
        <v>0.15665334163615172</v>
      </c>
      <c r="J40" s="6">
        <f t="shared" si="7"/>
        <v>3.4103151977867424E-2</v>
      </c>
      <c r="K40" s="6">
        <v>2022</v>
      </c>
      <c r="L40" s="6">
        <f t="shared" si="6"/>
        <v>2.9030999999999998</v>
      </c>
      <c r="M40" s="6">
        <f t="shared" si="4"/>
        <v>0.45478031610391201</v>
      </c>
    </row>
    <row r="41" spans="4:22" x14ac:dyDescent="0.2">
      <c r="D41" s="6">
        <v>2023</v>
      </c>
      <c r="E41" s="6">
        <v>2.4809999999999999</v>
      </c>
      <c r="F41" s="6">
        <v>0.335349192348874</v>
      </c>
      <c r="G41" s="6">
        <v>2.4809999999999999</v>
      </c>
      <c r="H41" s="6">
        <f t="shared" si="5"/>
        <v>0.13516694548136987</v>
      </c>
      <c r="I41" s="6">
        <f t="shared" si="2"/>
        <v>0.13516694572707538</v>
      </c>
      <c r="J41" s="6">
        <f t="shared" si="7"/>
        <v>2.9425602036547371E-2</v>
      </c>
      <c r="K41" s="6">
        <v>2023</v>
      </c>
      <c r="L41" s="6">
        <f t="shared" si="6"/>
        <v>2.4809999999999999</v>
      </c>
      <c r="M41" s="6">
        <f t="shared" si="4"/>
        <v>0.335349192348874</v>
      </c>
    </row>
    <row r="42" spans="4:22" x14ac:dyDescent="0.2">
      <c r="D42" s="6">
        <v>2024</v>
      </c>
      <c r="E42" s="7">
        <f>C17</f>
        <v>2.0070095902</v>
      </c>
      <c r="F42" s="6">
        <f>J18*F41</f>
        <v>0.250814465361964</v>
      </c>
      <c r="G42" s="7">
        <v>2.0070095902</v>
      </c>
      <c r="H42" s="6">
        <f t="shared" si="5"/>
        <v>0.12496924086996586</v>
      </c>
      <c r="I42" s="6">
        <f t="shared" si="2"/>
        <v>0.12496924109713405</v>
      </c>
      <c r="J42" s="6">
        <f t="shared" si="7"/>
        <v>2.720558E-2</v>
      </c>
      <c r="K42" s="6">
        <v>2024</v>
      </c>
      <c r="L42" s="6">
        <f t="shared" si="6"/>
        <v>2.0070095902</v>
      </c>
      <c r="M42" s="6">
        <f>I42*L42</f>
        <v>0.250814465361964</v>
      </c>
    </row>
    <row r="46" spans="4:22" x14ac:dyDescent="0.2">
      <c r="E46" s="6" cm="1">
        <f t="array" ref="E46:V46">TRANSPOSE(K25:K42)</f>
        <v>2006</v>
      </c>
      <c r="F46" s="6">
        <v>2007</v>
      </c>
      <c r="G46" s="6">
        <v>2008</v>
      </c>
      <c r="H46" s="6">
        <v>2009</v>
      </c>
      <c r="I46" s="6">
        <v>2010</v>
      </c>
      <c r="J46" s="6">
        <v>2011</v>
      </c>
      <c r="K46" s="6">
        <v>2012</v>
      </c>
      <c r="L46" s="6">
        <v>2013</v>
      </c>
      <c r="M46" s="6">
        <v>2014</v>
      </c>
      <c r="N46" s="6">
        <v>2015</v>
      </c>
      <c r="O46" s="6">
        <v>2016</v>
      </c>
      <c r="P46" s="6">
        <v>2017</v>
      </c>
      <c r="Q46" s="6">
        <v>2018</v>
      </c>
      <c r="R46" s="6">
        <v>2019</v>
      </c>
      <c r="S46" s="6">
        <v>2021</v>
      </c>
      <c r="T46" s="6">
        <v>2022</v>
      </c>
      <c r="U46" s="6">
        <v>2023</v>
      </c>
      <c r="V46" s="6">
        <v>2024</v>
      </c>
    </row>
    <row r="48" spans="4:22" x14ac:dyDescent="0.2">
      <c r="E48" s="6" cm="1">
        <f t="array" ref="E48:V48">TRANSPOSE(L25:L42)</f>
        <v>1.7414761030000001</v>
      </c>
      <c r="F48" s="6">
        <v>2.0019130700000001</v>
      </c>
      <c r="G48" s="6">
        <v>0.99154315100000001</v>
      </c>
      <c r="H48" s="6">
        <v>0.69510000000000005</v>
      </c>
      <c r="I48" s="6">
        <v>1.9218</v>
      </c>
      <c r="J48" s="6">
        <v>1.7038225659999999</v>
      </c>
      <c r="K48" s="6">
        <v>1.5206</v>
      </c>
      <c r="L48" s="6">
        <v>2.1776295779999999</v>
      </c>
      <c r="M48" s="6">
        <v>3.0769000000000002</v>
      </c>
      <c r="N48" s="6">
        <v>3.5926999999999998</v>
      </c>
      <c r="O48" s="6">
        <v>2.8319000000000001</v>
      </c>
      <c r="P48" s="6">
        <v>2.2629999999999999</v>
      </c>
      <c r="Q48" s="6">
        <v>2.0840999999999998</v>
      </c>
      <c r="R48" s="6">
        <v>2.8292000000000002</v>
      </c>
      <c r="S48" s="6">
        <v>2.4100999999999999</v>
      </c>
      <c r="T48" s="6">
        <v>2.9030999999999998</v>
      </c>
      <c r="U48" s="6">
        <v>2.4809999999999999</v>
      </c>
      <c r="V48" s="6">
        <v>2.0070095902</v>
      </c>
    </row>
    <row r="50" spans="5:22" x14ac:dyDescent="0.2">
      <c r="E50" s="6" cm="1">
        <f t="array" ref="E50:V50">TRANSPOSE(M25:M42)</f>
        <v>0.40797433101276398</v>
      </c>
      <c r="F50" s="6">
        <v>0.79543823960141902</v>
      </c>
      <c r="G50" s="6">
        <v>0.292865176659236</v>
      </c>
      <c r="H50" s="6">
        <v>0.39009568764402103</v>
      </c>
      <c r="I50" s="6">
        <v>0.579193250959401</v>
      </c>
      <c r="J50" s="6">
        <v>0.44767777809083897</v>
      </c>
      <c r="K50" s="6">
        <v>0.37193844549241101</v>
      </c>
      <c r="L50" s="6">
        <v>0.39011599480868497</v>
      </c>
      <c r="M50" s="6">
        <v>0.58024587036179998</v>
      </c>
      <c r="N50" s="6">
        <v>0.40625738752985002</v>
      </c>
      <c r="O50" s="6">
        <v>0.37909275307834206</v>
      </c>
      <c r="P50" s="6">
        <v>0.31738924504004395</v>
      </c>
      <c r="Q50" s="6">
        <v>0.25496050188299002</v>
      </c>
      <c r="R50" s="6">
        <v>0.63539505959713005</v>
      </c>
      <c r="S50" s="6">
        <v>0.52992878360997797</v>
      </c>
      <c r="T50" s="6">
        <v>0.45478031610391201</v>
      </c>
      <c r="U50" s="6">
        <v>0.335349192348874</v>
      </c>
      <c r="V50" s="6">
        <v>0.250814465361964</v>
      </c>
    </row>
    <row r="54" spans="5:22" x14ac:dyDescent="0.2">
      <c r="E54" s="6">
        <v>2006</v>
      </c>
      <c r="F54" s="6" t="s">
        <v>92</v>
      </c>
      <c r="G54" s="6">
        <v>1.8729</v>
      </c>
      <c r="H54" s="6" t="s">
        <v>92</v>
      </c>
      <c r="I54" s="6">
        <v>1.7410000000000001</v>
      </c>
      <c r="J54" s="6" t="s">
        <v>92</v>
      </c>
      <c r="K54" s="6">
        <v>5.0999999999999997E-2</v>
      </c>
      <c r="L54" s="6" t="s">
        <v>92</v>
      </c>
      <c r="M54" s="6">
        <v>23</v>
      </c>
      <c r="N54" s="6" t="s">
        <v>93</v>
      </c>
    </row>
    <row r="55" spans="5:22" x14ac:dyDescent="0.2">
      <c r="E55" s="6">
        <v>2007</v>
      </c>
      <c r="F55" s="6" t="s">
        <v>92</v>
      </c>
      <c r="G55" s="6">
        <v>2.2778999999999998</v>
      </c>
      <c r="H55" s="6" t="s">
        <v>92</v>
      </c>
      <c r="I55" s="6">
        <v>2.0019999999999998</v>
      </c>
      <c r="J55" s="6" t="s">
        <v>92</v>
      </c>
      <c r="K55" s="6">
        <v>8.6499999999999994E-2</v>
      </c>
      <c r="L55" s="6" t="s">
        <v>92</v>
      </c>
      <c r="M55" s="6">
        <v>40</v>
      </c>
      <c r="N55" s="6" t="s">
        <v>93</v>
      </c>
    </row>
    <row r="56" spans="5:22" x14ac:dyDescent="0.2">
      <c r="E56" s="6">
        <v>2008</v>
      </c>
      <c r="F56" s="6" t="s">
        <v>92</v>
      </c>
      <c r="G56" s="6">
        <v>1.4056</v>
      </c>
      <c r="H56" s="6" t="s">
        <v>92</v>
      </c>
      <c r="I56" s="6">
        <v>0.99199999999999999</v>
      </c>
      <c r="J56" s="6" t="s">
        <v>92</v>
      </c>
      <c r="K56" s="6">
        <v>6.4299999999999996E-2</v>
      </c>
      <c r="L56" s="6" t="s">
        <v>92</v>
      </c>
      <c r="M56" s="6">
        <v>30</v>
      </c>
      <c r="N56" s="6" t="s">
        <v>93</v>
      </c>
    </row>
    <row r="57" spans="5:22" x14ac:dyDescent="0.2">
      <c r="E57" s="6">
        <v>2009</v>
      </c>
      <c r="F57" s="6" t="s">
        <v>92</v>
      </c>
      <c r="G57" s="6">
        <v>1.3248</v>
      </c>
      <c r="H57" s="6" t="s">
        <v>92</v>
      </c>
      <c r="I57" s="6">
        <v>0.69499999999999995</v>
      </c>
      <c r="J57" s="6" t="s">
        <v>92</v>
      </c>
      <c r="K57" s="6">
        <v>0.1222</v>
      </c>
      <c r="L57" s="6" t="s">
        <v>92</v>
      </c>
      <c r="M57" s="6">
        <v>56</v>
      </c>
      <c r="N57" s="6" t="s">
        <v>93</v>
      </c>
    </row>
    <row r="58" spans="5:22" x14ac:dyDescent="0.2">
      <c r="E58" s="6">
        <v>2010</v>
      </c>
      <c r="F58" s="6" t="s">
        <v>92</v>
      </c>
      <c r="G58" s="6">
        <v>2.6423000000000001</v>
      </c>
      <c r="H58" s="6" t="s">
        <v>92</v>
      </c>
      <c r="I58" s="6">
        <v>1.9219999999999999</v>
      </c>
      <c r="J58" s="6" t="s">
        <v>92</v>
      </c>
      <c r="K58" s="6">
        <v>6.5600000000000006E-2</v>
      </c>
      <c r="L58" s="6" t="s">
        <v>92</v>
      </c>
      <c r="M58" s="6">
        <v>30</v>
      </c>
      <c r="N58" s="6" t="s">
        <v>93</v>
      </c>
    </row>
    <row r="59" spans="5:22" x14ac:dyDescent="0.2">
      <c r="E59" s="6">
        <v>2011</v>
      </c>
      <c r="F59" s="6" t="s">
        <v>92</v>
      </c>
      <c r="G59" s="6" t="s">
        <v>721</v>
      </c>
      <c r="H59" s="6" t="s">
        <v>722</v>
      </c>
      <c r="I59" s="6">
        <v>1.704</v>
      </c>
      <c r="J59" s="6" t="s">
        <v>92</v>
      </c>
      <c r="K59" s="6">
        <v>5.7200000000000001E-2</v>
      </c>
      <c r="L59" s="6" t="s">
        <v>92</v>
      </c>
      <c r="M59" s="6">
        <v>26</v>
      </c>
      <c r="N59" s="6" t="s">
        <v>93</v>
      </c>
      <c r="O59" s="6" t="s">
        <v>93</v>
      </c>
    </row>
    <row r="60" spans="5:22" x14ac:dyDescent="0.2">
      <c r="E60" s="6">
        <v>2012</v>
      </c>
      <c r="F60" s="6" t="s">
        <v>92</v>
      </c>
      <c r="G60" s="6">
        <v>2.2957999999999998</v>
      </c>
      <c r="H60" s="6" t="s">
        <v>92</v>
      </c>
      <c r="I60" s="6">
        <v>1.5209999999999999</v>
      </c>
      <c r="J60" s="6" t="s">
        <v>92</v>
      </c>
      <c r="K60" s="6">
        <v>5.3199999999999997E-2</v>
      </c>
      <c r="L60" s="6" t="s">
        <v>92</v>
      </c>
      <c r="M60" s="6">
        <v>24</v>
      </c>
      <c r="N60" s="6" t="s">
        <v>93</v>
      </c>
    </row>
    <row r="61" spans="5:22" x14ac:dyDescent="0.2">
      <c r="E61" s="6">
        <v>2013</v>
      </c>
      <c r="F61" s="6" t="s">
        <v>92</v>
      </c>
      <c r="G61" s="6" t="s">
        <v>721</v>
      </c>
      <c r="H61" s="6" t="s">
        <v>722</v>
      </c>
      <c r="I61" s="6">
        <v>2.1779999999999999</v>
      </c>
      <c r="J61" s="6" t="s">
        <v>92</v>
      </c>
      <c r="K61" s="6">
        <v>3.9E-2</v>
      </c>
      <c r="L61" s="6" t="s">
        <v>92</v>
      </c>
      <c r="M61" s="6">
        <v>18</v>
      </c>
      <c r="N61" s="6" t="s">
        <v>93</v>
      </c>
      <c r="O61" s="6" t="s">
        <v>93</v>
      </c>
    </row>
    <row r="62" spans="5:22" x14ac:dyDescent="0.2">
      <c r="E62" s="6">
        <v>2014</v>
      </c>
      <c r="F62" s="6" t="s">
        <v>92</v>
      </c>
      <c r="G62" s="6">
        <v>4.7300000000000004</v>
      </c>
      <c r="H62" s="6" t="s">
        <v>92</v>
      </c>
      <c r="I62" s="6">
        <v>3.077</v>
      </c>
      <c r="J62" s="6" t="s">
        <v>92</v>
      </c>
      <c r="K62" s="6">
        <v>4.1099999999999998E-2</v>
      </c>
      <c r="L62" s="6" t="s">
        <v>92</v>
      </c>
      <c r="M62" s="6">
        <v>19</v>
      </c>
      <c r="N62" s="6" t="s">
        <v>93</v>
      </c>
    </row>
    <row r="63" spans="5:22" x14ac:dyDescent="0.2">
      <c r="E63" s="6">
        <v>2015</v>
      </c>
      <c r="F63" s="6" t="s">
        <v>92</v>
      </c>
      <c r="G63" s="6" t="s">
        <v>721</v>
      </c>
      <c r="H63" s="6" t="s">
        <v>722</v>
      </c>
      <c r="I63" s="6">
        <v>3.593</v>
      </c>
      <c r="J63" s="6" t="s">
        <v>92</v>
      </c>
      <c r="K63" s="6">
        <v>2.46E-2</v>
      </c>
      <c r="L63" s="6" t="s">
        <v>92</v>
      </c>
      <c r="M63" s="6">
        <v>11</v>
      </c>
      <c r="N63" s="6" t="s">
        <v>93</v>
      </c>
      <c r="O63" s="6" t="s">
        <v>93</v>
      </c>
    </row>
    <row r="64" spans="5:22" x14ac:dyDescent="0.2">
      <c r="E64" s="6">
        <v>2016</v>
      </c>
      <c r="F64" s="6" t="s">
        <v>92</v>
      </c>
      <c r="G64" s="6">
        <v>4.8289999999999997</v>
      </c>
      <c r="H64" s="6" t="s">
        <v>92</v>
      </c>
      <c r="I64" s="6">
        <v>2.8319999999999999</v>
      </c>
      <c r="J64" s="6" t="s">
        <v>92</v>
      </c>
      <c r="K64" s="6">
        <v>2.9100000000000001E-2</v>
      </c>
      <c r="L64" s="6" t="s">
        <v>92</v>
      </c>
      <c r="M64" s="6">
        <v>13</v>
      </c>
      <c r="N64" s="6" t="s">
        <v>93</v>
      </c>
    </row>
    <row r="65" spans="5:15" x14ac:dyDescent="0.2">
      <c r="E65" s="6">
        <v>2017</v>
      </c>
      <c r="F65" s="6" t="s">
        <v>92</v>
      </c>
      <c r="G65" s="6" t="s">
        <v>721</v>
      </c>
      <c r="H65" s="6" t="s">
        <v>722</v>
      </c>
      <c r="I65" s="6">
        <v>2.2629999999999999</v>
      </c>
      <c r="J65" s="6" t="s">
        <v>92</v>
      </c>
      <c r="K65" s="6">
        <v>3.0499999999999999E-2</v>
      </c>
      <c r="L65" s="6" t="s">
        <v>92</v>
      </c>
      <c r="M65" s="6">
        <v>14</v>
      </c>
      <c r="N65" s="6" t="s">
        <v>93</v>
      </c>
      <c r="O65" s="6" t="s">
        <v>93</v>
      </c>
    </row>
    <row r="66" spans="5:15" x14ac:dyDescent="0.2">
      <c r="E66" s="6">
        <v>2018</v>
      </c>
      <c r="F66" s="6" t="s">
        <v>92</v>
      </c>
      <c r="G66" s="6">
        <v>2.4994000000000001</v>
      </c>
      <c r="H66" s="6" t="s">
        <v>92</v>
      </c>
      <c r="I66" s="6">
        <v>2.0840000000000001</v>
      </c>
      <c r="J66" s="6" t="s">
        <v>92</v>
      </c>
      <c r="K66" s="6">
        <v>2.6599999999999999E-2</v>
      </c>
      <c r="L66" s="6" t="s">
        <v>92</v>
      </c>
      <c r="M66" s="6">
        <v>12</v>
      </c>
      <c r="N66" s="6" t="s">
        <v>93</v>
      </c>
    </row>
    <row r="67" spans="5:15" x14ac:dyDescent="0.2">
      <c r="E67" s="6">
        <v>2019</v>
      </c>
      <c r="F67" s="6" t="s">
        <v>92</v>
      </c>
      <c r="G67" s="6" t="s">
        <v>721</v>
      </c>
      <c r="H67" s="6" t="s">
        <v>722</v>
      </c>
      <c r="I67" s="6">
        <v>2.8290000000000002</v>
      </c>
      <c r="J67" s="6" t="s">
        <v>92</v>
      </c>
      <c r="K67" s="6">
        <v>4.8899999999999999E-2</v>
      </c>
      <c r="L67" s="6" t="s">
        <v>92</v>
      </c>
      <c r="M67" s="6">
        <v>22</v>
      </c>
      <c r="N67" s="6" t="s">
        <v>93</v>
      </c>
      <c r="O67" s="6" t="s">
        <v>93</v>
      </c>
    </row>
    <row r="68" spans="5:15" x14ac:dyDescent="0.2">
      <c r="E68" s="6">
        <v>2020</v>
      </c>
      <c r="F68" s="6" t="s">
        <v>92</v>
      </c>
      <c r="G68" s="6">
        <v>3.62</v>
      </c>
      <c r="H68" s="6" t="s">
        <v>92</v>
      </c>
      <c r="I68" s="6" t="s">
        <v>92</v>
      </c>
      <c r="J68" s="6" t="s">
        <v>92</v>
      </c>
      <c r="K68" s="6" t="s">
        <v>93</v>
      </c>
    </row>
    <row r="69" spans="5:15" x14ac:dyDescent="0.2">
      <c r="E69" s="6">
        <v>2021</v>
      </c>
      <c r="F69" s="6" t="s">
        <v>92</v>
      </c>
      <c r="G69" s="6" t="s">
        <v>721</v>
      </c>
      <c r="H69" s="6" t="s">
        <v>722</v>
      </c>
      <c r="I69" s="6">
        <v>2.41</v>
      </c>
      <c r="J69" s="6" t="s">
        <v>92</v>
      </c>
      <c r="K69" s="6">
        <v>4.7899999999999998E-2</v>
      </c>
      <c r="L69" s="6" t="s">
        <v>92</v>
      </c>
      <c r="M69" s="6">
        <v>22</v>
      </c>
      <c r="N69" s="6" t="s">
        <v>93</v>
      </c>
      <c r="O69" s="6" t="s">
        <v>93</v>
      </c>
    </row>
    <row r="70" spans="5:15" x14ac:dyDescent="0.2">
      <c r="E70" s="6">
        <v>2022</v>
      </c>
      <c r="F70" s="6" t="s">
        <v>92</v>
      </c>
      <c r="G70" s="6">
        <v>3.8340000000000001</v>
      </c>
      <c r="H70" s="6" t="s">
        <v>92</v>
      </c>
      <c r="I70" s="6">
        <v>2.903</v>
      </c>
      <c r="J70" s="6" t="s">
        <v>92</v>
      </c>
      <c r="K70" s="6">
        <v>3.4099999999999998E-2</v>
      </c>
      <c r="L70" s="6" t="s">
        <v>92</v>
      </c>
      <c r="M70" s="6">
        <v>16</v>
      </c>
      <c r="N70" s="6" t="s">
        <v>93</v>
      </c>
    </row>
    <row r="71" spans="5:15" x14ac:dyDescent="0.2">
      <c r="E71" s="6">
        <v>2023</v>
      </c>
      <c r="F71" s="6" t="s">
        <v>92</v>
      </c>
      <c r="G71" s="6" t="s">
        <v>721</v>
      </c>
      <c r="H71" s="6" t="s">
        <v>722</v>
      </c>
      <c r="I71" s="6">
        <v>2.4809999999999999</v>
      </c>
      <c r="J71" s="6" t="s">
        <v>92</v>
      </c>
      <c r="K71" s="6">
        <v>2.9399999999999999E-2</v>
      </c>
      <c r="L71" s="6" t="s">
        <v>92</v>
      </c>
      <c r="M71" s="6">
        <v>14</v>
      </c>
      <c r="N71" s="6" t="s">
        <v>93</v>
      </c>
      <c r="O71" s="6" t="s">
        <v>93</v>
      </c>
    </row>
    <row r="72" spans="5:15" x14ac:dyDescent="0.2">
      <c r="E72" s="6">
        <v>2024</v>
      </c>
      <c r="F72" s="6" t="s">
        <v>92</v>
      </c>
      <c r="G72" s="6">
        <v>2.87</v>
      </c>
      <c r="H72" s="6" t="s">
        <v>92</v>
      </c>
      <c r="I72" s="6">
        <v>2.0070000000000001</v>
      </c>
      <c r="J72" s="6" t="s">
        <v>92</v>
      </c>
      <c r="K72" s="6">
        <v>2.7199999999999998E-2</v>
      </c>
      <c r="L72" s="6" t="s">
        <v>92</v>
      </c>
      <c r="M72" s="6">
        <v>13</v>
      </c>
      <c r="N72" s="6" t="s">
        <v>93</v>
      </c>
    </row>
    <row r="73" spans="5:15" x14ac:dyDescent="0.2">
      <c r="E73" s="6" t="s">
        <v>95</v>
      </c>
    </row>
    <row r="74" spans="5:15" x14ac:dyDescent="0.2">
      <c r="E74" s="6" t="s">
        <v>96</v>
      </c>
      <c r="F74" s="6" t="s">
        <v>92</v>
      </c>
      <c r="G74" s="6">
        <f>AVERAGE(G54:G72)</f>
        <v>2.850141666666667</v>
      </c>
      <c r="H74" s="6" t="s">
        <v>92</v>
      </c>
      <c r="I74" s="6">
        <f>AVERAGE(I54:I72)</f>
        <v>2.1796666666666664</v>
      </c>
      <c r="J74" s="6" t="e">
        <f>AVERAGE(J54:J72)</f>
        <v>#DIV/0!</v>
      </c>
      <c r="K74" s="6">
        <f>AVERAGE(K54:K72)</f>
        <v>4.8800000000000003E-2</v>
      </c>
      <c r="L74" s="6" t="s">
        <v>92</v>
      </c>
      <c r="M74" s="6">
        <f>AVERAGE(M54:M72)</f>
        <v>22.388888888888889</v>
      </c>
      <c r="N74" s="6" t="s">
        <v>93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AA9F6-781B-1544-9CF4-DE7614DFE262}">
  <dimension ref="A1:BO449"/>
  <sheetViews>
    <sheetView showGridLines="0" workbookViewId="0">
      <selection activeCell="B1" sqref="B1:BK491"/>
    </sheetView>
  </sheetViews>
  <sheetFormatPr baseColWidth="10" defaultRowHeight="16" x14ac:dyDescent="0.2"/>
  <sheetData>
    <row r="1" spans="2:62" x14ac:dyDescent="0.2">
      <c r="B1" t="s">
        <v>0</v>
      </c>
    </row>
    <row r="2" spans="2:62" x14ac:dyDescent="0.2">
      <c r="B2">
        <v>1964</v>
      </c>
    </row>
    <row r="3" spans="2:62" x14ac:dyDescent="0.2">
      <c r="B3" t="s">
        <v>1</v>
      </c>
    </row>
    <row r="4" spans="2:62" x14ac:dyDescent="0.2">
      <c r="B4">
        <v>1982</v>
      </c>
    </row>
    <row r="5" spans="2:62" x14ac:dyDescent="0.2">
      <c r="B5" t="s">
        <v>2</v>
      </c>
    </row>
    <row r="6" spans="2:62" x14ac:dyDescent="0.2">
      <c r="B6">
        <v>1994</v>
      </c>
    </row>
    <row r="7" spans="2:62" x14ac:dyDescent="0.2">
      <c r="B7" t="s">
        <v>3</v>
      </c>
    </row>
    <row r="8" spans="2:62" x14ac:dyDescent="0.2">
      <c r="B8">
        <v>2024</v>
      </c>
    </row>
    <row r="9" spans="2:62" x14ac:dyDescent="0.2">
      <c r="B9" t="s">
        <v>4</v>
      </c>
    </row>
    <row r="10" spans="2:62" x14ac:dyDescent="0.2">
      <c r="B10">
        <v>1</v>
      </c>
    </row>
    <row r="11" spans="2:62" x14ac:dyDescent="0.2">
      <c r="B11" t="s">
        <v>5</v>
      </c>
    </row>
    <row r="12" spans="2:62" x14ac:dyDescent="0.2">
      <c r="B12">
        <v>15</v>
      </c>
    </row>
    <row r="13" spans="2:62" x14ac:dyDescent="0.2">
      <c r="B13" t="s">
        <v>6</v>
      </c>
    </row>
    <row r="14" spans="2:62" x14ac:dyDescent="0.2">
      <c r="B14">
        <v>0</v>
      </c>
      <c r="C14">
        <v>8.0000000000000002E-3</v>
      </c>
      <c r="D14">
        <v>0.28899999999999998</v>
      </c>
      <c r="E14">
        <v>0.64100000000000001</v>
      </c>
      <c r="F14">
        <v>0.84199999999999997</v>
      </c>
      <c r="G14">
        <v>0.90100000000000002</v>
      </c>
      <c r="H14">
        <v>0.94699999999999995</v>
      </c>
      <c r="I14">
        <v>0.96299999999999997</v>
      </c>
      <c r="J14">
        <v>0.97</v>
      </c>
      <c r="K14">
        <v>1</v>
      </c>
      <c r="L14">
        <v>1</v>
      </c>
      <c r="M14">
        <v>1</v>
      </c>
      <c r="N14">
        <v>1</v>
      </c>
      <c r="O14">
        <v>1</v>
      </c>
      <c r="P14">
        <v>1</v>
      </c>
    </row>
    <row r="15" spans="2:62" x14ac:dyDescent="0.2">
      <c r="B15" t="s">
        <v>7</v>
      </c>
    </row>
    <row r="16" spans="2:62" x14ac:dyDescent="0.2">
      <c r="B16">
        <v>8</v>
      </c>
      <c r="C16">
        <v>7</v>
      </c>
      <c r="D16">
        <v>2</v>
      </c>
      <c r="E16">
        <v>9</v>
      </c>
      <c r="F16">
        <v>7</v>
      </c>
      <c r="G16">
        <v>7</v>
      </c>
      <c r="H16">
        <v>7</v>
      </c>
      <c r="I16">
        <v>7</v>
      </c>
      <c r="J16">
        <v>8</v>
      </c>
      <c r="K16">
        <v>6</v>
      </c>
      <c r="L16">
        <v>5</v>
      </c>
      <c r="M16">
        <v>7</v>
      </c>
      <c r="N16">
        <v>8</v>
      </c>
      <c r="O16">
        <v>8</v>
      </c>
      <c r="P16">
        <v>7</v>
      </c>
      <c r="Q16">
        <v>5</v>
      </c>
      <c r="R16">
        <v>4</v>
      </c>
      <c r="S16">
        <v>6</v>
      </c>
      <c r="T16">
        <v>7</v>
      </c>
      <c r="U16">
        <v>8</v>
      </c>
      <c r="V16">
        <v>3</v>
      </c>
      <c r="W16">
        <v>7</v>
      </c>
      <c r="X16">
        <v>7</v>
      </c>
      <c r="Y16">
        <v>7</v>
      </c>
      <c r="Z16">
        <v>7</v>
      </c>
      <c r="AA16">
        <v>8</v>
      </c>
      <c r="AB16">
        <v>4</v>
      </c>
      <c r="AC16">
        <v>6</v>
      </c>
      <c r="AD16">
        <v>2</v>
      </c>
      <c r="AE16">
        <v>1</v>
      </c>
      <c r="AF16">
        <v>6</v>
      </c>
      <c r="AG16">
        <v>6</v>
      </c>
      <c r="AH16">
        <v>4</v>
      </c>
      <c r="AI16">
        <v>4</v>
      </c>
      <c r="AJ16">
        <v>10</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c r="BI16">
        <v>4</v>
      </c>
      <c r="BJ16">
        <v>4</v>
      </c>
    </row>
    <row r="17" spans="2:62" x14ac:dyDescent="0.2">
      <c r="B17">
        <v>5</v>
      </c>
      <c r="C17">
        <v>6</v>
      </c>
      <c r="D17">
        <v>6</v>
      </c>
      <c r="E17">
        <v>8</v>
      </c>
      <c r="F17">
        <v>5</v>
      </c>
      <c r="G17">
        <v>8</v>
      </c>
      <c r="H17">
        <v>5</v>
      </c>
      <c r="I17">
        <v>4</v>
      </c>
      <c r="J17">
        <v>8</v>
      </c>
      <c r="K17">
        <v>4</v>
      </c>
      <c r="L17">
        <v>5</v>
      </c>
      <c r="M17">
        <v>5</v>
      </c>
      <c r="N17">
        <v>6</v>
      </c>
      <c r="O17">
        <v>5</v>
      </c>
      <c r="P17">
        <v>8</v>
      </c>
      <c r="Q17">
        <v>11</v>
      </c>
      <c r="R17">
        <v>6</v>
      </c>
      <c r="S17">
        <v>7</v>
      </c>
      <c r="T17">
        <v>9</v>
      </c>
      <c r="U17">
        <v>10</v>
      </c>
      <c r="V17">
        <v>4</v>
      </c>
      <c r="W17">
        <v>4</v>
      </c>
      <c r="X17">
        <v>6</v>
      </c>
      <c r="Y17">
        <v>5</v>
      </c>
      <c r="Z17">
        <v>7</v>
      </c>
      <c r="AA17">
        <v>9</v>
      </c>
      <c r="AB17">
        <v>5</v>
      </c>
      <c r="AC17">
        <v>7</v>
      </c>
      <c r="AD17">
        <v>3</v>
      </c>
      <c r="AE17">
        <v>5</v>
      </c>
      <c r="AF17">
        <v>3</v>
      </c>
      <c r="AG17">
        <v>5</v>
      </c>
      <c r="AH17">
        <v>4</v>
      </c>
      <c r="AI17">
        <v>6</v>
      </c>
      <c r="AJ17">
        <v>11</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c r="BI17">
        <v>4</v>
      </c>
      <c r="BJ17">
        <v>4</v>
      </c>
    </row>
    <row r="18" spans="2:62" x14ac:dyDescent="0.2">
      <c r="B18" t="s">
        <v>8</v>
      </c>
    </row>
    <row r="19" spans="2:62" x14ac:dyDescent="0.2">
      <c r="B19">
        <v>6.6E-3</v>
      </c>
      <c r="C19">
        <v>0.17</v>
      </c>
      <c r="D19">
        <v>0.30299999999999999</v>
      </c>
      <c r="E19">
        <v>0.44700000000000001</v>
      </c>
      <c r="F19">
        <v>0.58899999999999997</v>
      </c>
      <c r="G19">
        <v>0.72199999999999998</v>
      </c>
      <c r="H19">
        <v>0.84</v>
      </c>
      <c r="I19">
        <v>0.94199999999999995</v>
      </c>
      <c r="J19">
        <v>1.0289999999999999</v>
      </c>
      <c r="K19">
        <v>1.1020000000000001</v>
      </c>
      <c r="L19">
        <v>1.163</v>
      </c>
      <c r="M19">
        <v>1.212</v>
      </c>
      <c r="N19">
        <v>1.2529999999999999</v>
      </c>
      <c r="O19">
        <v>1.286</v>
      </c>
      <c r="P19">
        <v>1.3120000000000001</v>
      </c>
    </row>
    <row r="20" spans="2:62" x14ac:dyDescent="0.2">
      <c r="B20">
        <v>6.6E-3</v>
      </c>
      <c r="C20">
        <v>0.17</v>
      </c>
      <c r="D20">
        <v>0.30299999999999999</v>
      </c>
      <c r="E20">
        <v>0.44700000000000001</v>
      </c>
      <c r="F20">
        <v>0.58899999999999997</v>
      </c>
      <c r="G20">
        <v>0.72199999999999998</v>
      </c>
      <c r="H20">
        <v>0.84</v>
      </c>
      <c r="I20">
        <v>0.94199999999999995</v>
      </c>
      <c r="J20">
        <v>1.0289999999999999</v>
      </c>
      <c r="K20">
        <v>1.1020000000000001</v>
      </c>
      <c r="L20">
        <v>1.163</v>
      </c>
      <c r="M20">
        <v>1.212</v>
      </c>
      <c r="N20">
        <v>1.2529999999999999</v>
      </c>
      <c r="O20">
        <v>1.286</v>
      </c>
      <c r="P20">
        <v>1.3120000000000001</v>
      </c>
    </row>
    <row r="21" spans="2:62" x14ac:dyDescent="0.2">
      <c r="B21">
        <v>6.6E-3</v>
      </c>
      <c r="C21">
        <v>0.17</v>
      </c>
      <c r="D21">
        <v>0.30299999999999999</v>
      </c>
      <c r="E21">
        <v>0.44700000000000001</v>
      </c>
      <c r="F21">
        <v>0.58899999999999997</v>
      </c>
      <c r="G21">
        <v>0.72199999999999998</v>
      </c>
      <c r="H21">
        <v>0.84</v>
      </c>
      <c r="I21">
        <v>0.94199999999999995</v>
      </c>
      <c r="J21">
        <v>1.0289999999999999</v>
      </c>
      <c r="K21">
        <v>1.1020000000000001</v>
      </c>
      <c r="L21">
        <v>1.163</v>
      </c>
      <c r="M21">
        <v>1.212</v>
      </c>
      <c r="N21">
        <v>1.2529999999999999</v>
      </c>
      <c r="O21">
        <v>1.286</v>
      </c>
      <c r="P21">
        <v>1.3120000000000001</v>
      </c>
    </row>
    <row r="22" spans="2:62" x14ac:dyDescent="0.2">
      <c r="B22">
        <v>6.6E-3</v>
      </c>
      <c r="C22">
        <v>0.17</v>
      </c>
      <c r="D22">
        <v>0.30299999999999999</v>
      </c>
      <c r="E22">
        <v>0.44700000000000001</v>
      </c>
      <c r="F22">
        <v>0.58899999999999997</v>
      </c>
      <c r="G22">
        <v>0.72199999999999998</v>
      </c>
      <c r="H22">
        <v>0.84</v>
      </c>
      <c r="I22">
        <v>0.94199999999999995</v>
      </c>
      <c r="J22">
        <v>1.0289999999999999</v>
      </c>
      <c r="K22">
        <v>1.1020000000000001</v>
      </c>
      <c r="L22">
        <v>1.163</v>
      </c>
      <c r="M22">
        <v>1.212</v>
      </c>
      <c r="N22">
        <v>1.2529999999999999</v>
      </c>
      <c r="O22">
        <v>1.286</v>
      </c>
      <c r="P22">
        <v>1.3120000000000001</v>
      </c>
    </row>
    <row r="23" spans="2:62" x14ac:dyDescent="0.2">
      <c r="B23">
        <v>6.6E-3</v>
      </c>
      <c r="C23">
        <v>0.17</v>
      </c>
      <c r="D23">
        <v>0.30299999999999999</v>
      </c>
      <c r="E23">
        <v>0.44700000000000001</v>
      </c>
      <c r="F23">
        <v>0.58899999999999997</v>
      </c>
      <c r="G23">
        <v>0.72199999999999998</v>
      </c>
      <c r="H23">
        <v>0.84</v>
      </c>
      <c r="I23">
        <v>0.94199999999999995</v>
      </c>
      <c r="J23">
        <v>1.0289999999999999</v>
      </c>
      <c r="K23">
        <v>1.1020000000000001</v>
      </c>
      <c r="L23">
        <v>1.163</v>
      </c>
      <c r="M23">
        <v>1.212</v>
      </c>
      <c r="N23">
        <v>1.2529999999999999</v>
      </c>
      <c r="O23">
        <v>1.286</v>
      </c>
      <c r="P23">
        <v>1.3120000000000001</v>
      </c>
    </row>
    <row r="24" spans="2:62" x14ac:dyDescent="0.2">
      <c r="B24">
        <v>6.6E-3</v>
      </c>
      <c r="C24">
        <v>0.17</v>
      </c>
      <c r="D24">
        <v>0.30299999999999999</v>
      </c>
      <c r="E24">
        <v>0.44700000000000001</v>
      </c>
      <c r="F24">
        <v>0.58899999999999997</v>
      </c>
      <c r="G24">
        <v>0.72199999999999998</v>
      </c>
      <c r="H24">
        <v>0.84</v>
      </c>
      <c r="I24">
        <v>0.94199999999999995</v>
      </c>
      <c r="J24">
        <v>1.0289999999999999</v>
      </c>
      <c r="K24">
        <v>1.1020000000000001</v>
      </c>
      <c r="L24">
        <v>1.163</v>
      </c>
      <c r="M24">
        <v>1.212</v>
      </c>
      <c r="N24">
        <v>1.2529999999999999</v>
      </c>
      <c r="O24">
        <v>1.286</v>
      </c>
      <c r="P24">
        <v>1.3120000000000001</v>
      </c>
    </row>
    <row r="25" spans="2:62" x14ac:dyDescent="0.2">
      <c r="B25">
        <v>6.6E-3</v>
      </c>
      <c r="C25">
        <v>0.17</v>
      </c>
      <c r="D25">
        <v>0.30299999999999999</v>
      </c>
      <c r="E25">
        <v>0.44700000000000001</v>
      </c>
      <c r="F25">
        <v>0.58899999999999997</v>
      </c>
      <c r="G25">
        <v>0.72199999999999998</v>
      </c>
      <c r="H25">
        <v>0.84</v>
      </c>
      <c r="I25">
        <v>0.94199999999999995</v>
      </c>
      <c r="J25">
        <v>1.0289999999999999</v>
      </c>
      <c r="K25">
        <v>1.1020000000000001</v>
      </c>
      <c r="L25">
        <v>1.163</v>
      </c>
      <c r="M25">
        <v>1.212</v>
      </c>
      <c r="N25">
        <v>1.2529999999999999</v>
      </c>
      <c r="O25">
        <v>1.286</v>
      </c>
      <c r="P25">
        <v>1.3120000000000001</v>
      </c>
    </row>
    <row r="26" spans="2:62" x14ac:dyDescent="0.2">
      <c r="B26">
        <v>6.6E-3</v>
      </c>
      <c r="C26">
        <v>0.17</v>
      </c>
      <c r="D26">
        <v>0.30299999999999999</v>
      </c>
      <c r="E26">
        <v>0.44700000000000001</v>
      </c>
      <c r="F26">
        <v>0.58899999999999997</v>
      </c>
      <c r="G26">
        <v>0.72199999999999998</v>
      </c>
      <c r="H26">
        <v>0.84</v>
      </c>
      <c r="I26">
        <v>0.94199999999999995</v>
      </c>
      <c r="J26">
        <v>1.0289999999999999</v>
      </c>
      <c r="K26">
        <v>1.1020000000000001</v>
      </c>
      <c r="L26">
        <v>1.163</v>
      </c>
      <c r="M26">
        <v>1.212</v>
      </c>
      <c r="N26">
        <v>1.2529999999999999</v>
      </c>
      <c r="O26">
        <v>1.286</v>
      </c>
      <c r="P26">
        <v>1.3120000000000001</v>
      </c>
    </row>
    <row r="27" spans="2:62" x14ac:dyDescent="0.2">
      <c r="B27">
        <v>6.6E-3</v>
      </c>
      <c r="C27">
        <v>0.17</v>
      </c>
      <c r="D27">
        <v>0.30299999999999999</v>
      </c>
      <c r="E27">
        <v>0.44700000000000001</v>
      </c>
      <c r="F27">
        <v>0.58899999999999997</v>
      </c>
      <c r="G27">
        <v>0.72199999999999998</v>
      </c>
      <c r="H27">
        <v>0.84</v>
      </c>
      <c r="I27">
        <v>0.94199999999999995</v>
      </c>
      <c r="J27">
        <v>1.0289999999999999</v>
      </c>
      <c r="K27">
        <v>1.1020000000000001</v>
      </c>
      <c r="L27">
        <v>1.163</v>
      </c>
      <c r="M27">
        <v>1.212</v>
      </c>
      <c r="N27">
        <v>1.2529999999999999</v>
      </c>
      <c r="O27">
        <v>1.286</v>
      </c>
      <c r="P27">
        <v>1.3120000000000001</v>
      </c>
    </row>
    <row r="28" spans="2:62" x14ac:dyDescent="0.2">
      <c r="B28">
        <v>6.6E-3</v>
      </c>
      <c r="C28">
        <v>0.17</v>
      </c>
      <c r="D28">
        <v>0.30299999999999999</v>
      </c>
      <c r="E28">
        <v>0.44700000000000001</v>
      </c>
      <c r="F28">
        <v>0.58899999999999997</v>
      </c>
      <c r="G28">
        <v>0.72199999999999998</v>
      </c>
      <c r="H28">
        <v>0.84</v>
      </c>
      <c r="I28">
        <v>0.94199999999999995</v>
      </c>
      <c r="J28">
        <v>1.0289999999999999</v>
      </c>
      <c r="K28">
        <v>1.1020000000000001</v>
      </c>
      <c r="L28">
        <v>1.163</v>
      </c>
      <c r="M28">
        <v>1.212</v>
      </c>
      <c r="N28">
        <v>1.2529999999999999</v>
      </c>
      <c r="O28">
        <v>1.286</v>
      </c>
      <c r="P28">
        <v>1.3120000000000001</v>
      </c>
    </row>
    <row r="29" spans="2:62" x14ac:dyDescent="0.2">
      <c r="B29">
        <v>6.6E-3</v>
      </c>
      <c r="C29">
        <v>0.17</v>
      </c>
      <c r="D29">
        <v>0.30299999999999999</v>
      </c>
      <c r="E29">
        <v>0.44700000000000001</v>
      </c>
      <c r="F29">
        <v>0.58899999999999997</v>
      </c>
      <c r="G29">
        <v>0.72199999999999998</v>
      </c>
      <c r="H29">
        <v>0.84</v>
      </c>
      <c r="I29">
        <v>0.94199999999999995</v>
      </c>
      <c r="J29">
        <v>1.0289999999999999</v>
      </c>
      <c r="K29">
        <v>1.1020000000000001</v>
      </c>
      <c r="L29">
        <v>1.163</v>
      </c>
      <c r="M29">
        <v>1.212</v>
      </c>
      <c r="N29">
        <v>1.2529999999999999</v>
      </c>
      <c r="O29">
        <v>1.286</v>
      </c>
      <c r="P29">
        <v>1.3120000000000001</v>
      </c>
    </row>
    <row r="30" spans="2:62" x14ac:dyDescent="0.2">
      <c r="B30">
        <v>6.6E-3</v>
      </c>
      <c r="C30">
        <v>0.17</v>
      </c>
      <c r="D30">
        <v>0.30299999999999999</v>
      </c>
      <c r="E30">
        <v>0.44700000000000001</v>
      </c>
      <c r="F30">
        <v>0.58899999999999997</v>
      </c>
      <c r="G30">
        <v>0.72199999999999998</v>
      </c>
      <c r="H30">
        <v>0.84</v>
      </c>
      <c r="I30">
        <v>0.94199999999999995</v>
      </c>
      <c r="J30">
        <v>1.0289999999999999</v>
      </c>
      <c r="K30">
        <v>1.1020000000000001</v>
      </c>
      <c r="L30">
        <v>1.163</v>
      </c>
      <c r="M30">
        <v>1.212</v>
      </c>
      <c r="N30">
        <v>1.2529999999999999</v>
      </c>
      <c r="O30">
        <v>1.286</v>
      </c>
      <c r="P30">
        <v>1.3120000000000001</v>
      </c>
    </row>
    <row r="31" spans="2:62" x14ac:dyDescent="0.2">
      <c r="B31">
        <v>6.6E-3</v>
      </c>
      <c r="C31">
        <v>0.17</v>
      </c>
      <c r="D31">
        <v>0.30299999999999999</v>
      </c>
      <c r="E31">
        <v>0.44700000000000001</v>
      </c>
      <c r="F31">
        <v>0.58899999999999997</v>
      </c>
      <c r="G31">
        <v>0.72199999999999998</v>
      </c>
      <c r="H31">
        <v>0.84</v>
      </c>
      <c r="I31">
        <v>0.94199999999999995</v>
      </c>
      <c r="J31">
        <v>1.0289999999999999</v>
      </c>
      <c r="K31">
        <v>1.1020000000000001</v>
      </c>
      <c r="L31">
        <v>1.163</v>
      </c>
      <c r="M31">
        <v>1.212</v>
      </c>
      <c r="N31">
        <v>1.2529999999999999</v>
      </c>
      <c r="O31">
        <v>1.286</v>
      </c>
      <c r="P31">
        <v>1.3120000000000001</v>
      </c>
    </row>
    <row r="32" spans="2:62" x14ac:dyDescent="0.2">
      <c r="B32">
        <v>6.6E-3</v>
      </c>
      <c r="C32">
        <v>0.17</v>
      </c>
      <c r="D32">
        <v>0.30299999999999999</v>
      </c>
      <c r="E32">
        <v>0.44700000000000001</v>
      </c>
      <c r="F32">
        <v>0.58899999999999997</v>
      </c>
      <c r="G32">
        <v>0.72199999999999998</v>
      </c>
      <c r="H32">
        <v>0.84</v>
      </c>
      <c r="I32">
        <v>0.94199999999999995</v>
      </c>
      <c r="J32">
        <v>1.0289999999999999</v>
      </c>
      <c r="K32">
        <v>1.1020000000000001</v>
      </c>
      <c r="L32">
        <v>1.163</v>
      </c>
      <c r="M32">
        <v>1.212</v>
      </c>
      <c r="N32">
        <v>1.2529999999999999</v>
      </c>
      <c r="O32">
        <v>1.286</v>
      </c>
      <c r="P32">
        <v>1.3120000000000001</v>
      </c>
    </row>
    <row r="33" spans="2:16" x14ac:dyDescent="0.2">
      <c r="B33">
        <v>6.6E-3</v>
      </c>
      <c r="C33">
        <v>0.17</v>
      </c>
      <c r="D33">
        <v>0.30299999999999999</v>
      </c>
      <c r="E33">
        <v>0.44700000000000001</v>
      </c>
      <c r="F33">
        <v>0.58899999999999997</v>
      </c>
      <c r="G33">
        <v>0.72199999999999998</v>
      </c>
      <c r="H33">
        <v>0.84</v>
      </c>
      <c r="I33">
        <v>0.94199999999999995</v>
      </c>
      <c r="J33">
        <v>1.0289999999999999</v>
      </c>
      <c r="K33">
        <v>1.1020000000000001</v>
      </c>
      <c r="L33">
        <v>1.163</v>
      </c>
      <c r="M33">
        <v>1.212</v>
      </c>
      <c r="N33">
        <v>1.2529999999999999</v>
      </c>
      <c r="O33">
        <v>1.286</v>
      </c>
      <c r="P33">
        <v>1.3120000000000001</v>
      </c>
    </row>
    <row r="34" spans="2:16" x14ac:dyDescent="0.2">
      <c r="B34">
        <v>6.6E-3</v>
      </c>
      <c r="C34">
        <v>0.17</v>
      </c>
      <c r="D34">
        <v>0.30299999999999999</v>
      </c>
      <c r="E34">
        <v>0.44700000000000001</v>
      </c>
      <c r="F34">
        <v>0.58899999999999997</v>
      </c>
      <c r="G34">
        <v>0.72199999999999998</v>
      </c>
      <c r="H34">
        <v>0.84</v>
      </c>
      <c r="I34">
        <v>0.94199999999999995</v>
      </c>
      <c r="J34">
        <v>1.0289999999999999</v>
      </c>
      <c r="K34">
        <v>1.1020000000000001</v>
      </c>
      <c r="L34">
        <v>1.163</v>
      </c>
      <c r="M34">
        <v>1.212</v>
      </c>
      <c r="N34">
        <v>1.2529999999999999</v>
      </c>
      <c r="O34">
        <v>1.286</v>
      </c>
      <c r="P34">
        <v>1.3120000000000001</v>
      </c>
    </row>
    <row r="35" spans="2:16" x14ac:dyDescent="0.2">
      <c r="B35">
        <v>6.6E-3</v>
      </c>
      <c r="C35">
        <v>0.17</v>
      </c>
      <c r="D35">
        <v>0.30299999999999999</v>
      </c>
      <c r="E35">
        <v>0.44700000000000001</v>
      </c>
      <c r="F35">
        <v>0.58899999999999997</v>
      </c>
      <c r="G35">
        <v>0.72199999999999998</v>
      </c>
      <c r="H35">
        <v>0.84</v>
      </c>
      <c r="I35">
        <v>0.94199999999999995</v>
      </c>
      <c r="J35">
        <v>1.0289999999999999</v>
      </c>
      <c r="K35">
        <v>1.1020000000000001</v>
      </c>
      <c r="L35">
        <v>1.163</v>
      </c>
      <c r="M35">
        <v>1.212</v>
      </c>
      <c r="N35">
        <v>1.2529999999999999</v>
      </c>
      <c r="O35">
        <v>1.286</v>
      </c>
      <c r="P35">
        <v>1.3120000000000001</v>
      </c>
    </row>
    <row r="36" spans="2:16" x14ac:dyDescent="0.2">
      <c r="B36">
        <v>6.6E-3</v>
      </c>
      <c r="C36">
        <v>0.17</v>
      </c>
      <c r="D36">
        <v>0.30299999999999999</v>
      </c>
      <c r="E36">
        <v>0.44700000000000001</v>
      </c>
      <c r="F36">
        <v>0.58899999999999997</v>
      </c>
      <c r="G36">
        <v>0.72199999999999998</v>
      </c>
      <c r="H36">
        <v>0.84</v>
      </c>
      <c r="I36">
        <v>0.94199999999999995</v>
      </c>
      <c r="J36">
        <v>1.0289999999999999</v>
      </c>
      <c r="K36">
        <v>1.1020000000000001</v>
      </c>
      <c r="L36">
        <v>1.163</v>
      </c>
      <c r="M36">
        <v>1.212</v>
      </c>
      <c r="N36">
        <v>1.2529999999999999</v>
      </c>
      <c r="O36">
        <v>1.286</v>
      </c>
      <c r="P36">
        <v>1.3120000000000001</v>
      </c>
    </row>
    <row r="37" spans="2:16" x14ac:dyDescent="0.2">
      <c r="B37">
        <v>6.6E-3</v>
      </c>
      <c r="C37">
        <v>0.17</v>
      </c>
      <c r="D37">
        <v>0.30299999999999999</v>
      </c>
      <c r="E37">
        <v>0.44700000000000001</v>
      </c>
      <c r="F37">
        <v>0.58899999999999997</v>
      </c>
      <c r="G37">
        <v>0.72199999999999998</v>
      </c>
      <c r="H37">
        <v>0.84</v>
      </c>
      <c r="I37">
        <v>0.94199999999999995</v>
      </c>
      <c r="J37">
        <v>1.0289999999999999</v>
      </c>
      <c r="K37">
        <v>1.1020000000000001</v>
      </c>
      <c r="L37">
        <v>1.163</v>
      </c>
      <c r="M37">
        <v>1.212</v>
      </c>
      <c r="N37">
        <v>1.2529999999999999</v>
      </c>
      <c r="O37">
        <v>1.286</v>
      </c>
      <c r="P37">
        <v>1.3120000000000001</v>
      </c>
    </row>
    <row r="38" spans="2:16" x14ac:dyDescent="0.2">
      <c r="B38">
        <v>6.6E-3</v>
      </c>
      <c r="C38">
        <v>0.17</v>
      </c>
      <c r="D38">
        <v>0.30299999999999999</v>
      </c>
      <c r="E38">
        <v>0.44700000000000001</v>
      </c>
      <c r="F38">
        <v>0.58899999999999997</v>
      </c>
      <c r="G38">
        <v>0.72199999999999998</v>
      </c>
      <c r="H38">
        <v>0.84</v>
      </c>
      <c r="I38">
        <v>0.94199999999999995</v>
      </c>
      <c r="J38">
        <v>1.0289999999999999</v>
      </c>
      <c r="K38">
        <v>1.1020000000000001</v>
      </c>
      <c r="L38">
        <v>1.163</v>
      </c>
      <c r="M38">
        <v>1.212</v>
      </c>
      <c r="N38">
        <v>1.2529999999999999</v>
      </c>
      <c r="O38">
        <v>1.286</v>
      </c>
      <c r="P38">
        <v>1.3120000000000001</v>
      </c>
    </row>
    <row r="39" spans="2:16" x14ac:dyDescent="0.2">
      <c r="B39">
        <v>6.6E-3</v>
      </c>
      <c r="C39">
        <v>0.17</v>
      </c>
      <c r="D39">
        <v>0.30299999999999999</v>
      </c>
      <c r="E39">
        <v>0.44700000000000001</v>
      </c>
      <c r="F39">
        <v>0.58899999999999997</v>
      </c>
      <c r="G39">
        <v>0.72199999999999998</v>
      </c>
      <c r="H39">
        <v>0.84</v>
      </c>
      <c r="I39">
        <v>0.94199999999999995</v>
      </c>
      <c r="J39">
        <v>1.0289999999999999</v>
      </c>
      <c r="K39">
        <v>1.1020000000000001</v>
      </c>
      <c r="L39">
        <v>1.163</v>
      </c>
      <c r="M39">
        <v>1.212</v>
      </c>
      <c r="N39">
        <v>1.2529999999999999</v>
      </c>
      <c r="O39">
        <v>1.286</v>
      </c>
      <c r="P39">
        <v>1.3120000000000001</v>
      </c>
    </row>
    <row r="40" spans="2:16" x14ac:dyDescent="0.2">
      <c r="B40">
        <v>6.6E-3</v>
      </c>
      <c r="C40">
        <v>0.17</v>
      </c>
      <c r="D40">
        <v>0.30299999999999999</v>
      </c>
      <c r="E40">
        <v>0.44700000000000001</v>
      </c>
      <c r="F40">
        <v>0.58899999999999997</v>
      </c>
      <c r="G40">
        <v>0.72199999999999998</v>
      </c>
      <c r="H40">
        <v>0.84</v>
      </c>
      <c r="I40">
        <v>0.94199999999999995</v>
      </c>
      <c r="J40">
        <v>1.0289999999999999</v>
      </c>
      <c r="K40">
        <v>1.1020000000000001</v>
      </c>
      <c r="L40">
        <v>1.163</v>
      </c>
      <c r="M40">
        <v>1.212</v>
      </c>
      <c r="N40">
        <v>1.2529999999999999</v>
      </c>
      <c r="O40">
        <v>1.286</v>
      </c>
      <c r="P40">
        <v>1.3120000000000001</v>
      </c>
    </row>
    <row r="41" spans="2:16" x14ac:dyDescent="0.2">
      <c r="B41">
        <v>6.6E-3</v>
      </c>
      <c r="C41">
        <v>0.17</v>
      </c>
      <c r="D41">
        <v>0.30299999999999999</v>
      </c>
      <c r="E41">
        <v>0.44700000000000001</v>
      </c>
      <c r="F41">
        <v>0.58899999999999997</v>
      </c>
      <c r="G41">
        <v>0.72199999999999998</v>
      </c>
      <c r="H41">
        <v>0.84</v>
      </c>
      <c r="I41">
        <v>0.94199999999999995</v>
      </c>
      <c r="J41">
        <v>1.0289999999999999</v>
      </c>
      <c r="K41">
        <v>1.1020000000000001</v>
      </c>
      <c r="L41">
        <v>1.163</v>
      </c>
      <c r="M41">
        <v>1.212</v>
      </c>
      <c r="N41">
        <v>1.2529999999999999</v>
      </c>
      <c r="O41">
        <v>1.286</v>
      </c>
      <c r="P41">
        <v>1.3120000000000001</v>
      </c>
    </row>
    <row r="42" spans="2:16" x14ac:dyDescent="0.2">
      <c r="B42">
        <v>6.6E-3</v>
      </c>
      <c r="C42">
        <v>0.17</v>
      </c>
      <c r="D42">
        <v>0.30299999999999999</v>
      </c>
      <c r="E42">
        <v>0.44700000000000001</v>
      </c>
      <c r="F42">
        <v>0.58899999999999997</v>
      </c>
      <c r="G42">
        <v>0.72199999999999998</v>
      </c>
      <c r="H42">
        <v>0.84</v>
      </c>
      <c r="I42">
        <v>0.94199999999999995</v>
      </c>
      <c r="J42">
        <v>1.0289999999999999</v>
      </c>
      <c r="K42">
        <v>1.1020000000000001</v>
      </c>
      <c r="L42">
        <v>1.163</v>
      </c>
      <c r="M42">
        <v>1.212</v>
      </c>
      <c r="N42">
        <v>1.2529999999999999</v>
      </c>
      <c r="O42">
        <v>1.286</v>
      </c>
      <c r="P42">
        <v>1.3120000000000001</v>
      </c>
    </row>
    <row r="43" spans="2:16" x14ac:dyDescent="0.2">
      <c r="B43">
        <v>6.6E-3</v>
      </c>
      <c r="C43">
        <v>0.17</v>
      </c>
      <c r="D43">
        <v>0.30299999999999999</v>
      </c>
      <c r="E43">
        <v>0.44700000000000001</v>
      </c>
      <c r="F43">
        <v>0.58899999999999997</v>
      </c>
      <c r="G43">
        <v>0.72199999999999998</v>
      </c>
      <c r="H43">
        <v>0.84</v>
      </c>
      <c r="I43">
        <v>0.94199999999999995</v>
      </c>
      <c r="J43">
        <v>1.0289999999999999</v>
      </c>
      <c r="K43">
        <v>1.1020000000000001</v>
      </c>
      <c r="L43">
        <v>1.163</v>
      </c>
      <c r="M43">
        <v>1.212</v>
      </c>
      <c r="N43">
        <v>1.2529999999999999</v>
      </c>
      <c r="O43">
        <v>1.286</v>
      </c>
      <c r="P43">
        <v>1.3120000000000001</v>
      </c>
    </row>
    <row r="44" spans="2:16" x14ac:dyDescent="0.2">
      <c r="B44">
        <v>6.6E-3</v>
      </c>
      <c r="C44">
        <v>0.17</v>
      </c>
      <c r="D44">
        <v>0.30299999999999999</v>
      </c>
      <c r="E44">
        <v>0.44700000000000001</v>
      </c>
      <c r="F44">
        <v>0.58899999999999997</v>
      </c>
      <c r="G44">
        <v>0.72199999999999998</v>
      </c>
      <c r="H44">
        <v>0.84</v>
      </c>
      <c r="I44">
        <v>0.94199999999999995</v>
      </c>
      <c r="J44">
        <v>1.0289999999999999</v>
      </c>
      <c r="K44">
        <v>1.1020000000000001</v>
      </c>
      <c r="L44">
        <v>1.163</v>
      </c>
      <c r="M44">
        <v>1.212</v>
      </c>
      <c r="N44">
        <v>1.2529999999999999</v>
      </c>
      <c r="O44">
        <v>1.286</v>
      </c>
      <c r="P44">
        <v>1.3120000000000001</v>
      </c>
    </row>
    <row r="45" spans="2:16" x14ac:dyDescent="0.2">
      <c r="B45">
        <v>6.6E-3</v>
      </c>
      <c r="C45">
        <v>0.17</v>
      </c>
      <c r="D45">
        <v>0.30299999999999999</v>
      </c>
      <c r="E45">
        <v>0.44700000000000001</v>
      </c>
      <c r="F45">
        <v>0.58899999999999997</v>
      </c>
      <c r="G45">
        <v>0.72199999999999998</v>
      </c>
      <c r="H45">
        <v>0.84</v>
      </c>
      <c r="I45">
        <v>0.94199999999999995</v>
      </c>
      <c r="J45">
        <v>1.0289999999999999</v>
      </c>
      <c r="K45">
        <v>1.1020000000000001</v>
      </c>
      <c r="L45">
        <v>1.163</v>
      </c>
      <c r="M45">
        <v>1.212</v>
      </c>
      <c r="N45">
        <v>1.2529999999999999</v>
      </c>
      <c r="O45">
        <v>1.286</v>
      </c>
      <c r="P45">
        <v>1.3120000000000001</v>
      </c>
    </row>
    <row r="46" spans="2:16" x14ac:dyDescent="0.2">
      <c r="B46">
        <v>6.6E-3</v>
      </c>
      <c r="C46">
        <v>0.149613</v>
      </c>
      <c r="D46">
        <v>0.28452300000000003</v>
      </c>
      <c r="E46">
        <v>0.48249999999999998</v>
      </c>
      <c r="F46">
        <v>0.60438899999999995</v>
      </c>
      <c r="G46">
        <v>0.72995900000000002</v>
      </c>
      <c r="H46">
        <v>0.84377100000000005</v>
      </c>
      <c r="I46">
        <v>0.88239199999999995</v>
      </c>
      <c r="J46">
        <v>1.0201260000000001</v>
      </c>
      <c r="K46">
        <v>1.1225909999999999</v>
      </c>
      <c r="L46">
        <v>1.134854</v>
      </c>
      <c r="M46">
        <v>1.2371589999999999</v>
      </c>
      <c r="N46">
        <v>1.235978</v>
      </c>
      <c r="O46">
        <v>1.2956080000000001</v>
      </c>
      <c r="P46">
        <v>1.2467280000000001</v>
      </c>
    </row>
    <row r="47" spans="2:16" x14ac:dyDescent="0.2">
      <c r="B47">
        <v>6.6E-3</v>
      </c>
      <c r="C47">
        <v>0.179094</v>
      </c>
      <c r="D47">
        <v>0.39680300000000002</v>
      </c>
      <c r="E47">
        <v>0.46469700000000003</v>
      </c>
      <c r="F47">
        <v>0.65119000000000005</v>
      </c>
      <c r="G47">
        <v>0.71367599999999998</v>
      </c>
      <c r="H47">
        <v>0.81854300000000002</v>
      </c>
      <c r="I47">
        <v>0.98578699999999997</v>
      </c>
      <c r="J47">
        <v>1.0304199999999999</v>
      </c>
      <c r="K47">
        <v>1.199786</v>
      </c>
      <c r="L47">
        <v>1.236505</v>
      </c>
      <c r="M47">
        <v>1.2692399999999999</v>
      </c>
      <c r="N47">
        <v>1.1931400000000001</v>
      </c>
      <c r="O47">
        <v>1.3574299999999999</v>
      </c>
      <c r="P47">
        <v>1.431386</v>
      </c>
    </row>
    <row r="48" spans="2:16" x14ac:dyDescent="0.2">
      <c r="B48">
        <v>6.6E-3</v>
      </c>
      <c r="C48">
        <v>0.33130999999999999</v>
      </c>
      <c r="D48">
        <v>0.494728</v>
      </c>
      <c r="E48">
        <v>0.61207100000000003</v>
      </c>
      <c r="F48">
        <v>0.65181699999999998</v>
      </c>
      <c r="G48">
        <v>0.77485800000000005</v>
      </c>
      <c r="H48">
        <v>0.93447599999999997</v>
      </c>
      <c r="I48">
        <v>1.062411</v>
      </c>
      <c r="J48">
        <v>1.1977340000000001</v>
      </c>
      <c r="K48">
        <v>1.2404189999999999</v>
      </c>
      <c r="L48">
        <v>1.423335</v>
      </c>
      <c r="M48">
        <v>1.5398320000000001</v>
      </c>
      <c r="N48">
        <v>1.5757289999999999</v>
      </c>
      <c r="O48">
        <v>1.6087020000000001</v>
      </c>
      <c r="P48">
        <v>1.5076879999999999</v>
      </c>
    </row>
    <row r="49" spans="2:16" x14ac:dyDescent="0.2">
      <c r="B49">
        <v>6.6E-3</v>
      </c>
      <c r="C49">
        <v>0.23309099999999999</v>
      </c>
      <c r="D49">
        <v>0.40005000000000002</v>
      </c>
      <c r="E49">
        <v>0.65162600000000004</v>
      </c>
      <c r="F49">
        <v>0.73238999999999999</v>
      </c>
      <c r="G49">
        <v>0.74580299999999999</v>
      </c>
      <c r="H49">
        <v>0.72697299999999998</v>
      </c>
      <c r="I49">
        <v>1.0700460000000001</v>
      </c>
      <c r="J49">
        <v>1.379894</v>
      </c>
      <c r="K49">
        <v>1.3248629999999999</v>
      </c>
      <c r="L49">
        <v>1.3350200000000001</v>
      </c>
      <c r="M49">
        <v>1.4090069999999999</v>
      </c>
      <c r="N49">
        <v>1.3970400000000001</v>
      </c>
      <c r="O49">
        <v>1.277838</v>
      </c>
      <c r="P49">
        <v>1.369793</v>
      </c>
    </row>
    <row r="50" spans="2:16" x14ac:dyDescent="0.2">
      <c r="B50">
        <v>6.6E-3</v>
      </c>
      <c r="C50">
        <v>0.15348000000000001</v>
      </c>
      <c r="D50">
        <v>0.38561099999999998</v>
      </c>
      <c r="E50">
        <v>0.50526499999999996</v>
      </c>
      <c r="F50">
        <v>0.728522</v>
      </c>
      <c r="G50">
        <v>0.84324500000000002</v>
      </c>
      <c r="H50">
        <v>0.84729600000000005</v>
      </c>
      <c r="I50">
        <v>0.96959200000000001</v>
      </c>
      <c r="J50">
        <v>1.231843</v>
      </c>
      <c r="K50">
        <v>1.2963020000000001</v>
      </c>
      <c r="L50">
        <v>1.4006780000000001</v>
      </c>
      <c r="M50">
        <v>1.4019509999999999</v>
      </c>
      <c r="N50">
        <v>1.3922330000000001</v>
      </c>
      <c r="O50">
        <v>1.094948</v>
      </c>
      <c r="P50">
        <v>1.305507</v>
      </c>
    </row>
    <row r="51" spans="2:16" x14ac:dyDescent="0.2">
      <c r="B51">
        <v>6.6E-3</v>
      </c>
      <c r="C51">
        <v>0.29288900000000001</v>
      </c>
      <c r="D51">
        <v>0.33560600000000002</v>
      </c>
      <c r="E51">
        <v>0.44507400000000003</v>
      </c>
      <c r="F51">
        <v>0.68436399999999997</v>
      </c>
      <c r="G51">
        <v>0.79676499999999995</v>
      </c>
      <c r="H51">
        <v>0.94837899999999997</v>
      </c>
      <c r="I51">
        <v>0.95551900000000001</v>
      </c>
      <c r="J51">
        <v>1.025466</v>
      </c>
      <c r="K51">
        <v>1.0996980000000001</v>
      </c>
      <c r="L51">
        <v>1.418002</v>
      </c>
      <c r="M51">
        <v>1.489233</v>
      </c>
      <c r="N51">
        <v>1.520591</v>
      </c>
      <c r="O51">
        <v>1.7019010000000001</v>
      </c>
      <c r="P51">
        <v>1.601963</v>
      </c>
    </row>
    <row r="52" spans="2:16" x14ac:dyDescent="0.2">
      <c r="B52">
        <v>6.6E-3</v>
      </c>
      <c r="C52">
        <v>0.18718399999999999</v>
      </c>
      <c r="D52">
        <v>0.32671699999999998</v>
      </c>
      <c r="E52">
        <v>0.47687000000000002</v>
      </c>
      <c r="F52">
        <v>0.55904500000000001</v>
      </c>
      <c r="G52">
        <v>0.74756400000000001</v>
      </c>
      <c r="H52">
        <v>0.88880800000000004</v>
      </c>
      <c r="I52">
        <v>1.0740890000000001</v>
      </c>
      <c r="J52">
        <v>1.095178</v>
      </c>
      <c r="K52">
        <v>1.2356579999999999</v>
      </c>
      <c r="L52">
        <v>1.2867249999999999</v>
      </c>
      <c r="M52">
        <v>1.399735</v>
      </c>
      <c r="N52">
        <v>1.5612710000000001</v>
      </c>
      <c r="O52">
        <v>1.363416</v>
      </c>
      <c r="P52">
        <v>1.3377540000000001</v>
      </c>
    </row>
    <row r="53" spans="2:16" x14ac:dyDescent="0.2">
      <c r="B53">
        <v>6.6E-3</v>
      </c>
      <c r="C53">
        <v>0.19053600000000001</v>
      </c>
      <c r="D53">
        <v>0.36938399999999999</v>
      </c>
      <c r="E53">
        <v>0.58930199999999999</v>
      </c>
      <c r="F53">
        <v>0.61837600000000004</v>
      </c>
      <c r="G53">
        <v>0.62162799999999996</v>
      </c>
      <c r="H53">
        <v>0.77956800000000004</v>
      </c>
      <c r="I53">
        <v>1.0400160000000001</v>
      </c>
      <c r="J53">
        <v>1.169286</v>
      </c>
      <c r="K53">
        <v>1.2758579999999999</v>
      </c>
      <c r="L53">
        <v>1.3161309999999999</v>
      </c>
      <c r="M53">
        <v>1.427718</v>
      </c>
      <c r="N53">
        <v>1.4483630000000001</v>
      </c>
      <c r="O53">
        <v>1.436974</v>
      </c>
      <c r="P53">
        <v>1.5283709999999999</v>
      </c>
    </row>
    <row r="54" spans="2:16" x14ac:dyDescent="0.2">
      <c r="B54">
        <v>6.6E-3</v>
      </c>
      <c r="C54">
        <v>0.187805</v>
      </c>
      <c r="D54">
        <v>0.40445599999999998</v>
      </c>
      <c r="E54">
        <v>0.50701600000000002</v>
      </c>
      <c r="F54">
        <v>0.64339199999999996</v>
      </c>
      <c r="G54">
        <v>0.70229399999999997</v>
      </c>
      <c r="H54">
        <v>0.72863199999999995</v>
      </c>
      <c r="I54">
        <v>0.89366199999999996</v>
      </c>
      <c r="J54">
        <v>1.0377289999999999</v>
      </c>
      <c r="K54">
        <v>1.2527239999999999</v>
      </c>
      <c r="L54">
        <v>1.2239679999999999</v>
      </c>
      <c r="M54">
        <v>1.42242</v>
      </c>
      <c r="N54">
        <v>0.99487000000000003</v>
      </c>
      <c r="O54">
        <v>1.4022030000000001</v>
      </c>
      <c r="P54">
        <v>1.238645</v>
      </c>
    </row>
    <row r="55" spans="2:16" x14ac:dyDescent="0.2">
      <c r="B55">
        <v>6.6E-3</v>
      </c>
      <c r="C55">
        <v>0.21770800000000001</v>
      </c>
      <c r="D55">
        <v>0.35296699999999998</v>
      </c>
      <c r="E55">
        <v>0.52565700000000004</v>
      </c>
      <c r="F55">
        <v>0.62991600000000003</v>
      </c>
      <c r="G55">
        <v>0.731738</v>
      </c>
      <c r="H55">
        <v>0.77970799999999996</v>
      </c>
      <c r="I55">
        <v>0.80663799999999997</v>
      </c>
      <c r="J55">
        <v>0.96790500000000002</v>
      </c>
      <c r="K55">
        <v>1.0148429999999999</v>
      </c>
      <c r="L55">
        <v>1.2528760000000001</v>
      </c>
      <c r="M55">
        <v>1.2864180000000001</v>
      </c>
      <c r="N55">
        <v>1.1081369999999999</v>
      </c>
      <c r="O55">
        <v>1.083882</v>
      </c>
      <c r="P55">
        <v>1.358762</v>
      </c>
    </row>
    <row r="56" spans="2:16" x14ac:dyDescent="0.2">
      <c r="B56">
        <v>6.4999999999999997E-3</v>
      </c>
      <c r="C56">
        <v>0.22672500000000001</v>
      </c>
      <c r="D56">
        <v>0.32898699999999997</v>
      </c>
      <c r="E56">
        <v>0.504776</v>
      </c>
      <c r="F56">
        <v>0.66791199999999995</v>
      </c>
      <c r="G56">
        <v>0.78550399999999998</v>
      </c>
      <c r="H56">
        <v>0.96381399999999995</v>
      </c>
      <c r="I56">
        <v>0.98563999999999996</v>
      </c>
      <c r="J56">
        <v>1.061105</v>
      </c>
      <c r="K56">
        <v>1.132863</v>
      </c>
      <c r="L56">
        <v>1.319515</v>
      </c>
      <c r="M56">
        <v>1.411108</v>
      </c>
      <c r="N56">
        <v>1.568255</v>
      </c>
      <c r="O56">
        <v>1.4723919999999999</v>
      </c>
      <c r="P56">
        <v>1.4949209999999999</v>
      </c>
    </row>
    <row r="57" spans="2:16" x14ac:dyDescent="0.2">
      <c r="B57">
        <v>6.7000000000000002E-3</v>
      </c>
      <c r="C57">
        <v>0.231265</v>
      </c>
      <c r="D57">
        <v>0.38494299999999998</v>
      </c>
      <c r="E57">
        <v>0.509822</v>
      </c>
      <c r="F57">
        <v>0.66734300000000002</v>
      </c>
      <c r="G57">
        <v>0.798844</v>
      </c>
      <c r="H57">
        <v>0.91085199999999999</v>
      </c>
      <c r="I57">
        <v>1.025741</v>
      </c>
      <c r="J57">
        <v>1.1129640000000001</v>
      </c>
      <c r="K57">
        <v>1.101521</v>
      </c>
      <c r="L57">
        <v>1.283517</v>
      </c>
      <c r="M57">
        <v>1.4421729999999999</v>
      </c>
      <c r="N57">
        <v>1.578749</v>
      </c>
      <c r="O57">
        <v>1.289712</v>
      </c>
      <c r="P57">
        <v>1.5678030000000001</v>
      </c>
    </row>
    <row r="58" spans="2:16" x14ac:dyDescent="0.2">
      <c r="B58">
        <v>6.4999999999999997E-3</v>
      </c>
      <c r="C58">
        <v>0.27606999999999998</v>
      </c>
      <c r="D58">
        <v>0.48924099999999998</v>
      </c>
      <c r="E58">
        <v>0.54878400000000005</v>
      </c>
      <c r="F58">
        <v>0.65156099999999995</v>
      </c>
      <c r="G58">
        <v>0.76883900000000005</v>
      </c>
      <c r="H58">
        <v>0.86300399999999999</v>
      </c>
      <c r="I58">
        <v>0.95278399999999996</v>
      </c>
      <c r="J58">
        <v>1.08565</v>
      </c>
      <c r="K58">
        <v>1.2015290000000001</v>
      </c>
      <c r="L58">
        <v>1.2115769999999999</v>
      </c>
      <c r="M58">
        <v>1.194453</v>
      </c>
      <c r="N58">
        <v>1.374064</v>
      </c>
      <c r="O58">
        <v>1.354663</v>
      </c>
      <c r="P58">
        <v>1.7094419999999999</v>
      </c>
    </row>
    <row r="59" spans="2:16" x14ac:dyDescent="0.2">
      <c r="B59">
        <v>6.7000000000000002E-3</v>
      </c>
      <c r="C59">
        <v>0.13478499999999999</v>
      </c>
      <c r="D59">
        <v>0.40848600000000002</v>
      </c>
      <c r="E59">
        <v>0.58389100000000005</v>
      </c>
      <c r="F59">
        <v>0.64124700000000001</v>
      </c>
      <c r="G59">
        <v>0.75987199999999999</v>
      </c>
      <c r="H59">
        <v>0.88763199999999998</v>
      </c>
      <c r="I59">
        <v>0.924377</v>
      </c>
      <c r="J59">
        <v>1.0355049999999999</v>
      </c>
      <c r="K59">
        <v>1.1762520000000001</v>
      </c>
      <c r="L59">
        <v>1.1268119999999999</v>
      </c>
      <c r="M59">
        <v>1.166779</v>
      </c>
      <c r="N59">
        <v>1.3094969999999999</v>
      </c>
      <c r="O59">
        <v>1.2536240000000001</v>
      </c>
      <c r="P59">
        <v>1.184688</v>
      </c>
    </row>
    <row r="60" spans="2:16" x14ac:dyDescent="0.2">
      <c r="B60">
        <v>6.6E-3</v>
      </c>
      <c r="C60">
        <v>0.28263899999999997</v>
      </c>
      <c r="D60">
        <v>0.35106999999999999</v>
      </c>
      <c r="E60">
        <v>0.50822699999999998</v>
      </c>
      <c r="F60">
        <v>0.64109099999999997</v>
      </c>
      <c r="G60">
        <v>0.74170999999999998</v>
      </c>
      <c r="H60">
        <v>0.88013399999999997</v>
      </c>
      <c r="I60">
        <v>0.959955</v>
      </c>
      <c r="J60">
        <v>1.0616909999999999</v>
      </c>
      <c r="K60">
        <v>1.0742039999999999</v>
      </c>
      <c r="L60">
        <v>1.21628</v>
      </c>
      <c r="M60">
        <v>1.2679849999999999</v>
      </c>
      <c r="N60">
        <v>1.2174879999999999</v>
      </c>
      <c r="O60">
        <v>1.0755049999999999</v>
      </c>
      <c r="P60">
        <v>1.342282</v>
      </c>
    </row>
    <row r="61" spans="2:16" x14ac:dyDescent="0.2">
      <c r="B61">
        <v>6.6E-3</v>
      </c>
      <c r="C61">
        <v>0.174065</v>
      </c>
      <c r="D61">
        <v>0.30552200000000002</v>
      </c>
      <c r="E61">
        <v>0.44837700000000003</v>
      </c>
      <c r="F61">
        <v>0.60639900000000002</v>
      </c>
      <c r="G61">
        <v>0.75533099999999997</v>
      </c>
      <c r="H61">
        <v>0.85766500000000001</v>
      </c>
      <c r="I61">
        <v>0.95863100000000001</v>
      </c>
      <c r="J61">
        <v>1.0603100000000001</v>
      </c>
      <c r="K61">
        <v>1.116617</v>
      </c>
      <c r="L61">
        <v>1.1901029999999999</v>
      </c>
      <c r="M61">
        <v>1.2182010000000001</v>
      </c>
      <c r="N61">
        <v>1.279677</v>
      </c>
      <c r="O61">
        <v>1.384137</v>
      </c>
      <c r="P61">
        <v>1.4170780000000001</v>
      </c>
    </row>
    <row r="62" spans="2:16" x14ac:dyDescent="0.2">
      <c r="B62">
        <v>6.6333329999999999E-3</v>
      </c>
      <c r="C62">
        <v>0.154728</v>
      </c>
      <c r="D62">
        <v>0.34900599999999998</v>
      </c>
      <c r="E62">
        <v>0.50743300000000002</v>
      </c>
      <c r="F62">
        <v>0.64234500000000005</v>
      </c>
      <c r="G62">
        <v>0.78293400000000002</v>
      </c>
      <c r="H62">
        <v>0.960534</v>
      </c>
      <c r="I62">
        <v>1.1003240000000001</v>
      </c>
      <c r="J62">
        <v>1.192178</v>
      </c>
      <c r="K62">
        <v>1.266491</v>
      </c>
      <c r="L62">
        <v>1.3268930000000001</v>
      </c>
      <c r="M62">
        <v>1.4877260000000001</v>
      </c>
      <c r="N62">
        <v>1.4437880000000001</v>
      </c>
      <c r="O62">
        <v>1.7285440000000001</v>
      </c>
      <c r="P62">
        <v>1.511781</v>
      </c>
    </row>
    <row r="63" spans="2:16" x14ac:dyDescent="0.2">
      <c r="B63">
        <v>6.6111110000000002E-3</v>
      </c>
      <c r="C63">
        <v>0.2076326</v>
      </c>
      <c r="D63">
        <v>0.32822200000000001</v>
      </c>
      <c r="E63">
        <v>0.51871400000000001</v>
      </c>
      <c r="F63">
        <v>0.65268899999999996</v>
      </c>
      <c r="G63">
        <v>0.77393699999999999</v>
      </c>
      <c r="H63">
        <v>0.89990499999999995</v>
      </c>
      <c r="I63">
        <v>1.054227</v>
      </c>
      <c r="J63">
        <v>1.1165659999999999</v>
      </c>
      <c r="K63">
        <v>1.288861</v>
      </c>
      <c r="L63">
        <v>1.452421</v>
      </c>
      <c r="M63">
        <v>1.5277050000000001</v>
      </c>
      <c r="N63">
        <v>1.56043</v>
      </c>
      <c r="O63">
        <v>1.8735520000000001</v>
      </c>
      <c r="P63">
        <v>1.6446879999999999</v>
      </c>
    </row>
    <row r="64" spans="2:16" x14ac:dyDescent="0.2">
      <c r="B64">
        <v>6.6044440000000001E-3</v>
      </c>
      <c r="C64">
        <v>0.135797</v>
      </c>
      <c r="D64">
        <v>0.33960600000000002</v>
      </c>
      <c r="E64">
        <v>0.52512999999999999</v>
      </c>
      <c r="F64">
        <v>0.70476799999999995</v>
      </c>
      <c r="G64">
        <v>0.87862600000000002</v>
      </c>
      <c r="H64">
        <v>0.999417</v>
      </c>
      <c r="I64">
        <v>1.1304920000000001</v>
      </c>
      <c r="J64">
        <v>1.3982870000000001</v>
      </c>
      <c r="K64">
        <v>1.479225</v>
      </c>
      <c r="L64">
        <v>1.5578810000000001</v>
      </c>
      <c r="M64">
        <v>1.576152</v>
      </c>
      <c r="N64">
        <v>1.8069390000000001</v>
      </c>
      <c r="O64">
        <v>2.0257019999999999</v>
      </c>
      <c r="P64">
        <v>2.2220789999999999</v>
      </c>
    </row>
    <row r="65" spans="2:16" x14ac:dyDescent="0.2">
      <c r="B65">
        <v>4.9767699999999998E-2</v>
      </c>
      <c r="C65">
        <v>0.17485600000000001</v>
      </c>
      <c r="D65">
        <v>0.38077299999999997</v>
      </c>
      <c r="E65">
        <v>0.48998900000000001</v>
      </c>
      <c r="F65">
        <v>0.66752999999999996</v>
      </c>
      <c r="G65">
        <v>0.90904700000000005</v>
      </c>
      <c r="H65">
        <v>1.1142650000000001</v>
      </c>
      <c r="I65">
        <v>1.276856</v>
      </c>
      <c r="J65">
        <v>1.3736079999999999</v>
      </c>
      <c r="K65">
        <v>1.5857559999999999</v>
      </c>
      <c r="L65">
        <v>1.679019</v>
      </c>
      <c r="M65">
        <v>1.9234530000000001</v>
      </c>
      <c r="N65">
        <v>1.9479040000000001</v>
      </c>
      <c r="O65">
        <v>2.0770390000000001</v>
      </c>
      <c r="P65">
        <v>2.2711610000000002</v>
      </c>
    </row>
    <row r="66" spans="2:16" x14ac:dyDescent="0.2">
      <c r="B66">
        <v>3.0688206999999999E-2</v>
      </c>
      <c r="C66">
        <v>0.204737208</v>
      </c>
      <c r="D66">
        <v>0.29030600000000001</v>
      </c>
      <c r="E66">
        <v>0.50827699999999998</v>
      </c>
      <c r="F66">
        <v>0.66555200000000003</v>
      </c>
      <c r="G66">
        <v>0.80944099999999997</v>
      </c>
      <c r="H66">
        <v>0.97145899999999996</v>
      </c>
      <c r="I66">
        <v>1.223768</v>
      </c>
      <c r="J66">
        <v>1.3421730000000001</v>
      </c>
      <c r="K66">
        <v>1.513015</v>
      </c>
      <c r="L66">
        <v>1.5817399999999999</v>
      </c>
      <c r="M66">
        <v>1.6233379999999999</v>
      </c>
      <c r="N66">
        <v>2.0795689999999998</v>
      </c>
      <c r="O66">
        <v>1.7072309999999999</v>
      </c>
      <c r="P66">
        <v>2.2422369999999998</v>
      </c>
    </row>
    <row r="67" spans="2:16" x14ac:dyDescent="0.2">
      <c r="B67">
        <v>2.9020117000000002E-2</v>
      </c>
      <c r="C67">
        <v>0.14197272499999999</v>
      </c>
      <c r="D67">
        <v>0.27060800000000002</v>
      </c>
      <c r="E67">
        <v>0.40947600000000001</v>
      </c>
      <c r="F67">
        <v>0.64321300000000003</v>
      </c>
      <c r="G67">
        <v>0.82413800000000004</v>
      </c>
      <c r="H67">
        <v>0.97392000000000001</v>
      </c>
      <c r="I67">
        <v>1.169735</v>
      </c>
      <c r="J67">
        <v>1.302818</v>
      </c>
      <c r="K67">
        <v>1.5094510000000001</v>
      </c>
      <c r="L67">
        <v>1.5988690000000001</v>
      </c>
      <c r="M67">
        <v>1.6366750000000001</v>
      </c>
      <c r="N67">
        <v>1.680013</v>
      </c>
      <c r="O67">
        <v>2.0311520000000001</v>
      </c>
      <c r="P67">
        <v>2.0621330000000002</v>
      </c>
    </row>
    <row r="68" spans="2:16" x14ac:dyDescent="0.2">
      <c r="B68">
        <v>9.4955100000000001E-2</v>
      </c>
      <c r="C68">
        <v>0.1439405</v>
      </c>
      <c r="D68">
        <v>0.28956500000000002</v>
      </c>
      <c r="E68">
        <v>0.44213799999999998</v>
      </c>
      <c r="F68">
        <v>0.56446200000000002</v>
      </c>
      <c r="G68">
        <v>0.78057200000000004</v>
      </c>
      <c r="H68">
        <v>1.1301079999999999</v>
      </c>
      <c r="I68">
        <v>1.2814719999999999</v>
      </c>
      <c r="J68">
        <v>1.439581</v>
      </c>
      <c r="K68">
        <v>1.684725</v>
      </c>
      <c r="L68">
        <v>1.8273520000000001</v>
      </c>
      <c r="M68">
        <v>1.7857339999999999</v>
      </c>
      <c r="N68">
        <v>1.9339040000000001</v>
      </c>
      <c r="O68">
        <v>2.1590829999999999</v>
      </c>
      <c r="P68">
        <v>2.1821830000000002</v>
      </c>
    </row>
    <row r="69" spans="2:16" x14ac:dyDescent="0.2">
      <c r="B69">
        <v>1.4342608999999999E-2</v>
      </c>
      <c r="C69">
        <v>0.19287000000000001</v>
      </c>
      <c r="D69">
        <v>0.31882100000000002</v>
      </c>
      <c r="E69">
        <v>0.45413199999999998</v>
      </c>
      <c r="F69">
        <v>0.61687899999999996</v>
      </c>
      <c r="G69">
        <v>0.75125600000000003</v>
      </c>
      <c r="H69">
        <v>0.89385599999999998</v>
      </c>
      <c r="I69">
        <v>1.156345</v>
      </c>
      <c r="J69">
        <v>1.306716</v>
      </c>
      <c r="K69">
        <v>1.386355</v>
      </c>
      <c r="L69">
        <v>1.669198</v>
      </c>
      <c r="M69">
        <v>1.7733479999999999</v>
      </c>
      <c r="N69">
        <v>1.704242</v>
      </c>
      <c r="O69">
        <v>1.623389</v>
      </c>
      <c r="P69">
        <v>2.2152340000000001</v>
      </c>
    </row>
    <row r="70" spans="2:16" x14ac:dyDescent="0.2">
      <c r="B70">
        <v>2.5182262E-2</v>
      </c>
      <c r="C70">
        <v>0.18132380300000001</v>
      </c>
      <c r="D70">
        <v>0.40399499999999999</v>
      </c>
      <c r="E70">
        <v>0.46221099999999998</v>
      </c>
      <c r="F70">
        <v>0.57057999999999998</v>
      </c>
      <c r="G70">
        <v>0.69025599999999998</v>
      </c>
      <c r="H70">
        <v>0.78607400000000005</v>
      </c>
      <c r="I70">
        <v>0.88670800000000005</v>
      </c>
      <c r="J70">
        <v>1.1407210000000001</v>
      </c>
      <c r="K70">
        <v>1.1952959999999999</v>
      </c>
      <c r="L70">
        <v>1.3154060000000001</v>
      </c>
      <c r="M70">
        <v>1.670917</v>
      </c>
      <c r="N70">
        <v>1.389203</v>
      </c>
      <c r="O70">
        <v>1.5591619999999999</v>
      </c>
      <c r="P70">
        <v>2.6000770000000002</v>
      </c>
    </row>
    <row r="71" spans="2:16" x14ac:dyDescent="0.2">
      <c r="B71">
        <v>2.5182262E-2</v>
      </c>
      <c r="C71">
        <v>0.18132380300000001</v>
      </c>
      <c r="D71">
        <v>0.40855900000000001</v>
      </c>
      <c r="E71">
        <v>0.53111699999999995</v>
      </c>
      <c r="F71">
        <v>0.55702499999999999</v>
      </c>
      <c r="G71">
        <v>0.64597199999999999</v>
      </c>
      <c r="H71">
        <v>0.73182100000000005</v>
      </c>
      <c r="I71">
        <v>0.799736</v>
      </c>
      <c r="J71">
        <v>0.94050500000000004</v>
      </c>
      <c r="K71">
        <v>1.0434110000000001</v>
      </c>
      <c r="L71">
        <v>1.1779869999999999</v>
      </c>
      <c r="M71">
        <v>0.78776000000000002</v>
      </c>
      <c r="N71">
        <v>0.91117800000000004</v>
      </c>
      <c r="O71">
        <v>1.6839230000000001</v>
      </c>
      <c r="P71">
        <v>1.42947</v>
      </c>
    </row>
    <row r="72" spans="2:16" x14ac:dyDescent="0.2">
      <c r="B72">
        <v>2.5182262E-2</v>
      </c>
      <c r="C72">
        <v>0.19111972099999999</v>
      </c>
      <c r="D72">
        <v>0.40830699999999998</v>
      </c>
      <c r="E72">
        <v>0.49851600000000001</v>
      </c>
      <c r="F72">
        <v>0.65028699999999995</v>
      </c>
      <c r="G72">
        <v>0.69372100000000003</v>
      </c>
      <c r="H72">
        <v>0.75185199999999996</v>
      </c>
      <c r="I72">
        <v>0.827407</v>
      </c>
      <c r="J72">
        <v>0.89392199999999999</v>
      </c>
      <c r="K72">
        <v>0.91115500000000005</v>
      </c>
      <c r="L72">
        <v>1.027504</v>
      </c>
      <c r="M72">
        <v>0.96131800000000001</v>
      </c>
      <c r="N72">
        <v>1.359364</v>
      </c>
      <c r="O72">
        <v>0.70114799999999999</v>
      </c>
      <c r="P72">
        <v>1.5399970000000001</v>
      </c>
    </row>
    <row r="73" spans="2:16" x14ac:dyDescent="0.2">
      <c r="B73">
        <v>2.5182262E-2</v>
      </c>
      <c r="C73">
        <v>0.18622176200000001</v>
      </c>
      <c r="D73">
        <v>0.377245</v>
      </c>
      <c r="E73">
        <v>0.46675299999999997</v>
      </c>
      <c r="F73">
        <v>0.57318199999999997</v>
      </c>
      <c r="G73">
        <v>0.73370000000000002</v>
      </c>
      <c r="H73">
        <v>0.808813</v>
      </c>
      <c r="I73">
        <v>0.85316999999999998</v>
      </c>
      <c r="J73">
        <v>0.90635100000000002</v>
      </c>
      <c r="K73">
        <v>1.0388269999999999</v>
      </c>
      <c r="L73">
        <v>0.93559400000000004</v>
      </c>
      <c r="M73">
        <v>1.1100719999999999</v>
      </c>
      <c r="N73">
        <v>1.359364</v>
      </c>
      <c r="O73">
        <v>1.4022030000000001</v>
      </c>
      <c r="P73">
        <v>1.1296409999999999</v>
      </c>
    </row>
    <row r="74" spans="2:16" x14ac:dyDescent="0.2">
      <c r="B74">
        <v>2.5182262E-2</v>
      </c>
      <c r="C74">
        <v>0.18622176200000001</v>
      </c>
      <c r="D74">
        <v>0.42191200000000001</v>
      </c>
      <c r="E74">
        <v>0.56524700000000005</v>
      </c>
      <c r="F74">
        <v>0.64322500000000005</v>
      </c>
      <c r="G74">
        <v>0.75939800000000002</v>
      </c>
      <c r="H74">
        <v>0.87848300000000001</v>
      </c>
      <c r="I74">
        <v>0.96227600000000002</v>
      </c>
      <c r="J74">
        <v>1.0067980000000001</v>
      </c>
      <c r="K74">
        <v>1.064675</v>
      </c>
      <c r="L74">
        <v>1.034985</v>
      </c>
      <c r="M74">
        <v>1.1818919999999999</v>
      </c>
      <c r="N74">
        <v>0.75417299999999998</v>
      </c>
      <c r="O74">
        <v>1.4022030000000001</v>
      </c>
      <c r="P74">
        <v>1.5399970000000001</v>
      </c>
    </row>
    <row r="75" spans="2:16" x14ac:dyDescent="0.2">
      <c r="B75">
        <v>2.5182262E-2</v>
      </c>
      <c r="C75">
        <v>0.18622176200000001</v>
      </c>
      <c r="D75">
        <v>0.38727899999999998</v>
      </c>
      <c r="E75">
        <v>0.52157900000000001</v>
      </c>
      <c r="F75">
        <v>0.63198299999999996</v>
      </c>
      <c r="G75">
        <v>0.71557199999999999</v>
      </c>
      <c r="H75">
        <v>0.799211</v>
      </c>
      <c r="I75">
        <v>0.95508099999999996</v>
      </c>
      <c r="J75">
        <v>1.005954</v>
      </c>
      <c r="K75">
        <v>1.0402579999999999</v>
      </c>
      <c r="L75">
        <v>1.189235</v>
      </c>
      <c r="M75">
        <v>1.072451</v>
      </c>
      <c r="N75">
        <v>1.208377</v>
      </c>
      <c r="O75">
        <v>0.96073900000000001</v>
      </c>
      <c r="P75">
        <v>1.5399970000000001</v>
      </c>
    </row>
    <row r="76" spans="2:16" x14ac:dyDescent="0.2">
      <c r="B76">
        <v>2.5182262E-2</v>
      </c>
      <c r="C76">
        <v>0.18622176200000001</v>
      </c>
      <c r="D76">
        <v>0.393063</v>
      </c>
      <c r="E76">
        <v>0.479856</v>
      </c>
      <c r="F76">
        <v>0.57371499999999997</v>
      </c>
      <c r="G76">
        <v>0.68978200000000001</v>
      </c>
      <c r="H76">
        <v>0.75687300000000002</v>
      </c>
      <c r="I76">
        <v>0.84131599999999995</v>
      </c>
      <c r="J76">
        <v>1.0106580000000001</v>
      </c>
      <c r="K76">
        <v>1.1298109999999999</v>
      </c>
      <c r="L76">
        <v>1.1597489999999999</v>
      </c>
      <c r="M76">
        <v>1.2693300000000001</v>
      </c>
      <c r="N76">
        <v>1.2144999999999999</v>
      </c>
      <c r="O76">
        <v>1.4022030000000001</v>
      </c>
      <c r="P76">
        <v>1.5399970000000001</v>
      </c>
    </row>
    <row r="77" spans="2:16" x14ac:dyDescent="0.2">
      <c r="B77">
        <v>2.5182262E-2</v>
      </c>
      <c r="C77">
        <v>0.18622176200000001</v>
      </c>
      <c r="D77">
        <v>0.440141</v>
      </c>
      <c r="E77">
        <v>0.50607000000000002</v>
      </c>
      <c r="F77">
        <v>0.57391300000000001</v>
      </c>
      <c r="G77">
        <v>0.72403399999999996</v>
      </c>
      <c r="H77">
        <v>0.83748400000000001</v>
      </c>
      <c r="I77">
        <v>0.88325900000000002</v>
      </c>
      <c r="J77">
        <v>0.98369700000000004</v>
      </c>
      <c r="K77">
        <v>0.97232600000000002</v>
      </c>
      <c r="L77">
        <v>1.271469</v>
      </c>
      <c r="M77">
        <v>1.0442340000000001</v>
      </c>
      <c r="N77">
        <v>1.2345349999999999</v>
      </c>
      <c r="O77">
        <v>0.91030800000000001</v>
      </c>
      <c r="P77">
        <v>1.5399970000000001</v>
      </c>
    </row>
    <row r="78" spans="2:16" x14ac:dyDescent="0.2">
      <c r="B78">
        <v>2.5182262E-2</v>
      </c>
      <c r="C78">
        <v>0.18622176200000001</v>
      </c>
      <c r="D78">
        <v>0.49244700000000002</v>
      </c>
      <c r="E78">
        <v>0.48164200000000001</v>
      </c>
      <c r="F78">
        <v>0.52442100000000003</v>
      </c>
      <c r="G78">
        <v>0.605881</v>
      </c>
      <c r="H78">
        <v>0.79622999999999999</v>
      </c>
      <c r="I78">
        <v>0.91978199999999999</v>
      </c>
      <c r="J78">
        <v>0.95535499999999995</v>
      </c>
      <c r="K78">
        <v>1.045836</v>
      </c>
      <c r="L78">
        <v>1.0881769999999999</v>
      </c>
      <c r="M78">
        <v>1.267231</v>
      </c>
      <c r="N78">
        <v>1.3546560000000001</v>
      </c>
      <c r="O78">
        <v>1.325267</v>
      </c>
      <c r="P78">
        <v>0.95058200000000004</v>
      </c>
    </row>
    <row r="79" spans="2:16" x14ac:dyDescent="0.2">
      <c r="B79">
        <v>2.5182262E-2</v>
      </c>
      <c r="C79">
        <v>0.18622176200000001</v>
      </c>
      <c r="D79">
        <v>0.40133600000000003</v>
      </c>
      <c r="E79">
        <v>0.66737299999999999</v>
      </c>
      <c r="F79">
        <v>0.66250399999999998</v>
      </c>
      <c r="G79">
        <v>0.71954600000000002</v>
      </c>
      <c r="H79">
        <v>0.79072900000000002</v>
      </c>
      <c r="I79">
        <v>0.90506799999999998</v>
      </c>
      <c r="J79">
        <v>1.009136</v>
      </c>
      <c r="K79">
        <v>1.061077</v>
      </c>
      <c r="L79">
        <v>1.138288</v>
      </c>
      <c r="M79">
        <v>1.257056</v>
      </c>
      <c r="N79">
        <v>1.2673430000000001</v>
      </c>
      <c r="O79">
        <v>1.2899130000000001</v>
      </c>
      <c r="P79">
        <v>1.3682540000000001</v>
      </c>
    </row>
    <row r="80" spans="2:16" x14ac:dyDescent="0.2">
      <c r="B80" t="s">
        <v>9</v>
      </c>
    </row>
    <row r="81" spans="2:16" x14ac:dyDescent="0.2">
      <c r="B81">
        <v>8.4881665999999995E-2</v>
      </c>
      <c r="C81">
        <v>0.195868126</v>
      </c>
      <c r="D81">
        <v>0.31376278800000001</v>
      </c>
      <c r="E81">
        <v>0.459295544</v>
      </c>
      <c r="F81">
        <v>0.58862360199999997</v>
      </c>
      <c r="G81">
        <v>0.69781833100000001</v>
      </c>
      <c r="H81">
        <v>0.79679873899999998</v>
      </c>
      <c r="I81">
        <v>0.91486126300000004</v>
      </c>
      <c r="J81">
        <v>1.0569570109999999</v>
      </c>
      <c r="K81">
        <v>1.147231476</v>
      </c>
      <c r="L81">
        <v>1.290106451</v>
      </c>
      <c r="M81">
        <v>1.3879178889999999</v>
      </c>
      <c r="N81">
        <v>1.4316667599999999</v>
      </c>
      <c r="O81">
        <v>1.4070027190000001</v>
      </c>
      <c r="P81">
        <v>1.522866931</v>
      </c>
    </row>
    <row r="82" spans="2:16" x14ac:dyDescent="0.2">
      <c r="B82">
        <v>8.4881665999999995E-2</v>
      </c>
      <c r="C82">
        <v>0.195868126</v>
      </c>
      <c r="D82">
        <v>0.31376278800000001</v>
      </c>
      <c r="E82">
        <v>0.459295544</v>
      </c>
      <c r="F82">
        <v>0.58862360199999997</v>
      </c>
      <c r="G82">
        <v>0.69781833100000001</v>
      </c>
      <c r="H82">
        <v>0.79679873899999998</v>
      </c>
      <c r="I82">
        <v>0.91486126300000004</v>
      </c>
      <c r="J82">
        <v>1.0569570109999999</v>
      </c>
      <c r="K82">
        <v>1.147231476</v>
      </c>
      <c r="L82">
        <v>1.290106451</v>
      </c>
      <c r="M82">
        <v>1.3879178889999999</v>
      </c>
      <c r="N82">
        <v>1.4316667599999999</v>
      </c>
      <c r="O82">
        <v>1.4070027190000001</v>
      </c>
      <c r="P82">
        <v>1.522866931</v>
      </c>
    </row>
    <row r="83" spans="2:16" x14ac:dyDescent="0.2">
      <c r="B83">
        <v>8.4881665999999995E-2</v>
      </c>
      <c r="C83">
        <v>0.195868126</v>
      </c>
      <c r="D83">
        <v>0.31376278800000001</v>
      </c>
      <c r="E83">
        <v>0.459295544</v>
      </c>
      <c r="F83">
        <v>0.58862360199999997</v>
      </c>
      <c r="G83">
        <v>0.69781833100000001</v>
      </c>
      <c r="H83">
        <v>0.79679873899999998</v>
      </c>
      <c r="I83">
        <v>0.91486126300000004</v>
      </c>
      <c r="J83">
        <v>1.0569570109999999</v>
      </c>
      <c r="K83">
        <v>1.147231476</v>
      </c>
      <c r="L83">
        <v>1.290106451</v>
      </c>
      <c r="M83">
        <v>1.3879178889999999</v>
      </c>
      <c r="N83">
        <v>1.4316667599999999</v>
      </c>
      <c r="O83">
        <v>1.4070027190000001</v>
      </c>
      <c r="P83">
        <v>1.522866931</v>
      </c>
    </row>
    <row r="84" spans="2:16" x14ac:dyDescent="0.2">
      <c r="B84">
        <v>8.4881665999999995E-2</v>
      </c>
      <c r="C84">
        <v>0.195868126</v>
      </c>
      <c r="D84">
        <v>0.31376278800000001</v>
      </c>
      <c r="E84">
        <v>0.459295544</v>
      </c>
      <c r="F84">
        <v>0.58862360199999997</v>
      </c>
      <c r="G84">
        <v>0.69781833100000001</v>
      </c>
      <c r="H84">
        <v>0.79679873899999998</v>
      </c>
      <c r="I84">
        <v>0.91486126300000004</v>
      </c>
      <c r="J84">
        <v>1.0569570109999999</v>
      </c>
      <c r="K84">
        <v>1.147231476</v>
      </c>
      <c r="L84">
        <v>1.290106451</v>
      </c>
      <c r="M84">
        <v>1.3879178889999999</v>
      </c>
      <c r="N84">
        <v>1.4316667599999999</v>
      </c>
      <c r="O84">
        <v>1.4070027190000001</v>
      </c>
      <c r="P84">
        <v>1.522866931</v>
      </c>
    </row>
    <row r="85" spans="2:16" x14ac:dyDescent="0.2">
      <c r="B85">
        <v>8.4881665999999995E-2</v>
      </c>
      <c r="C85">
        <v>0.195868126</v>
      </c>
      <c r="D85">
        <v>0.31376278800000001</v>
      </c>
      <c r="E85">
        <v>0.459295544</v>
      </c>
      <c r="F85">
        <v>0.58862360199999997</v>
      </c>
      <c r="G85">
        <v>0.69781833100000001</v>
      </c>
      <c r="H85">
        <v>0.79679873899999998</v>
      </c>
      <c r="I85">
        <v>0.91486126300000004</v>
      </c>
      <c r="J85">
        <v>1.0569570109999999</v>
      </c>
      <c r="K85">
        <v>1.147231476</v>
      </c>
      <c r="L85">
        <v>1.290106451</v>
      </c>
      <c r="M85">
        <v>1.3879178889999999</v>
      </c>
      <c r="N85">
        <v>1.4316667599999999</v>
      </c>
      <c r="O85">
        <v>1.4070027190000001</v>
      </c>
      <c r="P85">
        <v>1.522866931</v>
      </c>
    </row>
    <row r="86" spans="2:16" x14ac:dyDescent="0.2">
      <c r="B86">
        <v>8.4881665999999995E-2</v>
      </c>
      <c r="C86">
        <v>0.195868126</v>
      </c>
      <c r="D86">
        <v>0.31376278800000001</v>
      </c>
      <c r="E86">
        <v>0.459295544</v>
      </c>
      <c r="F86">
        <v>0.58862360199999997</v>
      </c>
      <c r="G86">
        <v>0.69781833100000001</v>
      </c>
      <c r="H86">
        <v>0.79679873899999998</v>
      </c>
      <c r="I86">
        <v>0.91486126300000004</v>
      </c>
      <c r="J86">
        <v>1.0569570109999999</v>
      </c>
      <c r="K86">
        <v>1.147231476</v>
      </c>
      <c r="L86">
        <v>1.290106451</v>
      </c>
      <c r="M86">
        <v>1.3879178889999999</v>
      </c>
      <c r="N86">
        <v>1.4316667599999999</v>
      </c>
      <c r="O86">
        <v>1.4070027190000001</v>
      </c>
      <c r="P86">
        <v>1.522866931</v>
      </c>
    </row>
    <row r="87" spans="2:16" x14ac:dyDescent="0.2">
      <c r="B87">
        <v>8.4881665999999995E-2</v>
      </c>
      <c r="C87">
        <v>0.195868126</v>
      </c>
      <c r="D87">
        <v>0.31107200000000002</v>
      </c>
      <c r="E87">
        <v>0.427458</v>
      </c>
      <c r="F87">
        <v>0.55008999999999997</v>
      </c>
      <c r="G87">
        <v>0.67456199999999999</v>
      </c>
      <c r="H87">
        <v>0.79741499999999998</v>
      </c>
      <c r="I87">
        <v>0.91608100000000003</v>
      </c>
      <c r="J87">
        <v>1.028772</v>
      </c>
      <c r="K87">
        <v>1.134344</v>
      </c>
      <c r="L87">
        <v>1.2321569999999999</v>
      </c>
      <c r="M87">
        <v>1.321963</v>
      </c>
      <c r="N87">
        <v>1.403799</v>
      </c>
      <c r="O87">
        <v>1.477905</v>
      </c>
      <c r="P87">
        <v>1.544656</v>
      </c>
    </row>
    <row r="88" spans="2:16" x14ac:dyDescent="0.2">
      <c r="B88">
        <v>8.4881665999999995E-2</v>
      </c>
      <c r="C88">
        <v>0.195868126</v>
      </c>
      <c r="D88">
        <v>0.307228</v>
      </c>
      <c r="E88">
        <v>0.45231300000000002</v>
      </c>
      <c r="F88">
        <v>0.57627899999999999</v>
      </c>
      <c r="G88">
        <v>0.70114399999999999</v>
      </c>
      <c r="H88">
        <v>0.82364999999999999</v>
      </c>
      <c r="I88">
        <v>0.94142199999999998</v>
      </c>
      <c r="J88">
        <v>1.0528379999999999</v>
      </c>
      <c r="K88">
        <v>1.1568890000000001</v>
      </c>
      <c r="L88">
        <v>1.2530460000000001</v>
      </c>
      <c r="M88">
        <v>1.3411420000000001</v>
      </c>
      <c r="N88">
        <v>1.421276</v>
      </c>
      <c r="O88">
        <v>1.49373</v>
      </c>
      <c r="P88">
        <v>1.5589120000000001</v>
      </c>
    </row>
    <row r="89" spans="2:16" x14ac:dyDescent="0.2">
      <c r="B89">
        <v>8.4881665999999995E-2</v>
      </c>
      <c r="C89">
        <v>0.195868126</v>
      </c>
      <c r="D89">
        <v>0.32156800000000002</v>
      </c>
      <c r="E89">
        <v>0.433307</v>
      </c>
      <c r="F89">
        <v>0.58515799999999996</v>
      </c>
      <c r="G89">
        <v>0.711117</v>
      </c>
      <c r="H89">
        <v>0.83422799999999997</v>
      </c>
      <c r="I89">
        <v>0.95219900000000002</v>
      </c>
      <c r="J89">
        <v>1.063499</v>
      </c>
      <c r="K89">
        <v>1.1672020000000001</v>
      </c>
      <c r="L89">
        <v>1.2628490000000001</v>
      </c>
      <c r="M89">
        <v>1.3503309999999999</v>
      </c>
      <c r="N89">
        <v>1.4297930000000001</v>
      </c>
      <c r="O89">
        <v>1.5015529999999999</v>
      </c>
      <c r="P89">
        <v>1.566041</v>
      </c>
    </row>
    <row r="90" spans="2:16" x14ac:dyDescent="0.2">
      <c r="B90">
        <v>8.4881665999999995E-2</v>
      </c>
      <c r="C90">
        <v>0.195868126</v>
      </c>
      <c r="D90">
        <v>0.313585</v>
      </c>
      <c r="E90">
        <v>0.46498899999999999</v>
      </c>
      <c r="F90">
        <v>0.58442499999999997</v>
      </c>
      <c r="G90">
        <v>0.73854399999999998</v>
      </c>
      <c r="H90">
        <v>0.86250700000000002</v>
      </c>
      <c r="I90">
        <v>0.98045899999999997</v>
      </c>
      <c r="J90">
        <v>1.0910679999999999</v>
      </c>
      <c r="K90">
        <v>1.193594</v>
      </c>
      <c r="L90">
        <v>1.2877369999999999</v>
      </c>
      <c r="M90">
        <v>1.373516</v>
      </c>
      <c r="N90">
        <v>1.4511769999999999</v>
      </c>
      <c r="O90">
        <v>1.5211129999999999</v>
      </c>
      <c r="P90">
        <v>1.5838099999999999</v>
      </c>
    </row>
    <row r="91" spans="2:16" x14ac:dyDescent="0.2">
      <c r="B91">
        <v>8.4881665999999995E-2</v>
      </c>
      <c r="C91">
        <v>0.195868126</v>
      </c>
      <c r="D91">
        <v>0.32985199999999998</v>
      </c>
      <c r="E91">
        <v>0.45718900000000001</v>
      </c>
      <c r="F91">
        <v>0.61629999999999996</v>
      </c>
      <c r="G91">
        <v>0.73800699999999997</v>
      </c>
      <c r="H91">
        <v>0.890127</v>
      </c>
      <c r="I91">
        <v>1.0089250000000001</v>
      </c>
      <c r="J91">
        <v>1.119505</v>
      </c>
      <c r="K91">
        <v>1.2213290000000001</v>
      </c>
      <c r="L91">
        <v>1.3142830000000001</v>
      </c>
      <c r="M91">
        <v>1.3985449999999999</v>
      </c>
      <c r="N91">
        <v>1.4744900000000001</v>
      </c>
      <c r="O91">
        <v>1.542613</v>
      </c>
      <c r="P91">
        <v>1.603475</v>
      </c>
    </row>
    <row r="92" spans="2:16" x14ac:dyDescent="0.2">
      <c r="B92">
        <v>8.4881665999999995E-2</v>
      </c>
      <c r="C92">
        <v>0.195868126</v>
      </c>
      <c r="D92">
        <v>0.29899100000000001</v>
      </c>
      <c r="E92">
        <v>0.57931299999999997</v>
      </c>
      <c r="F92">
        <v>0.72003899999999998</v>
      </c>
      <c r="G92">
        <v>0.88309400000000005</v>
      </c>
      <c r="H92">
        <v>1.0013289999999999</v>
      </c>
      <c r="I92">
        <v>1.144476</v>
      </c>
      <c r="J92">
        <v>1.2504690000000001</v>
      </c>
      <c r="K92">
        <v>1.3457870000000001</v>
      </c>
      <c r="L92">
        <v>1.430982</v>
      </c>
      <c r="M92">
        <v>1.5067729999999999</v>
      </c>
      <c r="N92">
        <v>1.573952</v>
      </c>
      <c r="O92">
        <v>1.6333279999999999</v>
      </c>
      <c r="P92">
        <v>1.685689</v>
      </c>
    </row>
    <row r="93" spans="2:16" x14ac:dyDescent="0.2">
      <c r="B93">
        <v>8.4881665999999995E-2</v>
      </c>
      <c r="C93">
        <v>0.195868126</v>
      </c>
      <c r="D93">
        <v>0.33272800000000002</v>
      </c>
      <c r="E93">
        <v>0.44198300000000001</v>
      </c>
      <c r="F93">
        <v>0.72997900000000004</v>
      </c>
      <c r="G93">
        <v>0.87296600000000002</v>
      </c>
      <c r="H93">
        <v>1.0340309999999999</v>
      </c>
      <c r="I93">
        <v>1.1471229999999999</v>
      </c>
      <c r="J93">
        <v>1.2829299999999999</v>
      </c>
      <c r="K93">
        <v>1.380174</v>
      </c>
      <c r="L93">
        <v>1.4659610000000001</v>
      </c>
      <c r="M93">
        <v>1.5413190000000001</v>
      </c>
      <c r="N93">
        <v>1.6073170000000001</v>
      </c>
      <c r="O93">
        <v>1.6649989999999999</v>
      </c>
      <c r="P93">
        <v>1.7153400000000001</v>
      </c>
    </row>
    <row r="94" spans="2:16" x14ac:dyDescent="0.2">
      <c r="B94">
        <v>8.4881665999999995E-2</v>
      </c>
      <c r="C94">
        <v>0.195868126</v>
      </c>
      <c r="D94">
        <v>0.29436899999999999</v>
      </c>
      <c r="E94">
        <v>0.63373000000000002</v>
      </c>
      <c r="F94">
        <v>0.75913900000000001</v>
      </c>
      <c r="G94">
        <v>1.051895</v>
      </c>
      <c r="H94">
        <v>1.1906920000000001</v>
      </c>
      <c r="I94">
        <v>1.3409310000000001</v>
      </c>
      <c r="J94">
        <v>1.438571</v>
      </c>
      <c r="K94">
        <v>1.555963</v>
      </c>
      <c r="L94">
        <v>1.633143</v>
      </c>
      <c r="M94">
        <v>1.698221</v>
      </c>
      <c r="N94">
        <v>1.752966</v>
      </c>
      <c r="O94">
        <v>1.798972</v>
      </c>
      <c r="P94">
        <v>1.837634</v>
      </c>
    </row>
    <row r="95" spans="2:16" x14ac:dyDescent="0.2">
      <c r="B95">
        <v>8.4881665999999995E-2</v>
      </c>
      <c r="C95">
        <v>0.195868126</v>
      </c>
      <c r="D95">
        <v>0.32497500000000001</v>
      </c>
      <c r="E95">
        <v>0.42569899999999999</v>
      </c>
      <c r="F95">
        <v>0.77210800000000002</v>
      </c>
      <c r="G95">
        <v>0.89959299999999998</v>
      </c>
      <c r="H95">
        <v>1.1905209999999999</v>
      </c>
      <c r="I95">
        <v>1.324595</v>
      </c>
      <c r="J95">
        <v>1.468092</v>
      </c>
      <c r="K95">
        <v>1.5576970000000001</v>
      </c>
      <c r="L95">
        <v>1.666336</v>
      </c>
      <c r="M95">
        <v>1.73448</v>
      </c>
      <c r="N95">
        <v>1.790565</v>
      </c>
      <c r="O95">
        <v>1.836587</v>
      </c>
      <c r="P95">
        <v>1.8742939999999999</v>
      </c>
    </row>
    <row r="96" spans="2:16" x14ac:dyDescent="0.2">
      <c r="B96">
        <v>8.4881665999999995E-2</v>
      </c>
      <c r="C96">
        <v>0.195868126</v>
      </c>
      <c r="D96">
        <v>0.32522000000000001</v>
      </c>
      <c r="E96">
        <v>0.48336699999999999</v>
      </c>
      <c r="F96">
        <v>0.59259099999999998</v>
      </c>
      <c r="G96">
        <v>0.94150500000000004</v>
      </c>
      <c r="H96">
        <v>1.066786</v>
      </c>
      <c r="I96">
        <v>1.352017</v>
      </c>
      <c r="J96">
        <v>1.477959</v>
      </c>
      <c r="K96">
        <v>1.6117669999999999</v>
      </c>
      <c r="L96">
        <v>1.690814</v>
      </c>
      <c r="M96">
        <v>1.7885549999999999</v>
      </c>
      <c r="N96">
        <v>1.845853</v>
      </c>
      <c r="O96">
        <v>1.8914169999999999</v>
      </c>
      <c r="P96">
        <v>1.92743</v>
      </c>
    </row>
    <row r="97" spans="2:16" x14ac:dyDescent="0.2">
      <c r="B97">
        <v>8.4881665999999995E-2</v>
      </c>
      <c r="C97">
        <v>0.195868126</v>
      </c>
      <c r="D97">
        <v>0.30943599999999999</v>
      </c>
      <c r="E97">
        <v>0.56751600000000002</v>
      </c>
      <c r="F97">
        <v>0.73866699999999996</v>
      </c>
      <c r="G97">
        <v>0.85172300000000001</v>
      </c>
      <c r="H97">
        <v>1.1972640000000001</v>
      </c>
      <c r="I97">
        <v>1.3138300000000001</v>
      </c>
      <c r="J97">
        <v>1.5866229999999999</v>
      </c>
      <c r="K97">
        <v>1.6977420000000001</v>
      </c>
      <c r="L97">
        <v>1.8153980000000001</v>
      </c>
      <c r="M97">
        <v>1.8777759999999999</v>
      </c>
      <c r="N97">
        <v>1.9589240000000001</v>
      </c>
      <c r="O97">
        <v>2.0001289999999998</v>
      </c>
      <c r="P97">
        <v>2.030383</v>
      </c>
    </row>
    <row r="98" spans="2:16" x14ac:dyDescent="0.2">
      <c r="B98">
        <v>8.4881665999999995E-2</v>
      </c>
      <c r="C98">
        <v>0.195868126</v>
      </c>
      <c r="D98">
        <v>0.29829</v>
      </c>
      <c r="E98">
        <v>0.499527</v>
      </c>
      <c r="F98">
        <v>0.76780899999999996</v>
      </c>
      <c r="G98">
        <v>0.94196500000000005</v>
      </c>
      <c r="H98">
        <v>1.0523750000000001</v>
      </c>
      <c r="I98">
        <v>1.391079</v>
      </c>
      <c r="J98">
        <v>1.497887</v>
      </c>
      <c r="K98">
        <v>1.7590509999999999</v>
      </c>
      <c r="L98">
        <v>1.857499</v>
      </c>
      <c r="M98">
        <v>1.9620770000000001</v>
      </c>
      <c r="N98">
        <v>2.0114369999999999</v>
      </c>
      <c r="O98">
        <v>2.0799590000000001</v>
      </c>
      <c r="P98">
        <v>2.1091530000000001</v>
      </c>
    </row>
    <row r="99" spans="2:16" x14ac:dyDescent="0.2">
      <c r="B99">
        <v>8.4881665999999995E-2</v>
      </c>
      <c r="C99">
        <v>0.195868126</v>
      </c>
      <c r="D99">
        <v>0.28816000000000003</v>
      </c>
      <c r="E99">
        <v>0.42455599999999999</v>
      </c>
      <c r="F99">
        <v>0.63256900000000005</v>
      </c>
      <c r="G99">
        <v>0.90284799999999998</v>
      </c>
      <c r="H99">
        <v>1.0752470000000001</v>
      </c>
      <c r="I99">
        <v>1.1811149999999999</v>
      </c>
      <c r="J99">
        <v>1.5133380000000001</v>
      </c>
      <c r="K99">
        <v>1.6124210000000001</v>
      </c>
      <c r="L99">
        <v>1.8651679999999999</v>
      </c>
      <c r="M99">
        <v>1.9549289999999999</v>
      </c>
      <c r="N99">
        <v>2.0508600000000001</v>
      </c>
      <c r="O99">
        <v>2.0918329999999998</v>
      </c>
      <c r="P99">
        <v>2.152377</v>
      </c>
    </row>
    <row r="100" spans="2:16" x14ac:dyDescent="0.2">
      <c r="B100">
        <v>8.4881665999999995E-2</v>
      </c>
      <c r="C100">
        <v>0.195868126</v>
      </c>
      <c r="D100">
        <v>0.33803499999999997</v>
      </c>
      <c r="E100">
        <v>0.465312</v>
      </c>
      <c r="F100">
        <v>0.61121599999999998</v>
      </c>
      <c r="G100">
        <v>0.82203000000000004</v>
      </c>
      <c r="H100">
        <v>1.089842</v>
      </c>
      <c r="I100">
        <v>1.25587</v>
      </c>
      <c r="J100">
        <v>1.3526450000000001</v>
      </c>
      <c r="K100">
        <v>1.674029</v>
      </c>
      <c r="L100">
        <v>1.761304</v>
      </c>
      <c r="M100">
        <v>2.0018630000000002</v>
      </c>
      <c r="N100">
        <v>2.0794920000000001</v>
      </c>
      <c r="O100">
        <v>2.1636570000000002</v>
      </c>
      <c r="P100">
        <v>2.1934369999999999</v>
      </c>
    </row>
    <row r="101" spans="2:16" x14ac:dyDescent="0.2">
      <c r="B101">
        <v>8.4881665999999995E-2</v>
      </c>
      <c r="C101">
        <v>0.195868126</v>
      </c>
      <c r="D101">
        <v>0.33325199999999999</v>
      </c>
      <c r="E101">
        <v>0.43940000000000001</v>
      </c>
      <c r="F101">
        <v>0.57211699999999999</v>
      </c>
      <c r="G101">
        <v>0.71962400000000004</v>
      </c>
      <c r="H101">
        <v>0.92902700000000005</v>
      </c>
      <c r="I101">
        <v>1.1931940000000001</v>
      </c>
      <c r="J101">
        <v>1.3540179999999999</v>
      </c>
      <c r="K101">
        <v>1.444591</v>
      </c>
      <c r="L101">
        <v>1.7592190000000001</v>
      </c>
      <c r="M101">
        <v>1.8395189999999999</v>
      </c>
      <c r="N101">
        <v>2.073137</v>
      </c>
      <c r="O101">
        <v>2.144034</v>
      </c>
      <c r="P101">
        <v>2.221794</v>
      </c>
    </row>
    <row r="102" spans="2:16" x14ac:dyDescent="0.2">
      <c r="B102">
        <v>8.4881665999999995E-2</v>
      </c>
      <c r="C102">
        <v>0.195868126</v>
      </c>
      <c r="D102">
        <v>0.36990499999999998</v>
      </c>
      <c r="E102">
        <v>0.47498000000000001</v>
      </c>
      <c r="F102">
        <v>0.58873399999999998</v>
      </c>
      <c r="G102">
        <v>0.723692</v>
      </c>
      <c r="H102">
        <v>0.86922699999999997</v>
      </c>
      <c r="I102">
        <v>1.0735319999999999</v>
      </c>
      <c r="J102">
        <v>1.3304240000000001</v>
      </c>
      <c r="K102">
        <v>1.482577</v>
      </c>
      <c r="L102">
        <v>1.5637030000000001</v>
      </c>
      <c r="M102">
        <v>1.868579</v>
      </c>
      <c r="N102">
        <v>1.9391750000000001</v>
      </c>
      <c r="O102">
        <v>2.1633779999999998</v>
      </c>
      <c r="P102">
        <v>2.22532</v>
      </c>
    </row>
    <row r="103" spans="2:16" x14ac:dyDescent="0.2">
      <c r="B103">
        <v>8.4881665999999995E-2</v>
      </c>
      <c r="C103">
        <v>0.195868126</v>
      </c>
      <c r="D103">
        <v>0.30423099999999997</v>
      </c>
      <c r="E103">
        <v>0.439473</v>
      </c>
      <c r="F103">
        <v>0.54828200000000005</v>
      </c>
      <c r="G103">
        <v>0.66313599999999995</v>
      </c>
      <c r="H103">
        <v>0.797126</v>
      </c>
      <c r="I103">
        <v>0.94015800000000005</v>
      </c>
      <c r="J103">
        <v>1.1408929999999999</v>
      </c>
      <c r="K103">
        <v>1.3935280000000001</v>
      </c>
      <c r="L103">
        <v>1.5410440000000001</v>
      </c>
      <c r="M103">
        <v>1.617383</v>
      </c>
      <c r="N103">
        <v>1.9174960000000001</v>
      </c>
      <c r="O103">
        <v>1.9834700000000001</v>
      </c>
      <c r="P103">
        <v>2.2032790000000002</v>
      </c>
    </row>
    <row r="104" spans="2:16" x14ac:dyDescent="0.2">
      <c r="B104">
        <v>8.4881665999999995E-2</v>
      </c>
      <c r="C104">
        <v>0.195868126</v>
      </c>
      <c r="D104">
        <v>0.34939900000000002</v>
      </c>
      <c r="E104">
        <v>0.40203</v>
      </c>
      <c r="F104">
        <v>0.54252100000000003</v>
      </c>
      <c r="G104">
        <v>0.65287700000000004</v>
      </c>
      <c r="H104">
        <v>0.76637</v>
      </c>
      <c r="I104">
        <v>0.89684200000000003</v>
      </c>
      <c r="J104">
        <v>1.034853</v>
      </c>
      <c r="K104">
        <v>1.2296050000000001</v>
      </c>
      <c r="L104">
        <v>1.4757210000000001</v>
      </c>
      <c r="M104">
        <v>1.6165080000000001</v>
      </c>
      <c r="N104">
        <v>1.68615</v>
      </c>
      <c r="O104">
        <v>1.9797670000000001</v>
      </c>
      <c r="P104">
        <v>2.0395620000000001</v>
      </c>
    </row>
    <row r="105" spans="2:16" x14ac:dyDescent="0.2">
      <c r="B105">
        <v>8.4881665999999995E-2</v>
      </c>
      <c r="C105">
        <v>0.195868126</v>
      </c>
      <c r="D105">
        <v>0.32156800000000002</v>
      </c>
      <c r="E105">
        <v>0.43080099999999999</v>
      </c>
      <c r="F105">
        <v>0.48780099999999998</v>
      </c>
      <c r="G105">
        <v>0.62958000000000003</v>
      </c>
      <c r="H105">
        <v>0.73880199999999996</v>
      </c>
      <c r="I105">
        <v>0.84936699999999998</v>
      </c>
      <c r="J105">
        <v>0.97565999999999997</v>
      </c>
      <c r="K105">
        <v>1.108692</v>
      </c>
      <c r="L105">
        <v>1.298017</v>
      </c>
      <c r="M105">
        <v>1.5385329999999999</v>
      </c>
      <c r="N105">
        <v>1.673746</v>
      </c>
      <c r="O105">
        <v>1.737981</v>
      </c>
      <c r="P105">
        <v>2.0264540000000002</v>
      </c>
    </row>
    <row r="106" spans="2:16" x14ac:dyDescent="0.2">
      <c r="B106">
        <v>8.4881665999999995E-2</v>
      </c>
      <c r="C106">
        <v>0.195868126</v>
      </c>
      <c r="D106">
        <v>0.275451</v>
      </c>
      <c r="E106">
        <v>0.41253499999999999</v>
      </c>
      <c r="F106">
        <v>0.52664999999999995</v>
      </c>
      <c r="G106">
        <v>0.58508800000000005</v>
      </c>
      <c r="H106">
        <v>0.72560100000000005</v>
      </c>
      <c r="I106">
        <v>0.83155100000000004</v>
      </c>
      <c r="J106">
        <v>0.93744700000000003</v>
      </c>
      <c r="K106">
        <v>1.0581750000000001</v>
      </c>
      <c r="L106">
        <v>1.1851430000000001</v>
      </c>
      <c r="M106">
        <v>1.368209</v>
      </c>
      <c r="N106">
        <v>1.602495</v>
      </c>
      <c r="O106">
        <v>1.7316659999999999</v>
      </c>
      <c r="P106">
        <v>1.790154</v>
      </c>
    </row>
    <row r="107" spans="2:16" x14ac:dyDescent="0.2">
      <c r="B107">
        <v>8.4881665999999995E-2</v>
      </c>
      <c r="C107">
        <v>0.195868126</v>
      </c>
      <c r="D107">
        <v>0.28947000000000001</v>
      </c>
      <c r="E107">
        <v>0.42264800000000002</v>
      </c>
      <c r="F107">
        <v>0.567631</v>
      </c>
      <c r="G107">
        <v>0.68407399999999996</v>
      </c>
      <c r="H107">
        <v>0.74046400000000001</v>
      </c>
      <c r="I107">
        <v>0.87568199999999996</v>
      </c>
      <c r="J107">
        <v>0.97407600000000005</v>
      </c>
      <c r="K107">
        <v>1.0709660000000001</v>
      </c>
      <c r="L107">
        <v>1.1818820000000001</v>
      </c>
      <c r="M107">
        <v>1.2987230000000001</v>
      </c>
      <c r="N107">
        <v>1.4717100000000001</v>
      </c>
      <c r="O107">
        <v>1.6962189999999999</v>
      </c>
      <c r="P107">
        <v>1.8160890000000001</v>
      </c>
    </row>
    <row r="108" spans="2:16" x14ac:dyDescent="0.2">
      <c r="B108">
        <v>8.4881665999999995E-2</v>
      </c>
      <c r="C108">
        <v>0.195868126</v>
      </c>
      <c r="D108">
        <v>0.30399500000000002</v>
      </c>
      <c r="E108">
        <v>0.454876</v>
      </c>
      <c r="F108">
        <v>0.59636999999999996</v>
      </c>
      <c r="G108">
        <v>0.743919</v>
      </c>
      <c r="H108">
        <v>0.85839399999999999</v>
      </c>
      <c r="I108">
        <v>0.90829300000000002</v>
      </c>
      <c r="J108">
        <v>1.035525</v>
      </c>
      <c r="K108">
        <v>1.1239589999999999</v>
      </c>
      <c r="L108">
        <v>1.2105319999999999</v>
      </c>
      <c r="M108">
        <v>1.310894</v>
      </c>
      <c r="N108">
        <v>1.417143</v>
      </c>
      <c r="O108">
        <v>1.58039</v>
      </c>
      <c r="P108">
        <v>1.79565</v>
      </c>
    </row>
    <row r="109" spans="2:16" x14ac:dyDescent="0.2">
      <c r="B109">
        <v>8.4881665999999995E-2</v>
      </c>
      <c r="C109">
        <v>0.195868126</v>
      </c>
      <c r="D109">
        <v>0.34101300000000001</v>
      </c>
      <c r="E109">
        <v>0.39259100000000002</v>
      </c>
      <c r="F109">
        <v>0.54838399999999998</v>
      </c>
      <c r="G109">
        <v>0.691492</v>
      </c>
      <c r="H109">
        <v>0.83804100000000004</v>
      </c>
      <c r="I109">
        <v>0.94955599999999996</v>
      </c>
      <c r="J109">
        <v>0.99511300000000003</v>
      </c>
      <c r="K109">
        <v>1.117097</v>
      </c>
      <c r="L109">
        <v>1.1997599999999999</v>
      </c>
      <c r="M109">
        <v>1.2803359999999999</v>
      </c>
      <c r="N109">
        <v>1.374692</v>
      </c>
      <c r="O109">
        <v>1.4750859999999999</v>
      </c>
      <c r="P109">
        <v>1.6327370000000001</v>
      </c>
    </row>
    <row r="110" spans="2:16" x14ac:dyDescent="0.2">
      <c r="B110">
        <v>8.4881665999999995E-2</v>
      </c>
      <c r="C110">
        <v>0.195868126</v>
      </c>
      <c r="D110">
        <v>0.39328999999999997</v>
      </c>
      <c r="E110">
        <v>0.51637599999999995</v>
      </c>
      <c r="F110">
        <v>0.57767900000000005</v>
      </c>
      <c r="G110">
        <v>0.73666600000000004</v>
      </c>
      <c r="H110">
        <v>0.87779300000000005</v>
      </c>
      <c r="I110">
        <v>1.0184850000000001</v>
      </c>
      <c r="J110">
        <v>1.121405</v>
      </c>
      <c r="K110">
        <v>1.1565730000000001</v>
      </c>
      <c r="L110">
        <v>1.267136</v>
      </c>
      <c r="M110">
        <v>1.3379270000000001</v>
      </c>
      <c r="N110">
        <v>1.4066149999999999</v>
      </c>
      <c r="O110">
        <v>1.489382</v>
      </c>
      <c r="P110">
        <v>1.5786990000000001</v>
      </c>
    </row>
    <row r="111" spans="2:16" x14ac:dyDescent="0.2">
      <c r="B111">
        <v>8.4881665999999995E-2</v>
      </c>
      <c r="C111">
        <v>0.195868126</v>
      </c>
      <c r="D111">
        <v>0.36175499999999999</v>
      </c>
      <c r="E111">
        <v>0.53427500000000006</v>
      </c>
      <c r="F111">
        <v>0.66517899999999996</v>
      </c>
      <c r="G111">
        <v>0.72904899999999995</v>
      </c>
      <c r="H111">
        <v>0.88644400000000001</v>
      </c>
      <c r="I111">
        <v>1.0228630000000001</v>
      </c>
      <c r="J111">
        <v>1.156644</v>
      </c>
      <c r="K111">
        <v>1.251212</v>
      </c>
      <c r="L111">
        <v>1.277199</v>
      </c>
      <c r="M111">
        <v>1.3782160000000001</v>
      </c>
      <c r="N111">
        <v>1.439451</v>
      </c>
      <c r="O111">
        <v>1.498821</v>
      </c>
      <c r="P111">
        <v>1.5726830000000001</v>
      </c>
    </row>
    <row r="112" spans="2:16" x14ac:dyDescent="0.2">
      <c r="B112">
        <v>8.4881665999999995E-2</v>
      </c>
      <c r="C112">
        <v>0.195868126</v>
      </c>
      <c r="D112">
        <v>0.31687599999999999</v>
      </c>
      <c r="E112">
        <v>0.47104099999999999</v>
      </c>
      <c r="F112">
        <v>0.64961999999999998</v>
      </c>
      <c r="G112">
        <v>0.78251499999999996</v>
      </c>
      <c r="H112">
        <v>0.84515099999999999</v>
      </c>
      <c r="I112">
        <v>0.99889600000000001</v>
      </c>
      <c r="J112">
        <v>1.129958</v>
      </c>
      <c r="K112">
        <v>1.2572650000000001</v>
      </c>
      <c r="L112">
        <v>1.344716</v>
      </c>
      <c r="M112">
        <v>1.3633029999999999</v>
      </c>
      <c r="N112">
        <v>1.4569129999999999</v>
      </c>
      <c r="O112">
        <v>1.5109250000000001</v>
      </c>
      <c r="P112">
        <v>1.5633919999999999</v>
      </c>
    </row>
    <row r="113" spans="2:16" x14ac:dyDescent="0.2">
      <c r="B113">
        <v>8.4881665999999995E-2</v>
      </c>
      <c r="C113">
        <v>0.195868126</v>
      </c>
      <c r="D113">
        <v>0.33452999999999999</v>
      </c>
      <c r="E113">
        <v>0.39113799999999999</v>
      </c>
      <c r="F113">
        <v>0.54942000000000002</v>
      </c>
      <c r="G113">
        <v>0.729352</v>
      </c>
      <c r="H113">
        <v>0.86140799999999995</v>
      </c>
      <c r="I113">
        <v>0.92156400000000005</v>
      </c>
      <c r="J113">
        <v>1.071669</v>
      </c>
      <c r="K113">
        <v>1.198332</v>
      </c>
      <c r="L113">
        <v>1.3208029999999999</v>
      </c>
      <c r="M113">
        <v>1.4032260000000001</v>
      </c>
      <c r="N113">
        <v>1.416779</v>
      </c>
      <c r="O113">
        <v>1.5054810000000001</v>
      </c>
      <c r="P113">
        <v>1.554802</v>
      </c>
    </row>
    <row r="114" spans="2:16" x14ac:dyDescent="0.2">
      <c r="B114">
        <v>8.4881665999999995E-2</v>
      </c>
      <c r="C114">
        <v>0.195868126</v>
      </c>
      <c r="D114">
        <v>0.35469299999999998</v>
      </c>
      <c r="E114">
        <v>0.444994</v>
      </c>
      <c r="F114">
        <v>0.50772700000000004</v>
      </c>
      <c r="G114">
        <v>0.66802099999999998</v>
      </c>
      <c r="H114">
        <v>0.84670599999999996</v>
      </c>
      <c r="I114">
        <v>0.97507299999999997</v>
      </c>
      <c r="J114">
        <v>1.029814</v>
      </c>
      <c r="K114">
        <v>1.1733750000000001</v>
      </c>
      <c r="L114">
        <v>1.292843</v>
      </c>
      <c r="M114">
        <v>1.4078360000000001</v>
      </c>
      <c r="N114">
        <v>1.4827710000000001</v>
      </c>
      <c r="O114">
        <v>1.4890239999999999</v>
      </c>
      <c r="P114">
        <v>1.570748</v>
      </c>
    </row>
    <row r="115" spans="2:16" x14ac:dyDescent="0.2">
      <c r="B115">
        <v>8.4881665999999995E-2</v>
      </c>
      <c r="C115">
        <v>0.195868126</v>
      </c>
      <c r="D115">
        <v>0.31020399999999998</v>
      </c>
      <c r="E115">
        <v>0.40112999999999999</v>
      </c>
      <c r="F115">
        <v>0.49400500000000003</v>
      </c>
      <c r="G115">
        <v>0.55758399999999997</v>
      </c>
      <c r="H115">
        <v>0.71735400000000005</v>
      </c>
      <c r="I115">
        <v>0.89448799999999995</v>
      </c>
      <c r="J115">
        <v>1.020578</v>
      </c>
      <c r="K115">
        <v>1.072568</v>
      </c>
      <c r="L115">
        <v>1.213106</v>
      </c>
      <c r="M115">
        <v>1.3294299999999999</v>
      </c>
      <c r="N115">
        <v>1.4412750000000001</v>
      </c>
      <c r="O115">
        <v>1.5131410000000001</v>
      </c>
      <c r="P115">
        <v>1.5164610000000001</v>
      </c>
    </row>
    <row r="116" spans="2:16" x14ac:dyDescent="0.2">
      <c r="B116">
        <v>8.4881665999999995E-2</v>
      </c>
      <c r="C116">
        <v>0.195868126</v>
      </c>
      <c r="D116">
        <v>0.32985700000000001</v>
      </c>
      <c r="E116">
        <v>0.43161100000000002</v>
      </c>
      <c r="F116">
        <v>0.52926899999999999</v>
      </c>
      <c r="G116">
        <v>0.62435600000000002</v>
      </c>
      <c r="H116">
        <v>0.68656399999999995</v>
      </c>
      <c r="I116">
        <v>0.842279</v>
      </c>
      <c r="J116">
        <v>1.0134620000000001</v>
      </c>
      <c r="K116">
        <v>1.13236</v>
      </c>
      <c r="L116">
        <v>1.1764429999999999</v>
      </c>
      <c r="M116">
        <v>1.3087610000000001</v>
      </c>
      <c r="N116">
        <v>1.416855</v>
      </c>
      <c r="O116">
        <v>1.5206770000000001</v>
      </c>
      <c r="P116">
        <v>1.5848739999999999</v>
      </c>
    </row>
    <row r="117" spans="2:16" x14ac:dyDescent="0.2">
      <c r="B117">
        <v>8.4881665999999995E-2</v>
      </c>
      <c r="C117">
        <v>0.195868126</v>
      </c>
      <c r="D117">
        <v>0.30130200000000001</v>
      </c>
      <c r="E117">
        <v>0.40886</v>
      </c>
      <c r="F117">
        <v>0.51499499999999998</v>
      </c>
      <c r="G117">
        <v>0.61409199999999997</v>
      </c>
      <c r="H117">
        <v>0.70828599999999997</v>
      </c>
      <c r="I117">
        <v>0.76785599999999998</v>
      </c>
      <c r="J117">
        <v>0.91969800000000002</v>
      </c>
      <c r="K117">
        <v>1.086201</v>
      </c>
      <c r="L117">
        <v>1.199954</v>
      </c>
      <c r="M117">
        <v>1.2386889999999999</v>
      </c>
      <c r="N117">
        <v>1.3656509999999999</v>
      </c>
      <c r="O117">
        <v>1.4685250000000001</v>
      </c>
      <c r="P117">
        <v>1.567356</v>
      </c>
    </row>
    <row r="118" spans="2:16" x14ac:dyDescent="0.2">
      <c r="B118">
        <v>8.4881665999999995E-2</v>
      </c>
      <c r="C118">
        <v>0.195868126</v>
      </c>
      <c r="D118">
        <v>0.33871499999999999</v>
      </c>
      <c r="E118">
        <v>0.45316699999999999</v>
      </c>
      <c r="F118">
        <v>0.56914600000000004</v>
      </c>
      <c r="G118">
        <v>0.67804699999999996</v>
      </c>
      <c r="H118">
        <v>0.77542900000000003</v>
      </c>
      <c r="I118">
        <v>0.86455199999999999</v>
      </c>
      <c r="J118">
        <v>0.91667699999999996</v>
      </c>
      <c r="K118">
        <v>1.059523</v>
      </c>
      <c r="L118">
        <v>1.216135</v>
      </c>
      <c r="M118">
        <v>1.319607</v>
      </c>
      <c r="N118">
        <v>1.348047</v>
      </c>
      <c r="O118">
        <v>1.4649730000000001</v>
      </c>
      <c r="P118">
        <v>1.558254</v>
      </c>
    </row>
    <row r="119" spans="2:16" x14ac:dyDescent="0.2">
      <c r="B119">
        <v>8.4881665999999995E-2</v>
      </c>
      <c r="C119">
        <v>0.195868126</v>
      </c>
      <c r="D119">
        <v>0.33280100000000001</v>
      </c>
      <c r="E119">
        <v>0.44964199999999999</v>
      </c>
      <c r="F119">
        <v>0.570245</v>
      </c>
      <c r="G119">
        <v>0.68824399999999997</v>
      </c>
      <c r="H119">
        <v>0.79589200000000004</v>
      </c>
      <c r="I119">
        <v>0.88956999999999997</v>
      </c>
      <c r="J119">
        <v>0.97325499999999998</v>
      </c>
      <c r="K119">
        <v>1.01881</v>
      </c>
      <c r="L119">
        <v>1.154431</v>
      </c>
      <c r="M119">
        <v>1.3035330000000001</v>
      </c>
      <c r="N119">
        <v>1.399486</v>
      </c>
      <c r="O119">
        <v>1.4205950000000001</v>
      </c>
      <c r="P119">
        <v>1.5305139999999999</v>
      </c>
    </row>
    <row r="120" spans="2:16" x14ac:dyDescent="0.2">
      <c r="B120">
        <v>8.4881665999999995E-2</v>
      </c>
      <c r="C120">
        <v>0.195868126</v>
      </c>
      <c r="D120">
        <v>0.34610200000000002</v>
      </c>
      <c r="E120">
        <v>0.44203599999999998</v>
      </c>
      <c r="F120">
        <v>0.56493400000000005</v>
      </c>
      <c r="G120">
        <v>0.68752599999999997</v>
      </c>
      <c r="H120">
        <v>0.80429200000000001</v>
      </c>
      <c r="I120">
        <v>0.90829199999999999</v>
      </c>
      <c r="J120">
        <v>0.99661500000000003</v>
      </c>
      <c r="K120">
        <v>1.0738289999999999</v>
      </c>
      <c r="L120">
        <v>1.112269</v>
      </c>
      <c r="M120">
        <v>1.2404949999999999</v>
      </c>
      <c r="N120">
        <v>1.382193</v>
      </c>
      <c r="O120">
        <v>1.470926</v>
      </c>
      <c r="P120">
        <v>1.485136</v>
      </c>
    </row>
    <row r="121" spans="2:16" x14ac:dyDescent="0.2">
      <c r="B121">
        <v>8.4881665999999995E-2</v>
      </c>
      <c r="C121">
        <v>0.195868126</v>
      </c>
      <c r="D121">
        <v>0.33404899999999998</v>
      </c>
      <c r="E121">
        <v>0.49804300000000001</v>
      </c>
      <c r="F121">
        <v>0.60240199999999999</v>
      </c>
      <c r="G121">
        <v>0.72806700000000002</v>
      </c>
      <c r="H121">
        <v>0.84894400000000003</v>
      </c>
      <c r="I121">
        <v>0.96063500000000002</v>
      </c>
      <c r="J121">
        <v>1.0571870000000001</v>
      </c>
      <c r="K121">
        <v>1.1365099999999999</v>
      </c>
      <c r="L121">
        <v>1.2038279999999999</v>
      </c>
      <c r="M121">
        <v>1.2319819999999999</v>
      </c>
      <c r="N121">
        <v>1.3499080000000001</v>
      </c>
      <c r="O121">
        <v>1.4815640000000001</v>
      </c>
      <c r="P121">
        <v>1.5607009999999999</v>
      </c>
    </row>
    <row r="122" spans="2:16" x14ac:dyDescent="0.2">
      <c r="B122">
        <v>8.4881665999999995E-2</v>
      </c>
      <c r="C122">
        <v>0.195868126</v>
      </c>
      <c r="D122">
        <v>0.27844999999999998</v>
      </c>
      <c r="E122">
        <v>0.40367199999999998</v>
      </c>
      <c r="F122">
        <v>0.57152700000000001</v>
      </c>
      <c r="G122">
        <v>0.67715400000000003</v>
      </c>
      <c r="H122">
        <v>0.802033</v>
      </c>
      <c r="I122">
        <v>0.92058399999999996</v>
      </c>
      <c r="J122">
        <v>1.0288619999999999</v>
      </c>
      <c r="K122">
        <v>1.1212899999999999</v>
      </c>
      <c r="L122">
        <v>1.196078</v>
      </c>
      <c r="M122">
        <v>1.258683</v>
      </c>
      <c r="N122">
        <v>1.282117</v>
      </c>
      <c r="O122">
        <v>1.395443</v>
      </c>
      <c r="P122">
        <v>1.5227010000000001</v>
      </c>
    </row>
    <row r="123" spans="2:16" x14ac:dyDescent="0.2">
      <c r="B123">
        <v>8.4881665999999995E-2</v>
      </c>
      <c r="C123">
        <v>0.195868126</v>
      </c>
      <c r="D123">
        <v>0.308139</v>
      </c>
      <c r="E123">
        <v>0.443718</v>
      </c>
      <c r="F123">
        <v>0.57810399999999995</v>
      </c>
      <c r="G123">
        <v>0.748969</v>
      </c>
      <c r="H123">
        <v>0.85272999999999999</v>
      </c>
      <c r="I123">
        <v>0.97208899999999998</v>
      </c>
      <c r="J123">
        <v>1.0825389999999999</v>
      </c>
      <c r="K123">
        <v>1.181028</v>
      </c>
      <c r="L123">
        <v>1.262691</v>
      </c>
      <c r="M123">
        <v>1.3262910000000001</v>
      </c>
      <c r="N123">
        <v>1.3776930000000001</v>
      </c>
      <c r="O123">
        <v>1.390204</v>
      </c>
      <c r="P123">
        <v>1.4930909999999999</v>
      </c>
    </row>
    <row r="124" spans="2:16" x14ac:dyDescent="0.2">
      <c r="B124">
        <v>8.4881665999999995E-2</v>
      </c>
      <c r="C124">
        <v>0.195868126</v>
      </c>
      <c r="D124">
        <v>0.30641600000000002</v>
      </c>
      <c r="E124">
        <v>0.49271999999999999</v>
      </c>
      <c r="F124">
        <v>0.63853499999999996</v>
      </c>
      <c r="G124">
        <v>0.77628200000000003</v>
      </c>
      <c r="H124">
        <v>0.94506299999999999</v>
      </c>
      <c r="I124">
        <v>1.042659</v>
      </c>
      <c r="J124">
        <v>1.1529700000000001</v>
      </c>
      <c r="K124">
        <v>1.2524869999999999</v>
      </c>
      <c r="L124">
        <v>1.3389530000000001</v>
      </c>
      <c r="M124">
        <v>1.40812</v>
      </c>
      <c r="N124">
        <v>1.4592080000000001</v>
      </c>
      <c r="O124">
        <v>1.4984109999999999</v>
      </c>
      <c r="P124">
        <v>1.4992639999999999</v>
      </c>
    </row>
    <row r="125" spans="2:16" x14ac:dyDescent="0.2">
      <c r="B125">
        <v>8.4881665999999995E-2</v>
      </c>
      <c r="C125">
        <v>0.195868126</v>
      </c>
      <c r="D125">
        <v>0.30710300000000001</v>
      </c>
      <c r="E125">
        <v>0.45609699999999997</v>
      </c>
      <c r="F125">
        <v>0.65070099999999997</v>
      </c>
      <c r="G125">
        <v>0.79924099999999998</v>
      </c>
      <c r="H125">
        <v>0.93529799999999996</v>
      </c>
      <c r="I125">
        <v>1.0990800000000001</v>
      </c>
      <c r="J125">
        <v>1.1893389999999999</v>
      </c>
      <c r="K125">
        <v>1.2907839999999999</v>
      </c>
      <c r="L125">
        <v>1.380552</v>
      </c>
      <c r="M125">
        <v>1.456885</v>
      </c>
      <c r="N125">
        <v>1.515906</v>
      </c>
      <c r="O125">
        <v>1.5571010000000001</v>
      </c>
      <c r="P125">
        <v>1.5868500000000001</v>
      </c>
    </row>
    <row r="126" spans="2:16" x14ac:dyDescent="0.2">
      <c r="B126">
        <v>8.4881665999999995E-2</v>
      </c>
      <c r="C126">
        <v>0.195868126</v>
      </c>
      <c r="D126">
        <v>0.35264299999999998</v>
      </c>
      <c r="E126">
        <v>0.53325699999999998</v>
      </c>
      <c r="F126">
        <v>0.69479199999999997</v>
      </c>
      <c r="G126">
        <v>0.89351400000000003</v>
      </c>
      <c r="H126">
        <v>1.039501</v>
      </c>
      <c r="I126">
        <v>1.168005</v>
      </c>
      <c r="J126">
        <v>1.3207009999999999</v>
      </c>
      <c r="K126">
        <v>1.397564</v>
      </c>
      <c r="L126">
        <v>1.4842789999999999</v>
      </c>
      <c r="M126">
        <v>1.5587359999999999</v>
      </c>
      <c r="N126">
        <v>1.619739</v>
      </c>
      <c r="O126">
        <v>1.6638139999999999</v>
      </c>
      <c r="P126">
        <v>1.6907239999999999</v>
      </c>
    </row>
    <row r="127" spans="2:16" x14ac:dyDescent="0.2">
      <c r="B127">
        <v>8.4881665999999995E-2</v>
      </c>
      <c r="C127">
        <v>0.195868126</v>
      </c>
      <c r="D127">
        <v>0.26981699999999997</v>
      </c>
      <c r="E127">
        <v>0.44695499999999999</v>
      </c>
      <c r="F127">
        <v>0.632799</v>
      </c>
      <c r="G127">
        <v>0.79605099999999995</v>
      </c>
      <c r="H127">
        <v>0.99370899999999995</v>
      </c>
      <c r="I127">
        <v>1.1365460000000001</v>
      </c>
      <c r="J127">
        <v>1.260427</v>
      </c>
      <c r="K127">
        <v>1.4075359999999999</v>
      </c>
      <c r="L127">
        <v>1.478256</v>
      </c>
      <c r="M127">
        <v>1.558586</v>
      </c>
      <c r="N127">
        <v>1.6266499999999999</v>
      </c>
      <c r="O127">
        <v>1.6814199999999999</v>
      </c>
      <c r="P127">
        <v>1.719538</v>
      </c>
    </row>
    <row r="128" spans="2:16" x14ac:dyDescent="0.2">
      <c r="B128">
        <v>8.4881665999999995E-2</v>
      </c>
      <c r="C128">
        <v>0.195868126</v>
      </c>
      <c r="D128">
        <v>0.24698800000000001</v>
      </c>
      <c r="E128">
        <v>0.431149</v>
      </c>
      <c r="F128">
        <v>0.61723300000000003</v>
      </c>
      <c r="G128">
        <v>0.80601500000000004</v>
      </c>
      <c r="H128">
        <v>0.96744600000000003</v>
      </c>
      <c r="I128">
        <v>1.1597150000000001</v>
      </c>
      <c r="J128">
        <v>1.2946439999999999</v>
      </c>
      <c r="K128">
        <v>1.408968</v>
      </c>
      <c r="L128">
        <v>1.545569</v>
      </c>
      <c r="M128">
        <v>1.605367</v>
      </c>
      <c r="N128">
        <v>1.6747609999999999</v>
      </c>
      <c r="O128">
        <v>1.7321629999999999</v>
      </c>
      <c r="P128">
        <v>1.776743</v>
      </c>
    </row>
    <row r="129" spans="2:62" x14ac:dyDescent="0.2">
      <c r="B129">
        <v>8.4881665999999995E-2</v>
      </c>
      <c r="C129">
        <v>0.195868126</v>
      </c>
      <c r="D129">
        <v>0.27789999999999998</v>
      </c>
      <c r="E129">
        <v>0.39443800000000001</v>
      </c>
      <c r="F129">
        <v>0.58677500000000005</v>
      </c>
      <c r="G129">
        <v>0.77554500000000004</v>
      </c>
      <c r="H129">
        <v>0.96266200000000002</v>
      </c>
      <c r="I129">
        <v>1.1191679999999999</v>
      </c>
      <c r="J129">
        <v>1.304209</v>
      </c>
      <c r="K129">
        <v>1.430404</v>
      </c>
      <c r="L129">
        <v>1.5351250000000001</v>
      </c>
      <c r="M129">
        <v>1.6617440000000001</v>
      </c>
      <c r="N129">
        <v>1.711546</v>
      </c>
      <c r="O129">
        <v>1.771196</v>
      </c>
      <c r="P129">
        <v>1.8192839999999999</v>
      </c>
    </row>
    <row r="130" spans="2:62" x14ac:dyDescent="0.2">
      <c r="B130">
        <v>8.4881665999999995E-2</v>
      </c>
      <c r="C130">
        <v>0.195868126</v>
      </c>
      <c r="D130">
        <v>0.34531600000000001</v>
      </c>
      <c r="E130">
        <v>0.43754799999999999</v>
      </c>
      <c r="F130">
        <v>0.56294</v>
      </c>
      <c r="G130">
        <v>0.75818399999999997</v>
      </c>
      <c r="H130">
        <v>0.94515099999999996</v>
      </c>
      <c r="I130">
        <v>1.1269359999999999</v>
      </c>
      <c r="J130">
        <v>1.275617</v>
      </c>
      <c r="K130">
        <v>1.451201</v>
      </c>
      <c r="L130">
        <v>1.5669979999999999</v>
      </c>
      <c r="M130">
        <v>1.6609100000000001</v>
      </c>
      <c r="N130">
        <v>1.776707</v>
      </c>
      <c r="O130">
        <v>1.8159590000000001</v>
      </c>
      <c r="P130">
        <v>1.865524</v>
      </c>
    </row>
    <row r="131" spans="2:62" x14ac:dyDescent="0.2">
      <c r="B131">
        <v>8.4881665999999995E-2</v>
      </c>
      <c r="C131">
        <v>0.195868126</v>
      </c>
      <c r="D131">
        <v>0.411665</v>
      </c>
      <c r="E131">
        <v>0.48963000000000001</v>
      </c>
      <c r="F131">
        <v>0.58986499999999997</v>
      </c>
      <c r="G131">
        <v>0.71788399999999997</v>
      </c>
      <c r="H131">
        <v>0.91149899999999995</v>
      </c>
      <c r="I131">
        <v>1.0936459999999999</v>
      </c>
      <c r="J131">
        <v>1.268357</v>
      </c>
      <c r="K131">
        <v>1.4084890000000001</v>
      </c>
      <c r="L131">
        <v>1.574675</v>
      </c>
      <c r="M131">
        <v>1.680701</v>
      </c>
      <c r="N131">
        <v>1.764831</v>
      </c>
      <c r="O131">
        <v>1.8710899999999999</v>
      </c>
      <c r="P131">
        <v>1.901227</v>
      </c>
    </row>
    <row r="132" spans="2:62" x14ac:dyDescent="0.2">
      <c r="B132">
        <v>8.4881665999999995E-2</v>
      </c>
      <c r="C132">
        <v>0.195868126</v>
      </c>
      <c r="D132">
        <v>0.37410199999999999</v>
      </c>
      <c r="E132">
        <v>0.44882699999999998</v>
      </c>
      <c r="F132">
        <v>0.52885300000000002</v>
      </c>
      <c r="G132">
        <v>0.62976500000000002</v>
      </c>
      <c r="H132">
        <v>0.75736499999999995</v>
      </c>
      <c r="I132">
        <v>0.949739</v>
      </c>
      <c r="J132">
        <v>1.130064</v>
      </c>
      <c r="K132">
        <v>1.3025739999999999</v>
      </c>
      <c r="L132">
        <v>1.440285</v>
      </c>
      <c r="M132">
        <v>1.603955</v>
      </c>
      <c r="N132">
        <v>1.707462</v>
      </c>
      <c r="O132">
        <v>1.7891360000000001</v>
      </c>
      <c r="P132">
        <v>1.8930480000000001</v>
      </c>
    </row>
    <row r="133" spans="2:62" x14ac:dyDescent="0.2">
      <c r="B133">
        <v>8.4881665999999995E-2</v>
      </c>
      <c r="C133">
        <v>0.195868126</v>
      </c>
      <c r="D133">
        <v>0.30038199999999998</v>
      </c>
      <c r="E133">
        <v>0.43488399999999999</v>
      </c>
      <c r="F133">
        <v>0.51297999999999999</v>
      </c>
      <c r="G133">
        <v>0.594113</v>
      </c>
      <c r="H133">
        <v>0.69433800000000001</v>
      </c>
      <c r="I133">
        <v>0.81990799999999997</v>
      </c>
      <c r="J133">
        <v>1.0093019999999999</v>
      </c>
      <c r="K133">
        <v>1.1860269999999999</v>
      </c>
      <c r="L133">
        <v>1.3545780000000001</v>
      </c>
      <c r="M133">
        <v>1.488175</v>
      </c>
      <c r="N133">
        <v>1.647724</v>
      </c>
      <c r="O133">
        <v>1.747214</v>
      </c>
      <c r="P133">
        <v>1.825048</v>
      </c>
    </row>
    <row r="134" spans="2:62" x14ac:dyDescent="0.2">
      <c r="B134">
        <v>8.4881665999999995E-2</v>
      </c>
      <c r="C134">
        <v>0.195868126</v>
      </c>
      <c r="D134">
        <v>0.33590100000000001</v>
      </c>
      <c r="E134">
        <v>0.41707899999999998</v>
      </c>
      <c r="F134">
        <v>0.55805199999999999</v>
      </c>
      <c r="G134">
        <v>0.63827299999999998</v>
      </c>
      <c r="H134">
        <v>0.71808899999999998</v>
      </c>
      <c r="I134">
        <v>0.81441600000000003</v>
      </c>
      <c r="J134">
        <v>0.93426600000000004</v>
      </c>
      <c r="K134">
        <v>1.1167480000000001</v>
      </c>
      <c r="L134">
        <v>1.2858719999999999</v>
      </c>
      <c r="M134">
        <v>1.4465220000000001</v>
      </c>
      <c r="N134">
        <v>1.572208</v>
      </c>
      <c r="O134">
        <v>1.724045</v>
      </c>
      <c r="P134">
        <v>1.8161639999999999</v>
      </c>
    </row>
    <row r="135" spans="2:62" x14ac:dyDescent="0.2">
      <c r="B135">
        <v>8.4881665999999995E-2</v>
      </c>
      <c r="C135">
        <v>0.195868126</v>
      </c>
      <c r="D135">
        <v>0.36114200000000002</v>
      </c>
      <c r="E135">
        <v>0.43115700000000001</v>
      </c>
      <c r="F135">
        <v>0.51761800000000002</v>
      </c>
      <c r="G135">
        <v>0.66032500000000005</v>
      </c>
      <c r="H135">
        <v>0.73947099999999999</v>
      </c>
      <c r="I135">
        <v>0.81610499999999997</v>
      </c>
      <c r="J135">
        <v>0.90776299999999999</v>
      </c>
      <c r="K135">
        <v>1.021971</v>
      </c>
      <c r="L135">
        <v>1.198248</v>
      </c>
      <c r="M135">
        <v>1.3609230000000001</v>
      </c>
      <c r="N135">
        <v>1.515117</v>
      </c>
      <c r="O135">
        <v>1.6345069999999999</v>
      </c>
      <c r="P135">
        <v>1.780327</v>
      </c>
    </row>
    <row r="136" spans="2:62" x14ac:dyDescent="0.2">
      <c r="B136">
        <v>8.4881665999999995E-2</v>
      </c>
      <c r="C136">
        <v>0.195868126</v>
      </c>
      <c r="D136">
        <v>0.434892</v>
      </c>
      <c r="E136">
        <v>0.54907399999999995</v>
      </c>
      <c r="F136">
        <v>0.62951000000000001</v>
      </c>
      <c r="G136">
        <v>0.71939299999999995</v>
      </c>
      <c r="H136">
        <v>0.85997900000000005</v>
      </c>
      <c r="I136">
        <v>0.93284800000000001</v>
      </c>
      <c r="J136">
        <v>1.00027</v>
      </c>
      <c r="K136">
        <v>1.0807960000000001</v>
      </c>
      <c r="L136">
        <v>1.182763</v>
      </c>
      <c r="M136">
        <v>1.346317</v>
      </c>
      <c r="N136">
        <v>1.4962530000000001</v>
      </c>
      <c r="O136">
        <v>1.6380269999999999</v>
      </c>
      <c r="P136">
        <v>1.745547</v>
      </c>
    </row>
    <row r="137" spans="2:62" x14ac:dyDescent="0.2">
      <c r="B137">
        <v>8.4881665999999995E-2</v>
      </c>
      <c r="C137">
        <v>0.195868126</v>
      </c>
      <c r="D137">
        <v>0.36076999999999998</v>
      </c>
      <c r="E137">
        <v>0.485898</v>
      </c>
      <c r="F137">
        <v>0.602908</v>
      </c>
      <c r="G137">
        <v>0.68427300000000002</v>
      </c>
      <c r="H137">
        <v>0.77358000000000005</v>
      </c>
      <c r="I137">
        <v>0.912462</v>
      </c>
      <c r="J137">
        <v>0.98283100000000001</v>
      </c>
      <c r="K137">
        <v>1.047231</v>
      </c>
      <c r="L137">
        <v>1.124436</v>
      </c>
      <c r="M137">
        <v>1.2229490000000001</v>
      </c>
      <c r="N137">
        <v>1.383046</v>
      </c>
      <c r="O137">
        <v>1.5296110000000001</v>
      </c>
      <c r="P137">
        <v>1.6681630000000001</v>
      </c>
    </row>
    <row r="138" spans="2:62" x14ac:dyDescent="0.2">
      <c r="B138">
        <v>8.4881665999999995E-2</v>
      </c>
      <c r="C138">
        <v>0.195868126</v>
      </c>
      <c r="D138">
        <v>0.30450700000000003</v>
      </c>
      <c r="E138">
        <v>0.41280600000000001</v>
      </c>
      <c r="F138">
        <v>0.54081900000000005</v>
      </c>
      <c r="G138">
        <v>0.65877699999999995</v>
      </c>
      <c r="H138">
        <v>0.73955400000000004</v>
      </c>
      <c r="I138">
        <v>0.82712300000000005</v>
      </c>
      <c r="J138">
        <v>0.96345499999999995</v>
      </c>
      <c r="K138">
        <v>1.0307409999999999</v>
      </c>
      <c r="L138">
        <v>1.091753</v>
      </c>
      <c r="M138">
        <v>1.1654340000000001</v>
      </c>
      <c r="N138">
        <v>1.2604200000000001</v>
      </c>
      <c r="O138">
        <v>1.4170780000000001</v>
      </c>
      <c r="P138">
        <v>1.560357</v>
      </c>
    </row>
    <row r="139" spans="2:62" x14ac:dyDescent="0.2">
      <c r="B139">
        <v>8.4881665999999995E-2</v>
      </c>
      <c r="C139">
        <v>0.195868126</v>
      </c>
      <c r="D139">
        <v>0.36486499999999999</v>
      </c>
      <c r="E139">
        <v>0.44442399999999999</v>
      </c>
      <c r="F139">
        <v>0.56048200000000004</v>
      </c>
      <c r="G139">
        <v>0.69104299999999996</v>
      </c>
      <c r="H139">
        <v>0.80742100000000006</v>
      </c>
      <c r="I139">
        <v>0.88352600000000003</v>
      </c>
      <c r="J139">
        <v>0.96423599999999998</v>
      </c>
      <c r="K139">
        <v>1.0922799999999999</v>
      </c>
      <c r="L139">
        <v>1.1504529999999999</v>
      </c>
      <c r="M139">
        <v>1.2019919999999999</v>
      </c>
      <c r="N139">
        <v>1.266189</v>
      </c>
      <c r="O139">
        <v>1.351928</v>
      </c>
      <c r="P139">
        <v>1.4997480000000001</v>
      </c>
    </row>
    <row r="140" spans="2:62" x14ac:dyDescent="0.2">
      <c r="B140">
        <v>8.4881665999999995E-2</v>
      </c>
      <c r="C140">
        <v>0.195868126</v>
      </c>
      <c r="D140">
        <v>0.34967300000000001</v>
      </c>
      <c r="E140">
        <v>0.42628899999999997</v>
      </c>
      <c r="F140">
        <v>0.50925500000000001</v>
      </c>
      <c r="G140">
        <v>0.62643099999999996</v>
      </c>
      <c r="H140">
        <v>0.75629900000000005</v>
      </c>
      <c r="I140">
        <v>0.87062499999999998</v>
      </c>
      <c r="J140">
        <v>0.94371899999999997</v>
      </c>
      <c r="K140">
        <v>1.020791</v>
      </c>
      <c r="L140">
        <v>1.1448339999999999</v>
      </c>
      <c r="M140">
        <v>1.1988490000000001</v>
      </c>
      <c r="N140">
        <v>1.246224</v>
      </c>
      <c r="O140">
        <v>1.3063610000000001</v>
      </c>
      <c r="P140">
        <v>1.3882209999999999</v>
      </c>
    </row>
    <row r="141" spans="2:62" x14ac:dyDescent="0.2">
      <c r="B141">
        <v>8.4881665999999995E-2</v>
      </c>
      <c r="C141">
        <v>0.195868126</v>
      </c>
      <c r="D141">
        <v>0.321552</v>
      </c>
      <c r="E141">
        <v>0.53394399999999997</v>
      </c>
      <c r="F141">
        <v>0.62077899999999997</v>
      </c>
      <c r="G141">
        <v>0.70709999999999995</v>
      </c>
      <c r="H141">
        <v>0.82219600000000004</v>
      </c>
      <c r="I141">
        <v>0.945909</v>
      </c>
      <c r="J141">
        <v>1.0512030000000001</v>
      </c>
      <c r="K141">
        <v>1.113381</v>
      </c>
      <c r="L141">
        <v>1.1784509999999999</v>
      </c>
      <c r="M141">
        <v>1.290019</v>
      </c>
      <c r="N141">
        <v>1.331542</v>
      </c>
      <c r="O141">
        <v>1.3667389999999999</v>
      </c>
      <c r="P141">
        <v>1.415238</v>
      </c>
    </row>
    <row r="142" spans="2:62" x14ac:dyDescent="0.2">
      <c r="B142" t="s">
        <v>10</v>
      </c>
    </row>
    <row r="143" spans="2:62" x14ac:dyDescent="0.2">
      <c r="B143">
        <v>174.792</v>
      </c>
      <c r="C143">
        <v>230.55099999999999</v>
      </c>
      <c r="D143">
        <v>261.678</v>
      </c>
      <c r="E143">
        <v>550.36199999999997</v>
      </c>
      <c r="F143">
        <v>702.18100000000004</v>
      </c>
      <c r="G143">
        <v>862.78899999999999</v>
      </c>
      <c r="H143">
        <v>1256.5650000000001</v>
      </c>
      <c r="I143">
        <v>1743.7629999999999</v>
      </c>
      <c r="J143">
        <v>1874.5340000000001</v>
      </c>
      <c r="K143">
        <v>1758.9190000000001</v>
      </c>
      <c r="L143">
        <v>1588.39</v>
      </c>
      <c r="M143">
        <v>1356.7360000000001</v>
      </c>
      <c r="N143">
        <v>1177.8219999999999</v>
      </c>
      <c r="O143">
        <v>978.37</v>
      </c>
      <c r="P143">
        <v>979.43100000000004</v>
      </c>
      <c r="Q143">
        <v>935.71400000000006</v>
      </c>
      <c r="R143">
        <v>958.28</v>
      </c>
      <c r="S143">
        <v>973.50199999999995</v>
      </c>
      <c r="T143">
        <v>955.96400000000006</v>
      </c>
      <c r="U143">
        <v>981.45</v>
      </c>
      <c r="V143">
        <v>1092.0550000000001</v>
      </c>
      <c r="W143">
        <v>1139.6759999999999</v>
      </c>
      <c r="X143">
        <v>1141.9929999999999</v>
      </c>
      <c r="Y143">
        <v>859.41600000000005</v>
      </c>
      <c r="Z143">
        <v>1228.721</v>
      </c>
      <c r="AA143">
        <v>1229.5999999999999</v>
      </c>
      <c r="AB143">
        <v>1455.193</v>
      </c>
      <c r="AC143">
        <v>1195.6639299999999</v>
      </c>
      <c r="AD143">
        <v>1390.30916</v>
      </c>
      <c r="AE143">
        <v>1326.60896</v>
      </c>
      <c r="AF143">
        <v>1329.3730599999999</v>
      </c>
      <c r="AG143">
        <v>1264.2468899999999</v>
      </c>
      <c r="AH143">
        <v>1192.7810899999999</v>
      </c>
      <c r="AI143">
        <v>1124.4330500000001</v>
      </c>
      <c r="AJ143">
        <v>1102.15914</v>
      </c>
      <c r="AK143">
        <v>989.68030999999996</v>
      </c>
      <c r="AL143">
        <v>1132.70985</v>
      </c>
      <c r="AM143">
        <v>1387.1970200000001</v>
      </c>
      <c r="AN143">
        <v>1480.77611</v>
      </c>
      <c r="AO143">
        <v>1490.779227</v>
      </c>
      <c r="AP143">
        <v>1480.5516689999999</v>
      </c>
      <c r="AQ143">
        <v>1483.0218090000001</v>
      </c>
      <c r="AR143">
        <v>1488.0310449999999</v>
      </c>
      <c r="AS143">
        <v>1354.5017889999999</v>
      </c>
      <c r="AT143">
        <v>990.57806800000003</v>
      </c>
      <c r="AU143">
        <v>810.78434600000003</v>
      </c>
      <c r="AV143">
        <v>810.1859078</v>
      </c>
      <c r="AW143">
        <v>1199.0406250000001</v>
      </c>
      <c r="AX143">
        <v>1205.221865</v>
      </c>
      <c r="AY143">
        <v>1270.7704679999999</v>
      </c>
      <c r="AZ143">
        <v>1297.422339</v>
      </c>
      <c r="BA143">
        <v>1321.583785</v>
      </c>
      <c r="BB143">
        <v>1352.6807960000001</v>
      </c>
      <c r="BC143">
        <v>1359.182092</v>
      </c>
      <c r="BD143">
        <v>1379.2872689999999</v>
      </c>
      <c r="BE143">
        <v>1409.3371380000001</v>
      </c>
      <c r="BF143">
        <v>1367.2290399999999</v>
      </c>
      <c r="BG143">
        <v>1376.257582</v>
      </c>
      <c r="BH143">
        <v>1105.418688</v>
      </c>
      <c r="BI143">
        <v>1310.7156</v>
      </c>
      <c r="BJ143">
        <v>1300</v>
      </c>
    </row>
    <row r="144" spans="2:62" x14ac:dyDescent="0.2">
      <c r="B144" t="s">
        <v>11</v>
      </c>
    </row>
    <row r="145" spans="2:62" x14ac:dyDescent="0.2">
      <c r="B145">
        <v>0.56384999999999996</v>
      </c>
      <c r="C145">
        <v>0.38424999999999998</v>
      </c>
      <c r="D145">
        <v>0.35361999999999999</v>
      </c>
      <c r="E145">
        <v>0.67945999999999995</v>
      </c>
      <c r="F145">
        <v>0.62695000000000001</v>
      </c>
      <c r="G145">
        <v>0.60335000000000005</v>
      </c>
      <c r="H145">
        <v>1.0384800000000001</v>
      </c>
      <c r="I145">
        <v>1.5569299999999999</v>
      </c>
      <c r="J145">
        <v>1.5365</v>
      </c>
      <c r="K145">
        <v>1.7244299999999999</v>
      </c>
      <c r="L145">
        <v>1.5726599999999999</v>
      </c>
      <c r="M145">
        <v>1.49092</v>
      </c>
      <c r="N145">
        <v>1.28024</v>
      </c>
      <c r="O145">
        <v>1.526946667</v>
      </c>
      <c r="P145">
        <v>1.5219494440000001</v>
      </c>
      <c r="Q145">
        <v>1.5195243519999999</v>
      </c>
      <c r="R145">
        <v>1.48537341</v>
      </c>
      <c r="S145">
        <v>1.48537341</v>
      </c>
      <c r="T145">
        <v>1.48537341</v>
      </c>
      <c r="U145">
        <v>1.48537341</v>
      </c>
      <c r="V145">
        <v>1.48537341</v>
      </c>
      <c r="W145">
        <v>1.48537341</v>
      </c>
      <c r="X145">
        <v>1.48537341</v>
      </c>
      <c r="Y145">
        <v>1.48537341</v>
      </c>
      <c r="Z145">
        <v>1.48537341</v>
      </c>
      <c r="AA145">
        <v>1.48537341</v>
      </c>
      <c r="AB145">
        <v>1.48537341</v>
      </c>
      <c r="AC145">
        <v>1.48537341</v>
      </c>
      <c r="AD145">
        <v>1.48537341</v>
      </c>
      <c r="AE145">
        <v>1.48537341</v>
      </c>
      <c r="AF145">
        <v>1.48537341</v>
      </c>
      <c r="AG145">
        <v>1.48537341</v>
      </c>
      <c r="AH145">
        <v>1.48537341</v>
      </c>
      <c r="AI145">
        <v>1.48537341</v>
      </c>
      <c r="AJ145">
        <v>1.48537341</v>
      </c>
      <c r="AK145">
        <v>1.48537341</v>
      </c>
      <c r="AL145">
        <v>1.48537341</v>
      </c>
      <c r="AM145">
        <v>1.48537341</v>
      </c>
      <c r="AN145">
        <v>1.48537341</v>
      </c>
      <c r="AO145">
        <v>1.5</v>
      </c>
      <c r="AP145">
        <v>1.5</v>
      </c>
      <c r="AQ145">
        <v>1.5</v>
      </c>
      <c r="AR145">
        <v>1.5</v>
      </c>
      <c r="AS145">
        <v>1.5</v>
      </c>
      <c r="AT145">
        <v>1.5</v>
      </c>
      <c r="AU145">
        <v>1.5</v>
      </c>
      <c r="AV145">
        <v>1.5</v>
      </c>
      <c r="AW145">
        <v>1.5</v>
      </c>
      <c r="AX145">
        <v>1.5</v>
      </c>
      <c r="AY145">
        <v>1.5</v>
      </c>
      <c r="AZ145">
        <v>1.5</v>
      </c>
      <c r="BA145">
        <v>1.5</v>
      </c>
      <c r="BB145">
        <v>1.5</v>
      </c>
      <c r="BC145">
        <v>1.5</v>
      </c>
      <c r="BD145">
        <v>1.5</v>
      </c>
      <c r="BE145">
        <v>1.5</v>
      </c>
      <c r="BF145">
        <v>1.5</v>
      </c>
      <c r="BG145">
        <v>1.5</v>
      </c>
      <c r="BH145">
        <v>1.5</v>
      </c>
      <c r="BI145">
        <v>1.4</v>
      </c>
      <c r="BJ145">
        <v>1.4</v>
      </c>
    </row>
    <row r="146" spans="2:62" x14ac:dyDescent="0.2">
      <c r="B146" t="s">
        <v>12</v>
      </c>
    </row>
    <row r="147" spans="2:62" x14ac:dyDescent="0.2">
      <c r="B147">
        <v>12</v>
      </c>
    </row>
    <row r="148" spans="2:62" x14ac:dyDescent="0.2">
      <c r="B148" t="s">
        <v>13</v>
      </c>
    </row>
    <row r="149" spans="2:62" x14ac:dyDescent="0.2">
      <c r="B149">
        <v>1965</v>
      </c>
      <c r="C149">
        <v>1966</v>
      </c>
      <c r="D149">
        <v>1967</v>
      </c>
      <c r="E149">
        <v>1968</v>
      </c>
      <c r="F149">
        <v>1969</v>
      </c>
      <c r="G149">
        <v>1970</v>
      </c>
      <c r="H149">
        <v>1971</v>
      </c>
      <c r="I149">
        <v>1972</v>
      </c>
      <c r="J149">
        <v>1973</v>
      </c>
      <c r="K149">
        <v>1974</v>
      </c>
      <c r="L149">
        <v>1975</v>
      </c>
      <c r="M149">
        <v>1976</v>
      </c>
    </row>
    <row r="150" spans="2:62" x14ac:dyDescent="0.2">
      <c r="B150" t="s">
        <v>14</v>
      </c>
    </row>
    <row r="151" spans="2:62" x14ac:dyDescent="0.2">
      <c r="B151">
        <v>2816.4374280000002</v>
      </c>
      <c r="C151">
        <v>3473.5804750000002</v>
      </c>
      <c r="D151">
        <v>3802.169891</v>
      </c>
      <c r="E151">
        <v>5257.3046009999998</v>
      </c>
      <c r="F151">
        <v>6712.4684180000004</v>
      </c>
      <c r="G151">
        <v>5679.8098280000004</v>
      </c>
      <c r="H151">
        <v>5257.3312830000004</v>
      </c>
      <c r="I151">
        <v>5726.7434839999996</v>
      </c>
      <c r="J151">
        <v>4787.923949</v>
      </c>
      <c r="K151">
        <v>4740.9925880000001</v>
      </c>
      <c r="L151">
        <v>4271.5744599999998</v>
      </c>
      <c r="M151">
        <v>4318.5230579999998</v>
      </c>
    </row>
    <row r="152" spans="2:62" x14ac:dyDescent="0.2">
      <c r="B152" t="s">
        <v>15</v>
      </c>
    </row>
    <row r="153" spans="2:62" x14ac:dyDescent="0.2">
      <c r="B153">
        <v>563.28748559999997</v>
      </c>
      <c r="C153">
        <v>694.716095</v>
      </c>
      <c r="D153">
        <v>760.43397809999999</v>
      </c>
      <c r="E153">
        <v>1051.46092</v>
      </c>
      <c r="F153">
        <v>1342.493684</v>
      </c>
      <c r="G153">
        <v>1135.9619660000001</v>
      </c>
      <c r="H153">
        <v>1051.466257</v>
      </c>
      <c r="I153">
        <v>1145.3486969999999</v>
      </c>
      <c r="J153">
        <v>957.58478979999995</v>
      </c>
      <c r="K153">
        <v>948.19851759999995</v>
      </c>
      <c r="L153">
        <v>854.31489190000002</v>
      </c>
      <c r="M153">
        <v>863.70461160000002</v>
      </c>
    </row>
    <row r="154" spans="2:62" x14ac:dyDescent="0.2">
      <c r="B154" t="s">
        <v>16</v>
      </c>
    </row>
    <row r="155" spans="2:62" x14ac:dyDescent="0.2">
      <c r="B155">
        <v>18</v>
      </c>
    </row>
    <row r="156" spans="2:62" x14ac:dyDescent="0.2">
      <c r="B156" t="s">
        <v>17</v>
      </c>
    </row>
    <row r="157" spans="2:62" x14ac:dyDescent="0.2">
      <c r="B157">
        <v>2006</v>
      </c>
      <c r="C157">
        <v>2007</v>
      </c>
      <c r="D157">
        <v>2008</v>
      </c>
      <c r="E157">
        <v>2009</v>
      </c>
      <c r="F157">
        <v>2010</v>
      </c>
      <c r="G157">
        <v>2011</v>
      </c>
      <c r="H157">
        <v>2012</v>
      </c>
      <c r="I157">
        <v>2013</v>
      </c>
      <c r="J157">
        <v>2014</v>
      </c>
      <c r="K157">
        <v>2015</v>
      </c>
      <c r="L157">
        <v>2016</v>
      </c>
      <c r="M157">
        <v>2017</v>
      </c>
      <c r="N157">
        <v>2018</v>
      </c>
      <c r="O157">
        <v>2019</v>
      </c>
      <c r="P157">
        <v>2021</v>
      </c>
      <c r="Q157">
        <v>2022</v>
      </c>
      <c r="R157">
        <v>2023</v>
      </c>
      <c r="S157">
        <v>2024</v>
      </c>
    </row>
    <row r="158" spans="2:62" x14ac:dyDescent="0.2">
      <c r="B158" t="s">
        <v>18</v>
      </c>
    </row>
    <row r="159" spans="2:62" x14ac:dyDescent="0.2">
      <c r="B159">
        <v>1.7414761030000001</v>
      </c>
      <c r="C159">
        <v>2.0019130700000001</v>
      </c>
      <c r="D159">
        <v>0.99154315100000001</v>
      </c>
      <c r="E159">
        <v>0.69510000000000005</v>
      </c>
      <c r="F159">
        <v>1.9218</v>
      </c>
      <c r="G159">
        <v>1.7038225659999999</v>
      </c>
      <c r="H159">
        <v>1.5206</v>
      </c>
      <c r="I159">
        <v>2.1776295779999999</v>
      </c>
      <c r="J159">
        <v>3.0769000000000002</v>
      </c>
      <c r="K159">
        <v>3.5926999999999998</v>
      </c>
      <c r="L159">
        <v>2.8319000000000001</v>
      </c>
      <c r="M159">
        <v>2.2629999999999999</v>
      </c>
      <c r="N159">
        <v>2.0840999999999998</v>
      </c>
      <c r="O159">
        <v>2.8292000000000002</v>
      </c>
      <c r="P159">
        <v>2.4100999999999999</v>
      </c>
      <c r="Q159">
        <v>2.9030999999999998</v>
      </c>
      <c r="R159">
        <v>2.4809999999999999</v>
      </c>
      <c r="S159">
        <v>2.00700959</v>
      </c>
    </row>
    <row r="160" spans="2:62" x14ac:dyDescent="0.2">
      <c r="B160" t="s">
        <v>19</v>
      </c>
    </row>
    <row r="161" spans="2:19" x14ac:dyDescent="0.2">
      <c r="B161">
        <v>0.40797433100000002</v>
      </c>
      <c r="C161">
        <v>0.79543823999999996</v>
      </c>
      <c r="D161">
        <v>0.29286517699999998</v>
      </c>
      <c r="E161">
        <v>0.390095688</v>
      </c>
      <c r="F161">
        <v>0.57919325099999996</v>
      </c>
      <c r="G161">
        <v>0.44767777800000003</v>
      </c>
      <c r="H161">
        <v>0.37193844500000001</v>
      </c>
      <c r="I161">
        <v>0.39011599499999999</v>
      </c>
      <c r="J161">
        <v>0.58024587000000005</v>
      </c>
      <c r="K161">
        <v>0.406257388</v>
      </c>
      <c r="L161">
        <v>0.379092753</v>
      </c>
      <c r="M161">
        <v>0.31738924499999999</v>
      </c>
      <c r="N161">
        <v>0.25496050199999998</v>
      </c>
      <c r="O161">
        <v>0.63539506000000001</v>
      </c>
      <c r="P161">
        <v>0.52992878399999999</v>
      </c>
      <c r="Q161">
        <v>0.45478031600000002</v>
      </c>
      <c r="R161">
        <v>0.33534919200000002</v>
      </c>
      <c r="S161">
        <v>0.25081446499999999</v>
      </c>
    </row>
    <row r="162" spans="2:19" x14ac:dyDescent="0.2">
      <c r="B162" t="s">
        <v>21</v>
      </c>
    </row>
    <row r="163" spans="2:19" x14ac:dyDescent="0.2">
      <c r="B163">
        <v>1.9380752000000001E-2</v>
      </c>
      <c r="C163">
        <v>0.10145982200000001</v>
      </c>
      <c r="D163">
        <v>0.24414475499999999</v>
      </c>
      <c r="E163">
        <v>0.37814567100000002</v>
      </c>
      <c r="F163">
        <v>0.52699222899999998</v>
      </c>
      <c r="G163">
        <v>0.65206661499999996</v>
      </c>
      <c r="H163">
        <v>0.76360385099999994</v>
      </c>
      <c r="I163">
        <v>0.84666801899999999</v>
      </c>
      <c r="J163">
        <v>0.93351983299999997</v>
      </c>
      <c r="K163">
        <v>0.97143749400000001</v>
      </c>
      <c r="L163">
        <v>1.0011509190000001</v>
      </c>
      <c r="M163">
        <v>1.1495346909999999</v>
      </c>
      <c r="N163">
        <v>1.2116872009999999</v>
      </c>
      <c r="O163">
        <v>1.281049807</v>
      </c>
      <c r="P163">
        <v>1.179917849</v>
      </c>
    </row>
    <row r="164" spans="2:19" x14ac:dyDescent="0.2">
      <c r="B164">
        <v>1.8495648999999999E-2</v>
      </c>
      <c r="C164">
        <v>8.7193363999999995E-2</v>
      </c>
      <c r="D164">
        <v>0.279247415</v>
      </c>
      <c r="E164">
        <v>0.43718783300000003</v>
      </c>
      <c r="F164">
        <v>0.58248880300000005</v>
      </c>
      <c r="G164">
        <v>0.68663239899999995</v>
      </c>
      <c r="H164">
        <v>0.78823631599999999</v>
      </c>
      <c r="I164">
        <v>0.87099972599999997</v>
      </c>
      <c r="J164">
        <v>0.970100191</v>
      </c>
      <c r="K164">
        <v>1.1027085160000001</v>
      </c>
      <c r="L164">
        <v>1.1056714510000001</v>
      </c>
      <c r="M164">
        <v>1.2369484479999999</v>
      </c>
      <c r="N164">
        <v>1.2354868450000001</v>
      </c>
      <c r="O164">
        <v>1.749460306</v>
      </c>
      <c r="P164">
        <v>1.230626606</v>
      </c>
    </row>
    <row r="165" spans="2:19" x14ac:dyDescent="0.2">
      <c r="B165">
        <v>2.2553568E-2</v>
      </c>
      <c r="C165">
        <v>8.3533376000000006E-2</v>
      </c>
      <c r="D165">
        <v>0.21397105999999999</v>
      </c>
      <c r="E165">
        <v>0.40660791499999999</v>
      </c>
      <c r="F165">
        <v>0.57580060799999999</v>
      </c>
      <c r="G165">
        <v>0.68906324200000002</v>
      </c>
      <c r="H165">
        <v>0.80522349299999996</v>
      </c>
      <c r="I165">
        <v>0.98197084899999998</v>
      </c>
      <c r="J165">
        <v>0.96832022399999995</v>
      </c>
      <c r="K165">
        <v>1.262557586</v>
      </c>
      <c r="L165">
        <v>1.2472124309999999</v>
      </c>
      <c r="M165">
        <v>1.2466489679999999</v>
      </c>
      <c r="N165">
        <v>1.389705798</v>
      </c>
      <c r="O165">
        <v>1.6380326970000001</v>
      </c>
      <c r="P165">
        <v>1.2469683009999999</v>
      </c>
    </row>
    <row r="166" spans="2:19" x14ac:dyDescent="0.2">
      <c r="B166">
        <v>2.0319990999999999E-2</v>
      </c>
      <c r="C166">
        <v>0.10850145999999999</v>
      </c>
      <c r="D166">
        <v>0.24195861900000001</v>
      </c>
      <c r="E166">
        <v>0.41645069600000001</v>
      </c>
      <c r="F166">
        <v>0.64661924500000001</v>
      </c>
      <c r="G166">
        <v>0.78533266300000004</v>
      </c>
      <c r="H166">
        <v>0.95014345300000003</v>
      </c>
      <c r="I166">
        <v>1.0306215750000001</v>
      </c>
      <c r="J166">
        <v>1.0640246280000001</v>
      </c>
      <c r="K166">
        <v>1.3283554529999999</v>
      </c>
      <c r="L166">
        <v>1.326541881</v>
      </c>
      <c r="M166">
        <v>1.5470371329999999</v>
      </c>
      <c r="N166">
        <v>1.5565858539999999</v>
      </c>
      <c r="O166">
        <v>1.5368162080000001</v>
      </c>
      <c r="P166">
        <v>1.7437159609999999</v>
      </c>
    </row>
    <row r="167" spans="2:19" x14ac:dyDescent="0.2">
      <c r="B167">
        <v>3.1689083999999999E-2</v>
      </c>
      <c r="C167">
        <v>0.11734314799999999</v>
      </c>
      <c r="D167">
        <v>0.221257593</v>
      </c>
      <c r="E167">
        <v>0.44114833799999997</v>
      </c>
      <c r="F167">
        <v>0.56523318099999997</v>
      </c>
      <c r="G167">
        <v>0.72191307000000005</v>
      </c>
      <c r="H167">
        <v>0.93679943799999998</v>
      </c>
      <c r="I167">
        <v>1.3365648569999999</v>
      </c>
      <c r="J167">
        <v>1.574484153</v>
      </c>
      <c r="K167">
        <v>1.6224372220000001</v>
      </c>
      <c r="L167">
        <v>1.692529159</v>
      </c>
      <c r="M167">
        <v>1.895356839</v>
      </c>
      <c r="N167">
        <v>1.9269976470000001</v>
      </c>
      <c r="O167">
        <v>1.9414515240000001</v>
      </c>
      <c r="P167">
        <v>1.96177442</v>
      </c>
    </row>
    <row r="168" spans="2:19" x14ac:dyDescent="0.2">
      <c r="B168">
        <v>2.9375575000000001E-2</v>
      </c>
      <c r="C168">
        <v>0.106631395</v>
      </c>
      <c r="D168">
        <v>0.20897274199999999</v>
      </c>
      <c r="E168">
        <v>0.40841345800000001</v>
      </c>
      <c r="F168">
        <v>0.54885837500000001</v>
      </c>
      <c r="G168">
        <v>0.70586089699999999</v>
      </c>
      <c r="H168">
        <v>0.88746961899999999</v>
      </c>
      <c r="I168">
        <v>1.1324740360000001</v>
      </c>
      <c r="J168">
        <v>1.4220402940000001</v>
      </c>
      <c r="K168">
        <v>1.444774336</v>
      </c>
      <c r="L168">
        <v>1.510418611</v>
      </c>
      <c r="M168">
        <v>1.6415487989999999</v>
      </c>
      <c r="N168">
        <v>1.6941674689999999</v>
      </c>
      <c r="O168">
        <v>1.853097483</v>
      </c>
      <c r="P168">
        <v>1.8597176419999999</v>
      </c>
    </row>
    <row r="169" spans="2:19" x14ac:dyDescent="0.2">
      <c r="B169">
        <v>2.7062065E-2</v>
      </c>
      <c r="C169">
        <v>9.5919641999999999E-2</v>
      </c>
      <c r="D169">
        <v>0.196687891</v>
      </c>
      <c r="E169">
        <v>0.37567857900000001</v>
      </c>
      <c r="F169">
        <v>0.53248356900000005</v>
      </c>
      <c r="G169">
        <v>0.68980872500000001</v>
      </c>
      <c r="H169">
        <v>0.83813980099999996</v>
      </c>
      <c r="I169">
        <v>0.92838321599999996</v>
      </c>
      <c r="J169">
        <v>1.269596435</v>
      </c>
      <c r="K169">
        <v>1.2671114489999999</v>
      </c>
      <c r="L169">
        <v>1.3283080629999999</v>
      </c>
      <c r="M169">
        <v>1.3877407589999999</v>
      </c>
      <c r="N169">
        <v>1.461337291</v>
      </c>
      <c r="O169">
        <v>1.764743441</v>
      </c>
      <c r="P169">
        <v>1.757660864</v>
      </c>
    </row>
    <row r="170" spans="2:19" x14ac:dyDescent="0.2">
      <c r="B170">
        <v>2.9375575000000001E-2</v>
      </c>
      <c r="C170">
        <v>0.106631395</v>
      </c>
      <c r="D170">
        <v>0.20897274199999999</v>
      </c>
      <c r="E170">
        <v>0.40841345800000001</v>
      </c>
      <c r="F170">
        <v>0.54885837500000001</v>
      </c>
      <c r="G170">
        <v>0.70586089699999999</v>
      </c>
      <c r="H170">
        <v>0.88746961899999999</v>
      </c>
      <c r="I170">
        <v>1.1324740360000001</v>
      </c>
      <c r="J170">
        <v>1.4220402940000001</v>
      </c>
      <c r="K170">
        <v>1.444774336</v>
      </c>
      <c r="L170">
        <v>1.510418611</v>
      </c>
      <c r="M170">
        <v>1.6415487989999999</v>
      </c>
      <c r="N170">
        <v>1.6941674689999999</v>
      </c>
      <c r="O170">
        <v>1.853097483</v>
      </c>
      <c r="P170">
        <v>1.8597176419999999</v>
      </c>
    </row>
    <row r="171" spans="2:19" x14ac:dyDescent="0.2">
      <c r="B171">
        <v>2.5225422000000001E-2</v>
      </c>
      <c r="C171">
        <v>0.13456103799999999</v>
      </c>
      <c r="D171">
        <v>0.22362502000000001</v>
      </c>
      <c r="E171">
        <v>0.39429725100000002</v>
      </c>
      <c r="F171">
        <v>0.54727595100000004</v>
      </c>
      <c r="G171">
        <v>0.69453373399999996</v>
      </c>
      <c r="H171">
        <v>0.76282845600000004</v>
      </c>
      <c r="I171">
        <v>0.99709786499999997</v>
      </c>
      <c r="J171">
        <v>1.142014088</v>
      </c>
      <c r="K171">
        <v>1.2663642900000001</v>
      </c>
      <c r="L171">
        <v>1.4441065390000001</v>
      </c>
      <c r="M171">
        <v>1.7110011249999999</v>
      </c>
      <c r="N171">
        <v>1.9030163040000001</v>
      </c>
      <c r="O171">
        <v>1.7945568460000001</v>
      </c>
      <c r="P171">
        <v>1.7766869240000001</v>
      </c>
    </row>
    <row r="172" spans="2:19" x14ac:dyDescent="0.2">
      <c r="B172">
        <v>2.2663922E-2</v>
      </c>
      <c r="C172">
        <v>7.6370721000000003E-2</v>
      </c>
      <c r="D172">
        <v>0.20628748999999999</v>
      </c>
      <c r="E172">
        <v>0.38888217200000003</v>
      </c>
      <c r="F172">
        <v>0.57437083799999999</v>
      </c>
      <c r="G172">
        <v>0.62703836000000002</v>
      </c>
      <c r="H172">
        <v>0.80576405200000001</v>
      </c>
      <c r="I172">
        <v>0.94094098999999998</v>
      </c>
      <c r="J172">
        <v>1.0459384430000001</v>
      </c>
      <c r="K172">
        <v>1.065510102</v>
      </c>
      <c r="L172">
        <v>1.30555602</v>
      </c>
      <c r="M172">
        <v>1.6099144869999999</v>
      </c>
      <c r="N172">
        <v>1.4115746499999999</v>
      </c>
      <c r="O172">
        <v>1.6114570420000001</v>
      </c>
      <c r="P172">
        <v>2.2200154310000002</v>
      </c>
    </row>
    <row r="173" spans="2:19" x14ac:dyDescent="0.2">
      <c r="B173">
        <v>3.3300215000000001E-2</v>
      </c>
      <c r="C173">
        <v>0.109915022</v>
      </c>
      <c r="D173">
        <v>0.26589982299999998</v>
      </c>
      <c r="E173">
        <v>0.48098001200000001</v>
      </c>
      <c r="F173">
        <v>0.53885808499999999</v>
      </c>
      <c r="G173">
        <v>0.63233835000000005</v>
      </c>
      <c r="H173">
        <v>0.69664412799999997</v>
      </c>
      <c r="I173">
        <v>0.78559349499999998</v>
      </c>
      <c r="J173">
        <v>0.84670904400000002</v>
      </c>
      <c r="K173">
        <v>0.96047921300000005</v>
      </c>
      <c r="L173">
        <v>1.166773547</v>
      </c>
      <c r="M173">
        <v>1.3694739359999999</v>
      </c>
      <c r="N173">
        <v>1.6232018939999999</v>
      </c>
      <c r="O173">
        <v>1.6847912089999999</v>
      </c>
      <c r="P173">
        <v>1.738218</v>
      </c>
    </row>
    <row r="174" spans="2:19" x14ac:dyDescent="0.2">
      <c r="B174">
        <v>2.1695848E-2</v>
      </c>
      <c r="C174">
        <v>9.8126926000000003E-2</v>
      </c>
      <c r="D174">
        <v>0.19830637300000001</v>
      </c>
      <c r="E174">
        <v>0.39827524800000003</v>
      </c>
      <c r="F174">
        <v>0.52798778899999999</v>
      </c>
      <c r="G174">
        <v>0.595204387</v>
      </c>
      <c r="H174">
        <v>0.68596759900000004</v>
      </c>
      <c r="I174">
        <v>0.73654037900000002</v>
      </c>
      <c r="J174">
        <v>0.81809528600000003</v>
      </c>
      <c r="K174">
        <v>0.81914845199999997</v>
      </c>
      <c r="L174">
        <v>0.94734698799999995</v>
      </c>
      <c r="M174">
        <v>0.81578620099999999</v>
      </c>
      <c r="N174">
        <v>1.182831599</v>
      </c>
      <c r="O174">
        <v>1.3194748160000001</v>
      </c>
      <c r="P174">
        <v>1.5784266300000001</v>
      </c>
    </row>
    <row r="175" spans="2:19" x14ac:dyDescent="0.2">
      <c r="B175">
        <v>2.9279013E-2</v>
      </c>
      <c r="C175">
        <v>0.113887513</v>
      </c>
      <c r="D175">
        <v>0.25112267500000002</v>
      </c>
      <c r="E175">
        <v>0.40643369000000001</v>
      </c>
      <c r="F175">
        <v>0.51202235500000004</v>
      </c>
      <c r="G175">
        <v>0.59579568500000002</v>
      </c>
      <c r="H175">
        <v>0.67860015600000001</v>
      </c>
      <c r="I175">
        <v>0.72186286099999997</v>
      </c>
      <c r="J175">
        <v>0.81782518000000004</v>
      </c>
      <c r="K175">
        <v>0.874899121</v>
      </c>
      <c r="L175">
        <v>0.97760769599999997</v>
      </c>
      <c r="M175">
        <v>1.044707584</v>
      </c>
      <c r="N175">
        <v>1.1519333899999999</v>
      </c>
      <c r="O175">
        <v>1.389053393</v>
      </c>
      <c r="P175">
        <v>1.6261733949999999</v>
      </c>
    </row>
    <row r="176" spans="2:19" x14ac:dyDescent="0.2">
      <c r="B176">
        <v>2.9279013E-2</v>
      </c>
      <c r="C176">
        <v>0.113887513</v>
      </c>
      <c r="D176">
        <v>0.25112267500000002</v>
      </c>
      <c r="E176">
        <v>0.40643369000000001</v>
      </c>
      <c r="F176">
        <v>0.51202235500000004</v>
      </c>
      <c r="G176">
        <v>0.59579568500000002</v>
      </c>
      <c r="H176">
        <v>0.67860015600000001</v>
      </c>
      <c r="I176">
        <v>0.72186286099999997</v>
      </c>
      <c r="J176">
        <v>0.81782518000000004</v>
      </c>
      <c r="K176">
        <v>0.874899121</v>
      </c>
      <c r="L176">
        <v>0.97760769599999997</v>
      </c>
      <c r="M176">
        <v>1.044707584</v>
      </c>
      <c r="N176">
        <v>1.1519333899999999</v>
      </c>
      <c r="O176">
        <v>1.389053393</v>
      </c>
      <c r="P176">
        <v>1.6261733949999999</v>
      </c>
    </row>
    <row r="177" spans="2:61" x14ac:dyDescent="0.2">
      <c r="B177">
        <v>1.8974039000000002E-2</v>
      </c>
      <c r="C177">
        <v>0.10028049</v>
      </c>
      <c r="D177">
        <v>0.20869992300000001</v>
      </c>
      <c r="E177">
        <v>0.36956144800000001</v>
      </c>
      <c r="F177">
        <v>0.48770335999999997</v>
      </c>
      <c r="G177">
        <v>0.61428291400000001</v>
      </c>
      <c r="H177">
        <v>0.70489551399999995</v>
      </c>
      <c r="I177">
        <v>0.76874035399999996</v>
      </c>
      <c r="J177">
        <v>0.89059718099999996</v>
      </c>
      <c r="K177">
        <v>1.0320896150000001</v>
      </c>
      <c r="L177">
        <v>0.975926501</v>
      </c>
      <c r="M177">
        <v>1.0844194890000001</v>
      </c>
      <c r="N177">
        <v>1.34031024</v>
      </c>
      <c r="O177">
        <v>1.2279804139999999</v>
      </c>
      <c r="P177">
        <v>2.0478092769999998</v>
      </c>
    </row>
    <row r="178" spans="2:61" x14ac:dyDescent="0.2">
      <c r="B178">
        <v>1.8974039000000002E-2</v>
      </c>
      <c r="C178">
        <v>0.10028049</v>
      </c>
      <c r="D178">
        <v>0.20869992300000001</v>
      </c>
      <c r="E178">
        <v>0.36956144800000001</v>
      </c>
      <c r="F178">
        <v>0.48770335999999997</v>
      </c>
      <c r="G178">
        <v>0.61428291400000001</v>
      </c>
      <c r="H178">
        <v>0.70489551399999995</v>
      </c>
      <c r="I178">
        <v>0.76874035399999996</v>
      </c>
      <c r="J178">
        <v>0.89059718099999996</v>
      </c>
      <c r="K178">
        <v>1.0320896150000001</v>
      </c>
      <c r="L178">
        <v>0.975926501</v>
      </c>
      <c r="M178">
        <v>1.0844194890000001</v>
      </c>
      <c r="N178">
        <v>1.34031024</v>
      </c>
      <c r="O178">
        <v>1.2279804139999999</v>
      </c>
      <c r="P178">
        <v>2.0478092769999998</v>
      </c>
    </row>
    <row r="179" spans="2:61" x14ac:dyDescent="0.2">
      <c r="B179">
        <v>2.2340125999999998E-2</v>
      </c>
      <c r="C179">
        <v>0.16307050200000001</v>
      </c>
      <c r="D179">
        <v>0.28087430200000002</v>
      </c>
      <c r="E179">
        <v>0.37731543899999997</v>
      </c>
      <c r="F179">
        <v>0.47539210599999998</v>
      </c>
      <c r="G179">
        <v>0.56840108600000006</v>
      </c>
      <c r="H179">
        <v>0.73328093900000002</v>
      </c>
      <c r="I179">
        <v>0.80313542400000004</v>
      </c>
      <c r="J179">
        <v>0.84026475199999995</v>
      </c>
      <c r="K179">
        <v>0.95574643400000003</v>
      </c>
      <c r="L179">
        <v>1.077189269</v>
      </c>
      <c r="M179">
        <v>0.99408522200000005</v>
      </c>
      <c r="N179">
        <v>1.21649973</v>
      </c>
      <c r="O179">
        <v>1.350697939</v>
      </c>
      <c r="P179">
        <v>1.969390269</v>
      </c>
    </row>
    <row r="180" spans="2:61" x14ac:dyDescent="0.2">
      <c r="B180">
        <v>1.6258696999999999E-2</v>
      </c>
      <c r="C180">
        <v>8.6594742000000002E-2</v>
      </c>
      <c r="D180">
        <v>0.30182416400000001</v>
      </c>
      <c r="E180">
        <v>0.429249251</v>
      </c>
      <c r="F180">
        <v>0.50915456000000003</v>
      </c>
      <c r="G180">
        <v>0.54300278400000002</v>
      </c>
      <c r="H180">
        <v>0.622477159</v>
      </c>
      <c r="I180">
        <v>0.739921418</v>
      </c>
      <c r="J180">
        <v>0.84854919900000003</v>
      </c>
      <c r="K180">
        <v>0.89023341600000006</v>
      </c>
      <c r="L180">
        <v>0.96316922800000004</v>
      </c>
      <c r="M180">
        <v>1.0248896320000001</v>
      </c>
      <c r="N180">
        <v>1.139446553</v>
      </c>
      <c r="O180">
        <v>0.97998985500000002</v>
      </c>
      <c r="P180">
        <v>2.4030599449999999</v>
      </c>
    </row>
    <row r="181" spans="2:61" x14ac:dyDescent="0.2">
      <c r="B181" t="s">
        <v>22</v>
      </c>
    </row>
    <row r="182" spans="2:61" x14ac:dyDescent="0.2">
      <c r="B182">
        <v>3</v>
      </c>
    </row>
    <row r="183" spans="2:61" x14ac:dyDescent="0.2">
      <c r="B183" t="s">
        <v>23</v>
      </c>
    </row>
    <row r="184" spans="2:61" x14ac:dyDescent="0.2">
      <c r="B184">
        <v>1</v>
      </c>
      <c r="C184">
        <v>1</v>
      </c>
      <c r="D184">
        <v>1</v>
      </c>
    </row>
    <row r="185" spans="2:61" x14ac:dyDescent="0.2">
      <c r="B185" t="s">
        <v>24</v>
      </c>
    </row>
    <row r="186" spans="2:61" x14ac:dyDescent="0.2">
      <c r="B186">
        <v>60</v>
      </c>
    </row>
    <row r="187" spans="2:61" x14ac:dyDescent="0.2">
      <c r="B187" t="s">
        <v>25</v>
      </c>
    </row>
    <row r="188" spans="2:61" x14ac:dyDescent="0.2">
      <c r="B188">
        <v>42</v>
      </c>
    </row>
    <row r="189" spans="2:61" x14ac:dyDescent="0.2">
      <c r="B189" t="s">
        <v>26</v>
      </c>
    </row>
    <row r="190" spans="2:61" x14ac:dyDescent="0.2">
      <c r="B190">
        <v>19</v>
      </c>
    </row>
    <row r="191" spans="2:61" x14ac:dyDescent="0.2">
      <c r="B191" t="s">
        <v>27</v>
      </c>
    </row>
    <row r="192" spans="2:61" x14ac:dyDescent="0.2">
      <c r="B192">
        <v>1964</v>
      </c>
      <c r="C192">
        <v>1965</v>
      </c>
      <c r="D192">
        <v>1966</v>
      </c>
      <c r="E192">
        <v>1967</v>
      </c>
      <c r="F192">
        <v>1968</v>
      </c>
      <c r="G192">
        <v>1969</v>
      </c>
      <c r="H192">
        <v>1970</v>
      </c>
      <c r="I192">
        <v>1971</v>
      </c>
      <c r="J192">
        <v>1972</v>
      </c>
      <c r="K192">
        <v>1973</v>
      </c>
      <c r="L192">
        <v>1974</v>
      </c>
      <c r="M192">
        <v>1975</v>
      </c>
      <c r="N192">
        <v>1976</v>
      </c>
      <c r="O192">
        <v>1977</v>
      </c>
      <c r="P192">
        <v>1978</v>
      </c>
      <c r="Q192">
        <v>1979</v>
      </c>
      <c r="R192">
        <v>1980</v>
      </c>
      <c r="S192">
        <v>1981</v>
      </c>
      <c r="T192">
        <v>1982</v>
      </c>
      <c r="U192">
        <v>1983</v>
      </c>
      <c r="V192">
        <v>1984</v>
      </c>
      <c r="W192">
        <v>1985</v>
      </c>
      <c r="X192">
        <v>1986</v>
      </c>
      <c r="Y192">
        <v>1987</v>
      </c>
      <c r="Z192">
        <v>1988</v>
      </c>
      <c r="AA192">
        <v>1989</v>
      </c>
      <c r="AB192">
        <v>1990</v>
      </c>
      <c r="AC192">
        <v>1991</v>
      </c>
      <c r="AD192">
        <v>1992</v>
      </c>
      <c r="AE192">
        <v>1993</v>
      </c>
      <c r="AF192">
        <v>1994</v>
      </c>
      <c r="AG192">
        <v>1995</v>
      </c>
      <c r="AH192">
        <v>1996</v>
      </c>
      <c r="AI192">
        <v>1997</v>
      </c>
      <c r="AJ192">
        <v>1998</v>
      </c>
      <c r="AK192">
        <v>1999</v>
      </c>
      <c r="AL192">
        <v>2000</v>
      </c>
      <c r="AM192">
        <v>2001</v>
      </c>
      <c r="AN192">
        <v>2002</v>
      </c>
      <c r="AO192">
        <v>2003</v>
      </c>
      <c r="AP192">
        <v>2004</v>
      </c>
      <c r="AQ192">
        <v>2005</v>
      </c>
      <c r="AR192">
        <v>2006</v>
      </c>
      <c r="AS192">
        <v>2007</v>
      </c>
      <c r="AT192">
        <v>2008</v>
      </c>
      <c r="AU192">
        <v>2009</v>
      </c>
      <c r="AV192">
        <v>2010</v>
      </c>
      <c r="AW192">
        <v>2011</v>
      </c>
      <c r="AX192">
        <v>2012</v>
      </c>
      <c r="AY192">
        <v>2013</v>
      </c>
      <c r="AZ192">
        <v>2014</v>
      </c>
      <c r="BA192">
        <v>2015</v>
      </c>
      <c r="BB192">
        <v>2016</v>
      </c>
      <c r="BC192">
        <v>2017</v>
      </c>
      <c r="BD192">
        <v>2018</v>
      </c>
      <c r="BE192">
        <v>2019</v>
      </c>
      <c r="BF192">
        <v>2020</v>
      </c>
      <c r="BG192">
        <v>2021</v>
      </c>
      <c r="BH192">
        <v>2022</v>
      </c>
      <c r="BI192">
        <v>2023</v>
      </c>
    </row>
    <row r="193" spans="2:61" x14ac:dyDescent="0.2">
      <c r="B193" t="s">
        <v>28</v>
      </c>
    </row>
    <row r="194" spans="2:61" x14ac:dyDescent="0.2">
      <c r="B194">
        <v>1982</v>
      </c>
      <c r="C194">
        <v>1983</v>
      </c>
      <c r="D194">
        <v>1984</v>
      </c>
      <c r="E194">
        <v>1985</v>
      </c>
      <c r="F194">
        <v>1986</v>
      </c>
      <c r="G194">
        <v>1987</v>
      </c>
      <c r="H194">
        <v>1988</v>
      </c>
      <c r="I194">
        <v>1989</v>
      </c>
      <c r="J194">
        <v>1990</v>
      </c>
      <c r="K194">
        <v>1991</v>
      </c>
      <c r="L194">
        <v>1992</v>
      </c>
      <c r="M194">
        <v>1993</v>
      </c>
      <c r="N194">
        <v>1994</v>
      </c>
      <c r="O194">
        <v>1995</v>
      </c>
      <c r="P194">
        <v>1996</v>
      </c>
      <c r="Q194">
        <v>1997</v>
      </c>
      <c r="R194">
        <v>1998</v>
      </c>
      <c r="S194">
        <v>1999</v>
      </c>
      <c r="T194">
        <v>2000</v>
      </c>
      <c r="U194">
        <v>2001</v>
      </c>
      <c r="V194">
        <v>2002</v>
      </c>
      <c r="W194">
        <v>2003</v>
      </c>
      <c r="X194">
        <v>2004</v>
      </c>
      <c r="Y194">
        <v>2005</v>
      </c>
      <c r="Z194">
        <v>2006</v>
      </c>
      <c r="AA194">
        <v>2007</v>
      </c>
      <c r="AB194">
        <v>2008</v>
      </c>
      <c r="AC194">
        <v>2009</v>
      </c>
      <c r="AD194">
        <v>2010</v>
      </c>
      <c r="AE194">
        <v>2011</v>
      </c>
      <c r="AF194">
        <v>2012</v>
      </c>
      <c r="AG194">
        <v>2013</v>
      </c>
      <c r="AH194">
        <v>2014</v>
      </c>
      <c r="AI194">
        <v>2015</v>
      </c>
      <c r="AJ194">
        <v>2016</v>
      </c>
      <c r="AK194">
        <v>2017</v>
      </c>
      <c r="AL194">
        <v>2018</v>
      </c>
      <c r="AM194">
        <v>2019</v>
      </c>
      <c r="AN194">
        <v>2021</v>
      </c>
      <c r="AO194">
        <v>2022</v>
      </c>
      <c r="AP194">
        <v>2023</v>
      </c>
      <c r="AQ194">
        <v>2024</v>
      </c>
    </row>
    <row r="195" spans="2:61" x14ac:dyDescent="0.2">
      <c r="B195" t="s">
        <v>30</v>
      </c>
    </row>
    <row r="196" spans="2:61" x14ac:dyDescent="0.2">
      <c r="B196">
        <v>1994</v>
      </c>
      <c r="C196">
        <v>1996</v>
      </c>
      <c r="D196">
        <v>1997</v>
      </c>
      <c r="E196">
        <v>1999</v>
      </c>
      <c r="F196">
        <v>2000</v>
      </c>
      <c r="G196">
        <v>2002</v>
      </c>
      <c r="H196">
        <v>2004</v>
      </c>
      <c r="I196">
        <v>2006</v>
      </c>
      <c r="J196">
        <v>2007</v>
      </c>
      <c r="K196">
        <v>2008</v>
      </c>
      <c r="L196">
        <v>2009</v>
      </c>
      <c r="M196">
        <v>2010</v>
      </c>
      <c r="N196">
        <v>2012</v>
      </c>
      <c r="O196">
        <v>2014</v>
      </c>
      <c r="P196">
        <v>2016</v>
      </c>
      <c r="Q196">
        <v>2018</v>
      </c>
      <c r="R196">
        <v>2020</v>
      </c>
      <c r="S196">
        <v>2022</v>
      </c>
      <c r="T196">
        <v>2024</v>
      </c>
    </row>
    <row r="197" spans="2:61" x14ac:dyDescent="0.2">
      <c r="B197" t="s">
        <v>31</v>
      </c>
    </row>
    <row r="198" spans="2:61" x14ac:dyDescent="0.2">
      <c r="B198">
        <v>10</v>
      </c>
      <c r="C198">
        <v>10</v>
      </c>
      <c r="D198">
        <v>10</v>
      </c>
      <c r="E198">
        <v>10</v>
      </c>
      <c r="F198">
        <v>10</v>
      </c>
      <c r="G198">
        <v>10</v>
      </c>
      <c r="H198">
        <v>10</v>
      </c>
      <c r="I198">
        <v>10</v>
      </c>
      <c r="J198">
        <v>10</v>
      </c>
      <c r="K198">
        <v>10</v>
      </c>
      <c r="L198">
        <v>10</v>
      </c>
      <c r="M198">
        <v>10</v>
      </c>
      <c r="N198">
        <v>10</v>
      </c>
      <c r="O198">
        <v>10</v>
      </c>
      <c r="P198">
        <v>39</v>
      </c>
      <c r="Q198">
        <v>39</v>
      </c>
      <c r="R198">
        <v>39</v>
      </c>
      <c r="S198">
        <v>39</v>
      </c>
      <c r="T198">
        <v>39</v>
      </c>
      <c r="U198">
        <v>39</v>
      </c>
      <c r="V198">
        <v>39</v>
      </c>
      <c r="W198">
        <v>39</v>
      </c>
      <c r="X198">
        <v>39</v>
      </c>
      <c r="Y198">
        <v>39</v>
      </c>
      <c r="Z198">
        <v>39</v>
      </c>
      <c r="AA198">
        <v>39</v>
      </c>
      <c r="AB198">
        <v>39</v>
      </c>
      <c r="AC198">
        <v>260.3021832</v>
      </c>
      <c r="AD198">
        <v>228.0450879</v>
      </c>
      <c r="AE198">
        <v>344.44546309999998</v>
      </c>
      <c r="AF198">
        <v>286.35591540000001</v>
      </c>
      <c r="AG198">
        <v>256.9467042</v>
      </c>
      <c r="AH198">
        <v>189.0802194</v>
      </c>
      <c r="AI198">
        <v>318.67807069999998</v>
      </c>
      <c r="AJ198">
        <v>354.5667004</v>
      </c>
      <c r="AK198">
        <v>476.13649880000003</v>
      </c>
      <c r="AL198">
        <v>482.43441919999998</v>
      </c>
      <c r="AM198">
        <v>328.16988229999998</v>
      </c>
      <c r="AN198">
        <v>486.5633942</v>
      </c>
      <c r="AO198">
        <v>440.91364370000002</v>
      </c>
      <c r="AP198">
        <v>390.51744869999999</v>
      </c>
      <c r="AQ198">
        <v>494.38214040000003</v>
      </c>
      <c r="AR198">
        <v>506.21057109999998</v>
      </c>
      <c r="AS198">
        <v>500.21563070000002</v>
      </c>
      <c r="AT198">
        <v>523.64997500000004</v>
      </c>
      <c r="AU198">
        <v>420.03010790000002</v>
      </c>
      <c r="AV198">
        <v>549.40555719999998</v>
      </c>
      <c r="AW198">
        <v>728.07409010000003</v>
      </c>
      <c r="AX198">
        <v>607.45925350000005</v>
      </c>
      <c r="AY198">
        <v>753.27130060000002</v>
      </c>
      <c r="AZ198">
        <v>606.34391779999999</v>
      </c>
      <c r="BA198">
        <v>821.2348389</v>
      </c>
      <c r="BB198">
        <v>704.11018360000003</v>
      </c>
      <c r="BC198">
        <v>606.72007980000001</v>
      </c>
      <c r="BD198">
        <v>667.8408369</v>
      </c>
      <c r="BE198">
        <v>700.79587489999994</v>
      </c>
      <c r="BF198">
        <v>565.24328149999997</v>
      </c>
      <c r="BG198">
        <v>817.57808990000001</v>
      </c>
      <c r="BH198">
        <v>641.23529429999996</v>
      </c>
      <c r="BI198">
        <v>443.04334460000001</v>
      </c>
    </row>
    <row r="199" spans="2:61" x14ac:dyDescent="0.2">
      <c r="B199" t="s">
        <v>32</v>
      </c>
    </row>
    <row r="200" spans="2:61" x14ac:dyDescent="0.2">
      <c r="B200">
        <v>162.0393239</v>
      </c>
      <c r="C200">
        <v>130.70066270000001</v>
      </c>
      <c r="D200">
        <v>63.273125280000002</v>
      </c>
      <c r="E200">
        <v>73.535708060000005</v>
      </c>
      <c r="F200">
        <v>151.9481692</v>
      </c>
      <c r="G200">
        <v>61.214699510000003</v>
      </c>
      <c r="H200">
        <v>82.232543699999994</v>
      </c>
      <c r="I200">
        <v>53.191369819999998</v>
      </c>
      <c r="J200">
        <v>48.26632231</v>
      </c>
      <c r="K200">
        <v>79.424271750000003</v>
      </c>
      <c r="L200">
        <v>85.220463620000004</v>
      </c>
      <c r="M200">
        <v>91.983613980000001</v>
      </c>
      <c r="N200">
        <v>86.851384019999998</v>
      </c>
      <c r="O200">
        <v>104.8977063</v>
      </c>
      <c r="P200">
        <v>226.4696079</v>
      </c>
      <c r="Q200">
        <v>73.384804239999994</v>
      </c>
      <c r="R200">
        <v>65.188310139999999</v>
      </c>
      <c r="S200">
        <v>95.428970410000005</v>
      </c>
      <c r="T200">
        <v>90.693427020000001</v>
      </c>
      <c r="U200">
        <v>183.0103987</v>
      </c>
      <c r="V200">
        <v>186.32525670000001</v>
      </c>
      <c r="W200">
        <v>125.65945429999999</v>
      </c>
      <c r="X200">
        <v>188.6575824</v>
      </c>
      <c r="Y200">
        <v>194.4902529</v>
      </c>
      <c r="Z200">
        <v>329.6148551</v>
      </c>
      <c r="AA200">
        <v>192.69521510000001</v>
      </c>
      <c r="AB200">
        <v>235.40601810000001</v>
      </c>
      <c r="AC200">
        <v>144.7225262</v>
      </c>
      <c r="AD200">
        <v>107.88944069999999</v>
      </c>
      <c r="AE200">
        <v>165.26886630000001</v>
      </c>
      <c r="AF200">
        <v>107.1237964</v>
      </c>
      <c r="AG200">
        <v>66.526541449999996</v>
      </c>
      <c r="AH200">
        <v>117.66416890000001</v>
      </c>
      <c r="AI200">
        <v>103.6700104</v>
      </c>
      <c r="AJ200">
        <v>122.8399641</v>
      </c>
      <c r="AK200">
        <v>234.588978</v>
      </c>
      <c r="AL200">
        <v>158.32033670000001</v>
      </c>
      <c r="AM200">
        <v>120.6785752</v>
      </c>
      <c r="AN200">
        <v>149.47929600000001</v>
      </c>
      <c r="AO200">
        <v>172.83410019999999</v>
      </c>
      <c r="AP200">
        <v>126.77730939999999</v>
      </c>
      <c r="AQ200">
        <v>64.214082270000006</v>
      </c>
    </row>
    <row r="201" spans="2:61" x14ac:dyDescent="0.2">
      <c r="B201" t="s">
        <v>34</v>
      </c>
    </row>
    <row r="202" spans="2:61" x14ac:dyDescent="0.2">
      <c r="B202">
        <v>43</v>
      </c>
      <c r="C202">
        <v>32</v>
      </c>
      <c r="D202">
        <v>49</v>
      </c>
      <c r="E202">
        <v>67</v>
      </c>
      <c r="F202">
        <v>70</v>
      </c>
      <c r="G202">
        <v>72</v>
      </c>
      <c r="H202">
        <v>51</v>
      </c>
      <c r="I202">
        <v>47</v>
      </c>
      <c r="J202">
        <v>39</v>
      </c>
      <c r="K202">
        <v>35</v>
      </c>
      <c r="L202">
        <v>26</v>
      </c>
      <c r="M202">
        <v>34</v>
      </c>
      <c r="N202">
        <v>44</v>
      </c>
      <c r="O202">
        <v>79</v>
      </c>
      <c r="P202">
        <v>61</v>
      </c>
      <c r="Q202">
        <v>50</v>
      </c>
      <c r="R202">
        <v>1</v>
      </c>
      <c r="S202">
        <v>52</v>
      </c>
      <c r="T202">
        <v>79</v>
      </c>
    </row>
    <row r="203" spans="2:61" x14ac:dyDescent="0.2">
      <c r="B203" t="s">
        <v>35</v>
      </c>
    </row>
    <row r="204" spans="2:61" x14ac:dyDescent="0.2">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row>
    <row r="205" spans="2:61" x14ac:dyDescent="0.2">
      <c r="B205" t="s">
        <v>36</v>
      </c>
    </row>
    <row r="206" spans="2:61" x14ac:dyDescent="0.2">
      <c r="B206">
        <v>1</v>
      </c>
      <c r="C206">
        <v>1</v>
      </c>
      <c r="D206">
        <v>1</v>
      </c>
      <c r="E206">
        <v>1</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v>1</v>
      </c>
    </row>
    <row r="207" spans="2:61" x14ac:dyDescent="0.2">
      <c r="B207" t="s">
        <v>38</v>
      </c>
    </row>
    <row r="208" spans="2:61" x14ac:dyDescent="0.2">
      <c r="B208">
        <v>1</v>
      </c>
      <c r="C208">
        <v>1</v>
      </c>
      <c r="D208">
        <v>1</v>
      </c>
      <c r="E208">
        <v>1</v>
      </c>
      <c r="F208">
        <v>1</v>
      </c>
      <c r="G208">
        <v>1</v>
      </c>
      <c r="H208">
        <v>1</v>
      </c>
      <c r="I208">
        <v>1</v>
      </c>
      <c r="J208">
        <v>1</v>
      </c>
      <c r="K208">
        <v>1</v>
      </c>
      <c r="L208">
        <v>1</v>
      </c>
      <c r="M208">
        <v>1</v>
      </c>
      <c r="N208">
        <v>1</v>
      </c>
      <c r="O208">
        <v>1</v>
      </c>
      <c r="P208">
        <v>1</v>
      </c>
      <c r="Q208">
        <v>1</v>
      </c>
      <c r="R208">
        <v>1</v>
      </c>
      <c r="S208">
        <v>1</v>
      </c>
      <c r="T208">
        <v>1</v>
      </c>
    </row>
    <row r="209" spans="2:16" x14ac:dyDescent="0.2">
      <c r="B209" t="s">
        <v>39</v>
      </c>
    </row>
    <row r="210" spans="2:16" x14ac:dyDescent="0.2">
      <c r="B210">
        <v>2.5321E-2</v>
      </c>
      <c r="C210">
        <v>0.105571</v>
      </c>
      <c r="D210">
        <v>0.16556299999999999</v>
      </c>
      <c r="E210">
        <v>0.19361100000000001</v>
      </c>
      <c r="F210">
        <v>9.5441999999999999E-2</v>
      </c>
      <c r="G210">
        <v>0.26840700000000001</v>
      </c>
      <c r="H210">
        <v>0.120764</v>
      </c>
      <c r="I210">
        <v>2.5321E-2</v>
      </c>
      <c r="J210">
        <v>0</v>
      </c>
      <c r="K210">
        <v>0</v>
      </c>
      <c r="L210">
        <v>0</v>
      </c>
      <c r="M210">
        <v>0</v>
      </c>
      <c r="N210">
        <v>0</v>
      </c>
      <c r="O210">
        <v>0</v>
      </c>
      <c r="P210">
        <v>0</v>
      </c>
    </row>
    <row r="211" spans="2:16" x14ac:dyDescent="0.2">
      <c r="B211">
        <v>1.417E-2</v>
      </c>
      <c r="C211">
        <v>1.5327E-2</v>
      </c>
      <c r="D211">
        <v>0.20416400000000001</v>
      </c>
      <c r="E211">
        <v>0.55031799999999997</v>
      </c>
      <c r="F211">
        <v>0.13475999999999999</v>
      </c>
      <c r="G211">
        <v>3.3544999999999998E-2</v>
      </c>
      <c r="H211">
        <v>3.2389000000000001E-2</v>
      </c>
      <c r="I211">
        <v>1.5327E-2</v>
      </c>
      <c r="J211">
        <v>0</v>
      </c>
      <c r="K211">
        <v>0</v>
      </c>
      <c r="L211">
        <v>0</v>
      </c>
      <c r="M211">
        <v>0</v>
      </c>
      <c r="N211">
        <v>0</v>
      </c>
      <c r="O211">
        <v>0</v>
      </c>
      <c r="P211">
        <v>0</v>
      </c>
    </row>
    <row r="212" spans="2:16" x14ac:dyDescent="0.2">
      <c r="B212">
        <v>2.8427999999999998E-2</v>
      </c>
      <c r="C212">
        <v>0.16830200000000001</v>
      </c>
      <c r="D212">
        <v>5.7357999999999999E-2</v>
      </c>
      <c r="E212">
        <v>0.420126</v>
      </c>
      <c r="F212">
        <v>0.26490599999999997</v>
      </c>
      <c r="G212">
        <v>2.4150999999999999E-2</v>
      </c>
      <c r="H212">
        <v>2.6415000000000001E-2</v>
      </c>
      <c r="I212">
        <v>1.0314E-2</v>
      </c>
      <c r="J212">
        <v>0</v>
      </c>
      <c r="K212">
        <v>0</v>
      </c>
      <c r="L212">
        <v>0</v>
      </c>
      <c r="M212">
        <v>0</v>
      </c>
      <c r="N212">
        <v>0</v>
      </c>
      <c r="O212">
        <v>0</v>
      </c>
      <c r="P212">
        <v>0</v>
      </c>
    </row>
    <row r="213" spans="2:16" x14ac:dyDescent="0.2">
      <c r="B213">
        <v>9.4669999999999997E-3</v>
      </c>
      <c r="C213">
        <v>0.110178</v>
      </c>
      <c r="D213">
        <v>0.577515</v>
      </c>
      <c r="E213">
        <v>8.7692000000000006E-2</v>
      </c>
      <c r="F213">
        <v>0.16</v>
      </c>
      <c r="G213">
        <v>3.7988000000000001E-2</v>
      </c>
      <c r="H213">
        <v>1.1479E-2</v>
      </c>
      <c r="I213">
        <v>5.6800000000000002E-3</v>
      </c>
      <c r="J213">
        <v>0</v>
      </c>
      <c r="K213">
        <v>0</v>
      </c>
      <c r="L213">
        <v>0</v>
      </c>
      <c r="M213">
        <v>0</v>
      </c>
      <c r="N213">
        <v>0</v>
      </c>
      <c r="O213">
        <v>0</v>
      </c>
      <c r="P213">
        <v>0</v>
      </c>
    </row>
    <row r="214" spans="2:16" x14ac:dyDescent="0.2">
      <c r="B214">
        <v>3.2939000000000003E-2</v>
      </c>
      <c r="C214">
        <v>0.178617</v>
      </c>
      <c r="D214">
        <v>0.14021800000000001</v>
      </c>
      <c r="E214">
        <v>0.46851700000000002</v>
      </c>
      <c r="F214">
        <v>0.10736999999999999</v>
      </c>
      <c r="G214">
        <v>3.0572999999999999E-2</v>
      </c>
      <c r="H214">
        <v>3.6579E-2</v>
      </c>
      <c r="I214">
        <v>5.1869999999999998E-3</v>
      </c>
      <c r="J214">
        <v>0</v>
      </c>
      <c r="K214">
        <v>0</v>
      </c>
      <c r="L214">
        <v>0</v>
      </c>
      <c r="M214">
        <v>0</v>
      </c>
      <c r="N214">
        <v>0</v>
      </c>
      <c r="O214">
        <v>0</v>
      </c>
      <c r="P214">
        <v>0</v>
      </c>
    </row>
    <row r="215" spans="2:16" x14ac:dyDescent="0.2">
      <c r="B215">
        <v>1.4678E-2</v>
      </c>
      <c r="C215">
        <v>7.9766000000000004E-2</v>
      </c>
      <c r="D215">
        <v>0.459233</v>
      </c>
      <c r="E215">
        <v>0.31568400000000002</v>
      </c>
      <c r="F215">
        <v>0.10843</v>
      </c>
      <c r="G215">
        <v>2.3050000000000002E-3</v>
      </c>
      <c r="H215">
        <v>1.2142E-2</v>
      </c>
      <c r="I215">
        <v>7.7609999999999997E-3</v>
      </c>
      <c r="J215">
        <v>0</v>
      </c>
      <c r="K215">
        <v>0</v>
      </c>
      <c r="L215">
        <v>0</v>
      </c>
      <c r="M215">
        <v>0</v>
      </c>
      <c r="N215">
        <v>0</v>
      </c>
      <c r="O215">
        <v>0</v>
      </c>
      <c r="P215">
        <v>0</v>
      </c>
    </row>
    <row r="216" spans="2:16" x14ac:dyDescent="0.2">
      <c r="B216">
        <v>0.15676200000000001</v>
      </c>
      <c r="C216">
        <v>0.238147</v>
      </c>
      <c r="D216">
        <v>0.37426300000000001</v>
      </c>
      <c r="E216">
        <v>0.17669899999999999</v>
      </c>
      <c r="F216">
        <v>3.4247E-2</v>
      </c>
      <c r="G216">
        <v>1.1143E-2</v>
      </c>
      <c r="H216">
        <v>5.5710000000000004E-3</v>
      </c>
      <c r="I216">
        <v>3.1679999999999998E-3</v>
      </c>
      <c r="J216">
        <v>0</v>
      </c>
      <c r="K216">
        <v>0</v>
      </c>
      <c r="L216">
        <v>0</v>
      </c>
      <c r="M216">
        <v>0</v>
      </c>
      <c r="N216">
        <v>0</v>
      </c>
      <c r="O216">
        <v>0</v>
      </c>
      <c r="P216">
        <v>0</v>
      </c>
    </row>
    <row r="217" spans="2:16" x14ac:dyDescent="0.2">
      <c r="B217">
        <v>0.165462</v>
      </c>
      <c r="C217">
        <v>4.9415000000000001E-2</v>
      </c>
      <c r="D217">
        <v>0.27603</v>
      </c>
      <c r="E217">
        <v>0.18528700000000001</v>
      </c>
      <c r="F217">
        <v>0.27468900000000002</v>
      </c>
      <c r="G217">
        <v>2.6682999999999998E-2</v>
      </c>
      <c r="H217">
        <v>1.7514999999999999E-2</v>
      </c>
      <c r="I217">
        <v>4.9189999999999998E-3</v>
      </c>
      <c r="J217">
        <v>0</v>
      </c>
      <c r="K217">
        <v>0</v>
      </c>
      <c r="L217">
        <v>0</v>
      </c>
      <c r="M217">
        <v>0</v>
      </c>
      <c r="N217">
        <v>0</v>
      </c>
      <c r="O217">
        <v>0</v>
      </c>
      <c r="P217">
        <v>0</v>
      </c>
    </row>
    <row r="218" spans="2:16" x14ac:dyDescent="0.2">
      <c r="B218">
        <v>3.1427999999999998E-2</v>
      </c>
      <c r="C218">
        <v>0.15159600000000001</v>
      </c>
      <c r="D218">
        <v>0.349715</v>
      </c>
      <c r="E218">
        <v>0.28007900000000002</v>
      </c>
      <c r="F218">
        <v>0.11734700000000001</v>
      </c>
      <c r="G218">
        <v>4.6027999999999999E-2</v>
      </c>
      <c r="H218">
        <v>1.7471E-2</v>
      </c>
      <c r="I218">
        <v>6.3350000000000004E-3</v>
      </c>
      <c r="J218">
        <v>0</v>
      </c>
      <c r="K218">
        <v>0</v>
      </c>
      <c r="L218">
        <v>0</v>
      </c>
      <c r="M218">
        <v>0</v>
      </c>
      <c r="N218">
        <v>0</v>
      </c>
      <c r="O218">
        <v>0</v>
      </c>
      <c r="P218">
        <v>0</v>
      </c>
    </row>
    <row r="219" spans="2:16" x14ac:dyDescent="0.2">
      <c r="B219">
        <v>1.1129E-2</v>
      </c>
      <c r="C219">
        <v>0.100338</v>
      </c>
      <c r="D219">
        <v>0.121466</v>
      </c>
      <c r="E219">
        <v>0.26405400000000001</v>
      </c>
      <c r="F219">
        <v>0.202123</v>
      </c>
      <c r="G219">
        <v>0.13807</v>
      </c>
      <c r="H219">
        <v>7.6822000000000001E-2</v>
      </c>
      <c r="I219">
        <v>5.5642999999999998E-2</v>
      </c>
      <c r="J219">
        <v>2.4972000000000001E-2</v>
      </c>
      <c r="K219">
        <v>4.4980000000000003E-3</v>
      </c>
      <c r="L219">
        <v>5.6599999999999999E-4</v>
      </c>
      <c r="M219">
        <v>1.4999999999999999E-4</v>
      </c>
      <c r="N219">
        <v>3.2499999999999997E-5</v>
      </c>
      <c r="O219">
        <v>1.3799999999999999E-4</v>
      </c>
      <c r="P219">
        <v>0</v>
      </c>
    </row>
    <row r="220" spans="2:16" x14ac:dyDescent="0.2">
      <c r="B220">
        <v>2.4247000000000001E-2</v>
      </c>
      <c r="C220">
        <v>0.52727900000000005</v>
      </c>
      <c r="D220">
        <v>0.19487099999999999</v>
      </c>
      <c r="E220">
        <v>5.5426999999999997E-2</v>
      </c>
      <c r="F220">
        <v>7.4453000000000005E-2</v>
      </c>
      <c r="G220">
        <v>4.0191999999999999E-2</v>
      </c>
      <c r="H220">
        <v>2.5745000000000001E-2</v>
      </c>
      <c r="I220">
        <v>2.1690000000000001E-2</v>
      </c>
      <c r="J220">
        <v>2.1288999999999999E-2</v>
      </c>
      <c r="K220">
        <v>8.9540000000000002E-3</v>
      </c>
      <c r="L220">
        <v>3.6380000000000002E-3</v>
      </c>
      <c r="M220">
        <v>9.5E-4</v>
      </c>
      <c r="N220">
        <v>9.4799999999999995E-4</v>
      </c>
      <c r="O220">
        <v>1.6899999999999999E-4</v>
      </c>
      <c r="P220">
        <v>1.47E-4</v>
      </c>
    </row>
    <row r="221" spans="2:16" x14ac:dyDescent="0.2">
      <c r="B221">
        <v>8.5430000000000002E-3</v>
      </c>
      <c r="C221">
        <v>0.150288</v>
      </c>
      <c r="D221">
        <v>0.69184299999999999</v>
      </c>
      <c r="E221">
        <v>5.3185000000000003E-2</v>
      </c>
      <c r="F221">
        <v>1.4149E-2</v>
      </c>
      <c r="G221">
        <v>2.6572999999999999E-2</v>
      </c>
      <c r="H221">
        <v>2.5451999999999999E-2</v>
      </c>
      <c r="I221">
        <v>1.3868999999999999E-2</v>
      </c>
      <c r="J221">
        <v>8.1620000000000009E-3</v>
      </c>
      <c r="K221">
        <v>5.7470000000000004E-3</v>
      </c>
      <c r="L221">
        <v>1.421E-3</v>
      </c>
      <c r="M221">
        <v>5.62E-4</v>
      </c>
      <c r="N221">
        <v>9.0400000000000002E-5</v>
      </c>
      <c r="O221">
        <v>1.16E-4</v>
      </c>
      <c r="P221">
        <v>0</v>
      </c>
    </row>
    <row r="222" spans="2:16" x14ac:dyDescent="0.2">
      <c r="B222">
        <v>2.0000000000000001E-4</v>
      </c>
      <c r="C222">
        <v>0.120162</v>
      </c>
      <c r="D222">
        <v>0.45461600000000002</v>
      </c>
      <c r="E222">
        <v>0.30598599999999998</v>
      </c>
      <c r="F222">
        <v>3.0152000000000002E-2</v>
      </c>
      <c r="G222">
        <v>1.3916E-2</v>
      </c>
      <c r="H222">
        <v>1.9279000000000001E-2</v>
      </c>
      <c r="I222">
        <v>2.2363000000000001E-2</v>
      </c>
      <c r="J222">
        <v>1.7395999999999998E-2</v>
      </c>
      <c r="K222">
        <v>8.5719999999999998E-3</v>
      </c>
      <c r="L222">
        <v>3.9560000000000003E-3</v>
      </c>
      <c r="M222">
        <v>2.7060000000000001E-3</v>
      </c>
      <c r="N222">
        <v>6.9700000000000003E-4</v>
      </c>
      <c r="O222">
        <v>0</v>
      </c>
      <c r="P222">
        <v>0</v>
      </c>
    </row>
    <row r="223" spans="2:16" x14ac:dyDescent="0.2">
      <c r="B223">
        <v>3.7671999999999997E-2</v>
      </c>
      <c r="C223">
        <v>0.247673</v>
      </c>
      <c r="D223">
        <v>0.331098</v>
      </c>
      <c r="E223">
        <v>0.23990500000000001</v>
      </c>
      <c r="F223">
        <v>8.6128999999999997E-2</v>
      </c>
      <c r="G223">
        <v>1.9158000000000001E-2</v>
      </c>
      <c r="H223">
        <v>7.0299999999999998E-3</v>
      </c>
      <c r="I223">
        <v>1.0141000000000001E-2</v>
      </c>
      <c r="J223">
        <v>8.1110000000000002E-3</v>
      </c>
      <c r="K223">
        <v>6.5139999999999998E-3</v>
      </c>
      <c r="L223">
        <v>3.3600000000000001E-3</v>
      </c>
      <c r="M223">
        <v>1.6670000000000001E-3</v>
      </c>
      <c r="N223">
        <v>1.2290000000000001E-3</v>
      </c>
      <c r="O223">
        <v>2.4499999999999999E-4</v>
      </c>
      <c r="P223">
        <v>6.7799999999999995E-5</v>
      </c>
    </row>
    <row r="224" spans="2:16" x14ac:dyDescent="0.2">
      <c r="B224">
        <v>1.2042000000000001E-2</v>
      </c>
      <c r="C224">
        <v>0.186306</v>
      </c>
      <c r="D224">
        <v>0.308118</v>
      </c>
      <c r="E224">
        <v>0.26135900000000001</v>
      </c>
      <c r="F224">
        <v>0.15068000000000001</v>
      </c>
      <c r="G224">
        <v>4.0794999999999998E-2</v>
      </c>
      <c r="H224">
        <v>1.1771999999999999E-2</v>
      </c>
      <c r="I224">
        <v>7.0980000000000001E-3</v>
      </c>
      <c r="J224">
        <v>8.0470000000000003E-3</v>
      </c>
      <c r="K224">
        <v>6.4710000000000002E-3</v>
      </c>
      <c r="L224">
        <v>4.5589999999999997E-3</v>
      </c>
      <c r="M224">
        <v>1.7409999999999999E-3</v>
      </c>
      <c r="N224">
        <v>7.2199999999999999E-4</v>
      </c>
      <c r="O224">
        <v>2.2100000000000001E-4</v>
      </c>
      <c r="P224">
        <v>6.9200000000000002E-5</v>
      </c>
    </row>
    <row r="225" spans="2:16" x14ac:dyDescent="0.2">
      <c r="B225">
        <v>3.95E-2</v>
      </c>
      <c r="C225">
        <v>0.21152499999999999</v>
      </c>
      <c r="D225">
        <v>0.28037299999999998</v>
      </c>
      <c r="E225">
        <v>0.16364799999999999</v>
      </c>
      <c r="F225">
        <v>0.152892</v>
      </c>
      <c r="G225">
        <v>8.3939E-2</v>
      </c>
      <c r="H225">
        <v>2.1921E-2</v>
      </c>
      <c r="I225">
        <v>1.0012E-2</v>
      </c>
      <c r="J225">
        <v>1.3972999999999999E-2</v>
      </c>
      <c r="K225">
        <v>1.0706E-2</v>
      </c>
      <c r="L225">
        <v>6.862E-3</v>
      </c>
      <c r="M225">
        <v>3.0690000000000001E-3</v>
      </c>
      <c r="N225">
        <v>1.1529999999999999E-3</v>
      </c>
      <c r="O225">
        <v>2.0599999999999999E-4</v>
      </c>
      <c r="P225">
        <v>2.22E-4</v>
      </c>
    </row>
    <row r="226" spans="2:16" x14ac:dyDescent="0.2">
      <c r="B226">
        <v>4.0340000000000003E-3</v>
      </c>
      <c r="C226">
        <v>0.19093199999999999</v>
      </c>
      <c r="D226">
        <v>0.33992600000000001</v>
      </c>
      <c r="E226">
        <v>0.183116</v>
      </c>
      <c r="F226">
        <v>0.10412399999999999</v>
      </c>
      <c r="G226">
        <v>8.7117E-2</v>
      </c>
      <c r="H226">
        <v>3.4571999999999999E-2</v>
      </c>
      <c r="I226">
        <v>1.5525000000000001E-2</v>
      </c>
      <c r="J226">
        <v>8.9809999999999994E-3</v>
      </c>
      <c r="K226">
        <v>9.8770000000000004E-3</v>
      </c>
      <c r="L226">
        <v>1.0508E-2</v>
      </c>
      <c r="M226">
        <v>6.561E-3</v>
      </c>
      <c r="N226">
        <v>3.192E-3</v>
      </c>
      <c r="O226">
        <v>1.036E-3</v>
      </c>
      <c r="P226">
        <v>5.0000000000000001E-4</v>
      </c>
    </row>
    <row r="227" spans="2:16" x14ac:dyDescent="0.2">
      <c r="B227">
        <v>2.6200000000000003E-4</v>
      </c>
      <c r="C227">
        <v>3.3202000000000002E-2</v>
      </c>
      <c r="D227">
        <v>0.46571299999999999</v>
      </c>
      <c r="E227">
        <v>0.29335</v>
      </c>
      <c r="F227">
        <v>0.10438699999999999</v>
      </c>
      <c r="G227">
        <v>4.7308000000000003E-2</v>
      </c>
      <c r="H227">
        <v>2.3758000000000001E-2</v>
      </c>
      <c r="I227">
        <v>1.3610000000000001E-2</v>
      </c>
      <c r="J227">
        <v>7.4029999999999999E-3</v>
      </c>
      <c r="K227">
        <v>4.2989999999999999E-3</v>
      </c>
      <c r="L227">
        <v>3.4529999999999999E-3</v>
      </c>
      <c r="M227">
        <v>2.1150000000000001E-3</v>
      </c>
      <c r="N227">
        <v>6.9899999999999997E-4</v>
      </c>
      <c r="O227">
        <v>2.9E-4</v>
      </c>
      <c r="P227">
        <v>1.5200000000000001E-4</v>
      </c>
    </row>
    <row r="228" spans="2:16" x14ac:dyDescent="0.2">
      <c r="B228">
        <v>2.3700000000000001E-3</v>
      </c>
      <c r="C228">
        <v>1.2649000000000001E-2</v>
      </c>
      <c r="D228">
        <v>8.0549999999999997E-2</v>
      </c>
      <c r="E228">
        <v>0.58499100000000004</v>
      </c>
      <c r="F228">
        <v>0.21074300000000001</v>
      </c>
      <c r="G228">
        <v>5.1754000000000001E-2</v>
      </c>
      <c r="H228">
        <v>1.7953E-2</v>
      </c>
      <c r="I228">
        <v>1.7972999999999999E-2</v>
      </c>
      <c r="J228">
        <v>1.0743000000000001E-2</v>
      </c>
      <c r="K228">
        <v>4.5310000000000003E-3</v>
      </c>
      <c r="L228">
        <v>2.7039999999999998E-3</v>
      </c>
      <c r="M228">
        <v>1.5870000000000001E-3</v>
      </c>
      <c r="N228">
        <v>9.2800000000000001E-4</v>
      </c>
      <c r="O228">
        <v>3.4400000000000001E-4</v>
      </c>
      <c r="P228">
        <v>1.8000000000000001E-4</v>
      </c>
    </row>
    <row r="229" spans="2:16" x14ac:dyDescent="0.2">
      <c r="B229">
        <v>2.9060000000000002E-3</v>
      </c>
      <c r="C229">
        <v>6.7964999999999998E-2</v>
      </c>
      <c r="D229">
        <v>9.0430999999999997E-2</v>
      </c>
      <c r="E229">
        <v>0.17937800000000001</v>
      </c>
      <c r="F229">
        <v>0.46820899999999999</v>
      </c>
      <c r="G229">
        <v>0.12509300000000001</v>
      </c>
      <c r="H229">
        <v>2.3737999999999999E-2</v>
      </c>
      <c r="I229">
        <v>1.4167000000000001E-2</v>
      </c>
      <c r="J229">
        <v>1.1353E-2</v>
      </c>
      <c r="K229">
        <v>6.3619999999999996E-3</v>
      </c>
      <c r="L229">
        <v>4.3559999999999996E-3</v>
      </c>
      <c r="M229">
        <v>2.8080000000000002E-3</v>
      </c>
      <c r="N229">
        <v>2.0170000000000001E-3</v>
      </c>
      <c r="O229">
        <v>9.9700000000000006E-4</v>
      </c>
      <c r="P229">
        <v>2.1800000000000001E-4</v>
      </c>
    </row>
    <row r="230" spans="2:16" x14ac:dyDescent="0.2">
      <c r="B230">
        <v>1.0820000000000001E-3</v>
      </c>
      <c r="C230">
        <v>2.3623000000000002E-2</v>
      </c>
      <c r="D230">
        <v>4.5693999999999999E-2</v>
      </c>
      <c r="E230">
        <v>0.22206999999999999</v>
      </c>
      <c r="F230">
        <v>0.25354900000000002</v>
      </c>
      <c r="G230">
        <v>0.33724700000000002</v>
      </c>
      <c r="H230">
        <v>6.9013000000000005E-2</v>
      </c>
      <c r="I230">
        <v>1.8339999999999999E-2</v>
      </c>
      <c r="J230">
        <v>1.2938E-2</v>
      </c>
      <c r="K230">
        <v>8.0669999999999995E-3</v>
      </c>
      <c r="L230">
        <v>3.6600000000000001E-3</v>
      </c>
      <c r="M230">
        <v>1.299E-3</v>
      </c>
      <c r="N230">
        <v>1.5100000000000001E-3</v>
      </c>
      <c r="O230">
        <v>8.61E-4</v>
      </c>
      <c r="P230">
        <v>1.0460000000000001E-3</v>
      </c>
    </row>
    <row r="231" spans="2:16" x14ac:dyDescent="0.2">
      <c r="B231">
        <v>1.377E-3</v>
      </c>
      <c r="C231">
        <v>2.8742E-2</v>
      </c>
      <c r="D231">
        <v>0.198541</v>
      </c>
      <c r="E231">
        <v>6.3409999999999994E-2</v>
      </c>
      <c r="F231">
        <v>0.190469</v>
      </c>
      <c r="G231">
        <v>0.16742599999999999</v>
      </c>
      <c r="H231">
        <v>0.23080999999999999</v>
      </c>
      <c r="I231">
        <v>5.8574000000000001E-2</v>
      </c>
      <c r="J231">
        <v>1.9047999999999999E-2</v>
      </c>
      <c r="K231">
        <v>1.3448999999999999E-2</v>
      </c>
      <c r="L231">
        <v>1.2929E-2</v>
      </c>
      <c r="M231">
        <v>5.5529999999999998E-3</v>
      </c>
      <c r="N231">
        <v>4.9090000000000002E-3</v>
      </c>
      <c r="O231">
        <v>2.088E-3</v>
      </c>
      <c r="P231">
        <v>2.6749999999999999E-3</v>
      </c>
    </row>
    <row r="232" spans="2:16" x14ac:dyDescent="0.2">
      <c r="B232">
        <v>1.5139999999999999E-3</v>
      </c>
      <c r="C232">
        <v>4.2153999999999997E-2</v>
      </c>
      <c r="D232">
        <v>4.5221999999999998E-2</v>
      </c>
      <c r="E232">
        <v>0.36684699999999998</v>
      </c>
      <c r="F232">
        <v>0.10492600000000001</v>
      </c>
      <c r="G232">
        <v>0.18529300000000001</v>
      </c>
      <c r="H232">
        <v>0.108734</v>
      </c>
      <c r="I232">
        <v>0.105004</v>
      </c>
      <c r="J232">
        <v>2.9249000000000001E-2</v>
      </c>
      <c r="K232">
        <v>7.4400000000000004E-3</v>
      </c>
      <c r="L232">
        <v>1.637E-3</v>
      </c>
      <c r="M232">
        <v>1.2639999999999999E-3</v>
      </c>
      <c r="N232">
        <v>1.3200000000000001E-4</v>
      </c>
      <c r="O232">
        <v>5.8299999999999997E-4</v>
      </c>
      <c r="P232">
        <v>0</v>
      </c>
    </row>
    <row r="233" spans="2:16" x14ac:dyDescent="0.2">
      <c r="B233">
        <v>0</v>
      </c>
      <c r="C233">
        <v>1.4352999999999999E-2</v>
      </c>
      <c r="D233">
        <v>8.0902000000000002E-2</v>
      </c>
      <c r="E233">
        <v>5.6279000000000003E-2</v>
      </c>
      <c r="F233">
        <v>0.29985800000000001</v>
      </c>
      <c r="G233">
        <v>0.100715</v>
      </c>
      <c r="H233">
        <v>8.8820999999999997E-2</v>
      </c>
      <c r="I233">
        <v>6.5741999999999995E-2</v>
      </c>
      <c r="J233">
        <v>0.179309</v>
      </c>
      <c r="K233">
        <v>3.9206999999999999E-2</v>
      </c>
      <c r="L233">
        <v>2.8063999999999999E-2</v>
      </c>
      <c r="M233">
        <v>1.5557E-2</v>
      </c>
      <c r="N233">
        <v>2.0974E-2</v>
      </c>
      <c r="O233">
        <v>4.4209999999999996E-3</v>
      </c>
      <c r="P233">
        <v>5.7990000000000003E-3</v>
      </c>
    </row>
    <row r="234" spans="2:16" x14ac:dyDescent="0.2">
      <c r="B234">
        <v>0</v>
      </c>
      <c r="C234">
        <v>4.8669999999999998E-3</v>
      </c>
      <c r="D234">
        <v>0.20707800000000001</v>
      </c>
      <c r="E234">
        <v>0.19230800000000001</v>
      </c>
      <c r="F234">
        <v>0.115004</v>
      </c>
      <c r="G234">
        <v>0.24830199999999999</v>
      </c>
      <c r="H234">
        <v>0.10252699999999999</v>
      </c>
      <c r="I234">
        <v>4.7865999999999999E-2</v>
      </c>
      <c r="J234">
        <v>1.7871999999999999E-2</v>
      </c>
      <c r="K234">
        <v>4.4149000000000001E-2</v>
      </c>
      <c r="L234">
        <v>8.3239999999999998E-3</v>
      </c>
      <c r="M234">
        <v>4.6579999999999998E-3</v>
      </c>
      <c r="N234">
        <v>1.7149999999999999E-3</v>
      </c>
      <c r="O234">
        <v>2.506E-3</v>
      </c>
      <c r="P234">
        <v>2.8249999999999998E-3</v>
      </c>
    </row>
    <row r="235" spans="2:16" x14ac:dyDescent="0.2">
      <c r="B235">
        <v>0</v>
      </c>
      <c r="C235">
        <v>2.6710000000000002E-3</v>
      </c>
      <c r="D235">
        <v>3.0904000000000001E-2</v>
      </c>
      <c r="E235">
        <v>8.3527000000000004E-2</v>
      </c>
      <c r="F235">
        <v>0.25288300000000002</v>
      </c>
      <c r="G235">
        <v>9.3473000000000001E-2</v>
      </c>
      <c r="H235">
        <v>0.32077600000000001</v>
      </c>
      <c r="I235">
        <v>5.3997000000000003E-2</v>
      </c>
      <c r="J235">
        <v>5.8166000000000002E-2</v>
      </c>
      <c r="K235">
        <v>1.8176000000000001E-2</v>
      </c>
      <c r="L235">
        <v>7.2330000000000005E-2</v>
      </c>
      <c r="M235">
        <v>6.1019999999999998E-3</v>
      </c>
      <c r="N235">
        <v>2.235E-3</v>
      </c>
      <c r="O235">
        <v>1.436E-3</v>
      </c>
      <c r="P235">
        <v>3.3249999999999998E-3</v>
      </c>
    </row>
    <row r="236" spans="2:16" x14ac:dyDescent="0.2">
      <c r="B236">
        <v>7.5199999999999996E-4</v>
      </c>
      <c r="C236">
        <v>1.8901000000000001E-2</v>
      </c>
      <c r="D236">
        <v>3.2625000000000001E-2</v>
      </c>
      <c r="E236">
        <v>0.12570799999999999</v>
      </c>
      <c r="F236">
        <v>0.114964</v>
      </c>
      <c r="G236">
        <v>0.27363300000000002</v>
      </c>
      <c r="H236">
        <v>7.4005000000000001E-2</v>
      </c>
      <c r="I236">
        <v>0.21101500000000001</v>
      </c>
      <c r="J236">
        <v>3.7631999999999999E-2</v>
      </c>
      <c r="K236">
        <v>5.8368000000000003E-2</v>
      </c>
      <c r="L236">
        <v>5.1780000000000003E-3</v>
      </c>
      <c r="M236">
        <v>3.4402000000000002E-2</v>
      </c>
      <c r="N236">
        <v>4.8650000000000004E-3</v>
      </c>
      <c r="O236">
        <v>2.6770000000000001E-3</v>
      </c>
      <c r="P236">
        <v>5.2750000000000002E-3</v>
      </c>
    </row>
    <row r="237" spans="2:16" x14ac:dyDescent="0.2">
      <c r="B237">
        <v>683577.68649999995</v>
      </c>
      <c r="C237">
        <v>112880087.59999999</v>
      </c>
      <c r="D237">
        <v>43777914.009999998</v>
      </c>
      <c r="E237">
        <v>90273357.909999996</v>
      </c>
      <c r="F237">
        <v>153872046.09999999</v>
      </c>
      <c r="G237">
        <v>184421829</v>
      </c>
      <c r="H237">
        <v>497488473</v>
      </c>
      <c r="I237">
        <v>78130957.209999993</v>
      </c>
      <c r="J237">
        <v>288014647</v>
      </c>
      <c r="K237">
        <v>28863692.300000001</v>
      </c>
      <c r="L237">
        <v>144079922</v>
      </c>
      <c r="M237">
        <v>18687566.960000001</v>
      </c>
      <c r="N237">
        <v>91160640.010000005</v>
      </c>
      <c r="O237">
        <v>22766499.420000002</v>
      </c>
      <c r="P237">
        <v>53323878.909999996</v>
      </c>
    </row>
    <row r="238" spans="2:16" x14ac:dyDescent="0.2">
      <c r="B238">
        <v>1102622.71</v>
      </c>
      <c r="C238">
        <v>84678150.409999996</v>
      </c>
      <c r="D238">
        <v>675761780</v>
      </c>
      <c r="E238">
        <v>130066975.59999999</v>
      </c>
      <c r="F238">
        <v>79592747.510000005</v>
      </c>
      <c r="G238">
        <v>108673587.09999999</v>
      </c>
      <c r="H238">
        <v>133759837.09999999</v>
      </c>
      <c r="I238">
        <v>253630159.09999999</v>
      </c>
      <c r="J238">
        <v>102288403.2</v>
      </c>
      <c r="K238">
        <v>147011284.09999999</v>
      </c>
      <c r="L238">
        <v>57951820.509999998</v>
      </c>
      <c r="M238">
        <v>46342257.420000002</v>
      </c>
      <c r="N238">
        <v>13434732.359999999</v>
      </c>
      <c r="O238">
        <v>43823793.020000003</v>
      </c>
      <c r="P238">
        <v>34480566.710000001</v>
      </c>
    </row>
    <row r="239" spans="2:16" x14ac:dyDescent="0.2">
      <c r="B239">
        <v>66176.086200000005</v>
      </c>
      <c r="C239">
        <v>7426337.108</v>
      </c>
      <c r="D239">
        <v>260512446</v>
      </c>
      <c r="E239">
        <v>1146678408</v>
      </c>
      <c r="F239">
        <v>102976394.2</v>
      </c>
      <c r="G239">
        <v>66160521.509999998</v>
      </c>
      <c r="H239">
        <v>66364140.509999998</v>
      </c>
      <c r="I239">
        <v>56464135.009999998</v>
      </c>
      <c r="J239">
        <v>86182155.409999996</v>
      </c>
      <c r="K239">
        <v>21160222.48</v>
      </c>
      <c r="L239">
        <v>32683045.300000001</v>
      </c>
      <c r="M239">
        <v>12357607.93</v>
      </c>
      <c r="N239">
        <v>13469629.880000001</v>
      </c>
      <c r="O239">
        <v>6761918.4649999999</v>
      </c>
      <c r="P239">
        <v>16115377.16</v>
      </c>
    </row>
    <row r="240" spans="2:16" x14ac:dyDescent="0.2">
      <c r="B240">
        <v>749518.42200000002</v>
      </c>
      <c r="C240">
        <v>30188763.760000002</v>
      </c>
      <c r="D240">
        <v>55145321.109999999</v>
      </c>
      <c r="E240">
        <v>361151313</v>
      </c>
      <c r="F240">
        <v>1059660052</v>
      </c>
      <c r="G240">
        <v>175694392.09999999</v>
      </c>
      <c r="H240">
        <v>53531420.310000002</v>
      </c>
      <c r="I240">
        <v>19105978.469999999</v>
      </c>
      <c r="J240">
        <v>13140716.68</v>
      </c>
      <c r="K240">
        <v>20163830.98</v>
      </c>
      <c r="L240">
        <v>9715240.3139999993</v>
      </c>
      <c r="M240">
        <v>9381880.6300000008</v>
      </c>
      <c r="N240">
        <v>7554972.6100000003</v>
      </c>
      <c r="O240">
        <v>3964841.733</v>
      </c>
      <c r="P240">
        <v>8296523.9560000002</v>
      </c>
    </row>
    <row r="241" spans="2:16" x14ac:dyDescent="0.2">
      <c r="B241">
        <v>10.01</v>
      </c>
      <c r="C241">
        <v>514348.73129999998</v>
      </c>
      <c r="D241">
        <v>72906750.010000005</v>
      </c>
      <c r="E241">
        <v>146786648.09999999</v>
      </c>
      <c r="F241">
        <v>395472518</v>
      </c>
      <c r="G241">
        <v>761106423</v>
      </c>
      <c r="H241">
        <v>136271215.59999999</v>
      </c>
      <c r="I241">
        <v>34575493.259999998</v>
      </c>
      <c r="J241">
        <v>12271419.880000001</v>
      </c>
      <c r="K241">
        <v>7501928.1119999997</v>
      </c>
      <c r="L241">
        <v>17477639.98</v>
      </c>
      <c r="M241">
        <v>5003650.858</v>
      </c>
      <c r="N241">
        <v>5813572.4649999999</v>
      </c>
      <c r="O241">
        <v>1657103.0390000001</v>
      </c>
      <c r="P241">
        <v>8920126.6319999993</v>
      </c>
    </row>
    <row r="242" spans="2:16" x14ac:dyDescent="0.2">
      <c r="B242">
        <v>10.01</v>
      </c>
      <c r="C242">
        <v>21661749.059999999</v>
      </c>
      <c r="D242">
        <v>48084775.630000003</v>
      </c>
      <c r="E242">
        <v>71786097.109999999</v>
      </c>
      <c r="F242">
        <v>160974891.40000001</v>
      </c>
      <c r="G242">
        <v>361906141</v>
      </c>
      <c r="H242">
        <v>481726893</v>
      </c>
      <c r="I242">
        <v>184638424</v>
      </c>
      <c r="J242">
        <v>33635762.390000001</v>
      </c>
      <c r="K242">
        <v>13448442.539999999</v>
      </c>
      <c r="L242">
        <v>7948499.9060000004</v>
      </c>
      <c r="M242">
        <v>8813779.6840000004</v>
      </c>
      <c r="N242">
        <v>4335450.8320000004</v>
      </c>
      <c r="O242">
        <v>5834544.733</v>
      </c>
      <c r="P242">
        <v>5304501.818</v>
      </c>
    </row>
    <row r="243" spans="2:16" x14ac:dyDescent="0.2">
      <c r="B243">
        <v>1030661.437</v>
      </c>
      <c r="C243">
        <v>77692162.959999993</v>
      </c>
      <c r="D243">
        <v>40326288.640000001</v>
      </c>
      <c r="E243">
        <v>118974612.2</v>
      </c>
      <c r="F243">
        <v>455137955</v>
      </c>
      <c r="G243">
        <v>288956822</v>
      </c>
      <c r="H243">
        <v>256371888</v>
      </c>
      <c r="I243">
        <v>198555207.90000001</v>
      </c>
      <c r="J243">
        <v>64018159.780000001</v>
      </c>
      <c r="K243">
        <v>13335152.93</v>
      </c>
      <c r="L243">
        <v>5970266.6279999996</v>
      </c>
      <c r="M243">
        <v>4646495.4380000001</v>
      </c>
      <c r="N243">
        <v>2894759.389</v>
      </c>
      <c r="O243">
        <v>4781315.8990000002</v>
      </c>
      <c r="P243">
        <v>9119169.1989999991</v>
      </c>
    </row>
    <row r="244" spans="2:16" x14ac:dyDescent="0.2">
      <c r="B244">
        <v>288387.87599999999</v>
      </c>
      <c r="C244">
        <v>42025190.850000001</v>
      </c>
      <c r="D244">
        <v>84532243.609999999</v>
      </c>
      <c r="E244">
        <v>70495498.310000002</v>
      </c>
      <c r="F244">
        <v>153354716.30000001</v>
      </c>
      <c r="G244">
        <v>702792242</v>
      </c>
      <c r="H244">
        <v>199570187</v>
      </c>
      <c r="I244">
        <v>131723436.59999999</v>
      </c>
      <c r="J244">
        <v>110744188.2</v>
      </c>
      <c r="K244">
        <v>27795326.129999999</v>
      </c>
      <c r="L244">
        <v>6145318.7350000003</v>
      </c>
      <c r="M244">
        <v>5564851.3229999999</v>
      </c>
      <c r="N244">
        <v>2554789.2949999999</v>
      </c>
      <c r="O244">
        <v>2502242.6039999998</v>
      </c>
      <c r="P244">
        <v>4485326.16</v>
      </c>
    </row>
    <row r="245" spans="2:16" x14ac:dyDescent="0.2">
      <c r="B245">
        <v>232574.122</v>
      </c>
      <c r="C245">
        <v>10347391.939999999</v>
      </c>
      <c r="D245">
        <v>298714375</v>
      </c>
      <c r="E245">
        <v>225033344</v>
      </c>
      <c r="F245">
        <v>103037474.59999999</v>
      </c>
      <c r="G245">
        <v>157017987</v>
      </c>
      <c r="H245">
        <v>469737146</v>
      </c>
      <c r="I245">
        <v>130998451.90000001</v>
      </c>
      <c r="J245">
        <v>56503034.210000001</v>
      </c>
      <c r="K245">
        <v>33180522.91</v>
      </c>
      <c r="L245">
        <v>3960079.81</v>
      </c>
      <c r="M245">
        <v>2183842.693</v>
      </c>
      <c r="N245">
        <v>856727.32369999995</v>
      </c>
      <c r="O245">
        <v>477398.84600000002</v>
      </c>
      <c r="P245">
        <v>2061280.6310000001</v>
      </c>
    </row>
    <row r="246" spans="2:16" x14ac:dyDescent="0.2">
      <c r="B246">
        <v>10.01</v>
      </c>
      <c r="C246">
        <v>16076799.82</v>
      </c>
      <c r="D246">
        <v>82441649.609999999</v>
      </c>
      <c r="E246">
        <v>428501215</v>
      </c>
      <c r="F246">
        <v>346512365</v>
      </c>
      <c r="G246">
        <v>106681580.3</v>
      </c>
      <c r="H246">
        <v>168385380</v>
      </c>
      <c r="I246">
        <v>357715947</v>
      </c>
      <c r="J246">
        <v>84913329.409999996</v>
      </c>
      <c r="K246">
        <v>29722613.809999999</v>
      </c>
      <c r="L246">
        <v>22045490.030000001</v>
      </c>
      <c r="M246">
        <v>5245899.7439999999</v>
      </c>
      <c r="N246">
        <v>1418259.091</v>
      </c>
      <c r="O246">
        <v>608842.92599999998</v>
      </c>
      <c r="P246">
        <v>953442.44400000002</v>
      </c>
    </row>
    <row r="247" spans="2:16" x14ac:dyDescent="0.2">
      <c r="B247">
        <v>10.01</v>
      </c>
      <c r="C247">
        <v>3213822.02</v>
      </c>
      <c r="D247">
        <v>42795561.009999998</v>
      </c>
      <c r="E247">
        <v>154501107</v>
      </c>
      <c r="F247">
        <v>581039831</v>
      </c>
      <c r="G247">
        <v>415044527</v>
      </c>
      <c r="H247">
        <v>137184794</v>
      </c>
      <c r="I247">
        <v>129002921.09999999</v>
      </c>
      <c r="J247">
        <v>157229590</v>
      </c>
      <c r="K247">
        <v>57854815.909999996</v>
      </c>
      <c r="L247">
        <v>33643741.509999998</v>
      </c>
      <c r="M247">
        <v>16205780.640000001</v>
      </c>
      <c r="N247">
        <v>5486037.2319999998</v>
      </c>
      <c r="O247">
        <v>3091053.1239999998</v>
      </c>
      <c r="P247">
        <v>1948606.281</v>
      </c>
    </row>
    <row r="248" spans="2:16" x14ac:dyDescent="0.2">
      <c r="B248">
        <v>773336.06900000002</v>
      </c>
      <c r="C248">
        <v>47047125.409999996</v>
      </c>
      <c r="D248">
        <v>108051655.90000001</v>
      </c>
      <c r="E248">
        <v>217818117</v>
      </c>
      <c r="F248">
        <v>287550103</v>
      </c>
      <c r="G248">
        <v>606330902</v>
      </c>
      <c r="H248">
        <v>267955745</v>
      </c>
      <c r="I248">
        <v>98464239.409999996</v>
      </c>
      <c r="J248">
        <v>85885590.810000002</v>
      </c>
      <c r="K248">
        <v>93924689.409999996</v>
      </c>
      <c r="L248">
        <v>34608141.210000001</v>
      </c>
      <c r="M248">
        <v>14401940.32</v>
      </c>
      <c r="N248">
        <v>11043775.810000001</v>
      </c>
      <c r="O248">
        <v>2955356.071</v>
      </c>
      <c r="P248">
        <v>1814928.1310000001</v>
      </c>
    </row>
    <row r="249" spans="2:16" x14ac:dyDescent="0.2">
      <c r="B249">
        <v>10.01</v>
      </c>
      <c r="C249">
        <v>14537705.939999999</v>
      </c>
      <c r="D249">
        <v>411772506</v>
      </c>
      <c r="E249">
        <v>324118314</v>
      </c>
      <c r="F249">
        <v>360408645</v>
      </c>
      <c r="G249">
        <v>301476089</v>
      </c>
      <c r="H249">
        <v>337593895</v>
      </c>
      <c r="I249">
        <v>158551811</v>
      </c>
      <c r="J249">
        <v>49422631.710000001</v>
      </c>
      <c r="K249">
        <v>39279391.710000001</v>
      </c>
      <c r="L249">
        <v>35708840.710000001</v>
      </c>
      <c r="M249">
        <v>22936312.140000001</v>
      </c>
      <c r="N249">
        <v>6619177.4100000001</v>
      </c>
      <c r="O249">
        <v>3644751.7930000001</v>
      </c>
      <c r="P249">
        <v>3185389.2280000001</v>
      </c>
    </row>
    <row r="250" spans="2:16" x14ac:dyDescent="0.2">
      <c r="B250">
        <v>10.01</v>
      </c>
      <c r="C250">
        <v>539189.04579999996</v>
      </c>
      <c r="D250">
        <v>89601071.609999999</v>
      </c>
      <c r="E250">
        <v>831121296</v>
      </c>
      <c r="F250">
        <v>480648050</v>
      </c>
      <c r="G250">
        <v>236817934</v>
      </c>
      <c r="H250">
        <v>169278792</v>
      </c>
      <c r="I250">
        <v>156280836</v>
      </c>
      <c r="J250">
        <v>64958948.409999996</v>
      </c>
      <c r="K250">
        <v>16118106.199999999</v>
      </c>
      <c r="L250">
        <v>17061328.109999999</v>
      </c>
      <c r="M250">
        <v>25272130.73</v>
      </c>
      <c r="N250">
        <v>9448394.4450000003</v>
      </c>
      <c r="O250">
        <v>5918670.2810000004</v>
      </c>
      <c r="P250">
        <v>6872391.2050000001</v>
      </c>
    </row>
    <row r="251" spans="2:16" x14ac:dyDescent="0.2">
      <c r="B251">
        <v>10.01</v>
      </c>
      <c r="C251">
        <v>4794922.7249999996</v>
      </c>
      <c r="D251">
        <v>52152254.310000002</v>
      </c>
      <c r="E251">
        <v>392851182</v>
      </c>
      <c r="F251">
        <v>863793397</v>
      </c>
      <c r="G251">
        <v>484636439</v>
      </c>
      <c r="H251">
        <v>159461867.80000001</v>
      </c>
      <c r="I251">
        <v>68082212.709999993</v>
      </c>
      <c r="J251">
        <v>66622232.710000001</v>
      </c>
      <c r="K251">
        <v>30103697.510000002</v>
      </c>
      <c r="L251">
        <v>9999117.6500000004</v>
      </c>
      <c r="M251">
        <v>9143208.4179999996</v>
      </c>
      <c r="N251">
        <v>3193846.0109999999</v>
      </c>
      <c r="O251">
        <v>2482031.6839999999</v>
      </c>
      <c r="P251">
        <v>3407546.6519999998</v>
      </c>
    </row>
    <row r="252" spans="2:16" x14ac:dyDescent="0.2">
      <c r="B252">
        <v>10.01</v>
      </c>
      <c r="C252">
        <v>9895886.5199999996</v>
      </c>
      <c r="D252">
        <v>84176891.909999996</v>
      </c>
      <c r="E252">
        <v>295759678</v>
      </c>
      <c r="F252">
        <v>619632534</v>
      </c>
      <c r="G252">
        <v>597614109</v>
      </c>
      <c r="H252">
        <v>278588973</v>
      </c>
      <c r="I252">
        <v>107342919.8</v>
      </c>
      <c r="J252">
        <v>48018542.609999999</v>
      </c>
      <c r="K252">
        <v>38365705.909999996</v>
      </c>
      <c r="L252">
        <v>17699070.449999999</v>
      </c>
      <c r="M252">
        <v>8242374.8880000003</v>
      </c>
      <c r="N252">
        <v>8312301.5719999997</v>
      </c>
      <c r="O252">
        <v>5320452.8049999997</v>
      </c>
      <c r="P252">
        <v>7217231.5690000001</v>
      </c>
    </row>
    <row r="253" spans="2:16" x14ac:dyDescent="0.2">
      <c r="B253">
        <v>1659659.51</v>
      </c>
      <c r="C253">
        <v>15740402.41</v>
      </c>
      <c r="D253">
        <v>59186795.609999999</v>
      </c>
      <c r="E253">
        <v>139160578.09999999</v>
      </c>
      <c r="F253">
        <v>389416425</v>
      </c>
      <c r="G253">
        <v>511985965</v>
      </c>
      <c r="H253">
        <v>300781142</v>
      </c>
      <c r="I253">
        <v>137084477.09999999</v>
      </c>
      <c r="J253">
        <v>47608280.409999996</v>
      </c>
      <c r="K253">
        <v>27511730.010000002</v>
      </c>
      <c r="L253">
        <v>21870333.649999999</v>
      </c>
      <c r="M253">
        <v>8918290.4299999997</v>
      </c>
      <c r="N253">
        <v>6530115.4550000001</v>
      </c>
      <c r="O253">
        <v>3405030.449</v>
      </c>
      <c r="P253">
        <v>10792885.029999999</v>
      </c>
    </row>
    <row r="254" spans="2:16" x14ac:dyDescent="0.2">
      <c r="B254">
        <v>10.01</v>
      </c>
      <c r="C254">
        <v>25191428.109999999</v>
      </c>
      <c r="D254">
        <v>58819667.409999996</v>
      </c>
      <c r="E254">
        <v>79220410.510000005</v>
      </c>
      <c r="F254">
        <v>147007514</v>
      </c>
      <c r="G254">
        <v>309671751</v>
      </c>
      <c r="H254">
        <v>242289071</v>
      </c>
      <c r="I254">
        <v>148734019</v>
      </c>
      <c r="J254">
        <v>84275085.909999996</v>
      </c>
      <c r="K254">
        <v>22177833.210000001</v>
      </c>
      <c r="L254">
        <v>17567691.48</v>
      </c>
      <c r="M254">
        <v>14435328.119999999</v>
      </c>
      <c r="N254">
        <v>8632981.3900000006</v>
      </c>
      <c r="O254">
        <v>2769452.5060000001</v>
      </c>
      <c r="P254">
        <v>12654646.67</v>
      </c>
    </row>
    <row r="255" spans="2:16" x14ac:dyDescent="0.2">
      <c r="B255">
        <v>10.01</v>
      </c>
      <c r="C255">
        <v>1316264.335</v>
      </c>
      <c r="D255">
        <v>175524081</v>
      </c>
      <c r="E255">
        <v>200579592</v>
      </c>
      <c r="F255">
        <v>82553813.310000002</v>
      </c>
      <c r="G255">
        <v>114443557.09999999</v>
      </c>
      <c r="H255">
        <v>124315764.40000001</v>
      </c>
      <c r="I255">
        <v>104320639.09999999</v>
      </c>
      <c r="J255">
        <v>66639422.909999996</v>
      </c>
      <c r="K255">
        <v>40218133.210000001</v>
      </c>
      <c r="L255">
        <v>23534400.190000001</v>
      </c>
      <c r="M255">
        <v>7615950.9469999997</v>
      </c>
      <c r="N255">
        <v>7466164.9579999996</v>
      </c>
      <c r="O255">
        <v>2709725.9580000001</v>
      </c>
      <c r="P255">
        <v>8729662.1789999995</v>
      </c>
    </row>
    <row r="256" spans="2:16" x14ac:dyDescent="0.2">
      <c r="B256">
        <v>1080865.9709999999</v>
      </c>
      <c r="C256">
        <v>26460160.579999998</v>
      </c>
      <c r="D256">
        <v>31848667.649999999</v>
      </c>
      <c r="E256">
        <v>559371810</v>
      </c>
      <c r="F256">
        <v>220484882</v>
      </c>
      <c r="G256">
        <v>54738225.909999996</v>
      </c>
      <c r="H256">
        <v>43008810.310000002</v>
      </c>
      <c r="I256">
        <v>57679465.310000002</v>
      </c>
      <c r="J256">
        <v>51779004.609999999</v>
      </c>
      <c r="K256">
        <v>31823597.710000001</v>
      </c>
      <c r="L256">
        <v>15964115.779999999</v>
      </c>
      <c r="M256">
        <v>8632812.9600000009</v>
      </c>
      <c r="N256">
        <v>5960336.977</v>
      </c>
      <c r="O256">
        <v>4375459.932</v>
      </c>
      <c r="P256">
        <v>5104523.9400000004</v>
      </c>
    </row>
    <row r="257" spans="2:43" x14ac:dyDescent="0.2">
      <c r="B257">
        <v>382132.80099999998</v>
      </c>
      <c r="C257">
        <v>10353313.85</v>
      </c>
      <c r="D257">
        <v>193325234</v>
      </c>
      <c r="E257">
        <v>115370308.09999999</v>
      </c>
      <c r="F257">
        <v>809168093</v>
      </c>
      <c r="G257">
        <v>284700260</v>
      </c>
      <c r="H257">
        <v>63564863.710000001</v>
      </c>
      <c r="I257">
        <v>37514185.310000002</v>
      </c>
      <c r="J257">
        <v>38494702.210000001</v>
      </c>
      <c r="K257">
        <v>41410187.909999996</v>
      </c>
      <c r="L257">
        <v>25804157.68</v>
      </c>
      <c r="M257">
        <v>12465707.98</v>
      </c>
      <c r="N257">
        <v>1758179.183</v>
      </c>
      <c r="O257">
        <v>3976205.4019999998</v>
      </c>
      <c r="P257">
        <v>4329527.4709999999</v>
      </c>
    </row>
    <row r="258" spans="2:43" x14ac:dyDescent="0.2">
      <c r="B258">
        <v>10.01</v>
      </c>
      <c r="C258">
        <v>22271670.350000001</v>
      </c>
      <c r="D258">
        <v>116748216.59999999</v>
      </c>
      <c r="E258">
        <v>946698186</v>
      </c>
      <c r="F258">
        <v>172786112</v>
      </c>
      <c r="G258">
        <v>432561298</v>
      </c>
      <c r="H258">
        <v>141550739.19999999</v>
      </c>
      <c r="I258">
        <v>36681205.210000001</v>
      </c>
      <c r="J258">
        <v>17431762.809999999</v>
      </c>
      <c r="K258">
        <v>14602365.66</v>
      </c>
      <c r="L258">
        <v>15918743.07</v>
      </c>
      <c r="M258">
        <v>13491820.460000001</v>
      </c>
      <c r="N258">
        <v>7408031.7189999996</v>
      </c>
      <c r="O258">
        <v>6143460.6160000004</v>
      </c>
      <c r="P258">
        <v>3331263.8760000002</v>
      </c>
    </row>
    <row r="259" spans="2:43" x14ac:dyDescent="0.2">
      <c r="B259">
        <v>1845981.1070000001</v>
      </c>
      <c r="C259">
        <v>972163.06389999995</v>
      </c>
      <c r="D259">
        <v>63950723.609999999</v>
      </c>
      <c r="E259">
        <v>342392381</v>
      </c>
      <c r="F259">
        <v>955865746</v>
      </c>
      <c r="G259">
        <v>194432701</v>
      </c>
      <c r="H259">
        <v>156538329.59999999</v>
      </c>
      <c r="I259">
        <v>69971108.609999999</v>
      </c>
      <c r="J259">
        <v>20678954.109999999</v>
      </c>
      <c r="K259">
        <v>12750152.460000001</v>
      </c>
      <c r="L259">
        <v>12754855.85</v>
      </c>
      <c r="M259">
        <v>10850689.279999999</v>
      </c>
      <c r="N259">
        <v>7832136.4019999998</v>
      </c>
      <c r="O259">
        <v>4806117.2829999998</v>
      </c>
      <c r="P259">
        <v>5704861.8530000001</v>
      </c>
    </row>
    <row r="260" spans="2:43" x14ac:dyDescent="0.2">
      <c r="B260">
        <v>10.01</v>
      </c>
      <c r="C260">
        <v>39223065.109999999</v>
      </c>
      <c r="D260">
        <v>31030785.399999999</v>
      </c>
      <c r="E260">
        <v>167779249</v>
      </c>
      <c r="F260">
        <v>399292361</v>
      </c>
      <c r="G260">
        <v>751755415</v>
      </c>
      <c r="H260">
        <v>210227072</v>
      </c>
      <c r="I260">
        <v>86232072.609999999</v>
      </c>
      <c r="J260">
        <v>29830652.170000002</v>
      </c>
      <c r="K260">
        <v>8966021.1750000007</v>
      </c>
      <c r="L260">
        <v>4490470.2709999997</v>
      </c>
      <c r="M260">
        <v>4525356.6689999998</v>
      </c>
      <c r="N260">
        <v>4564547.716</v>
      </c>
      <c r="O260">
        <v>2764189.6949999998</v>
      </c>
      <c r="P260">
        <v>6021388.966</v>
      </c>
    </row>
    <row r="261" spans="2:43" x14ac:dyDescent="0.2">
      <c r="B261">
        <v>10.01</v>
      </c>
      <c r="C261">
        <v>15473070.68</v>
      </c>
      <c r="D261">
        <v>632440232</v>
      </c>
      <c r="E261">
        <v>196403930</v>
      </c>
      <c r="F261">
        <v>228574623</v>
      </c>
      <c r="G261">
        <v>384287025</v>
      </c>
      <c r="H261">
        <v>510140133</v>
      </c>
      <c r="I261">
        <v>88813654.209999993</v>
      </c>
      <c r="J261">
        <v>42130083.609999999</v>
      </c>
      <c r="K261">
        <v>17652618.170000002</v>
      </c>
      <c r="L261">
        <v>2935556.8650000002</v>
      </c>
      <c r="M261">
        <v>2054431.4029999999</v>
      </c>
      <c r="N261">
        <v>3094457.0559999999</v>
      </c>
      <c r="O261">
        <v>2657477.94</v>
      </c>
      <c r="P261">
        <v>1223314.7120000001</v>
      </c>
    </row>
    <row r="262" spans="2:43" x14ac:dyDescent="0.2">
      <c r="B262">
        <v>10.01</v>
      </c>
      <c r="C262">
        <v>497356.55</v>
      </c>
      <c r="D262">
        <v>90562431.010000005</v>
      </c>
      <c r="E262">
        <v>1390295060</v>
      </c>
      <c r="F262">
        <v>159881714</v>
      </c>
      <c r="G262">
        <v>174494884</v>
      </c>
      <c r="H262">
        <v>174787363.80000001</v>
      </c>
      <c r="I262">
        <v>224671818</v>
      </c>
      <c r="J262">
        <v>34077950.469999999</v>
      </c>
      <c r="K262">
        <v>13820848.689999999</v>
      </c>
      <c r="L262">
        <v>7996324.7050000001</v>
      </c>
      <c r="M262">
        <v>485203.34</v>
      </c>
      <c r="N262">
        <v>1177049.9310000001</v>
      </c>
      <c r="O262">
        <v>669340.65859999997</v>
      </c>
      <c r="P262">
        <v>995900.79200000002</v>
      </c>
    </row>
    <row r="263" spans="2:43" x14ac:dyDescent="0.2">
      <c r="B263">
        <v>10.01</v>
      </c>
      <c r="C263">
        <v>2176131.844</v>
      </c>
      <c r="D263">
        <v>28170152.850000001</v>
      </c>
      <c r="E263">
        <v>549073706</v>
      </c>
      <c r="F263">
        <v>899023001</v>
      </c>
      <c r="G263">
        <v>215492501</v>
      </c>
      <c r="H263">
        <v>147563028.90000001</v>
      </c>
      <c r="I263">
        <v>122129148.2</v>
      </c>
      <c r="J263">
        <v>97250345.909999996</v>
      </c>
      <c r="K263">
        <v>21756105.02</v>
      </c>
      <c r="L263">
        <v>7215204.8289999999</v>
      </c>
      <c r="M263">
        <v>5605538.0329999998</v>
      </c>
      <c r="N263">
        <v>493501.16100000002</v>
      </c>
      <c r="O263">
        <v>244975.31289999999</v>
      </c>
      <c r="P263">
        <v>126429.88069999999</v>
      </c>
    </row>
    <row r="264" spans="2:43" x14ac:dyDescent="0.2">
      <c r="B264">
        <v>10.01</v>
      </c>
      <c r="C264">
        <v>1297287.3089999999</v>
      </c>
      <c r="D264">
        <v>13801701.369999999</v>
      </c>
      <c r="E264">
        <v>115017723.7</v>
      </c>
      <c r="F264">
        <v>1216103650</v>
      </c>
      <c r="G264">
        <v>506565156</v>
      </c>
      <c r="H264">
        <v>104803470.5</v>
      </c>
      <c r="I264">
        <v>81982744.709999993</v>
      </c>
      <c r="J264">
        <v>60624830.609999999</v>
      </c>
      <c r="K264">
        <v>25893995.109999999</v>
      </c>
      <c r="L264">
        <v>4271129.1440000003</v>
      </c>
      <c r="M264">
        <v>1098497.814</v>
      </c>
      <c r="N264">
        <v>362962.71360000002</v>
      </c>
      <c r="O264">
        <v>636166.82200000004</v>
      </c>
      <c r="P264">
        <v>496008.41700000002</v>
      </c>
    </row>
    <row r="265" spans="2:43" x14ac:dyDescent="0.2">
      <c r="B265">
        <v>695024.07700000005</v>
      </c>
      <c r="C265">
        <v>10900812.699999999</v>
      </c>
      <c r="D265">
        <v>12311938.07</v>
      </c>
      <c r="E265">
        <v>18362616.07</v>
      </c>
      <c r="F265">
        <v>157598985</v>
      </c>
      <c r="G265">
        <v>916763100</v>
      </c>
      <c r="H265">
        <v>422457032</v>
      </c>
      <c r="I265">
        <v>93181390.310000002</v>
      </c>
      <c r="J265">
        <v>52142666.210000001</v>
      </c>
      <c r="K265">
        <v>52991770.710000001</v>
      </c>
      <c r="L265">
        <v>10059287.880000001</v>
      </c>
      <c r="M265">
        <v>2908105.3169999998</v>
      </c>
      <c r="N265">
        <v>842910.49600000004</v>
      </c>
      <c r="O265">
        <v>10.01</v>
      </c>
      <c r="P265">
        <v>10.01</v>
      </c>
    </row>
    <row r="266" spans="2:43" x14ac:dyDescent="0.2">
      <c r="B266">
        <v>3476126.51</v>
      </c>
      <c r="C266">
        <v>247726422</v>
      </c>
      <c r="D266">
        <v>85517629.109999999</v>
      </c>
      <c r="E266">
        <v>101053199.09999999</v>
      </c>
      <c r="F266">
        <v>135160730.69999999</v>
      </c>
      <c r="G266">
        <v>551129278</v>
      </c>
      <c r="H266">
        <v>597816179</v>
      </c>
      <c r="I266">
        <v>123958081.90000001</v>
      </c>
      <c r="J266">
        <v>52764647.310000002</v>
      </c>
      <c r="K266">
        <v>38639087.409999996</v>
      </c>
      <c r="L266">
        <v>27260537.210000001</v>
      </c>
      <c r="M266">
        <v>6787570.8090000004</v>
      </c>
      <c r="N266">
        <v>1787349.26</v>
      </c>
      <c r="O266">
        <v>1134716.9380000001</v>
      </c>
      <c r="P266">
        <v>10.01</v>
      </c>
    </row>
    <row r="267" spans="2:43" x14ac:dyDescent="0.2">
      <c r="B267">
        <v>10.01</v>
      </c>
      <c r="C267">
        <v>111454376.40000001</v>
      </c>
      <c r="D267">
        <v>1296951490</v>
      </c>
      <c r="E267">
        <v>144173547.69999999</v>
      </c>
      <c r="F267">
        <v>110067421.90000001</v>
      </c>
      <c r="G267">
        <v>107224523.8</v>
      </c>
      <c r="H267">
        <v>309628227</v>
      </c>
      <c r="I267">
        <v>296046660</v>
      </c>
      <c r="J267">
        <v>72136752.109999999</v>
      </c>
      <c r="K267">
        <v>26546165.710000001</v>
      </c>
      <c r="L267">
        <v>16152710.33</v>
      </c>
      <c r="M267">
        <v>8510700.1799999997</v>
      </c>
      <c r="N267">
        <v>2052297.4350000001</v>
      </c>
      <c r="O267">
        <v>10.01</v>
      </c>
      <c r="P267">
        <v>420558.35700000002</v>
      </c>
    </row>
    <row r="268" spans="2:43" x14ac:dyDescent="0.2">
      <c r="B268">
        <v>10.01</v>
      </c>
      <c r="C268">
        <v>62263751.710000001</v>
      </c>
      <c r="D268">
        <v>174468598</v>
      </c>
      <c r="E268">
        <v>1035401758</v>
      </c>
      <c r="F268">
        <v>183671217</v>
      </c>
      <c r="G268">
        <v>70439397.709999993</v>
      </c>
      <c r="H268">
        <v>79535291.209999993</v>
      </c>
      <c r="I268">
        <v>141917897</v>
      </c>
      <c r="J268">
        <v>81128750.609999999</v>
      </c>
      <c r="K268">
        <v>16332880.01</v>
      </c>
      <c r="L268">
        <v>11268962.82</v>
      </c>
      <c r="M268">
        <v>4077990.375</v>
      </c>
      <c r="N268">
        <v>5964372.7910000002</v>
      </c>
      <c r="O268">
        <v>1022329.703</v>
      </c>
      <c r="P268">
        <v>10.01</v>
      </c>
    </row>
    <row r="269" spans="2:43" x14ac:dyDescent="0.2">
      <c r="B269">
        <v>0</v>
      </c>
      <c r="C269">
        <v>25232198.77</v>
      </c>
      <c r="D269">
        <v>86614446.099999994</v>
      </c>
      <c r="E269">
        <v>263022799</v>
      </c>
      <c r="F269">
        <v>1473087580</v>
      </c>
      <c r="G269">
        <v>227246260</v>
      </c>
      <c r="H269">
        <v>29365171.41</v>
      </c>
      <c r="I269">
        <v>45350426.100000001</v>
      </c>
      <c r="J269">
        <v>63553232.299999997</v>
      </c>
      <c r="K269">
        <v>42627308.700000003</v>
      </c>
      <c r="L269">
        <v>18819884.960000001</v>
      </c>
      <c r="M269">
        <v>5427190.2690000003</v>
      </c>
      <c r="N269">
        <v>8562165.3169999998</v>
      </c>
      <c r="O269">
        <v>2600553.2519999999</v>
      </c>
      <c r="P269">
        <v>360089.97399999999</v>
      </c>
    </row>
    <row r="270" spans="2:43" x14ac:dyDescent="0.2">
      <c r="B270" t="s">
        <v>40</v>
      </c>
    </row>
    <row r="271" spans="2:43" x14ac:dyDescent="0.2">
      <c r="B271">
        <v>3871.0459390000001</v>
      </c>
      <c r="C271">
        <v>8918.5511019999994</v>
      </c>
      <c r="D271">
        <v>6575.0151669999996</v>
      </c>
      <c r="E271">
        <v>7504.611645</v>
      </c>
      <c r="F271">
        <v>7235.8775230000001</v>
      </c>
      <c r="G271">
        <v>7576.0389709999999</v>
      </c>
      <c r="H271">
        <v>11799.52504</v>
      </c>
      <c r="I271">
        <v>9942.6019049999995</v>
      </c>
      <c r="J271">
        <v>11581.25353</v>
      </c>
      <c r="K271">
        <v>7129.5871820000002</v>
      </c>
      <c r="L271">
        <v>6643.4370959999997</v>
      </c>
      <c r="M271">
        <v>7849.2699270000003</v>
      </c>
      <c r="N271">
        <v>7094.434902</v>
      </c>
      <c r="O271">
        <v>6597.1877519999998</v>
      </c>
      <c r="P271">
        <v>3954.2552799999999</v>
      </c>
      <c r="Q271">
        <v>4371.5177819999999</v>
      </c>
      <c r="R271">
        <v>3417.6068089999999</v>
      </c>
      <c r="S271">
        <v>5613.6441930000001</v>
      </c>
      <c r="T271">
        <v>7246.347745</v>
      </c>
      <c r="U271">
        <v>6066.5698199999997</v>
      </c>
      <c r="V271">
        <v>6740.6031629999998</v>
      </c>
      <c r="W271">
        <v>11239.16293</v>
      </c>
      <c r="X271">
        <v>5499.9549989999996</v>
      </c>
      <c r="Y271">
        <v>6972.3812310000003</v>
      </c>
      <c r="Z271">
        <v>4190.3456269999997</v>
      </c>
      <c r="AA271">
        <v>6777.4522699999998</v>
      </c>
      <c r="AB271">
        <v>4293.2609899999998</v>
      </c>
      <c r="AC271">
        <v>2820.2155029999999</v>
      </c>
      <c r="AD271">
        <v>5271.6197169999996</v>
      </c>
      <c r="AE271">
        <v>4505.989345</v>
      </c>
      <c r="AF271">
        <v>5144.3933059999999</v>
      </c>
      <c r="AG271">
        <v>6712.5897660000001</v>
      </c>
      <c r="AH271">
        <v>11616.5106</v>
      </c>
      <c r="AI271">
        <v>11215.70685</v>
      </c>
      <c r="AJ271">
        <v>8274.5087000000003</v>
      </c>
      <c r="AK271">
        <v>8855.0421580000002</v>
      </c>
      <c r="AL271">
        <v>4266.8753660000002</v>
      </c>
      <c r="AM271">
        <v>9257.4193520000008</v>
      </c>
      <c r="AN271">
        <v>4889.1625469999999</v>
      </c>
      <c r="AO271">
        <v>6531.4320889999999</v>
      </c>
      <c r="AP271">
        <v>4945.3875310000003</v>
      </c>
      <c r="AQ271">
        <v>9407.4635710000002</v>
      </c>
    </row>
    <row r="272" spans="2:43" x14ac:dyDescent="0.2">
      <c r="B272" t="s">
        <v>41</v>
      </c>
    </row>
    <row r="273" spans="2:43" x14ac:dyDescent="0.2">
      <c r="B273">
        <v>281.13569210000003</v>
      </c>
      <c r="C273">
        <v>574.06930350000005</v>
      </c>
      <c r="D273">
        <v>438.60937469999999</v>
      </c>
      <c r="E273">
        <v>557.25301330000002</v>
      </c>
      <c r="F273">
        <v>526.32568679999997</v>
      </c>
      <c r="G273">
        <v>594.56968830000005</v>
      </c>
      <c r="H273">
        <v>965.78152769999997</v>
      </c>
      <c r="I273">
        <v>696.62167780000004</v>
      </c>
      <c r="J273">
        <v>990.0872961</v>
      </c>
      <c r="K273">
        <v>486.41921810000002</v>
      </c>
      <c r="L273">
        <v>458.54205830000001</v>
      </c>
      <c r="M273">
        <v>499.25335669999998</v>
      </c>
      <c r="N273">
        <v>464.27843180000002</v>
      </c>
      <c r="O273">
        <v>546.7804003</v>
      </c>
      <c r="P273">
        <v>242.12354640000001</v>
      </c>
      <c r="Q273">
        <v>275.2375045</v>
      </c>
      <c r="R273">
        <v>209.0911189</v>
      </c>
      <c r="S273">
        <v>401.89762359999997</v>
      </c>
      <c r="T273">
        <v>511.59845639999998</v>
      </c>
      <c r="U273">
        <v>398.99012049999999</v>
      </c>
      <c r="V273">
        <v>392.63135160000002</v>
      </c>
      <c r="W273">
        <v>769.00304640000002</v>
      </c>
      <c r="X273">
        <v>347.54762240000002</v>
      </c>
      <c r="Y273">
        <v>464.20517080000002</v>
      </c>
      <c r="Z273">
        <v>271.5997729</v>
      </c>
      <c r="AA273">
        <v>542.32208539999999</v>
      </c>
      <c r="AB273">
        <v>335.08472410000002</v>
      </c>
      <c r="AC273">
        <v>227.81612200000001</v>
      </c>
      <c r="AD273">
        <v>412.13555769999999</v>
      </c>
      <c r="AE273">
        <v>320.49609959999998</v>
      </c>
      <c r="AF273">
        <v>332.15342989999999</v>
      </c>
      <c r="AG273">
        <v>434.54029430000003</v>
      </c>
      <c r="AH273">
        <v>651.81257489999996</v>
      </c>
      <c r="AI273">
        <v>670.47600030000001</v>
      </c>
      <c r="AJ273">
        <v>575.77145989999997</v>
      </c>
      <c r="AK273">
        <v>451.64322670000001</v>
      </c>
      <c r="AL273">
        <v>289.69253459999999</v>
      </c>
      <c r="AM273">
        <v>464.46042060000002</v>
      </c>
      <c r="AN273">
        <v>262.57897120000001</v>
      </c>
      <c r="AO273">
        <v>383.79352060000002</v>
      </c>
      <c r="AP273">
        <v>282.47037769999997</v>
      </c>
      <c r="AQ273">
        <v>723.62849979999999</v>
      </c>
    </row>
    <row r="274" spans="2:43" x14ac:dyDescent="0.2">
      <c r="B274" t="s">
        <v>42</v>
      </c>
    </row>
    <row r="275" spans="2:43" x14ac:dyDescent="0.2">
      <c r="B275">
        <v>2.6205768000000001E-2</v>
      </c>
      <c r="C275">
        <v>7.7368661000000005E-2</v>
      </c>
      <c r="D275">
        <v>0.17984087800000001</v>
      </c>
      <c r="E275">
        <v>0.366963227</v>
      </c>
      <c r="F275">
        <v>0.54007476799999998</v>
      </c>
      <c r="G275">
        <v>0.89063094300000001</v>
      </c>
      <c r="H275">
        <v>1.203765355</v>
      </c>
      <c r="I275">
        <v>1.364782969</v>
      </c>
      <c r="J275">
        <v>1.5027682449999999</v>
      </c>
      <c r="K275">
        <v>1.6698665109999999</v>
      </c>
      <c r="L275">
        <v>1.820886754</v>
      </c>
      <c r="M275">
        <v>1.8721143229999999</v>
      </c>
      <c r="N275">
        <v>2.151916398</v>
      </c>
      <c r="O275">
        <v>1.824851478</v>
      </c>
      <c r="P275">
        <v>2.662642918</v>
      </c>
    </row>
    <row r="276" spans="2:43" x14ac:dyDescent="0.2">
      <c r="B276">
        <v>1.6466601000000001E-2</v>
      </c>
      <c r="C276">
        <v>0.104628044</v>
      </c>
      <c r="D276">
        <v>0.18543451699999999</v>
      </c>
      <c r="E276">
        <v>0.36118306700000002</v>
      </c>
      <c r="F276">
        <v>0.52095705999999997</v>
      </c>
      <c r="G276">
        <v>0.715944162</v>
      </c>
      <c r="H276">
        <v>1.020339407</v>
      </c>
      <c r="I276">
        <v>1.3065891869999999</v>
      </c>
      <c r="J276">
        <v>1.5105197400000001</v>
      </c>
      <c r="K276">
        <v>1.5784693489999999</v>
      </c>
      <c r="L276">
        <v>1.6312528340000001</v>
      </c>
      <c r="M276">
        <v>1.5707958950000001</v>
      </c>
      <c r="N276">
        <v>1.812921652</v>
      </c>
      <c r="O276">
        <v>1.5555354690000001</v>
      </c>
      <c r="P276">
        <v>1.986161761</v>
      </c>
    </row>
    <row r="277" spans="2:43" x14ac:dyDescent="0.2">
      <c r="B277">
        <v>1.6306696999999998E-2</v>
      </c>
      <c r="C277">
        <v>6.7560013000000002E-2</v>
      </c>
      <c r="D277">
        <v>0.19641513399999999</v>
      </c>
      <c r="E277">
        <v>0.30668409699999999</v>
      </c>
      <c r="F277">
        <v>0.48488267099999999</v>
      </c>
      <c r="G277">
        <v>0.59752616400000003</v>
      </c>
      <c r="H277">
        <v>0.93047187200000003</v>
      </c>
      <c r="I277">
        <v>1.3781207600000001</v>
      </c>
      <c r="J277">
        <v>1.5135625610000001</v>
      </c>
      <c r="K277">
        <v>1.7310353590000001</v>
      </c>
      <c r="L277">
        <v>1.8698850810000001</v>
      </c>
      <c r="M277">
        <v>1.85181423</v>
      </c>
      <c r="N277">
        <v>1.9701181720000001</v>
      </c>
      <c r="O277">
        <v>1.7446386119999999</v>
      </c>
      <c r="P277">
        <v>2.1247449719999998</v>
      </c>
    </row>
    <row r="278" spans="2:43" x14ac:dyDescent="0.2">
      <c r="B278">
        <v>1.7032291000000001E-2</v>
      </c>
      <c r="C278">
        <v>8.2113336999999995E-2</v>
      </c>
      <c r="D278">
        <v>0.21258432199999999</v>
      </c>
      <c r="E278">
        <v>0.33632737499999998</v>
      </c>
      <c r="F278">
        <v>0.47324341399999997</v>
      </c>
      <c r="G278">
        <v>0.68096711200000004</v>
      </c>
      <c r="H278">
        <v>0.89133258199999998</v>
      </c>
      <c r="I278">
        <v>1.23159788</v>
      </c>
      <c r="J278">
        <v>1.649457554</v>
      </c>
      <c r="K278">
        <v>1.6080990719999999</v>
      </c>
      <c r="L278">
        <v>1.721454654</v>
      </c>
      <c r="M278">
        <v>2.0162687799999999</v>
      </c>
      <c r="N278">
        <v>2.1048367689999998</v>
      </c>
      <c r="O278">
        <v>1.8017955800000001</v>
      </c>
      <c r="P278">
        <v>2.4895722830000002</v>
      </c>
    </row>
    <row r="279" spans="2:43" x14ac:dyDescent="0.2">
      <c r="B279">
        <v>1.2679101E-2</v>
      </c>
      <c r="C279">
        <v>6.2722584999999997E-2</v>
      </c>
      <c r="D279">
        <v>0.145053921</v>
      </c>
      <c r="E279">
        <v>0.32711326400000001</v>
      </c>
      <c r="F279">
        <v>0.41958097799999999</v>
      </c>
      <c r="G279">
        <v>0.61127763899999998</v>
      </c>
      <c r="H279">
        <v>0.819130464</v>
      </c>
      <c r="I279">
        <v>1.029566921</v>
      </c>
      <c r="J279">
        <v>1.3097433489999999</v>
      </c>
      <c r="K279">
        <v>1.6253411019999999</v>
      </c>
      <c r="L279">
        <v>1.7353881330000001</v>
      </c>
      <c r="M279">
        <v>1.939612087</v>
      </c>
      <c r="N279">
        <v>2.2206107980000001</v>
      </c>
      <c r="O279">
        <v>2.2816760779999998</v>
      </c>
      <c r="P279">
        <v>2.431324563</v>
      </c>
    </row>
    <row r="280" spans="2:43" x14ac:dyDescent="0.2">
      <c r="B280">
        <v>2.5633854000000001E-2</v>
      </c>
      <c r="C280">
        <v>0.10646168</v>
      </c>
      <c r="D280">
        <v>0.24569975999999999</v>
      </c>
      <c r="E280">
        <v>0.29384310200000002</v>
      </c>
      <c r="F280">
        <v>0.426304919</v>
      </c>
      <c r="G280">
        <v>0.52330365499999998</v>
      </c>
      <c r="H280">
        <v>0.69169735600000004</v>
      </c>
      <c r="I280">
        <v>0.82563259600000005</v>
      </c>
      <c r="J280">
        <v>0.97431406899999995</v>
      </c>
      <c r="K280">
        <v>1.1805090090000001</v>
      </c>
      <c r="L280">
        <v>1.4936963940000001</v>
      </c>
      <c r="M280">
        <v>1.516868573</v>
      </c>
      <c r="N280">
        <v>1.9276494799999999</v>
      </c>
      <c r="O280">
        <v>2.2288836879999998</v>
      </c>
      <c r="P280">
        <v>2.3730768439999999</v>
      </c>
    </row>
    <row r="281" spans="2:43" x14ac:dyDescent="0.2">
      <c r="B281">
        <v>1.6132698000000001E-2</v>
      </c>
      <c r="C281">
        <v>9.5171864999999994E-2</v>
      </c>
      <c r="D281">
        <v>0.274750983</v>
      </c>
      <c r="E281">
        <v>0.32317442200000002</v>
      </c>
      <c r="F281">
        <v>0.42643288600000001</v>
      </c>
      <c r="G281">
        <v>0.50128528299999997</v>
      </c>
      <c r="H281">
        <v>0.66056901099999998</v>
      </c>
      <c r="I281">
        <v>0.87735348499999999</v>
      </c>
      <c r="J281">
        <v>0.89016780200000001</v>
      </c>
      <c r="K281">
        <v>1.107946833</v>
      </c>
      <c r="L281">
        <v>1.3440925930000001</v>
      </c>
      <c r="M281">
        <v>1.38421145</v>
      </c>
      <c r="N281">
        <v>1.9046604730000001</v>
      </c>
      <c r="O281">
        <v>1.160382759</v>
      </c>
      <c r="P281">
        <v>1.7444946889999999</v>
      </c>
    </row>
    <row r="282" spans="2:43" x14ac:dyDescent="0.2">
      <c r="B282">
        <v>1.8833545E-2</v>
      </c>
      <c r="C282">
        <v>8.9662270000000002E-2</v>
      </c>
      <c r="D282">
        <v>0.16816857099999999</v>
      </c>
      <c r="E282">
        <v>0.30527029700000002</v>
      </c>
      <c r="F282">
        <v>0.39071365200000002</v>
      </c>
      <c r="G282">
        <v>0.505015302</v>
      </c>
      <c r="H282">
        <v>0.71004223799999999</v>
      </c>
      <c r="I282">
        <v>0.80356768300000003</v>
      </c>
      <c r="J282">
        <v>1.0999787700000001</v>
      </c>
      <c r="K282">
        <v>1.088726796</v>
      </c>
      <c r="L282">
        <v>1.2255463900000001</v>
      </c>
      <c r="M282">
        <v>1.3119255270000001</v>
      </c>
      <c r="N282">
        <v>1.289961422</v>
      </c>
      <c r="O282">
        <v>1.2903493770000001</v>
      </c>
      <c r="P282">
        <v>1.480734835</v>
      </c>
    </row>
    <row r="283" spans="2:43" x14ac:dyDescent="0.2">
      <c r="B283">
        <v>1.4413264E-2</v>
      </c>
      <c r="C283">
        <v>0.171056386</v>
      </c>
      <c r="D283">
        <v>0.18121031000000001</v>
      </c>
      <c r="E283">
        <v>0.35206067200000002</v>
      </c>
      <c r="F283">
        <v>0.43324722700000001</v>
      </c>
      <c r="G283">
        <v>0.54502220199999996</v>
      </c>
      <c r="H283">
        <v>0.62258190400000002</v>
      </c>
      <c r="I283">
        <v>0.76155810599999996</v>
      </c>
      <c r="J283">
        <v>0.89588118400000005</v>
      </c>
      <c r="K283">
        <v>1.1052711289999999</v>
      </c>
      <c r="L283">
        <v>1.1424813840000001</v>
      </c>
      <c r="M283">
        <v>1.3111779770000001</v>
      </c>
      <c r="N283">
        <v>1.375501581</v>
      </c>
      <c r="O283">
        <v>1.4868107070000001</v>
      </c>
      <c r="P283">
        <v>1.777956954</v>
      </c>
    </row>
    <row r="284" spans="2:43" x14ac:dyDescent="0.2">
      <c r="B284">
        <v>2.0605993E-2</v>
      </c>
      <c r="C284">
        <v>0.13638903599999999</v>
      </c>
      <c r="D284">
        <v>0.19937223600000001</v>
      </c>
      <c r="E284">
        <v>0.35376234899999998</v>
      </c>
      <c r="F284">
        <v>0.56350198600000001</v>
      </c>
      <c r="G284">
        <v>0.63794209999999996</v>
      </c>
      <c r="H284">
        <v>0.72004131299999996</v>
      </c>
      <c r="I284">
        <v>0.81701103500000005</v>
      </c>
      <c r="J284">
        <v>0.98209054100000004</v>
      </c>
      <c r="K284">
        <v>1.080051063</v>
      </c>
      <c r="L284">
        <v>1.32773491</v>
      </c>
      <c r="M284">
        <v>1.4135750709999999</v>
      </c>
      <c r="N284">
        <v>1.5711975789999999</v>
      </c>
      <c r="O284">
        <v>1.8148823270000001</v>
      </c>
      <c r="P284">
        <v>1.97972021</v>
      </c>
    </row>
    <row r="285" spans="2:43" x14ac:dyDescent="0.2">
      <c r="B285">
        <v>1.6772385000000001E-2</v>
      </c>
      <c r="C285">
        <v>0.12973220799999999</v>
      </c>
      <c r="D285">
        <v>0.29996991499999998</v>
      </c>
      <c r="E285">
        <v>0.40907178799999999</v>
      </c>
      <c r="F285">
        <v>0.50467968600000002</v>
      </c>
      <c r="G285">
        <v>0.58947542600000002</v>
      </c>
      <c r="H285">
        <v>0.77752687399999998</v>
      </c>
      <c r="I285">
        <v>0.86999925300000003</v>
      </c>
      <c r="J285">
        <v>0.971669593</v>
      </c>
      <c r="K285">
        <v>1.0802559899999999</v>
      </c>
      <c r="L285">
        <v>1.225985103</v>
      </c>
      <c r="M285">
        <v>1.471686512</v>
      </c>
      <c r="N285">
        <v>1.6762203309999999</v>
      </c>
      <c r="O285">
        <v>1.730285869</v>
      </c>
      <c r="P285">
        <v>1.6934578149999999</v>
      </c>
    </row>
    <row r="286" spans="2:43" x14ac:dyDescent="0.2">
      <c r="B286">
        <v>1.2209558000000001E-2</v>
      </c>
      <c r="C286">
        <v>0.10251025699999999</v>
      </c>
      <c r="D286">
        <v>0.28949641199999998</v>
      </c>
      <c r="E286">
        <v>0.46988783000000001</v>
      </c>
      <c r="F286">
        <v>0.52522104199999997</v>
      </c>
      <c r="G286">
        <v>0.64543159000000005</v>
      </c>
      <c r="H286">
        <v>0.739190609</v>
      </c>
      <c r="I286">
        <v>0.86636090099999996</v>
      </c>
      <c r="J286">
        <v>1.0621985549999999</v>
      </c>
      <c r="K286">
        <v>1.0990736059999999</v>
      </c>
      <c r="L286">
        <v>1.2925776229999999</v>
      </c>
      <c r="M286">
        <v>1.407762722</v>
      </c>
      <c r="N286">
        <v>1.607572934</v>
      </c>
      <c r="O286">
        <v>1.689083076</v>
      </c>
      <c r="P286">
        <v>1.810988702</v>
      </c>
    </row>
    <row r="287" spans="2:43" x14ac:dyDescent="0.2">
      <c r="B287">
        <v>1.7732800999999999E-2</v>
      </c>
      <c r="C287">
        <v>8.9098397999999995E-2</v>
      </c>
      <c r="D287">
        <v>0.227857636</v>
      </c>
      <c r="E287">
        <v>0.414425355</v>
      </c>
      <c r="F287">
        <v>0.57280505500000001</v>
      </c>
      <c r="G287">
        <v>0.70886323799999995</v>
      </c>
      <c r="H287">
        <v>0.74684259900000005</v>
      </c>
      <c r="I287">
        <v>1.086522193</v>
      </c>
      <c r="J287">
        <v>1.303317839</v>
      </c>
      <c r="K287">
        <v>1.2357686029999999</v>
      </c>
      <c r="L287">
        <v>1.3463448730000001</v>
      </c>
      <c r="M287">
        <v>1.440091985</v>
      </c>
      <c r="N287">
        <v>1.4919087209999999</v>
      </c>
      <c r="O287">
        <v>1.670797444</v>
      </c>
      <c r="P287">
        <v>1.7429203710000001</v>
      </c>
    </row>
    <row r="288" spans="2:43" x14ac:dyDescent="0.2">
      <c r="B288">
        <v>1.7411934E-2</v>
      </c>
      <c r="C288">
        <v>6.3233781000000003E-2</v>
      </c>
      <c r="D288">
        <v>0.145335303</v>
      </c>
      <c r="E288">
        <v>0.33988341599999999</v>
      </c>
      <c r="F288">
        <v>0.48033315799999998</v>
      </c>
      <c r="G288">
        <v>0.656844078</v>
      </c>
      <c r="H288">
        <v>0.68022790499999997</v>
      </c>
      <c r="I288">
        <v>0.89685029500000002</v>
      </c>
      <c r="J288">
        <v>1.07491263</v>
      </c>
      <c r="K288">
        <v>1.3630232339999999</v>
      </c>
      <c r="L288">
        <v>1.307658838</v>
      </c>
      <c r="M288">
        <v>1.4014582069999999</v>
      </c>
      <c r="N288">
        <v>1.517432294</v>
      </c>
      <c r="O288">
        <v>1.5107963129999999</v>
      </c>
      <c r="P288">
        <v>1.765896538</v>
      </c>
    </row>
    <row r="289" spans="2:16" x14ac:dyDescent="0.2">
      <c r="B289">
        <v>1.8715707000000002E-2</v>
      </c>
      <c r="C289">
        <v>8.0421812999999995E-2</v>
      </c>
      <c r="D289">
        <v>0.150870544</v>
      </c>
      <c r="E289">
        <v>0.29967250499999998</v>
      </c>
      <c r="F289">
        <v>0.50891044600000002</v>
      </c>
      <c r="G289">
        <v>0.63350346099999999</v>
      </c>
      <c r="H289">
        <v>0.780044815</v>
      </c>
      <c r="I289">
        <v>0.87126710600000001</v>
      </c>
      <c r="J289">
        <v>1.027445449</v>
      </c>
      <c r="K289">
        <v>1.166684923</v>
      </c>
      <c r="L289">
        <v>1.3867580319999999</v>
      </c>
      <c r="M289">
        <v>1.5029125800000001</v>
      </c>
      <c r="N289">
        <v>1.6643796479999999</v>
      </c>
      <c r="O289">
        <v>1.692425616</v>
      </c>
      <c r="P289">
        <v>1.821512169</v>
      </c>
    </row>
    <row r="290" spans="2:16" x14ac:dyDescent="0.2">
      <c r="B290">
        <v>1.5412472E-2</v>
      </c>
      <c r="C290">
        <v>8.3028836999999994E-2</v>
      </c>
      <c r="D290">
        <v>0.20099866699999999</v>
      </c>
      <c r="E290">
        <v>0.30008810299999999</v>
      </c>
      <c r="F290">
        <v>0.36966813599999998</v>
      </c>
      <c r="G290">
        <v>0.60630300299999995</v>
      </c>
      <c r="H290">
        <v>0.74987458500000004</v>
      </c>
      <c r="I290">
        <v>0.86803150699999998</v>
      </c>
      <c r="J290">
        <v>1.144302454</v>
      </c>
      <c r="K290">
        <v>1.2174555060000001</v>
      </c>
      <c r="L290">
        <v>1.3488556389999999</v>
      </c>
      <c r="M290">
        <v>1.5321502520000001</v>
      </c>
      <c r="N290">
        <v>1.601512359</v>
      </c>
      <c r="O290">
        <v>1.621868138</v>
      </c>
      <c r="P290">
        <v>1.7962071690000001</v>
      </c>
    </row>
    <row r="291" spans="2:16" x14ac:dyDescent="0.2">
      <c r="B291">
        <v>1.4883778E-2</v>
      </c>
      <c r="C291">
        <v>7.6274764999999994E-2</v>
      </c>
      <c r="D291">
        <v>0.19454517299999999</v>
      </c>
      <c r="E291">
        <v>0.31556663099999999</v>
      </c>
      <c r="F291">
        <v>0.457147474</v>
      </c>
      <c r="G291">
        <v>0.52549741299999997</v>
      </c>
      <c r="H291">
        <v>0.84027326599999996</v>
      </c>
      <c r="I291">
        <v>0.93873483199999996</v>
      </c>
      <c r="J291">
        <v>1.0123137310000001</v>
      </c>
      <c r="K291">
        <v>1.0868387749999999</v>
      </c>
      <c r="L291">
        <v>1.2627063629999999</v>
      </c>
      <c r="M291">
        <v>1.3974489029999999</v>
      </c>
      <c r="N291">
        <v>1.5188571879999999</v>
      </c>
      <c r="O291">
        <v>1.896615275</v>
      </c>
      <c r="P291">
        <v>1.908907667</v>
      </c>
    </row>
    <row r="292" spans="2:16" x14ac:dyDescent="0.2">
      <c r="B292">
        <v>1.3097441E-2</v>
      </c>
      <c r="C292">
        <v>9.0593727999999998E-2</v>
      </c>
      <c r="D292">
        <v>0.2055833</v>
      </c>
      <c r="E292">
        <v>0.363419355</v>
      </c>
      <c r="F292">
        <v>0.419938596</v>
      </c>
      <c r="G292">
        <v>0.57229012099999998</v>
      </c>
      <c r="H292">
        <v>0.68535040599999997</v>
      </c>
      <c r="I292">
        <v>0.89972289599999999</v>
      </c>
      <c r="J292">
        <v>1.1090658840000001</v>
      </c>
      <c r="K292">
        <v>1.160822182</v>
      </c>
      <c r="L292">
        <v>1.3005268670000001</v>
      </c>
      <c r="M292">
        <v>1.3743154280000001</v>
      </c>
      <c r="N292">
        <v>1.822747616</v>
      </c>
      <c r="O292">
        <v>1.7903409379999999</v>
      </c>
      <c r="P292">
        <v>2.085790045</v>
      </c>
    </row>
    <row r="293" spans="2:16" x14ac:dyDescent="0.2">
      <c r="B293">
        <v>1.1637049999999999E-2</v>
      </c>
      <c r="C293">
        <v>9.0123892999999997E-2</v>
      </c>
      <c r="D293">
        <v>0.23149510200000001</v>
      </c>
      <c r="E293">
        <v>0.43161498100000001</v>
      </c>
      <c r="F293">
        <v>0.471825153</v>
      </c>
      <c r="G293">
        <v>0.56671080299999999</v>
      </c>
      <c r="H293">
        <v>0.70561068699999996</v>
      </c>
      <c r="I293">
        <v>0.79994725899999997</v>
      </c>
      <c r="J293">
        <v>0.94677266299999996</v>
      </c>
      <c r="K293">
        <v>1.1941958260000001</v>
      </c>
      <c r="L293">
        <v>1.4278748020000001</v>
      </c>
      <c r="M293">
        <v>1.469941044</v>
      </c>
      <c r="N293">
        <v>1.714141073</v>
      </c>
      <c r="O293">
        <v>1.766919237</v>
      </c>
      <c r="P293">
        <v>2.01645918</v>
      </c>
    </row>
    <row r="294" spans="2:16" x14ac:dyDescent="0.2">
      <c r="B294">
        <v>1.4819031999999999E-2</v>
      </c>
      <c r="C294">
        <v>7.5871477000000007E-2</v>
      </c>
      <c r="D294">
        <v>0.180162881</v>
      </c>
      <c r="E294">
        <v>0.37537758300000001</v>
      </c>
      <c r="F294">
        <v>0.54885313400000002</v>
      </c>
      <c r="G294">
        <v>0.69227147</v>
      </c>
      <c r="H294">
        <v>0.80503041799999997</v>
      </c>
      <c r="I294">
        <v>0.87329105399999996</v>
      </c>
      <c r="J294">
        <v>0.95773300699999997</v>
      </c>
      <c r="K294">
        <v>1.098838669</v>
      </c>
      <c r="L294">
        <v>1.323208763</v>
      </c>
      <c r="M294">
        <v>1.535166037</v>
      </c>
      <c r="N294">
        <v>1.614760881</v>
      </c>
      <c r="O294">
        <v>1.8138578030000001</v>
      </c>
      <c r="P294">
        <v>1.968966266</v>
      </c>
    </row>
    <row r="295" spans="2:16" x14ac:dyDescent="0.2">
      <c r="B295">
        <v>1.2825707E-2</v>
      </c>
      <c r="C295">
        <v>9.3839211000000006E-2</v>
      </c>
      <c r="D295">
        <v>0.25933848300000001</v>
      </c>
      <c r="E295">
        <v>0.38673792400000001</v>
      </c>
      <c r="F295">
        <v>0.533319871</v>
      </c>
      <c r="G295">
        <v>0.67867990899999997</v>
      </c>
      <c r="H295">
        <v>0.74603496700000005</v>
      </c>
      <c r="I295">
        <v>0.920296742</v>
      </c>
      <c r="J295">
        <v>1.033386787</v>
      </c>
      <c r="K295">
        <v>1.12700847</v>
      </c>
      <c r="L295">
        <v>1.1459053850000001</v>
      </c>
      <c r="M295">
        <v>1.4447696699999999</v>
      </c>
      <c r="N295">
        <v>1.6310632970000001</v>
      </c>
      <c r="O295">
        <v>1.7958416660000001</v>
      </c>
      <c r="P295">
        <v>1.979239674</v>
      </c>
    </row>
    <row r="296" spans="2:16" x14ac:dyDescent="0.2">
      <c r="B296">
        <v>2.1351905000000001E-2</v>
      </c>
      <c r="C296">
        <v>0.113824816</v>
      </c>
      <c r="D296">
        <v>0.28777276600000001</v>
      </c>
      <c r="E296">
        <v>0.45095919899999998</v>
      </c>
      <c r="F296">
        <v>0.64469695000000005</v>
      </c>
      <c r="G296">
        <v>0.75425557099999996</v>
      </c>
      <c r="H296">
        <v>0.83725454099999996</v>
      </c>
      <c r="I296">
        <v>0.96355008399999997</v>
      </c>
      <c r="J296">
        <v>1.03918135</v>
      </c>
      <c r="K296">
        <v>1.2105844429999999</v>
      </c>
      <c r="L296">
        <v>1.218794696</v>
      </c>
      <c r="M296">
        <v>1.4005882590000001</v>
      </c>
      <c r="N296">
        <v>1.591850599</v>
      </c>
      <c r="O296">
        <v>1.528388329</v>
      </c>
      <c r="P296">
        <v>1.8675553709999999</v>
      </c>
    </row>
    <row r="297" spans="2:16" x14ac:dyDescent="0.2">
      <c r="B297">
        <v>1.9468921E-2</v>
      </c>
      <c r="C297">
        <v>0.10359455200000001</v>
      </c>
      <c r="D297">
        <v>0.28146998099999998</v>
      </c>
      <c r="E297">
        <v>0.44964078400000002</v>
      </c>
      <c r="F297">
        <v>0.59186642899999997</v>
      </c>
      <c r="G297">
        <v>0.72534732800000001</v>
      </c>
      <c r="H297">
        <v>0.84710008199999998</v>
      </c>
      <c r="I297">
        <v>0.96588868900000002</v>
      </c>
      <c r="J297">
        <v>1.0764126899999999</v>
      </c>
      <c r="K297">
        <v>1.146818728</v>
      </c>
      <c r="L297">
        <v>1.1919266580000001</v>
      </c>
      <c r="M297">
        <v>1.3048035929999999</v>
      </c>
      <c r="N297">
        <v>1.5072477099999999</v>
      </c>
      <c r="O297">
        <v>1.807074788</v>
      </c>
      <c r="P297">
        <v>1.8272597159999999</v>
      </c>
    </row>
    <row r="298" spans="2:16" x14ac:dyDescent="0.2">
      <c r="B298">
        <v>2.0195642999999999E-2</v>
      </c>
      <c r="C298">
        <v>0.10749329000000001</v>
      </c>
      <c r="D298">
        <v>0.237541588</v>
      </c>
      <c r="E298">
        <v>0.41234004699999999</v>
      </c>
      <c r="F298">
        <v>0.55378121700000005</v>
      </c>
      <c r="G298">
        <v>0.66987158099999999</v>
      </c>
      <c r="H298">
        <v>0.84306256899999998</v>
      </c>
      <c r="I298">
        <v>0.95761748099999999</v>
      </c>
      <c r="J298">
        <v>1.018600798</v>
      </c>
      <c r="K298">
        <v>1.0822203370000001</v>
      </c>
      <c r="L298">
        <v>1.335743272</v>
      </c>
      <c r="M298">
        <v>1.280105152</v>
      </c>
      <c r="N298">
        <v>1.304511116</v>
      </c>
      <c r="O298">
        <v>1.482807896</v>
      </c>
      <c r="P298">
        <v>1.6038478869999999</v>
      </c>
    </row>
    <row r="299" spans="2:16" x14ac:dyDescent="0.2">
      <c r="B299">
        <v>9.3771810000000001E-3</v>
      </c>
      <c r="C299">
        <v>9.9581011999999997E-2</v>
      </c>
      <c r="D299">
        <v>0.189480278</v>
      </c>
      <c r="E299">
        <v>0.43836275400000002</v>
      </c>
      <c r="F299">
        <v>0.61177803500000005</v>
      </c>
      <c r="G299">
        <v>0.68941212200000002</v>
      </c>
      <c r="H299">
        <v>0.82408302099999997</v>
      </c>
      <c r="I299">
        <v>0.90074247100000004</v>
      </c>
      <c r="J299">
        <v>1.0494041620000001</v>
      </c>
      <c r="K299">
        <v>1.17710191</v>
      </c>
      <c r="L299">
        <v>1.26028283</v>
      </c>
      <c r="M299">
        <v>1.3780132890000001</v>
      </c>
      <c r="N299">
        <v>1.448149645</v>
      </c>
      <c r="O299">
        <v>1.43614168</v>
      </c>
      <c r="P299">
        <v>1.509469248</v>
      </c>
    </row>
    <row r="300" spans="2:16" x14ac:dyDescent="0.2">
      <c r="B300">
        <v>1.2513048000000001E-2</v>
      </c>
      <c r="C300">
        <v>0.102927192</v>
      </c>
      <c r="D300">
        <v>0.28960623499999999</v>
      </c>
      <c r="E300">
        <v>0.51464886399999998</v>
      </c>
      <c r="F300">
        <v>0.63919193799999996</v>
      </c>
      <c r="G300">
        <v>0.80280689400000005</v>
      </c>
      <c r="H300">
        <v>0.90530019900000003</v>
      </c>
      <c r="I300">
        <v>1.027573547</v>
      </c>
      <c r="J300">
        <v>1.1223742729999999</v>
      </c>
      <c r="K300">
        <v>1.391968933</v>
      </c>
      <c r="L300">
        <v>1.3485866019999999</v>
      </c>
      <c r="M300">
        <v>1.3854662929999999</v>
      </c>
      <c r="N300">
        <v>1.6990055399999999</v>
      </c>
      <c r="O300">
        <v>1.593753508</v>
      </c>
      <c r="P300">
        <v>1.658296709</v>
      </c>
    </row>
    <row r="301" spans="2:16" x14ac:dyDescent="0.2">
      <c r="B301">
        <v>1.2618844000000001E-2</v>
      </c>
      <c r="C301">
        <v>6.0552624999999999E-2</v>
      </c>
      <c r="D301">
        <v>0.25535377999999997</v>
      </c>
      <c r="E301">
        <v>0.47399979599999997</v>
      </c>
      <c r="F301">
        <v>0.61003273300000005</v>
      </c>
      <c r="G301">
        <v>0.74239033300000001</v>
      </c>
      <c r="H301">
        <v>0.86404741699999998</v>
      </c>
      <c r="I301">
        <v>0.99537622800000003</v>
      </c>
      <c r="J301">
        <v>1.0655210829999999</v>
      </c>
      <c r="K301">
        <v>1.1997013110000001</v>
      </c>
      <c r="L301">
        <v>1.477860146</v>
      </c>
      <c r="M301">
        <v>1.431163634</v>
      </c>
      <c r="N301">
        <v>1.650207067</v>
      </c>
      <c r="O301">
        <v>1.792224196</v>
      </c>
      <c r="P301">
        <v>1.877247898</v>
      </c>
    </row>
    <row r="302" spans="2:16" x14ac:dyDescent="0.2">
      <c r="B302">
        <v>1.1047579E-2</v>
      </c>
      <c r="C302">
        <v>6.6319806999999995E-2</v>
      </c>
      <c r="D302">
        <v>0.24992973299999999</v>
      </c>
      <c r="E302">
        <v>0.50350271800000002</v>
      </c>
      <c r="F302">
        <v>0.69671087499999995</v>
      </c>
      <c r="G302">
        <v>0.79058750899999997</v>
      </c>
      <c r="H302">
        <v>0.99411662899999997</v>
      </c>
      <c r="I302">
        <v>1.1071269539999999</v>
      </c>
      <c r="J302">
        <v>1.179341763</v>
      </c>
      <c r="K302">
        <v>1.4432048630000001</v>
      </c>
      <c r="L302">
        <v>1.524578427</v>
      </c>
      <c r="M302">
        <v>1.6869990859999999</v>
      </c>
      <c r="N302">
        <v>1.9426008340000001</v>
      </c>
      <c r="O302">
        <v>2.2266515189999998</v>
      </c>
      <c r="P302">
        <v>2.3172332280000001</v>
      </c>
    </row>
    <row r="303" spans="2:16" x14ac:dyDescent="0.2">
      <c r="B303">
        <v>1.7537099E-2</v>
      </c>
      <c r="C303">
        <v>8.4274742999999999E-2</v>
      </c>
      <c r="D303">
        <v>0.26608799599999999</v>
      </c>
      <c r="E303">
        <v>0.51878576499999995</v>
      </c>
      <c r="F303">
        <v>0.69009796599999995</v>
      </c>
      <c r="G303">
        <v>0.88848652699999997</v>
      </c>
      <c r="H303">
        <v>1.0839435230000001</v>
      </c>
      <c r="I303">
        <v>1.181065609</v>
      </c>
      <c r="J303">
        <v>1.2236274540000001</v>
      </c>
      <c r="K303">
        <v>1.3106357200000001</v>
      </c>
      <c r="L303">
        <v>1.4314389789999999</v>
      </c>
      <c r="M303">
        <v>1.599465903</v>
      </c>
      <c r="N303">
        <v>1.8183167929999999</v>
      </c>
      <c r="O303">
        <v>2.1394781009999999</v>
      </c>
      <c r="P303">
        <v>2.4438840669999999</v>
      </c>
    </row>
    <row r="304" spans="2:16" x14ac:dyDescent="0.2">
      <c r="B304">
        <v>1.4907673E-2</v>
      </c>
      <c r="C304">
        <v>8.2344510999999995E-2</v>
      </c>
      <c r="D304">
        <v>0.22974241100000001</v>
      </c>
      <c r="E304">
        <v>0.51185188000000004</v>
      </c>
      <c r="F304">
        <v>0.66165793500000003</v>
      </c>
      <c r="G304">
        <v>0.77502012399999998</v>
      </c>
      <c r="H304">
        <v>0.92435939600000006</v>
      </c>
      <c r="I304">
        <v>1.096737107</v>
      </c>
      <c r="J304">
        <v>1.2319078859999999</v>
      </c>
      <c r="K304">
        <v>1.2770545179999999</v>
      </c>
      <c r="L304">
        <v>1.4259580460000001</v>
      </c>
      <c r="M304">
        <v>1.4890254060000001</v>
      </c>
      <c r="N304">
        <v>1.61092028</v>
      </c>
      <c r="O304">
        <v>1.7573364339999999</v>
      </c>
      <c r="P304">
        <v>2.0580836140000001</v>
      </c>
    </row>
    <row r="305" spans="2:43" x14ac:dyDescent="0.2">
      <c r="B305">
        <v>1.3099156000000001E-2</v>
      </c>
      <c r="C305">
        <v>7.9277365000000002E-2</v>
      </c>
      <c r="D305">
        <v>0.201646568</v>
      </c>
      <c r="E305">
        <v>0.42138328400000002</v>
      </c>
      <c r="F305">
        <v>0.61116787500000003</v>
      </c>
      <c r="G305">
        <v>0.77438195700000001</v>
      </c>
      <c r="H305">
        <v>0.92079347</v>
      </c>
      <c r="I305">
        <v>1.1325586599999999</v>
      </c>
      <c r="J305">
        <v>1.3091590710000001</v>
      </c>
      <c r="K305">
        <v>1.379382348</v>
      </c>
      <c r="L305">
        <v>1.4175076099999999</v>
      </c>
      <c r="M305">
        <v>1.48060097</v>
      </c>
      <c r="N305">
        <v>1.5438558659999999</v>
      </c>
      <c r="O305">
        <v>1.8390101889999999</v>
      </c>
      <c r="P305">
        <v>2.0709838540000001</v>
      </c>
    </row>
    <row r="306" spans="2:43" x14ac:dyDescent="0.2">
      <c r="B306">
        <v>1.5229169000000001E-2</v>
      </c>
      <c r="C306">
        <v>8.0877860999999995E-2</v>
      </c>
      <c r="D306">
        <v>0.21232815999999999</v>
      </c>
      <c r="E306">
        <v>0.50512228299999995</v>
      </c>
      <c r="F306">
        <v>0.58176433900000002</v>
      </c>
      <c r="G306">
        <v>0.73618253700000003</v>
      </c>
      <c r="H306">
        <v>0.97732283900000005</v>
      </c>
      <c r="I306">
        <v>1.1637561439999999</v>
      </c>
      <c r="J306">
        <v>1.3240096640000001</v>
      </c>
      <c r="K306">
        <v>1.414813887</v>
      </c>
      <c r="L306">
        <v>1.5147018699999999</v>
      </c>
      <c r="M306">
        <v>1.5422469299999999</v>
      </c>
      <c r="N306">
        <v>1.6925614179999999</v>
      </c>
      <c r="O306">
        <v>1.91325714</v>
      </c>
      <c r="P306">
        <v>1.9960119919999999</v>
      </c>
    </row>
    <row r="307" spans="2:43" x14ac:dyDescent="0.2">
      <c r="B307">
        <v>1.6606909999999999E-2</v>
      </c>
      <c r="C307">
        <v>0.113968322</v>
      </c>
      <c r="D307">
        <v>0.25779954799999999</v>
      </c>
      <c r="E307">
        <v>0.45087539700000001</v>
      </c>
      <c r="F307">
        <v>0.58217253700000005</v>
      </c>
      <c r="G307">
        <v>0.72889451599999999</v>
      </c>
      <c r="H307">
        <v>0.80253578400000003</v>
      </c>
      <c r="I307">
        <v>1.1136074309999999</v>
      </c>
      <c r="J307">
        <v>1.245900088</v>
      </c>
      <c r="K307">
        <v>1.4623503069999999</v>
      </c>
      <c r="L307">
        <v>1.7057377300000001</v>
      </c>
      <c r="M307">
        <v>1.618668065</v>
      </c>
      <c r="N307">
        <v>1.7117289929999999</v>
      </c>
      <c r="O307">
        <v>1.9325002410000001</v>
      </c>
      <c r="P307">
        <v>1.99686019</v>
      </c>
    </row>
    <row r="308" spans="2:43" x14ac:dyDescent="0.2">
      <c r="B308">
        <v>1.7457806999999999E-2</v>
      </c>
      <c r="C308">
        <v>8.7281453999999994E-2</v>
      </c>
      <c r="D308">
        <v>0.33240676899999999</v>
      </c>
      <c r="E308">
        <v>0.44892154899999998</v>
      </c>
      <c r="F308">
        <v>0.59033473299999994</v>
      </c>
      <c r="G308">
        <v>0.68935601000000002</v>
      </c>
      <c r="H308">
        <v>0.79507287299999996</v>
      </c>
      <c r="I308">
        <v>0.92242361399999995</v>
      </c>
      <c r="J308">
        <v>1.216320525</v>
      </c>
      <c r="K308">
        <v>1.2428098480000001</v>
      </c>
      <c r="L308">
        <v>1.583862621</v>
      </c>
      <c r="M308">
        <v>1.5267266049999999</v>
      </c>
      <c r="N308">
        <v>1.493158188</v>
      </c>
      <c r="O308">
        <v>1.554710899</v>
      </c>
      <c r="P308">
        <v>1.810758085</v>
      </c>
    </row>
    <row r="309" spans="2:43" x14ac:dyDescent="0.2">
      <c r="B309">
        <v>2.1930009E-2</v>
      </c>
      <c r="C309">
        <v>8.1925659999999997E-2</v>
      </c>
      <c r="D309">
        <v>0.29884989899999997</v>
      </c>
      <c r="E309">
        <v>0.53027141099999997</v>
      </c>
      <c r="F309">
        <v>0.60493638400000005</v>
      </c>
      <c r="G309">
        <v>0.70050390799999995</v>
      </c>
      <c r="H309">
        <v>0.77865002900000002</v>
      </c>
      <c r="I309">
        <v>0.835739393</v>
      </c>
      <c r="J309">
        <v>0.94074926599999997</v>
      </c>
      <c r="K309">
        <v>0.99969551499999998</v>
      </c>
      <c r="L309">
        <v>1.21421307</v>
      </c>
      <c r="M309">
        <v>1.5942524730000001</v>
      </c>
      <c r="N309">
        <v>1.400980127</v>
      </c>
      <c r="O309">
        <v>1.6820231109999999</v>
      </c>
      <c r="P309">
        <v>1.4709501089999999</v>
      </c>
    </row>
    <row r="310" spans="2:43" x14ac:dyDescent="0.2">
      <c r="B310">
        <v>2.0955313999999999E-2</v>
      </c>
      <c r="C310">
        <v>0.104074519</v>
      </c>
      <c r="D310">
        <v>0.25368745399999998</v>
      </c>
      <c r="E310">
        <v>0.47203782300000002</v>
      </c>
      <c r="F310">
        <v>0.63360878700000001</v>
      </c>
      <c r="G310">
        <v>0.67283380999999998</v>
      </c>
      <c r="H310">
        <v>0.75734475199999995</v>
      </c>
      <c r="I310">
        <v>0.82078781199999995</v>
      </c>
      <c r="J310">
        <v>0.90365742500000001</v>
      </c>
      <c r="K310">
        <v>0.92189874100000002</v>
      </c>
      <c r="L310">
        <v>1.0767441550000001</v>
      </c>
      <c r="M310">
        <v>1.031173667</v>
      </c>
      <c r="N310">
        <v>1.2739005729999999</v>
      </c>
      <c r="O310">
        <v>1.1479984400000001</v>
      </c>
      <c r="P310">
        <v>1.548965234</v>
      </c>
    </row>
    <row r="311" spans="2:43" x14ac:dyDescent="0.2">
      <c r="B311">
        <v>2.2427235E-2</v>
      </c>
      <c r="C311">
        <v>9.5396352000000004E-2</v>
      </c>
      <c r="D311">
        <v>0.22572931399999999</v>
      </c>
      <c r="E311">
        <v>0.43454261799999999</v>
      </c>
      <c r="F311">
        <v>0.59955498799999996</v>
      </c>
      <c r="G311">
        <v>0.69586606200000001</v>
      </c>
      <c r="H311">
        <v>0.77650391900000004</v>
      </c>
      <c r="I311">
        <v>0.826305391</v>
      </c>
      <c r="J311">
        <v>0.93655476900000001</v>
      </c>
      <c r="K311">
        <v>0.95807750999999997</v>
      </c>
      <c r="L311">
        <v>1.0842714920000001</v>
      </c>
      <c r="M311">
        <v>0.93573701399999998</v>
      </c>
      <c r="N311">
        <v>1.5071627359999999</v>
      </c>
      <c r="O311">
        <v>1.2152703929999999</v>
      </c>
      <c r="P311">
        <v>1.5194145649999999</v>
      </c>
    </row>
    <row r="312" spans="2:43" x14ac:dyDescent="0.2">
      <c r="B312">
        <v>2.1557386000000001E-2</v>
      </c>
      <c r="C312">
        <v>0.113355704</v>
      </c>
      <c r="D312">
        <v>0.29701389099999997</v>
      </c>
      <c r="E312">
        <v>0.500947684</v>
      </c>
      <c r="F312">
        <v>0.63674065400000002</v>
      </c>
      <c r="G312">
        <v>0.74142538899999999</v>
      </c>
      <c r="H312">
        <v>0.83064097000000003</v>
      </c>
      <c r="I312">
        <v>0.94639468100000002</v>
      </c>
      <c r="J312">
        <v>0.95985969000000004</v>
      </c>
      <c r="K312">
        <v>1.0437957289999999</v>
      </c>
      <c r="L312">
        <v>1.0124745740000001</v>
      </c>
      <c r="M312">
        <v>1.0564221760000001</v>
      </c>
      <c r="N312">
        <v>1.042425385</v>
      </c>
      <c r="O312">
        <v>1.2825423460000001</v>
      </c>
      <c r="P312">
        <v>1.4509489120000001</v>
      </c>
    </row>
    <row r="313" spans="2:43" x14ac:dyDescent="0.2">
      <c r="B313">
        <v>2.2498681E-2</v>
      </c>
      <c r="C313">
        <v>0.102473863</v>
      </c>
      <c r="D313">
        <v>0.238745871</v>
      </c>
      <c r="E313">
        <v>0.446959989</v>
      </c>
      <c r="F313">
        <v>0.58457981400000003</v>
      </c>
      <c r="G313">
        <v>0.71277142800000004</v>
      </c>
      <c r="H313">
        <v>0.80419877299999998</v>
      </c>
      <c r="I313">
        <v>0.85590951599999998</v>
      </c>
      <c r="J313">
        <v>0.98023942600000002</v>
      </c>
      <c r="K313">
        <v>1.15010082</v>
      </c>
      <c r="L313">
        <v>1.0649628010000001</v>
      </c>
      <c r="M313">
        <v>1.1514637670000001</v>
      </c>
      <c r="N313">
        <v>1.312588568</v>
      </c>
      <c r="O313">
        <v>1.0260876029999999</v>
      </c>
      <c r="P313">
        <v>1.382483259</v>
      </c>
    </row>
    <row r="314" spans="2:43" x14ac:dyDescent="0.2">
      <c r="B314">
        <v>1.7285352E-2</v>
      </c>
      <c r="C314">
        <v>0.11726235</v>
      </c>
      <c r="D314">
        <v>0.26733573100000002</v>
      </c>
      <c r="E314">
        <v>0.44318864699999999</v>
      </c>
      <c r="F314">
        <v>0.59097485299999997</v>
      </c>
      <c r="G314">
        <v>0.70946782399999997</v>
      </c>
      <c r="H314">
        <v>0.78059251100000004</v>
      </c>
      <c r="I314">
        <v>0.88119505499999995</v>
      </c>
      <c r="J314">
        <v>0.97573352000000002</v>
      </c>
      <c r="K314">
        <v>1.0701158390000001</v>
      </c>
      <c r="L314">
        <v>1.3270858400000001</v>
      </c>
      <c r="M314">
        <v>1.305127428</v>
      </c>
      <c r="N314">
        <v>1.356249187</v>
      </c>
      <c r="O314">
        <v>1.2389392029999999</v>
      </c>
      <c r="P314">
        <v>1.8623408349999999</v>
      </c>
    </row>
    <row r="315" spans="2:43" x14ac:dyDescent="0.2">
      <c r="B315">
        <v>1.6290282999999999E-2</v>
      </c>
      <c r="C315">
        <v>0.117301586</v>
      </c>
      <c r="D315">
        <v>0.27139620199999998</v>
      </c>
      <c r="E315">
        <v>0.41687564700000002</v>
      </c>
      <c r="F315">
        <v>0.53343194100000002</v>
      </c>
      <c r="G315">
        <v>0.66030587399999996</v>
      </c>
      <c r="H315">
        <v>0.80251331599999998</v>
      </c>
      <c r="I315">
        <v>0.93535796999999998</v>
      </c>
      <c r="J315">
        <v>0.96296479099999999</v>
      </c>
      <c r="K315">
        <v>1.0104948730000001</v>
      </c>
      <c r="L315">
        <v>1.1503331510000001</v>
      </c>
      <c r="M315">
        <v>1.140265777</v>
      </c>
      <c r="N315">
        <v>1.4628116840000001</v>
      </c>
      <c r="O315">
        <v>1.8926323169999999</v>
      </c>
      <c r="P315">
        <v>1.5068638000000001</v>
      </c>
    </row>
    <row r="316" spans="2:43" x14ac:dyDescent="0.2">
      <c r="B316">
        <v>1.7541582999999999E-2</v>
      </c>
      <c r="C316">
        <v>9.4822855999999997E-2</v>
      </c>
      <c r="D316">
        <v>0.32923135999999997</v>
      </c>
      <c r="E316">
        <v>0.475756919</v>
      </c>
      <c r="F316">
        <v>0.57828801699999999</v>
      </c>
      <c r="G316">
        <v>0.61925245900000003</v>
      </c>
      <c r="H316">
        <v>0.70358279199999996</v>
      </c>
      <c r="I316">
        <v>0.94511421399999995</v>
      </c>
      <c r="J316">
        <v>1.0050599389999999</v>
      </c>
      <c r="K316">
        <v>1.0410178800000001</v>
      </c>
      <c r="L316">
        <v>1.1376506580000001</v>
      </c>
      <c r="M316">
        <v>1.2058032190000001</v>
      </c>
      <c r="N316">
        <v>1.3140828959999999</v>
      </c>
      <c r="O316">
        <v>1.435521971</v>
      </c>
      <c r="P316">
        <v>1.791366217</v>
      </c>
    </row>
    <row r="317" spans="2:43" x14ac:dyDescent="0.2">
      <c r="B317" t="s">
        <v>44</v>
      </c>
    </row>
    <row r="318" spans="2:43" x14ac:dyDescent="0.2">
      <c r="B318">
        <v>133.8753624</v>
      </c>
      <c r="C318">
        <v>261.23537069999998</v>
      </c>
      <c r="D318">
        <v>129.9274978</v>
      </c>
      <c r="E318">
        <v>207.3789889</v>
      </c>
      <c r="F318">
        <v>169.57258210000001</v>
      </c>
      <c r="G318">
        <v>141.3046415</v>
      </c>
      <c r="H318">
        <v>234.22250740000001</v>
      </c>
      <c r="I318">
        <v>208.38171940000001</v>
      </c>
      <c r="J318">
        <v>218.49562130000001</v>
      </c>
      <c r="K318">
        <v>131.2796424</v>
      </c>
      <c r="L318">
        <v>108.6154631</v>
      </c>
      <c r="M318">
        <v>143.64864610000001</v>
      </c>
      <c r="N318">
        <v>138.62286259999999</v>
      </c>
      <c r="O318">
        <v>158.01057420000001</v>
      </c>
      <c r="P318">
        <v>80.360578899999993</v>
      </c>
      <c r="Q318">
        <v>103.3743302</v>
      </c>
      <c r="R318">
        <v>77.261254260000001</v>
      </c>
      <c r="S318">
        <v>113.23781510000001</v>
      </c>
      <c r="T318">
        <v>137.0867519</v>
      </c>
      <c r="U318">
        <v>113.81314829999999</v>
      </c>
      <c r="V318">
        <v>109.0820387</v>
      </c>
      <c r="W318">
        <v>143.6577341</v>
      </c>
      <c r="X318">
        <v>80.196992789999996</v>
      </c>
      <c r="Y318">
        <v>102.6670926</v>
      </c>
      <c r="Z318">
        <v>69.07583545</v>
      </c>
      <c r="AA318">
        <v>126.2522417</v>
      </c>
      <c r="AB318">
        <v>62.380885540000001</v>
      </c>
      <c r="AC318">
        <v>48.953417999999999</v>
      </c>
      <c r="AD318">
        <v>89.604418659999993</v>
      </c>
      <c r="AE318">
        <v>68.873173350000002</v>
      </c>
      <c r="AF318">
        <v>99.885084180000007</v>
      </c>
      <c r="AG318">
        <v>110.2425664</v>
      </c>
      <c r="AH318">
        <v>194.86114950000001</v>
      </c>
      <c r="AI318">
        <v>175.94693559999999</v>
      </c>
      <c r="AJ318">
        <v>142.98992190000001</v>
      </c>
      <c r="AK318">
        <v>139.2323839</v>
      </c>
      <c r="AL318">
        <v>80.163447860000005</v>
      </c>
      <c r="AM318">
        <v>166.5205813</v>
      </c>
      <c r="AN318">
        <v>92.843794110000005</v>
      </c>
      <c r="AO318">
        <v>117.2551515</v>
      </c>
      <c r="AP318">
        <v>83.198430779999995</v>
      </c>
      <c r="AQ318">
        <v>164.8672282</v>
      </c>
    </row>
    <row r="319" spans="2:43" x14ac:dyDescent="0.2">
      <c r="B319" t="s">
        <v>45</v>
      </c>
    </row>
    <row r="320" spans="2:43" x14ac:dyDescent="0.2">
      <c r="B320">
        <v>2755182231</v>
      </c>
      <c r="C320">
        <v>7089471363</v>
      </c>
      <c r="D320">
        <v>7275014946</v>
      </c>
      <c r="E320">
        <v>9342207713</v>
      </c>
      <c r="F320">
        <v>3175978020</v>
      </c>
      <c r="G320">
        <v>430943515</v>
      </c>
      <c r="H320">
        <v>298322203</v>
      </c>
      <c r="I320">
        <v>143659297</v>
      </c>
      <c r="J320">
        <v>91408049</v>
      </c>
      <c r="K320">
        <v>56980510</v>
      </c>
      <c r="L320">
        <v>34998283</v>
      </c>
      <c r="M320">
        <v>21591697</v>
      </c>
      <c r="N320">
        <v>7017180</v>
      </c>
      <c r="O320">
        <v>2610335</v>
      </c>
      <c r="P320">
        <v>933629</v>
      </c>
    </row>
    <row r="321" spans="2:16" x14ac:dyDescent="0.2">
      <c r="B321">
        <v>10803356201</v>
      </c>
      <c r="C321">
        <v>1627346372</v>
      </c>
      <c r="D321">
        <v>3633276632</v>
      </c>
      <c r="E321">
        <v>6457624088</v>
      </c>
      <c r="F321">
        <v>14278792748</v>
      </c>
      <c r="G321">
        <v>4400645572</v>
      </c>
      <c r="H321">
        <v>813584557</v>
      </c>
      <c r="I321">
        <v>443173193</v>
      </c>
      <c r="J321">
        <v>206977500</v>
      </c>
      <c r="K321">
        <v>172472114</v>
      </c>
      <c r="L321">
        <v>127873867</v>
      </c>
      <c r="M321">
        <v>46958739</v>
      </c>
      <c r="N321">
        <v>17087596</v>
      </c>
      <c r="O321">
        <v>15259012</v>
      </c>
      <c r="P321">
        <v>5404487</v>
      </c>
    </row>
    <row r="322" spans="2:16" x14ac:dyDescent="0.2">
      <c r="B322">
        <v>1062939834</v>
      </c>
      <c r="C322">
        <v>698640864</v>
      </c>
      <c r="D322">
        <v>1145563910</v>
      </c>
      <c r="E322">
        <v>3282562761</v>
      </c>
      <c r="F322">
        <v>4063716913</v>
      </c>
      <c r="G322">
        <v>9479243949</v>
      </c>
      <c r="H322">
        <v>1817715586</v>
      </c>
      <c r="I322">
        <v>409788720</v>
      </c>
      <c r="J322">
        <v>195442182</v>
      </c>
      <c r="K322">
        <v>66330469</v>
      </c>
      <c r="L322">
        <v>43064412</v>
      </c>
      <c r="M322">
        <v>17611272</v>
      </c>
      <c r="N322">
        <v>10378318</v>
      </c>
      <c r="O322">
        <v>11988104</v>
      </c>
      <c r="P322">
        <v>6046240</v>
      </c>
    </row>
    <row r="323" spans="2:16" x14ac:dyDescent="0.2">
      <c r="B323">
        <v>13926254763</v>
      </c>
      <c r="C323">
        <v>1948686908</v>
      </c>
      <c r="D323">
        <v>7673991747</v>
      </c>
      <c r="E323">
        <v>2578665564</v>
      </c>
      <c r="F323">
        <v>8639180744</v>
      </c>
      <c r="G323">
        <v>5402328286</v>
      </c>
      <c r="H323">
        <v>3732813285</v>
      </c>
      <c r="I323">
        <v>749148075</v>
      </c>
      <c r="J323">
        <v>200477611</v>
      </c>
      <c r="K323">
        <v>156085848</v>
      </c>
      <c r="L323">
        <v>56115695</v>
      </c>
      <c r="M323">
        <v>18787775</v>
      </c>
      <c r="N323">
        <v>20269119</v>
      </c>
      <c r="O323">
        <v>2035247</v>
      </c>
      <c r="P323">
        <v>914246</v>
      </c>
    </row>
    <row r="324" spans="2:16" x14ac:dyDescent="0.2">
      <c r="B324">
        <v>6013982522</v>
      </c>
      <c r="C324">
        <v>1890710222</v>
      </c>
      <c r="D324">
        <v>1109491442</v>
      </c>
      <c r="E324">
        <v>3973211916</v>
      </c>
      <c r="F324">
        <v>2403399911</v>
      </c>
      <c r="G324">
        <v>4061389842</v>
      </c>
      <c r="H324">
        <v>3598978554</v>
      </c>
      <c r="I324">
        <v>3330329780</v>
      </c>
      <c r="J324">
        <v>1058551322</v>
      </c>
      <c r="K324">
        <v>171354558</v>
      </c>
      <c r="L324">
        <v>73647312</v>
      </c>
      <c r="M324">
        <v>31559344</v>
      </c>
      <c r="N324">
        <v>2130614</v>
      </c>
      <c r="O324">
        <v>9117613</v>
      </c>
      <c r="P324">
        <v>0</v>
      </c>
    </row>
    <row r="325" spans="2:16" x14ac:dyDescent="0.2">
      <c r="B325">
        <v>999771700</v>
      </c>
      <c r="C325">
        <v>1669148464</v>
      </c>
      <c r="D325">
        <v>2180288416</v>
      </c>
      <c r="E325">
        <v>1616982343</v>
      </c>
      <c r="F325">
        <v>9679722294</v>
      </c>
      <c r="G325">
        <v>2733350855</v>
      </c>
      <c r="H325">
        <v>2748679726</v>
      </c>
      <c r="I325">
        <v>1101510204</v>
      </c>
      <c r="J325">
        <v>3583274682</v>
      </c>
      <c r="K325">
        <v>574051598</v>
      </c>
      <c r="L325">
        <v>178997101</v>
      </c>
      <c r="M325">
        <v>72899557</v>
      </c>
      <c r="N325">
        <v>12520059</v>
      </c>
      <c r="O325">
        <v>6475947</v>
      </c>
      <c r="P325">
        <v>4765986</v>
      </c>
    </row>
    <row r="326" spans="2:16" x14ac:dyDescent="0.2">
      <c r="B326">
        <v>3006017975</v>
      </c>
      <c r="C326">
        <v>1672833703</v>
      </c>
      <c r="D326">
        <v>3581352780</v>
      </c>
      <c r="E326">
        <v>6715741846</v>
      </c>
      <c r="F326">
        <v>2961989194</v>
      </c>
      <c r="G326">
        <v>9766236520</v>
      </c>
      <c r="H326">
        <v>2938067548</v>
      </c>
      <c r="I326">
        <v>2336348444</v>
      </c>
      <c r="J326">
        <v>1360892965</v>
      </c>
      <c r="K326">
        <v>3312230769</v>
      </c>
      <c r="L326">
        <v>315927267</v>
      </c>
      <c r="M326">
        <v>192269363</v>
      </c>
      <c r="N326">
        <v>37120976</v>
      </c>
      <c r="O326">
        <v>51085447</v>
      </c>
      <c r="P326">
        <v>20558880</v>
      </c>
    </row>
    <row r="327" spans="2:16" x14ac:dyDescent="0.2">
      <c r="B327">
        <v>1996964467</v>
      </c>
      <c r="C327">
        <v>663182971</v>
      </c>
      <c r="D327">
        <v>1288411754</v>
      </c>
      <c r="E327">
        <v>4215803414</v>
      </c>
      <c r="F327">
        <v>9629713939</v>
      </c>
      <c r="G327">
        <v>1910948409</v>
      </c>
      <c r="H327">
        <v>7397874883</v>
      </c>
      <c r="I327">
        <v>1118015295</v>
      </c>
      <c r="J327">
        <v>1408832260</v>
      </c>
      <c r="K327">
        <v>544676194</v>
      </c>
      <c r="L327">
        <v>1742434567</v>
      </c>
      <c r="M327">
        <v>302158908</v>
      </c>
      <c r="N327">
        <v>264105125</v>
      </c>
      <c r="O327">
        <v>128542609</v>
      </c>
      <c r="P327">
        <v>177353756</v>
      </c>
    </row>
    <row r="328" spans="2:16" x14ac:dyDescent="0.2">
      <c r="B328">
        <v>5113108188</v>
      </c>
      <c r="C328">
        <v>683249861</v>
      </c>
      <c r="D328">
        <v>221814209</v>
      </c>
      <c r="E328">
        <v>1664987164</v>
      </c>
      <c r="F328">
        <v>3297422817</v>
      </c>
      <c r="G328">
        <v>11194675272</v>
      </c>
      <c r="H328">
        <v>2253853978</v>
      </c>
      <c r="I328">
        <v>5666843325</v>
      </c>
      <c r="J328">
        <v>589232886</v>
      </c>
      <c r="K328">
        <v>1115056034</v>
      </c>
      <c r="L328">
        <v>178280713</v>
      </c>
      <c r="M328">
        <v>1630699391</v>
      </c>
      <c r="N328">
        <v>144612285</v>
      </c>
      <c r="O328">
        <v>110131820</v>
      </c>
      <c r="P328">
        <v>136011147</v>
      </c>
    </row>
    <row r="329" spans="2:16" x14ac:dyDescent="0.2">
      <c r="B329">
        <v>6570964543</v>
      </c>
      <c r="C329">
        <v>2667275075</v>
      </c>
      <c r="D329">
        <v>701447954</v>
      </c>
      <c r="E329">
        <v>217958960</v>
      </c>
      <c r="F329">
        <v>1381976688</v>
      </c>
      <c r="G329">
        <v>1303244871</v>
      </c>
      <c r="H329">
        <v>4240935220</v>
      </c>
      <c r="I329">
        <v>1601025428</v>
      </c>
      <c r="J329">
        <v>3433643591</v>
      </c>
      <c r="K329">
        <v>908252822</v>
      </c>
      <c r="L329">
        <v>1272429760</v>
      </c>
      <c r="M329">
        <v>269116244</v>
      </c>
      <c r="N329">
        <v>786486452</v>
      </c>
      <c r="O329">
        <v>111850360</v>
      </c>
      <c r="P329">
        <v>95659033</v>
      </c>
    </row>
    <row r="330" spans="2:16" x14ac:dyDescent="0.2">
      <c r="B330">
        <v>3984114701</v>
      </c>
      <c r="C330">
        <v>895036008</v>
      </c>
      <c r="D330">
        <v>5032691171</v>
      </c>
      <c r="E330">
        <v>840203091</v>
      </c>
      <c r="F330">
        <v>944515524</v>
      </c>
      <c r="G330">
        <v>1581996670</v>
      </c>
      <c r="H330">
        <v>1421009536</v>
      </c>
      <c r="I330">
        <v>2029960276</v>
      </c>
      <c r="J330">
        <v>921237340</v>
      </c>
      <c r="K330">
        <v>1758223452</v>
      </c>
      <c r="L330">
        <v>627638876</v>
      </c>
      <c r="M330">
        <v>788799896</v>
      </c>
      <c r="N330">
        <v>350667117</v>
      </c>
      <c r="O330">
        <v>277011867</v>
      </c>
      <c r="P330">
        <v>210261520</v>
      </c>
    </row>
    <row r="331" spans="2:16" x14ac:dyDescent="0.2">
      <c r="B331">
        <v>5883632526</v>
      </c>
      <c r="C331">
        <v>1064578802</v>
      </c>
      <c r="D331">
        <v>2014268309</v>
      </c>
      <c r="E331">
        <v>8448610688</v>
      </c>
      <c r="F331">
        <v>1840455771</v>
      </c>
      <c r="G331">
        <v>1455316037</v>
      </c>
      <c r="H331">
        <v>774029171</v>
      </c>
      <c r="I331">
        <v>1088224184</v>
      </c>
      <c r="J331">
        <v>1476092216</v>
      </c>
      <c r="K331">
        <v>910539812</v>
      </c>
      <c r="L331">
        <v>793761459</v>
      </c>
      <c r="M331">
        <v>580897013</v>
      </c>
      <c r="N331">
        <v>458398571</v>
      </c>
      <c r="O331">
        <v>254274431</v>
      </c>
      <c r="P331">
        <v>303412544</v>
      </c>
    </row>
    <row r="332" spans="2:16" x14ac:dyDescent="0.2">
      <c r="B332">
        <v>3757278678</v>
      </c>
      <c r="C332">
        <v>1777661819</v>
      </c>
      <c r="D332">
        <v>1218204311</v>
      </c>
      <c r="E332">
        <v>3364327067</v>
      </c>
      <c r="F332">
        <v>9024222884</v>
      </c>
      <c r="G332">
        <v>1620048511</v>
      </c>
      <c r="H332">
        <v>423316678</v>
      </c>
      <c r="I332">
        <v>364414582</v>
      </c>
      <c r="J332">
        <v>425390876</v>
      </c>
      <c r="K332">
        <v>795614312</v>
      </c>
      <c r="L332">
        <v>483638578</v>
      </c>
      <c r="M332">
        <v>684073764</v>
      </c>
      <c r="N332">
        <v>255564322</v>
      </c>
      <c r="O332">
        <v>242331868</v>
      </c>
      <c r="P332">
        <v>382402903</v>
      </c>
    </row>
    <row r="333" spans="2:16" x14ac:dyDescent="0.2">
      <c r="B333">
        <v>3850741235</v>
      </c>
      <c r="C333">
        <v>648526374</v>
      </c>
      <c r="D333">
        <v>841924470</v>
      </c>
      <c r="E333">
        <v>3649057585</v>
      </c>
      <c r="F333">
        <v>4840572630</v>
      </c>
      <c r="G333">
        <v>7711907315</v>
      </c>
      <c r="H333">
        <v>3261369045</v>
      </c>
      <c r="I333">
        <v>834984989</v>
      </c>
      <c r="J333">
        <v>518339880</v>
      </c>
      <c r="K333">
        <v>349231872</v>
      </c>
      <c r="L333">
        <v>649271663</v>
      </c>
      <c r="M333">
        <v>261540902</v>
      </c>
      <c r="N333">
        <v>494327403</v>
      </c>
      <c r="O333">
        <v>203444644</v>
      </c>
      <c r="P333">
        <v>287378995</v>
      </c>
    </row>
    <row r="334" spans="2:16" x14ac:dyDescent="0.2">
      <c r="B334">
        <v>3600442823</v>
      </c>
      <c r="C334">
        <v>1106109675</v>
      </c>
      <c r="D334">
        <v>422635825</v>
      </c>
      <c r="E334">
        <v>848040739</v>
      </c>
      <c r="F334">
        <v>2297026370</v>
      </c>
      <c r="G334">
        <v>3136208744</v>
      </c>
      <c r="H334">
        <v>2835903927</v>
      </c>
      <c r="I334">
        <v>947636792</v>
      </c>
      <c r="J334">
        <v>237016705</v>
      </c>
      <c r="K334">
        <v>249002855</v>
      </c>
      <c r="L334">
        <v>170743139</v>
      </c>
      <c r="M334">
        <v>320580066</v>
      </c>
      <c r="N334">
        <v>106618280</v>
      </c>
      <c r="O334">
        <v>195991239</v>
      </c>
      <c r="P334">
        <v>260628972</v>
      </c>
    </row>
    <row r="335" spans="2:16" x14ac:dyDescent="0.2">
      <c r="B335">
        <v>6153446798</v>
      </c>
      <c r="C335">
        <v>964489180</v>
      </c>
      <c r="D335">
        <v>416079857</v>
      </c>
      <c r="E335">
        <v>504962075</v>
      </c>
      <c r="F335">
        <v>6031353545</v>
      </c>
      <c r="G335">
        <v>2844809299</v>
      </c>
      <c r="H335">
        <v>1781517455</v>
      </c>
      <c r="I335">
        <v>2216637269</v>
      </c>
      <c r="J335">
        <v>378424176</v>
      </c>
      <c r="K335">
        <v>197295692</v>
      </c>
      <c r="L335">
        <v>148459230</v>
      </c>
      <c r="M335">
        <v>166639609</v>
      </c>
      <c r="N335">
        <v>268588450</v>
      </c>
      <c r="O335">
        <v>88280554</v>
      </c>
      <c r="P335">
        <v>311071773</v>
      </c>
    </row>
    <row r="336" spans="2:16" x14ac:dyDescent="0.2">
      <c r="B336">
        <v>1820980811</v>
      </c>
      <c r="C336">
        <v>1604812887</v>
      </c>
      <c r="D336">
        <v>812046308</v>
      </c>
      <c r="E336">
        <v>553214378</v>
      </c>
      <c r="F336">
        <v>1028016739</v>
      </c>
      <c r="G336">
        <v>5880926698</v>
      </c>
      <c r="H336">
        <v>1524502213</v>
      </c>
      <c r="I336">
        <v>996491932</v>
      </c>
      <c r="J336">
        <v>779370426</v>
      </c>
      <c r="K336">
        <v>198853853</v>
      </c>
      <c r="L336">
        <v>89156061</v>
      </c>
      <c r="M336">
        <v>31142714</v>
      </c>
      <c r="N336">
        <v>68436700</v>
      </c>
      <c r="O336">
        <v>80513948</v>
      </c>
      <c r="P336">
        <v>187026360</v>
      </c>
    </row>
    <row r="337" spans="2:16" x14ac:dyDescent="0.2">
      <c r="B337">
        <v>2437731998</v>
      </c>
      <c r="C337">
        <v>2102464015</v>
      </c>
      <c r="D337">
        <v>1930743443</v>
      </c>
      <c r="E337">
        <v>2087634697</v>
      </c>
      <c r="F337">
        <v>1196835389</v>
      </c>
      <c r="G337">
        <v>2169137478</v>
      </c>
      <c r="H337">
        <v>5496921076</v>
      </c>
      <c r="I337">
        <v>1550461529</v>
      </c>
      <c r="J337">
        <v>781533100</v>
      </c>
      <c r="K337">
        <v>734160864</v>
      </c>
      <c r="L337">
        <v>268516735</v>
      </c>
      <c r="M337">
        <v>118174513</v>
      </c>
      <c r="N337">
        <v>46589553</v>
      </c>
      <c r="O337">
        <v>73913101</v>
      </c>
      <c r="P337">
        <v>248607998</v>
      </c>
    </row>
    <row r="338" spans="2:16" x14ac:dyDescent="0.2">
      <c r="B338">
        <v>2794693437</v>
      </c>
      <c r="C338">
        <v>712117252</v>
      </c>
      <c r="D338">
        <v>1044343770</v>
      </c>
      <c r="E338">
        <v>3498482634</v>
      </c>
      <c r="F338">
        <v>3549648224</v>
      </c>
      <c r="G338">
        <v>1888203544</v>
      </c>
      <c r="H338">
        <v>1620563574</v>
      </c>
      <c r="I338">
        <v>5403958782</v>
      </c>
      <c r="J338">
        <v>2116857050</v>
      </c>
      <c r="K338">
        <v>1141115675</v>
      </c>
      <c r="L338">
        <v>503453400</v>
      </c>
      <c r="M338">
        <v>330851888</v>
      </c>
      <c r="N338">
        <v>103080690</v>
      </c>
      <c r="O338">
        <v>48127486</v>
      </c>
      <c r="P338">
        <v>217016183</v>
      </c>
    </row>
    <row r="339" spans="2:16" x14ac:dyDescent="0.2">
      <c r="B339">
        <v>4190070961</v>
      </c>
      <c r="C339">
        <v>2783367975</v>
      </c>
      <c r="D339">
        <v>1290817066</v>
      </c>
      <c r="E339">
        <v>1222548432</v>
      </c>
      <c r="F339">
        <v>3082269666</v>
      </c>
      <c r="G339">
        <v>3279856739</v>
      </c>
      <c r="H339">
        <v>1427428095</v>
      </c>
      <c r="I339">
        <v>715604161</v>
      </c>
      <c r="J339">
        <v>2148263426</v>
      </c>
      <c r="K339">
        <v>1557411932</v>
      </c>
      <c r="L339">
        <v>619492825</v>
      </c>
      <c r="M339">
        <v>488419665</v>
      </c>
      <c r="N339">
        <v>179156414</v>
      </c>
      <c r="O339">
        <v>71444076</v>
      </c>
      <c r="P339">
        <v>192169671</v>
      </c>
    </row>
    <row r="340" spans="2:16" x14ac:dyDescent="0.2">
      <c r="B340">
        <v>1936797655</v>
      </c>
      <c r="C340">
        <v>841199707</v>
      </c>
      <c r="D340">
        <v>1852555360</v>
      </c>
      <c r="E340">
        <v>2665646850</v>
      </c>
      <c r="F340">
        <v>2775660574</v>
      </c>
      <c r="G340">
        <v>3600530643</v>
      </c>
      <c r="H340">
        <v>1855309553</v>
      </c>
      <c r="I340">
        <v>883922622</v>
      </c>
      <c r="J340">
        <v>1242680028</v>
      </c>
      <c r="K340">
        <v>2325199928</v>
      </c>
      <c r="L340">
        <v>1167614052</v>
      </c>
      <c r="M340">
        <v>533533724</v>
      </c>
      <c r="N340">
        <v>318128310</v>
      </c>
      <c r="O340">
        <v>101097576</v>
      </c>
      <c r="P340">
        <v>113724799</v>
      </c>
    </row>
    <row r="341" spans="2:16" x14ac:dyDescent="0.2">
      <c r="B341">
        <v>1114967696</v>
      </c>
      <c r="C341">
        <v>389247509</v>
      </c>
      <c r="D341">
        <v>2053068822</v>
      </c>
      <c r="E341">
        <v>3530291251</v>
      </c>
      <c r="F341">
        <v>4264449602</v>
      </c>
      <c r="G341">
        <v>3726482333</v>
      </c>
      <c r="H341">
        <v>4926357880</v>
      </c>
      <c r="I341">
        <v>2758239054</v>
      </c>
      <c r="J341">
        <v>1224273432</v>
      </c>
      <c r="K341">
        <v>1605081989</v>
      </c>
      <c r="L341">
        <v>3250343103</v>
      </c>
      <c r="M341">
        <v>1398144624</v>
      </c>
      <c r="N341">
        <v>533034262</v>
      </c>
      <c r="O341">
        <v>271050694</v>
      </c>
      <c r="P341">
        <v>205247228</v>
      </c>
    </row>
    <row r="342" spans="2:16" x14ac:dyDescent="0.2">
      <c r="B342">
        <v>946211864</v>
      </c>
      <c r="C342">
        <v>668616938</v>
      </c>
      <c r="D342">
        <v>419632146</v>
      </c>
      <c r="E342">
        <v>3111342945</v>
      </c>
      <c r="F342">
        <v>3029934343</v>
      </c>
      <c r="G342">
        <v>2284384444</v>
      </c>
      <c r="H342">
        <v>1335608209</v>
      </c>
      <c r="I342">
        <v>1448753314</v>
      </c>
      <c r="J342">
        <v>729332244</v>
      </c>
      <c r="K342">
        <v>454501559</v>
      </c>
      <c r="L342">
        <v>456263253</v>
      </c>
      <c r="M342">
        <v>823135210</v>
      </c>
      <c r="N342">
        <v>353919362</v>
      </c>
      <c r="O342">
        <v>88635888</v>
      </c>
      <c r="P342">
        <v>70118007</v>
      </c>
    </row>
    <row r="343" spans="2:16" x14ac:dyDescent="0.2">
      <c r="B343">
        <v>880665643</v>
      </c>
      <c r="C343">
        <v>375974187</v>
      </c>
      <c r="D343">
        <v>500752165</v>
      </c>
      <c r="E343">
        <v>2124726411</v>
      </c>
      <c r="F343">
        <v>6200186427</v>
      </c>
      <c r="G343">
        <v>4469022027</v>
      </c>
      <c r="H343">
        <v>2444777992</v>
      </c>
      <c r="I343">
        <v>982537870</v>
      </c>
      <c r="J343">
        <v>853749490</v>
      </c>
      <c r="K343">
        <v>596657630</v>
      </c>
      <c r="L343">
        <v>171738676</v>
      </c>
      <c r="M343">
        <v>361033758</v>
      </c>
      <c r="N343">
        <v>584132223</v>
      </c>
      <c r="O343">
        <v>220915199</v>
      </c>
      <c r="P343">
        <v>227562782</v>
      </c>
    </row>
    <row r="344" spans="2:16" x14ac:dyDescent="0.2">
      <c r="B344">
        <v>2275725104</v>
      </c>
      <c r="C344">
        <v>128112259</v>
      </c>
      <c r="D344">
        <v>146901929</v>
      </c>
      <c r="E344">
        <v>909250719</v>
      </c>
      <c r="F344">
        <v>2334599979</v>
      </c>
      <c r="G344">
        <v>3015446115</v>
      </c>
      <c r="H344">
        <v>1936457299</v>
      </c>
      <c r="I344">
        <v>931721170</v>
      </c>
      <c r="J344">
        <v>537320956</v>
      </c>
      <c r="K344">
        <v>469075559</v>
      </c>
      <c r="L344">
        <v>226795472</v>
      </c>
      <c r="M344">
        <v>142727563</v>
      </c>
      <c r="N344">
        <v>206766948</v>
      </c>
      <c r="O344">
        <v>272636450</v>
      </c>
      <c r="P344">
        <v>273659044</v>
      </c>
    </row>
    <row r="345" spans="2:16" x14ac:dyDescent="0.2">
      <c r="B345">
        <v>6068786446</v>
      </c>
      <c r="C345">
        <v>108351214</v>
      </c>
      <c r="D345">
        <v>257654765</v>
      </c>
      <c r="E345">
        <v>939865129</v>
      </c>
      <c r="F345">
        <v>3091391496</v>
      </c>
      <c r="G345">
        <v>3746193362</v>
      </c>
      <c r="H345">
        <v>2740347282</v>
      </c>
      <c r="I345">
        <v>1935407955</v>
      </c>
      <c r="J345">
        <v>847043987</v>
      </c>
      <c r="K345">
        <v>382528977</v>
      </c>
      <c r="L345">
        <v>339514526</v>
      </c>
      <c r="M345">
        <v>306289707</v>
      </c>
      <c r="N345">
        <v>139724000</v>
      </c>
      <c r="O345">
        <v>167771385</v>
      </c>
      <c r="P345">
        <v>340013356</v>
      </c>
    </row>
    <row r="346" spans="2:16" x14ac:dyDescent="0.2">
      <c r="B346">
        <v>1307231817</v>
      </c>
      <c r="C346">
        <v>265057749</v>
      </c>
      <c r="D346">
        <v>199479407</v>
      </c>
      <c r="E346">
        <v>418888849</v>
      </c>
      <c r="F346">
        <v>1195104065</v>
      </c>
      <c r="G346">
        <v>2539511596</v>
      </c>
      <c r="H346">
        <v>2022102140</v>
      </c>
      <c r="I346">
        <v>1383539369</v>
      </c>
      <c r="J346">
        <v>907291977</v>
      </c>
      <c r="K346">
        <v>360235646</v>
      </c>
      <c r="L346">
        <v>305950753</v>
      </c>
      <c r="M346">
        <v>233504824</v>
      </c>
      <c r="N346">
        <v>105489350</v>
      </c>
      <c r="O346">
        <v>59783208</v>
      </c>
      <c r="P346">
        <v>363453592</v>
      </c>
    </row>
    <row r="347" spans="2:16" x14ac:dyDescent="0.2">
      <c r="B347">
        <v>2018918172</v>
      </c>
      <c r="C347">
        <v>477152457</v>
      </c>
      <c r="D347">
        <v>990906572</v>
      </c>
      <c r="E347">
        <v>1067636128</v>
      </c>
      <c r="F347">
        <v>574820537</v>
      </c>
      <c r="G347">
        <v>913328605</v>
      </c>
      <c r="H347">
        <v>1287632689</v>
      </c>
      <c r="I347">
        <v>1019094947</v>
      </c>
      <c r="J347">
        <v>739427638</v>
      </c>
      <c r="K347">
        <v>366260329</v>
      </c>
      <c r="L347">
        <v>253690757</v>
      </c>
      <c r="M347">
        <v>86374272</v>
      </c>
      <c r="N347">
        <v>84657221</v>
      </c>
      <c r="O347">
        <v>44557176</v>
      </c>
      <c r="P347">
        <v>181191140</v>
      </c>
    </row>
    <row r="348" spans="2:16" x14ac:dyDescent="0.2">
      <c r="B348">
        <v>1399045274</v>
      </c>
      <c r="C348">
        <v>316115755</v>
      </c>
      <c r="D348">
        <v>581151047</v>
      </c>
      <c r="E348">
        <v>6126783726</v>
      </c>
      <c r="F348">
        <v>2753327907</v>
      </c>
      <c r="G348">
        <v>873555466</v>
      </c>
      <c r="H348">
        <v>780621199</v>
      </c>
      <c r="I348">
        <v>847923465</v>
      </c>
      <c r="J348">
        <v>873585044</v>
      </c>
      <c r="K348">
        <v>604909525</v>
      </c>
      <c r="L348">
        <v>523614662</v>
      </c>
      <c r="M348">
        <v>193038146</v>
      </c>
      <c r="N348">
        <v>120250260</v>
      </c>
      <c r="O348">
        <v>69690788</v>
      </c>
      <c r="P348">
        <v>168638438</v>
      </c>
    </row>
    <row r="349" spans="2:16" x14ac:dyDescent="0.2">
      <c r="B349">
        <v>2838264947</v>
      </c>
      <c r="C349">
        <v>302488705</v>
      </c>
      <c r="D349">
        <v>593167759</v>
      </c>
      <c r="E349">
        <v>846494041</v>
      </c>
      <c r="F349">
        <v>4281449217</v>
      </c>
      <c r="G349">
        <v>2114310477</v>
      </c>
      <c r="H349">
        <v>634419390</v>
      </c>
      <c r="I349">
        <v>368084246</v>
      </c>
      <c r="J349">
        <v>574122480</v>
      </c>
      <c r="K349">
        <v>568574479</v>
      </c>
      <c r="L349">
        <v>473805274</v>
      </c>
      <c r="M349">
        <v>359762387</v>
      </c>
      <c r="N349">
        <v>150683457</v>
      </c>
      <c r="O349">
        <v>73978405</v>
      </c>
      <c r="P349">
        <v>194573143</v>
      </c>
    </row>
    <row r="350" spans="2:16" x14ac:dyDescent="0.2">
      <c r="B350">
        <v>2879517375</v>
      </c>
      <c r="C350">
        <v>564690280</v>
      </c>
      <c r="D350">
        <v>1001751364</v>
      </c>
      <c r="E350">
        <v>7422961440</v>
      </c>
      <c r="F350">
        <v>1722095264</v>
      </c>
      <c r="G350">
        <v>2716740283</v>
      </c>
      <c r="H350">
        <v>942584963</v>
      </c>
      <c r="I350">
        <v>370762030</v>
      </c>
      <c r="J350">
        <v>284205583</v>
      </c>
      <c r="K350">
        <v>391306140</v>
      </c>
      <c r="L350">
        <v>320722419</v>
      </c>
      <c r="M350">
        <v>281233461</v>
      </c>
      <c r="N350">
        <v>237060182</v>
      </c>
      <c r="O350">
        <v>82690089</v>
      </c>
      <c r="P350">
        <v>154210799</v>
      </c>
    </row>
    <row r="351" spans="2:16" x14ac:dyDescent="0.2">
      <c r="B351">
        <v>2891606720</v>
      </c>
      <c r="C351">
        <v>269266890</v>
      </c>
      <c r="D351">
        <v>521055679</v>
      </c>
      <c r="E351">
        <v>2144777468</v>
      </c>
      <c r="F351">
        <v>11072843403</v>
      </c>
      <c r="G351">
        <v>2592249322</v>
      </c>
      <c r="H351">
        <v>1635119272</v>
      </c>
      <c r="I351">
        <v>579691918</v>
      </c>
      <c r="J351">
        <v>194303184</v>
      </c>
      <c r="K351">
        <v>178696915</v>
      </c>
      <c r="L351">
        <v>245001619</v>
      </c>
      <c r="M351">
        <v>177855260</v>
      </c>
      <c r="N351">
        <v>165053280</v>
      </c>
      <c r="O351">
        <v>92399365</v>
      </c>
      <c r="P351">
        <v>124066146</v>
      </c>
    </row>
    <row r="352" spans="2:16" x14ac:dyDescent="0.2">
      <c r="B352">
        <v>5110859609</v>
      </c>
      <c r="C352">
        <v>1288571571</v>
      </c>
      <c r="D352">
        <v>592489627</v>
      </c>
      <c r="E352">
        <v>789944801</v>
      </c>
      <c r="F352">
        <v>3683747984</v>
      </c>
      <c r="G352">
        <v>13470579309</v>
      </c>
      <c r="H352">
        <v>7018872068</v>
      </c>
      <c r="I352">
        <v>1533319609</v>
      </c>
      <c r="J352">
        <v>842650272</v>
      </c>
      <c r="K352">
        <v>309786938</v>
      </c>
      <c r="L352">
        <v>120163815</v>
      </c>
      <c r="M352">
        <v>170045282</v>
      </c>
      <c r="N352">
        <v>172803880</v>
      </c>
      <c r="O352">
        <v>83229223</v>
      </c>
      <c r="P352">
        <v>214264641</v>
      </c>
    </row>
    <row r="353" spans="1:20" x14ac:dyDescent="0.2">
      <c r="B353">
        <v>2644799865</v>
      </c>
      <c r="C353">
        <v>1795943677</v>
      </c>
      <c r="D353">
        <v>5255917187</v>
      </c>
      <c r="E353">
        <v>1331346840</v>
      </c>
      <c r="F353">
        <v>2687480354</v>
      </c>
      <c r="G353">
        <v>4981492401</v>
      </c>
      <c r="H353">
        <v>9873512362</v>
      </c>
      <c r="I353">
        <v>2907135551</v>
      </c>
      <c r="J353">
        <v>702834031</v>
      </c>
      <c r="K353">
        <v>340036161</v>
      </c>
      <c r="L353">
        <v>41490443</v>
      </c>
      <c r="M353">
        <v>38331690</v>
      </c>
      <c r="N353">
        <v>70161636</v>
      </c>
      <c r="O353">
        <v>38825946</v>
      </c>
      <c r="P353">
        <v>88176364</v>
      </c>
    </row>
    <row r="354" spans="1:20" x14ac:dyDescent="0.2">
      <c r="B354">
        <v>1753646394</v>
      </c>
      <c r="C354">
        <v>1048925408</v>
      </c>
      <c r="D354">
        <v>1491782240</v>
      </c>
      <c r="E354">
        <v>7367159076</v>
      </c>
      <c r="F354">
        <v>3038730974</v>
      </c>
      <c r="G354">
        <v>2077602701</v>
      </c>
      <c r="H354">
        <v>2933724291</v>
      </c>
      <c r="I354">
        <v>4312606698</v>
      </c>
      <c r="J354">
        <v>838981633</v>
      </c>
      <c r="K354">
        <v>332161155</v>
      </c>
      <c r="L354">
        <v>110049525</v>
      </c>
      <c r="M354">
        <v>24674927</v>
      </c>
      <c r="N354">
        <v>24817526</v>
      </c>
      <c r="O354">
        <v>8976087</v>
      </c>
      <c r="P354">
        <v>13455027</v>
      </c>
    </row>
    <row r="355" spans="1:20" x14ac:dyDescent="0.2">
      <c r="B355">
        <v>2227699699</v>
      </c>
      <c r="C355">
        <v>767175365</v>
      </c>
      <c r="D355">
        <v>1221707910</v>
      </c>
      <c r="E355">
        <v>5700550738</v>
      </c>
      <c r="F355">
        <v>7322996865</v>
      </c>
      <c r="G355">
        <v>3431620252</v>
      </c>
      <c r="H355">
        <v>2646437837</v>
      </c>
      <c r="I355">
        <v>2543392104</v>
      </c>
      <c r="J355">
        <v>3355437132</v>
      </c>
      <c r="K355">
        <v>951050154</v>
      </c>
      <c r="L355">
        <v>375576455</v>
      </c>
      <c r="M355">
        <v>118176127</v>
      </c>
      <c r="N355">
        <v>16197981</v>
      </c>
      <c r="O355">
        <v>6798111</v>
      </c>
      <c r="P355">
        <v>31484305</v>
      </c>
    </row>
    <row r="356" spans="1:20" x14ac:dyDescent="0.2">
      <c r="B356">
        <v>2757585162</v>
      </c>
      <c r="C356">
        <v>1116175432</v>
      </c>
      <c r="D356">
        <v>466080664</v>
      </c>
      <c r="E356">
        <v>793904905</v>
      </c>
      <c r="F356">
        <v>5563057062</v>
      </c>
      <c r="G356">
        <v>3311018150</v>
      </c>
      <c r="H356">
        <v>1163461414</v>
      </c>
      <c r="I356">
        <v>880261345</v>
      </c>
      <c r="J356">
        <v>891094847</v>
      </c>
      <c r="K356">
        <v>686751847</v>
      </c>
      <c r="L356">
        <v>221419082</v>
      </c>
      <c r="M356">
        <v>33318394</v>
      </c>
      <c r="N356">
        <v>5155301</v>
      </c>
      <c r="O356">
        <v>0</v>
      </c>
      <c r="P356">
        <v>11844679</v>
      </c>
    </row>
    <row r="357" spans="1:20" x14ac:dyDescent="0.2">
      <c r="B357">
        <v>7255486065</v>
      </c>
      <c r="C357">
        <v>1702061473</v>
      </c>
      <c r="D357">
        <v>938162462</v>
      </c>
      <c r="E357">
        <v>1144365057</v>
      </c>
      <c r="F357">
        <v>3362599586</v>
      </c>
      <c r="G357">
        <v>12572748798</v>
      </c>
      <c r="H357">
        <v>5274675286</v>
      </c>
      <c r="I357">
        <v>1294180351</v>
      </c>
      <c r="J357">
        <v>953217004</v>
      </c>
      <c r="K357">
        <v>577314225</v>
      </c>
      <c r="L357">
        <v>316739128</v>
      </c>
      <c r="M357">
        <v>142055868</v>
      </c>
      <c r="N357">
        <v>53262830</v>
      </c>
      <c r="O357">
        <v>13879032</v>
      </c>
      <c r="P357">
        <v>0</v>
      </c>
    </row>
    <row r="358" spans="1:20" x14ac:dyDescent="0.2">
      <c r="B358">
        <v>2536109522</v>
      </c>
      <c r="C358">
        <v>1407882970</v>
      </c>
      <c r="D358">
        <v>3067868499</v>
      </c>
      <c r="E358">
        <v>1752647456</v>
      </c>
      <c r="F358">
        <v>1530219528</v>
      </c>
      <c r="G358">
        <v>1095795126</v>
      </c>
      <c r="H358">
        <v>2938223781</v>
      </c>
      <c r="I358">
        <v>3459572786</v>
      </c>
      <c r="J358">
        <v>930854906</v>
      </c>
      <c r="K358">
        <v>363271279</v>
      </c>
      <c r="L358">
        <v>307281687</v>
      </c>
      <c r="M358">
        <v>202954203</v>
      </c>
      <c r="N358">
        <v>43523016</v>
      </c>
      <c r="O358">
        <v>30237118</v>
      </c>
      <c r="P358">
        <v>7188200</v>
      </c>
    </row>
    <row r="359" spans="1:20" x14ac:dyDescent="0.2">
      <c r="B359">
        <v>2346105734</v>
      </c>
      <c r="C359">
        <v>761352042</v>
      </c>
      <c r="D359">
        <v>1404108258</v>
      </c>
      <c r="E359">
        <v>7466143366</v>
      </c>
      <c r="F359">
        <v>3527741658</v>
      </c>
      <c r="G359">
        <v>1513029148</v>
      </c>
      <c r="H359">
        <v>1764625313</v>
      </c>
      <c r="I359">
        <v>2594279947</v>
      </c>
      <c r="J359">
        <v>1981063626</v>
      </c>
      <c r="K359">
        <v>635740988</v>
      </c>
      <c r="L359">
        <v>278862385</v>
      </c>
      <c r="M359">
        <v>239017344</v>
      </c>
      <c r="N359">
        <v>94152641</v>
      </c>
      <c r="O359">
        <v>51457041</v>
      </c>
      <c r="P359">
        <v>3809484</v>
      </c>
    </row>
    <row r="360" spans="1:20" x14ac:dyDescent="0.2">
      <c r="B360">
        <v>3294444826</v>
      </c>
      <c r="C360">
        <v>923818336</v>
      </c>
      <c r="D360">
        <v>731087694</v>
      </c>
      <c r="E360">
        <v>1403848024</v>
      </c>
      <c r="F360">
        <v>6169858038</v>
      </c>
      <c r="G360">
        <v>1775412277</v>
      </c>
      <c r="H360">
        <v>992860343</v>
      </c>
      <c r="I360">
        <v>1016005261</v>
      </c>
      <c r="J360">
        <v>1651185881</v>
      </c>
      <c r="K360">
        <v>1169922151</v>
      </c>
      <c r="L360">
        <v>253473904</v>
      </c>
      <c r="M360">
        <v>104073033</v>
      </c>
      <c r="N360">
        <v>64656440</v>
      </c>
      <c r="O360">
        <v>27481328</v>
      </c>
      <c r="P360">
        <v>25396449</v>
      </c>
    </row>
    <row r="361" spans="1:20" x14ac:dyDescent="0.2">
      <c r="B361">
        <v>3072680193</v>
      </c>
      <c r="C361">
        <v>2263939194</v>
      </c>
      <c r="D361">
        <v>1761183561</v>
      </c>
      <c r="E361">
        <v>1201882227</v>
      </c>
      <c r="F361">
        <v>3679865096</v>
      </c>
      <c r="G361">
        <v>12595341290</v>
      </c>
      <c r="H361">
        <v>2841081942</v>
      </c>
      <c r="I361">
        <v>916696256</v>
      </c>
      <c r="J361">
        <v>886436123</v>
      </c>
      <c r="K361">
        <v>799876790</v>
      </c>
      <c r="L361">
        <v>524387767</v>
      </c>
      <c r="M361">
        <v>189632906</v>
      </c>
      <c r="N361">
        <v>60232074</v>
      </c>
      <c r="O361">
        <v>19924514</v>
      </c>
      <c r="P361">
        <v>5337286</v>
      </c>
    </row>
    <row r="362" spans="1:20" x14ac:dyDescent="0.2">
      <c r="B362" t="s">
        <v>46</v>
      </c>
    </row>
    <row r="363" spans="1:20" x14ac:dyDescent="0.2">
      <c r="B363">
        <v>12474.96039</v>
      </c>
      <c r="C363">
        <v>8138.5492590000003</v>
      </c>
      <c r="D363">
        <v>20859.613509999999</v>
      </c>
      <c r="E363">
        <v>11466.161330000001</v>
      </c>
      <c r="F363">
        <v>8726.1326549999994</v>
      </c>
      <c r="G363">
        <v>13350.63055</v>
      </c>
      <c r="H363">
        <v>7893.6920060000002</v>
      </c>
      <c r="I363">
        <v>3910.2966860000001</v>
      </c>
      <c r="J363">
        <v>10042.36937</v>
      </c>
      <c r="K363">
        <v>5240.022277</v>
      </c>
      <c r="L363">
        <v>8629.6091369999995</v>
      </c>
      <c r="M363">
        <v>12968.07488</v>
      </c>
      <c r="N363">
        <v>7492.0467289999997</v>
      </c>
      <c r="O363">
        <v>19512.65379</v>
      </c>
      <c r="P363">
        <v>12219.62465</v>
      </c>
      <c r="Q363">
        <v>5569.8483319999996</v>
      </c>
      <c r="R363">
        <v>13660</v>
      </c>
      <c r="S363">
        <v>9674.4017719999993</v>
      </c>
      <c r="T363">
        <v>11358.629199999999</v>
      </c>
    </row>
    <row r="364" spans="1:20" x14ac:dyDescent="0.2">
      <c r="B364" t="s">
        <v>47</v>
      </c>
    </row>
    <row r="365" spans="1:20" x14ac:dyDescent="0.2">
      <c r="A365">
        <v>1994</v>
      </c>
      <c r="B365">
        <v>1140.0851399999999</v>
      </c>
      <c r="C365">
        <v>4969.0522559999999</v>
      </c>
      <c r="D365">
        <v>1424.4732690000001</v>
      </c>
      <c r="E365">
        <v>1818.5809260000001</v>
      </c>
      <c r="F365">
        <v>2251.768172</v>
      </c>
      <c r="G365">
        <v>389.1130852</v>
      </c>
      <c r="H365">
        <v>108.5917858</v>
      </c>
      <c r="I365">
        <v>95.88827757</v>
      </c>
      <c r="J365">
        <v>56.201938560000002</v>
      </c>
      <c r="K365">
        <v>67.125239690000001</v>
      </c>
      <c r="L365">
        <v>30.325586779999998</v>
      </c>
      <c r="M365">
        <v>51.13689729</v>
      </c>
      <c r="N365">
        <v>20.633513789999999</v>
      </c>
      <c r="O365">
        <v>17.628238899999999</v>
      </c>
      <c r="P365">
        <v>34.356061230000002</v>
      </c>
    </row>
    <row r="366" spans="1:20" x14ac:dyDescent="0.2">
      <c r="A366">
        <v>1996</v>
      </c>
      <c r="B366">
        <v>1800.2540550000001</v>
      </c>
      <c r="C366">
        <v>566.66512890000001</v>
      </c>
      <c r="D366">
        <v>552.1605677</v>
      </c>
      <c r="E366">
        <v>2741.05969</v>
      </c>
      <c r="F366">
        <v>914.96275760000003</v>
      </c>
      <c r="G366">
        <v>633.53149229999997</v>
      </c>
      <c r="H366">
        <v>585.04104989999996</v>
      </c>
      <c r="I366">
        <v>141.69026349999999</v>
      </c>
      <c r="J366">
        <v>38.61581297</v>
      </c>
      <c r="K366">
        <v>28.170044690000001</v>
      </c>
      <c r="L366">
        <v>22.42098893</v>
      </c>
      <c r="M366">
        <v>39.471901750000001</v>
      </c>
      <c r="N366">
        <v>13.931626980000001</v>
      </c>
      <c r="O366">
        <v>24.815192199999998</v>
      </c>
      <c r="P366">
        <v>35.758686900000001</v>
      </c>
    </row>
    <row r="367" spans="1:20" x14ac:dyDescent="0.2">
      <c r="A367">
        <v>1997</v>
      </c>
      <c r="B367">
        <v>13226.7894</v>
      </c>
      <c r="C367">
        <v>2881.0381910000001</v>
      </c>
      <c r="D367">
        <v>440.49410610000001</v>
      </c>
      <c r="E367">
        <v>535.64101100000005</v>
      </c>
      <c r="F367">
        <v>2330.3172880000002</v>
      </c>
      <c r="G367">
        <v>546.44430469999998</v>
      </c>
      <c r="H367">
        <v>313.01169629999998</v>
      </c>
      <c r="I367">
        <v>290.36236860000002</v>
      </c>
      <c r="J367">
        <v>75.110043140000002</v>
      </c>
      <c r="K367">
        <v>27.829137540000001</v>
      </c>
      <c r="L367">
        <v>30.8666707</v>
      </c>
      <c r="M367">
        <v>35.150965890000002</v>
      </c>
      <c r="N367">
        <v>38.921928800000003</v>
      </c>
      <c r="O367">
        <v>18.714737329999998</v>
      </c>
      <c r="P367">
        <v>68.921656049999996</v>
      </c>
    </row>
    <row r="368" spans="1:20" x14ac:dyDescent="0.2">
      <c r="A368">
        <v>1999</v>
      </c>
      <c r="B368">
        <v>607.20365200000003</v>
      </c>
      <c r="C368">
        <v>1779.9949570000001</v>
      </c>
      <c r="D368">
        <v>3717.060555</v>
      </c>
      <c r="E368">
        <v>1809.6749420000001</v>
      </c>
      <c r="F368">
        <v>651.86233589999995</v>
      </c>
      <c r="G368">
        <v>397.52067219999998</v>
      </c>
      <c r="H368">
        <v>1548.0324539999999</v>
      </c>
      <c r="I368">
        <v>526.25221790000001</v>
      </c>
      <c r="J368">
        <v>180.02083870000001</v>
      </c>
      <c r="K368">
        <v>141.64589910000001</v>
      </c>
      <c r="L368">
        <v>48.242948499999997</v>
      </c>
      <c r="M368">
        <v>20.49954722</v>
      </c>
      <c r="N368">
        <v>10.26681262</v>
      </c>
      <c r="O368">
        <v>7.7953667949999996</v>
      </c>
      <c r="P368">
        <v>20.08813323</v>
      </c>
    </row>
    <row r="369" spans="1:16" x14ac:dyDescent="0.2">
      <c r="A369">
        <v>2000</v>
      </c>
      <c r="B369">
        <v>460.36640310000001</v>
      </c>
      <c r="C369">
        <v>1322.0302790000001</v>
      </c>
      <c r="D369">
        <v>1230.0548590000001</v>
      </c>
      <c r="E369">
        <v>2588.0272890000001</v>
      </c>
      <c r="F369">
        <v>1011.827791</v>
      </c>
      <c r="G369">
        <v>326.61534289999997</v>
      </c>
      <c r="H369">
        <v>308.36422210000001</v>
      </c>
      <c r="I369">
        <v>949.55203489999997</v>
      </c>
      <c r="J369">
        <v>277.58517160000002</v>
      </c>
      <c r="K369">
        <v>134.09810970000001</v>
      </c>
      <c r="L369">
        <v>60.258588899999999</v>
      </c>
      <c r="M369">
        <v>35.599602249999997</v>
      </c>
      <c r="N369">
        <v>6.9873676480000002</v>
      </c>
      <c r="O369">
        <v>4.555128345</v>
      </c>
      <c r="P369">
        <v>10.210465579999999</v>
      </c>
    </row>
    <row r="370" spans="1:16" x14ac:dyDescent="0.2">
      <c r="A370">
        <v>2002</v>
      </c>
      <c r="B370">
        <v>796.39685029999998</v>
      </c>
      <c r="C370">
        <v>4943.941366</v>
      </c>
      <c r="D370">
        <v>3385.1004800000001</v>
      </c>
      <c r="E370">
        <v>1294.9325980000001</v>
      </c>
      <c r="F370">
        <v>660.61841949999996</v>
      </c>
      <c r="G370">
        <v>935.29347289999998</v>
      </c>
      <c r="H370">
        <v>538.44206770000005</v>
      </c>
      <c r="I370">
        <v>140.35786479999999</v>
      </c>
      <c r="J370">
        <v>162.4464571</v>
      </c>
      <c r="K370">
        <v>304.46125019999999</v>
      </c>
      <c r="L370">
        <v>103.61153</v>
      </c>
      <c r="M370">
        <v>45.372169960000001</v>
      </c>
      <c r="N370">
        <v>20.195607760000001</v>
      </c>
      <c r="O370">
        <v>12.17925292</v>
      </c>
      <c r="P370">
        <v>7.2811632319999999</v>
      </c>
    </row>
    <row r="371" spans="1:16" x14ac:dyDescent="0.2">
      <c r="A371">
        <v>2004</v>
      </c>
      <c r="B371">
        <v>83.054497420000004</v>
      </c>
      <c r="C371">
        <v>313.46852799999999</v>
      </c>
      <c r="D371">
        <v>1216.887645</v>
      </c>
      <c r="E371">
        <v>3122.587708</v>
      </c>
      <c r="F371">
        <v>1634.3134190000001</v>
      </c>
      <c r="G371">
        <v>567.11590469999999</v>
      </c>
      <c r="H371">
        <v>287.70947890000002</v>
      </c>
      <c r="I371">
        <v>282.71122029999998</v>
      </c>
      <c r="J371">
        <v>120.9099574</v>
      </c>
      <c r="K371">
        <v>68.490474460000001</v>
      </c>
      <c r="L371">
        <v>58.851892059999997</v>
      </c>
      <c r="M371">
        <v>77.005276300000006</v>
      </c>
      <c r="N371">
        <v>37.421352769999999</v>
      </c>
      <c r="O371">
        <v>12.53381701</v>
      </c>
      <c r="P371">
        <v>10.630835129999999</v>
      </c>
    </row>
    <row r="372" spans="1:16" x14ac:dyDescent="0.2">
      <c r="A372">
        <v>2006</v>
      </c>
      <c r="B372">
        <v>524.71095969999999</v>
      </c>
      <c r="C372">
        <v>216.99598520000001</v>
      </c>
      <c r="D372">
        <v>291.2456803</v>
      </c>
      <c r="E372">
        <v>654.09685420000005</v>
      </c>
      <c r="F372">
        <v>783.37609299999997</v>
      </c>
      <c r="G372">
        <v>658.55630099999996</v>
      </c>
      <c r="H372">
        <v>390.20024899999999</v>
      </c>
      <c r="I372">
        <v>144.88895460000001</v>
      </c>
      <c r="J372">
        <v>74.79552563</v>
      </c>
      <c r="K372">
        <v>58.553903579999997</v>
      </c>
      <c r="L372">
        <v>32.824918349999997</v>
      </c>
      <c r="M372">
        <v>21.719213159999999</v>
      </c>
      <c r="N372">
        <v>16.492805369999999</v>
      </c>
      <c r="O372">
        <v>19.794140970000001</v>
      </c>
      <c r="P372">
        <v>22.04510144</v>
      </c>
    </row>
    <row r="373" spans="1:16" x14ac:dyDescent="0.2">
      <c r="A373">
        <v>2007</v>
      </c>
      <c r="B373" s="2">
        <v>5341.7502229024803</v>
      </c>
      <c r="C373" s="2">
        <v>1252.3659148249972</v>
      </c>
      <c r="D373" s="2">
        <v>339.91190109824964</v>
      </c>
      <c r="E373" s="2">
        <v>593.24134120072097</v>
      </c>
      <c r="F373" s="2">
        <v>1085.7761778940169</v>
      </c>
      <c r="G373" s="2">
        <v>1161.9505336799291</v>
      </c>
      <c r="H373" s="2">
        <v>683.50566289616791</v>
      </c>
      <c r="I373" s="2">
        <v>408.96979109863901</v>
      </c>
      <c r="J373" s="2">
        <v>160.54450593173721</v>
      </c>
      <c r="K373">
        <v>39.261616619999998</v>
      </c>
      <c r="L373">
        <v>37.240400149999999</v>
      </c>
      <c r="M373">
        <v>18.81644455</v>
      </c>
      <c r="N373">
        <v>9.1721203960000004</v>
      </c>
      <c r="O373">
        <v>9.5783720559999992</v>
      </c>
      <c r="P373">
        <v>21.021197659999999</v>
      </c>
    </row>
    <row r="374" spans="1:16" x14ac:dyDescent="0.2">
      <c r="A374">
        <v>2008</v>
      </c>
      <c r="B374" s="2">
        <v>122.34214159267881</v>
      </c>
      <c r="C374" s="2">
        <v>3388.9684798183571</v>
      </c>
      <c r="D374" s="2">
        <v>1127.3419275628728</v>
      </c>
      <c r="E374" s="2">
        <v>215.04277342902031</v>
      </c>
      <c r="F374" s="2">
        <v>210.72381589805829</v>
      </c>
      <c r="G374" s="2">
        <v>371.67366491223095</v>
      </c>
      <c r="H374" s="2">
        <v>310.02510997422894</v>
      </c>
      <c r="I374" s="2">
        <v>193.6424104695445</v>
      </c>
      <c r="J374" s="2">
        <v>151.67084726898619</v>
      </c>
      <c r="K374">
        <v>31.995840619999999</v>
      </c>
      <c r="L374">
        <v>30.135659059999998</v>
      </c>
      <c r="M374">
        <v>19.00020739</v>
      </c>
      <c r="N374">
        <v>10.87302568</v>
      </c>
      <c r="O374">
        <v>5.6228518940000001</v>
      </c>
      <c r="P374">
        <v>22.471211220000001</v>
      </c>
    </row>
    <row r="375" spans="1:16" x14ac:dyDescent="0.2">
      <c r="A375">
        <v>2009</v>
      </c>
      <c r="B375" s="2">
        <v>7438.7288937880785</v>
      </c>
      <c r="C375" s="2">
        <v>842.39626447289868</v>
      </c>
      <c r="D375" s="2">
        <v>1839.7088669952298</v>
      </c>
      <c r="E375" s="2">
        <v>305.11010522031376</v>
      </c>
      <c r="F375" s="2">
        <v>86.232776229631298</v>
      </c>
      <c r="G375" s="2">
        <v>138.11846806167318</v>
      </c>
      <c r="H375" s="2">
        <v>96.525219463654992</v>
      </c>
      <c r="I375" s="2">
        <v>87.7726615923292</v>
      </c>
      <c r="J375" s="2">
        <v>126.11060195401018</v>
      </c>
      <c r="K375">
        <v>44.225916609999999</v>
      </c>
      <c r="L375">
        <v>25.174215019999998</v>
      </c>
      <c r="M375">
        <v>11.28920278</v>
      </c>
      <c r="N375">
        <v>10.05579329</v>
      </c>
      <c r="O375">
        <v>5.5001058839999999</v>
      </c>
      <c r="P375">
        <v>18.189537139999999</v>
      </c>
    </row>
    <row r="376" spans="1:16" x14ac:dyDescent="0.2">
      <c r="A376">
        <v>2010</v>
      </c>
      <c r="B376" s="2">
        <v>6016.5065684536276</v>
      </c>
      <c r="C376" s="2">
        <v>7793.8364974286851</v>
      </c>
      <c r="D376" s="2">
        <v>1214.2782999443211</v>
      </c>
      <c r="E376" s="2">
        <v>2894.9100694985791</v>
      </c>
      <c r="F376" s="2">
        <v>635.72703751084805</v>
      </c>
      <c r="G376" s="2">
        <v>106.79049338916731</v>
      </c>
      <c r="H376" s="2">
        <v>29.180754209639698</v>
      </c>
      <c r="I376" s="2">
        <v>53.384750665849907</v>
      </c>
      <c r="J376" s="2">
        <v>145.40673900096701</v>
      </c>
      <c r="K376">
        <v>28.93219886</v>
      </c>
      <c r="L376">
        <v>25.956083540000002</v>
      </c>
      <c r="M376">
        <v>13.14394723</v>
      </c>
      <c r="N376">
        <v>8.0262054999999997</v>
      </c>
      <c r="O376">
        <v>4.8905865229999996</v>
      </c>
      <c r="P376">
        <v>9.7714417440000005</v>
      </c>
    </row>
    <row r="377" spans="1:16" x14ac:dyDescent="0.2">
      <c r="A377">
        <v>2012</v>
      </c>
      <c r="B377" s="2">
        <v>189.89421982962031</v>
      </c>
      <c r="C377" s="2">
        <v>2319.0496535888433</v>
      </c>
      <c r="D377" s="2">
        <v>2006.6060925213192</v>
      </c>
      <c r="E377" s="2">
        <v>3900.6773236808503</v>
      </c>
      <c r="F377" s="2">
        <v>404.83501851755403</v>
      </c>
      <c r="G377" s="2">
        <v>663.69826236687209</v>
      </c>
      <c r="H377" s="2">
        <v>204.55246051491719</v>
      </c>
      <c r="I377" s="2">
        <v>53.648636820520899</v>
      </c>
      <c r="J377" s="2">
        <v>47.165006589025801</v>
      </c>
      <c r="K377">
        <v>28.74222129</v>
      </c>
      <c r="L377">
        <v>25.056611</v>
      </c>
      <c r="M377">
        <v>17.894431229999999</v>
      </c>
      <c r="N377">
        <v>16.169349969999999</v>
      </c>
      <c r="O377">
        <v>5.0759217850000002</v>
      </c>
      <c r="P377">
        <v>9.9051977440000005</v>
      </c>
    </row>
    <row r="378" spans="1:16" x14ac:dyDescent="0.2">
      <c r="A378">
        <v>2014</v>
      </c>
      <c r="B378" s="2">
        <v>7186.3275756863241</v>
      </c>
      <c r="C378" s="2">
        <v>9623.6815803231511</v>
      </c>
      <c r="D378" s="2">
        <v>1711.0620285469161</v>
      </c>
      <c r="E378" s="2">
        <v>1736.0129204916589</v>
      </c>
      <c r="F378" s="2">
        <v>1937.248217941933</v>
      </c>
      <c r="G378" s="2">
        <v>2709.1570580119701</v>
      </c>
      <c r="H378" s="2">
        <v>988.13745667642706</v>
      </c>
      <c r="I378" s="2">
        <v>271.00096595112296</v>
      </c>
      <c r="J378" s="2">
        <v>96.412078002269894</v>
      </c>
      <c r="K378">
        <v>31.519963990000001</v>
      </c>
      <c r="L378">
        <v>12.57992471</v>
      </c>
      <c r="M378">
        <v>13.86996375</v>
      </c>
      <c r="N378">
        <v>14.05970784</v>
      </c>
      <c r="O378">
        <v>7.7035707990000004</v>
      </c>
      <c r="P378">
        <v>19.07043007</v>
      </c>
    </row>
    <row r="379" spans="1:16" x14ac:dyDescent="0.2">
      <c r="A379">
        <v>2016</v>
      </c>
      <c r="B379" s="2">
        <v>81.059279566363728</v>
      </c>
      <c r="C379" s="2">
        <v>1162.135429910501</v>
      </c>
      <c r="D379" s="2">
        <v>5668.9494755301803</v>
      </c>
      <c r="E379" s="2">
        <v>6024.2683736856607</v>
      </c>
      <c r="F379" s="2">
        <v>827.72466435324293</v>
      </c>
      <c r="G379" s="2">
        <v>369.50898338513394</v>
      </c>
      <c r="H379" s="2">
        <v>418.06285211839401</v>
      </c>
      <c r="I379" s="2">
        <v>423.69566725063197</v>
      </c>
      <c r="J379" s="2">
        <v>99.635438148946406</v>
      </c>
      <c r="K379">
        <v>30.74347277</v>
      </c>
      <c r="L379">
        <v>17.982651109999999</v>
      </c>
      <c r="M379">
        <v>5.8435077839999998</v>
      </c>
      <c r="N379">
        <v>3.5520013060000002</v>
      </c>
      <c r="O379">
        <v>2.24751704</v>
      </c>
      <c r="P379">
        <v>3.4661237800000002</v>
      </c>
    </row>
    <row r="380" spans="1:16" x14ac:dyDescent="0.2">
      <c r="A380">
        <v>2018</v>
      </c>
      <c r="B380" s="2">
        <v>286.92302590201047</v>
      </c>
      <c r="C380" s="2">
        <v>302.21131876154578</v>
      </c>
      <c r="D380" s="2">
        <v>181.33625467338967</v>
      </c>
      <c r="E380" s="2">
        <v>719.65467252743099</v>
      </c>
      <c r="F380" s="2">
        <v>3012.4598797298399</v>
      </c>
      <c r="G380" s="2">
        <v>1308.2896163536259</v>
      </c>
      <c r="H380" s="2">
        <v>258.38112294848503</v>
      </c>
      <c r="I380" s="2">
        <v>143.25704882464893</v>
      </c>
      <c r="J380" s="2">
        <v>137.63118548110441</v>
      </c>
      <c r="K380">
        <v>74.910888819999997</v>
      </c>
      <c r="L380">
        <v>19.72410485</v>
      </c>
      <c r="M380">
        <v>5.5064802530000003</v>
      </c>
      <c r="N380">
        <v>2.8538340980000001</v>
      </c>
      <c r="O380">
        <v>0</v>
      </c>
      <c r="P380">
        <v>1.379630275</v>
      </c>
    </row>
    <row r="381" spans="1:16" x14ac:dyDescent="0.2">
      <c r="A381">
        <v>2020</v>
      </c>
      <c r="B381">
        <v>350</v>
      </c>
      <c r="C381">
        <v>1180</v>
      </c>
      <c r="D381">
        <v>4550</v>
      </c>
      <c r="E381">
        <v>4440</v>
      </c>
      <c r="F381">
        <v>1190</v>
      </c>
      <c r="G381">
        <v>490</v>
      </c>
      <c r="H381">
        <v>560</v>
      </c>
      <c r="I381">
        <v>650</v>
      </c>
      <c r="J381">
        <v>130</v>
      </c>
      <c r="K381">
        <v>60</v>
      </c>
      <c r="L381">
        <v>30</v>
      </c>
      <c r="M381">
        <v>10</v>
      </c>
      <c r="N381">
        <v>10</v>
      </c>
      <c r="O381">
        <v>0</v>
      </c>
      <c r="P381">
        <v>10</v>
      </c>
    </row>
    <row r="382" spans="1:16" x14ac:dyDescent="0.2">
      <c r="A382">
        <v>2022</v>
      </c>
      <c r="B382" s="2">
        <v>85.115987716320291</v>
      </c>
      <c r="C382" s="2">
        <v>300.66239660059796</v>
      </c>
      <c r="D382" s="2">
        <v>1166.7953128868239</v>
      </c>
      <c r="E382" s="2">
        <v>8086.3463770334092</v>
      </c>
      <c r="F382" s="2">
        <v>1098.8447982813011</v>
      </c>
      <c r="G382" s="2">
        <v>270.219489306681</v>
      </c>
      <c r="H382" s="2">
        <v>244.15656258137</v>
      </c>
      <c r="I382" s="2">
        <v>404.31222268742005</v>
      </c>
      <c r="J382" s="2">
        <v>199.45570900968019</v>
      </c>
      <c r="K382">
        <v>33.859152139999999</v>
      </c>
      <c r="L382">
        <v>16.726261139999998</v>
      </c>
      <c r="M382">
        <v>17.897776409999999</v>
      </c>
      <c r="N382">
        <v>6.5767711320000002</v>
      </c>
      <c r="O382">
        <v>2.1390213710000001</v>
      </c>
      <c r="P382">
        <v>1.566526045</v>
      </c>
    </row>
    <row r="383" spans="1:16" x14ac:dyDescent="0.2">
      <c r="A383">
        <v>2024</v>
      </c>
      <c r="B383" s="2">
        <v>4049.5047273483542</v>
      </c>
      <c r="C383" s="2">
        <v>1561.3790693265792</v>
      </c>
      <c r="D383" s="2">
        <v>1033.131517911517</v>
      </c>
      <c r="E383" s="2">
        <v>602.271369658102</v>
      </c>
      <c r="F383" s="2">
        <v>1278.5002310509199</v>
      </c>
      <c r="G383" s="2">
        <v>3835.3652727899698</v>
      </c>
      <c r="H383" s="2">
        <v>672.5621810943361</v>
      </c>
      <c r="I383" s="2">
        <v>159.63297985604353</v>
      </c>
      <c r="J383" s="2">
        <v>121.1399684238808</v>
      </c>
      <c r="K383">
        <v>69.716166040000005</v>
      </c>
      <c r="L383">
        <v>37.761125579999998</v>
      </c>
      <c r="M383">
        <v>13.88930221</v>
      </c>
      <c r="N383">
        <v>3.3965576949999998</v>
      </c>
      <c r="O383">
        <v>1.095488601</v>
      </c>
      <c r="P383">
        <v>0.70615457299999995</v>
      </c>
    </row>
    <row r="384" spans="1:16" x14ac:dyDescent="0.2">
      <c r="B384" t="s">
        <v>48</v>
      </c>
    </row>
    <row r="385" spans="1:20" x14ac:dyDescent="0.2">
      <c r="B385">
        <v>3628.9292999999998</v>
      </c>
      <c r="C385">
        <v>2944.77187</v>
      </c>
      <c r="D385">
        <v>3590.8405400000001</v>
      </c>
      <c r="E385">
        <v>4141.37057</v>
      </c>
      <c r="F385">
        <v>3625.86364</v>
      </c>
      <c r="G385">
        <v>4305.86229</v>
      </c>
      <c r="H385">
        <v>4009.9370399999998</v>
      </c>
      <c r="I385">
        <v>1872.8632700000001</v>
      </c>
      <c r="J385" s="2">
        <v>2011.3739731540502</v>
      </c>
      <c r="K385" s="2">
        <v>1163.60995596473</v>
      </c>
      <c r="L385" s="2">
        <v>999.09526359283598</v>
      </c>
      <c r="M385" s="2">
        <v>2593.6131607992402</v>
      </c>
      <c r="N385" s="2">
        <v>2299.3784488801602</v>
      </c>
      <c r="O385" s="2">
        <v>4686.0155580731607</v>
      </c>
      <c r="P385" s="2">
        <v>4370.0836486671296</v>
      </c>
      <c r="Q385" s="2">
        <v>2130.8317800671598</v>
      </c>
      <c r="R385" s="2">
        <v>3617</v>
      </c>
      <c r="S385" s="2">
        <v>3442.6691985693201</v>
      </c>
      <c r="T385" s="2">
        <v>2865.9934365833701</v>
      </c>
    </row>
    <row r="386" spans="1:20" x14ac:dyDescent="0.2">
      <c r="B386" t="s">
        <v>49</v>
      </c>
      <c r="J386" s="2"/>
      <c r="K386" s="2"/>
      <c r="L386" s="2"/>
      <c r="M386" s="2"/>
      <c r="N386" s="2"/>
      <c r="O386" s="2"/>
      <c r="P386" s="2"/>
      <c r="Q386" s="2"/>
      <c r="R386" s="2"/>
      <c r="S386" s="2"/>
      <c r="T386" s="2"/>
    </row>
    <row r="387" spans="1:20" x14ac:dyDescent="0.2">
      <c r="B387">
        <v>685.88779999999997</v>
      </c>
      <c r="C387">
        <v>437.87997999999999</v>
      </c>
      <c r="D387">
        <v>485.94997999999998</v>
      </c>
      <c r="E387">
        <v>846.42433000000005</v>
      </c>
      <c r="F387">
        <v>466.54349000000002</v>
      </c>
      <c r="G387">
        <v>535.67926999999997</v>
      </c>
      <c r="H387">
        <v>579.13679999999999</v>
      </c>
      <c r="I387">
        <v>293.23714999999999</v>
      </c>
      <c r="J387" s="2">
        <v>460.71880149282651</v>
      </c>
      <c r="K387" s="2">
        <v>432.34427302914492</v>
      </c>
      <c r="L387" s="2">
        <v>350.2546205925625</v>
      </c>
      <c r="M387" s="2">
        <v>734.69544251232617</v>
      </c>
      <c r="N387" s="2">
        <v>293.67471287233553</v>
      </c>
      <c r="O387" s="2">
        <v>670.74047431049951</v>
      </c>
      <c r="P387" s="2">
        <v>743.53682449940993</v>
      </c>
      <c r="Q387" s="2">
        <v>280.77349670617014</v>
      </c>
      <c r="R387" s="2">
        <v>1625.43092</v>
      </c>
      <c r="S387" s="2">
        <v>687.96389409811843</v>
      </c>
      <c r="T387" s="2">
        <v>502.38010210329327</v>
      </c>
    </row>
    <row r="388" spans="1:20" x14ac:dyDescent="0.2">
      <c r="B388" t="s">
        <v>50</v>
      </c>
    </row>
    <row r="389" spans="1:20" x14ac:dyDescent="0.2">
      <c r="A389">
        <v>1994</v>
      </c>
      <c r="B389">
        <v>2.8098301999999999E-2</v>
      </c>
      <c r="C389">
        <v>8.8950365000000003E-2</v>
      </c>
      <c r="D389">
        <v>0.23383385100000001</v>
      </c>
      <c r="E389">
        <v>0.38728862400000003</v>
      </c>
      <c r="F389">
        <v>0.56223516200000001</v>
      </c>
      <c r="G389">
        <v>0.63220144</v>
      </c>
      <c r="H389">
        <v>0.70435157900000001</v>
      </c>
      <c r="I389">
        <v>0.848887748</v>
      </c>
      <c r="J389">
        <v>0.96902235599999997</v>
      </c>
      <c r="K389">
        <v>1.1383616519999999</v>
      </c>
      <c r="L389">
        <v>1.2318210599999999</v>
      </c>
      <c r="M389">
        <v>1.4452066619999999</v>
      </c>
      <c r="N389">
        <v>1.403855796</v>
      </c>
      <c r="O389">
        <v>1.3566260560000001</v>
      </c>
      <c r="P389">
        <v>1.8225866049999999</v>
      </c>
    </row>
    <row r="390" spans="1:20" x14ac:dyDescent="0.2">
      <c r="A390">
        <v>1996</v>
      </c>
      <c r="B390">
        <v>3.7773965999999999E-2</v>
      </c>
      <c r="C390">
        <v>7.9180711000000001E-2</v>
      </c>
      <c r="D390">
        <v>0.228031394</v>
      </c>
      <c r="E390">
        <v>0.33085802600000003</v>
      </c>
      <c r="F390">
        <v>0.48248502199999999</v>
      </c>
      <c r="G390">
        <v>0.67108446499999996</v>
      </c>
      <c r="H390">
        <v>0.82861438300000001</v>
      </c>
      <c r="I390">
        <v>0.85391744400000003</v>
      </c>
      <c r="J390">
        <v>0.97196752099999995</v>
      </c>
      <c r="K390">
        <v>1.046543204</v>
      </c>
      <c r="L390">
        <v>1.211815358</v>
      </c>
      <c r="M390">
        <v>1.406491996</v>
      </c>
      <c r="N390">
        <v>1.1713102390000001</v>
      </c>
      <c r="O390">
        <v>1.470779469</v>
      </c>
      <c r="P390">
        <v>1.5958965300000001</v>
      </c>
    </row>
    <row r="391" spans="1:20" x14ac:dyDescent="0.2">
      <c r="A391">
        <v>1997</v>
      </c>
      <c r="B391">
        <v>3.3802090999999999E-2</v>
      </c>
      <c r="C391">
        <v>0.134739627</v>
      </c>
      <c r="D391">
        <v>0.25756815599999999</v>
      </c>
      <c r="E391">
        <v>0.38417733300000001</v>
      </c>
      <c r="F391">
        <v>0.479309027</v>
      </c>
      <c r="G391">
        <v>0.61145219299999998</v>
      </c>
      <c r="H391">
        <v>0.785806012</v>
      </c>
      <c r="I391">
        <v>0.97908672699999999</v>
      </c>
      <c r="J391">
        <v>1.045964863</v>
      </c>
      <c r="K391">
        <v>1.1455787909999999</v>
      </c>
      <c r="L391">
        <v>1.2395724539999999</v>
      </c>
      <c r="M391">
        <v>1.7150218610000001</v>
      </c>
      <c r="N391">
        <v>2.033758674</v>
      </c>
      <c r="O391">
        <v>1.6727860459999999</v>
      </c>
      <c r="P391">
        <v>1.423109296</v>
      </c>
    </row>
    <row r="392" spans="1:20" x14ac:dyDescent="0.2">
      <c r="A392">
        <v>1999</v>
      </c>
      <c r="B392">
        <v>2.9428196E-2</v>
      </c>
      <c r="C392">
        <v>9.8627188000000005E-2</v>
      </c>
      <c r="D392">
        <v>0.23558357999999999</v>
      </c>
      <c r="E392">
        <v>0.38024560800000001</v>
      </c>
      <c r="F392">
        <v>0.466445375</v>
      </c>
      <c r="G392">
        <v>0.59992930700000002</v>
      </c>
      <c r="H392">
        <v>0.64284738399999997</v>
      </c>
      <c r="I392">
        <v>0.69693298599999998</v>
      </c>
      <c r="J392">
        <v>0.80857328500000003</v>
      </c>
      <c r="K392">
        <v>0.93479224100000002</v>
      </c>
      <c r="L392">
        <v>0.98371624300000005</v>
      </c>
      <c r="M392">
        <v>1.1100902319999999</v>
      </c>
      <c r="N392">
        <v>0.89625691500000004</v>
      </c>
      <c r="O392">
        <v>1.6190419739999999</v>
      </c>
      <c r="P392">
        <v>1.2896664550000001</v>
      </c>
    </row>
    <row r="393" spans="1:20" x14ac:dyDescent="0.2">
      <c r="A393">
        <v>2000</v>
      </c>
      <c r="B393">
        <v>3.1532787E-2</v>
      </c>
      <c r="C393">
        <v>0.113172734</v>
      </c>
      <c r="D393">
        <v>0.24018762299999999</v>
      </c>
      <c r="E393">
        <v>0.39289284899999999</v>
      </c>
      <c r="F393">
        <v>0.54301159700000001</v>
      </c>
      <c r="G393">
        <v>0.63974694700000001</v>
      </c>
      <c r="H393">
        <v>0.71219186199999995</v>
      </c>
      <c r="I393">
        <v>0.74585136799999996</v>
      </c>
      <c r="J393">
        <v>0.78238122899999996</v>
      </c>
      <c r="K393">
        <v>0.90146914700000003</v>
      </c>
      <c r="L393">
        <v>1.0948500249999999</v>
      </c>
      <c r="M393">
        <v>0.92357504999999995</v>
      </c>
      <c r="N393">
        <v>1.072474776</v>
      </c>
      <c r="O393">
        <v>1.892101509</v>
      </c>
      <c r="P393">
        <v>1.416936706</v>
      </c>
    </row>
    <row r="394" spans="1:20" x14ac:dyDescent="0.2">
      <c r="A394">
        <v>2002</v>
      </c>
      <c r="B394">
        <v>3.3327848E-2</v>
      </c>
      <c r="C394">
        <v>0.133008776</v>
      </c>
      <c r="D394">
        <v>0.25604884</v>
      </c>
      <c r="E394">
        <v>0.39670786000000002</v>
      </c>
      <c r="F394">
        <v>0.56382238500000004</v>
      </c>
      <c r="G394">
        <v>0.67988364700000004</v>
      </c>
      <c r="H394">
        <v>0.80502076199999995</v>
      </c>
      <c r="I394">
        <v>0.93651840099999994</v>
      </c>
      <c r="J394">
        <v>1.006467236</v>
      </c>
      <c r="K394">
        <v>1.0344345909999999</v>
      </c>
      <c r="L394">
        <v>1.142940509</v>
      </c>
      <c r="M394">
        <v>1.0969760900000001</v>
      </c>
      <c r="N394">
        <v>1.5081782880000001</v>
      </c>
      <c r="O394">
        <v>1.440500871</v>
      </c>
      <c r="P394">
        <v>1.309022423</v>
      </c>
    </row>
    <row r="395" spans="1:20" x14ac:dyDescent="0.2">
      <c r="A395">
        <v>2004</v>
      </c>
      <c r="B395">
        <v>2.3417064000000001E-2</v>
      </c>
      <c r="C395">
        <v>0.115008316</v>
      </c>
      <c r="D395">
        <v>0.27688895600000002</v>
      </c>
      <c r="E395">
        <v>0.459929374</v>
      </c>
      <c r="F395">
        <v>0.56925742599999996</v>
      </c>
      <c r="G395">
        <v>0.69299112299999999</v>
      </c>
      <c r="H395">
        <v>0.76798241</v>
      </c>
      <c r="I395">
        <v>0.85736804499999997</v>
      </c>
      <c r="J395">
        <v>0.913345976</v>
      </c>
      <c r="K395">
        <v>0.98701144799999996</v>
      </c>
      <c r="L395">
        <v>1.022179787</v>
      </c>
      <c r="M395">
        <v>1.104971366</v>
      </c>
      <c r="N395">
        <v>1.048272624</v>
      </c>
      <c r="O395">
        <v>1.070253326</v>
      </c>
      <c r="P395">
        <v>1.3495686819999999</v>
      </c>
    </row>
    <row r="396" spans="1:20" x14ac:dyDescent="0.2">
      <c r="A396">
        <v>2006</v>
      </c>
      <c r="B396">
        <v>1.9380752000000001E-2</v>
      </c>
      <c r="C396">
        <v>0.10145982200000001</v>
      </c>
      <c r="D396">
        <v>0.24414475499999999</v>
      </c>
      <c r="E396">
        <v>0.37814567100000002</v>
      </c>
      <c r="F396">
        <v>0.52699222899999998</v>
      </c>
      <c r="G396">
        <v>0.65206661499999996</v>
      </c>
      <c r="H396">
        <v>0.76360385099999994</v>
      </c>
      <c r="I396">
        <v>0.84666801899999999</v>
      </c>
      <c r="J396">
        <v>0.93351983299999997</v>
      </c>
      <c r="K396">
        <v>0.97143749400000001</v>
      </c>
      <c r="L396">
        <v>1.0011509190000001</v>
      </c>
      <c r="M396">
        <v>1.1495346909999999</v>
      </c>
      <c r="N396">
        <v>1.2116872009999999</v>
      </c>
      <c r="O396">
        <v>1.281049807</v>
      </c>
      <c r="P396">
        <v>1.179917849</v>
      </c>
    </row>
    <row r="397" spans="1:20" x14ac:dyDescent="0.2">
      <c r="A397">
        <v>2007</v>
      </c>
      <c r="B397">
        <v>1.8495648999999999E-2</v>
      </c>
      <c r="C397">
        <v>8.7193363999999995E-2</v>
      </c>
      <c r="D397">
        <v>0.279247415</v>
      </c>
      <c r="E397">
        <v>0.43718783300000003</v>
      </c>
      <c r="F397">
        <v>0.58248880300000005</v>
      </c>
      <c r="G397">
        <v>0.68663239899999995</v>
      </c>
      <c r="H397">
        <v>0.78823631599999999</v>
      </c>
      <c r="I397">
        <v>0.87099972599999997</v>
      </c>
      <c r="J397">
        <v>0.970100191</v>
      </c>
      <c r="K397">
        <v>1.1027085160000001</v>
      </c>
      <c r="L397">
        <v>1.1056714510000001</v>
      </c>
      <c r="M397">
        <v>1.2369484479999999</v>
      </c>
      <c r="N397">
        <v>1.2354868450000001</v>
      </c>
      <c r="O397">
        <v>1.749460306</v>
      </c>
      <c r="P397">
        <v>1.230626606</v>
      </c>
    </row>
    <row r="398" spans="1:20" x14ac:dyDescent="0.2">
      <c r="A398">
        <v>2008</v>
      </c>
      <c r="B398">
        <v>2.2553568E-2</v>
      </c>
      <c r="C398">
        <v>8.3533376000000006E-2</v>
      </c>
      <c r="D398">
        <v>0.21397105999999999</v>
      </c>
      <c r="E398">
        <v>0.40660791499999999</v>
      </c>
      <c r="F398">
        <v>0.57580060799999999</v>
      </c>
      <c r="G398">
        <v>0.68906324200000002</v>
      </c>
      <c r="H398">
        <v>0.80522349299999996</v>
      </c>
      <c r="I398">
        <v>0.98197084899999998</v>
      </c>
      <c r="J398">
        <v>0.96832022399999995</v>
      </c>
      <c r="K398">
        <v>1.262557586</v>
      </c>
      <c r="L398">
        <v>1.2472124309999999</v>
      </c>
      <c r="M398">
        <v>1.2466489679999999</v>
      </c>
      <c r="N398">
        <v>1.389705798</v>
      </c>
      <c r="O398">
        <v>1.6380326970000001</v>
      </c>
      <c r="P398">
        <v>1.2469683009999999</v>
      </c>
    </row>
    <row r="399" spans="1:20" x14ac:dyDescent="0.2">
      <c r="A399">
        <v>2009</v>
      </c>
      <c r="B399">
        <v>2.0319990999999999E-2</v>
      </c>
      <c r="C399">
        <v>0.10850145999999999</v>
      </c>
      <c r="D399">
        <v>0.24195861900000001</v>
      </c>
      <c r="E399">
        <v>0.41645069600000001</v>
      </c>
      <c r="F399">
        <v>0.64661924500000001</v>
      </c>
      <c r="G399">
        <v>0.78533266300000004</v>
      </c>
      <c r="H399">
        <v>0.95014345300000003</v>
      </c>
      <c r="I399">
        <v>1.0306215750000001</v>
      </c>
      <c r="J399">
        <v>1.0640246280000001</v>
      </c>
      <c r="K399">
        <v>1.3283554529999999</v>
      </c>
      <c r="L399">
        <v>1.326541881</v>
      </c>
      <c r="M399">
        <v>1.5470371329999999</v>
      </c>
      <c r="N399">
        <v>1.5565858539999999</v>
      </c>
      <c r="O399">
        <v>1.5368162080000001</v>
      </c>
      <c r="P399">
        <v>1.7437159609999999</v>
      </c>
    </row>
    <row r="400" spans="1:20" x14ac:dyDescent="0.2">
      <c r="A400">
        <v>2010</v>
      </c>
      <c r="B400">
        <v>3.1689083999999999E-2</v>
      </c>
      <c r="C400">
        <v>0.11734314799999999</v>
      </c>
      <c r="D400">
        <v>0.221257593</v>
      </c>
      <c r="E400">
        <v>0.44114833799999997</v>
      </c>
      <c r="F400">
        <v>0.56523318099999997</v>
      </c>
      <c r="G400">
        <v>0.72191307000000005</v>
      </c>
      <c r="H400">
        <v>0.93679943799999998</v>
      </c>
      <c r="I400">
        <v>1.3365648569999999</v>
      </c>
      <c r="J400">
        <v>1.574484153</v>
      </c>
      <c r="K400">
        <v>1.6224372220000001</v>
      </c>
      <c r="L400">
        <v>1.692529159</v>
      </c>
      <c r="M400">
        <v>1.895356839</v>
      </c>
      <c r="N400">
        <v>1.9269976470000001</v>
      </c>
      <c r="O400">
        <v>1.9414515240000001</v>
      </c>
      <c r="P400">
        <v>1.96177442</v>
      </c>
    </row>
    <row r="401" spans="1:43" x14ac:dyDescent="0.2">
      <c r="A401">
        <v>2012</v>
      </c>
      <c r="B401">
        <v>2.7062065E-2</v>
      </c>
      <c r="C401">
        <v>9.5919641999999999E-2</v>
      </c>
      <c r="D401">
        <v>0.196687891</v>
      </c>
      <c r="E401">
        <v>0.37567857900000001</v>
      </c>
      <c r="F401">
        <v>0.53248356900000005</v>
      </c>
      <c r="G401">
        <v>0.68980872500000001</v>
      </c>
      <c r="H401">
        <v>0.83813980099999996</v>
      </c>
      <c r="I401">
        <v>0.92838321599999996</v>
      </c>
      <c r="J401">
        <v>1.269596435</v>
      </c>
      <c r="K401">
        <v>1.2671114489999999</v>
      </c>
      <c r="L401">
        <v>1.3283080629999999</v>
      </c>
      <c r="M401">
        <v>1.3877407589999999</v>
      </c>
      <c r="N401">
        <v>1.461337291</v>
      </c>
      <c r="O401">
        <v>1.764743441</v>
      </c>
      <c r="P401">
        <v>1.757660864</v>
      </c>
    </row>
    <row r="402" spans="1:43" x14ac:dyDescent="0.2">
      <c r="A402">
        <v>2014</v>
      </c>
      <c r="B402">
        <v>2.5225422000000001E-2</v>
      </c>
      <c r="C402">
        <v>0.13456103799999999</v>
      </c>
      <c r="D402">
        <v>0.22362502000000001</v>
      </c>
      <c r="E402">
        <v>0.39429725100000002</v>
      </c>
      <c r="F402">
        <v>0.54727595100000004</v>
      </c>
      <c r="G402">
        <v>0.69453373399999996</v>
      </c>
      <c r="H402">
        <v>0.76282845600000004</v>
      </c>
      <c r="I402">
        <v>0.99709786499999997</v>
      </c>
      <c r="J402">
        <v>1.142014088</v>
      </c>
      <c r="K402">
        <v>1.2663642900000001</v>
      </c>
      <c r="L402">
        <v>1.4441065390000001</v>
      </c>
      <c r="M402">
        <v>1.7110011249999999</v>
      </c>
      <c r="N402">
        <v>1.9030163040000001</v>
      </c>
      <c r="O402">
        <v>1.7945568460000001</v>
      </c>
      <c r="P402">
        <v>1.7766869240000001</v>
      </c>
    </row>
    <row r="403" spans="1:43" x14ac:dyDescent="0.2">
      <c r="A403">
        <v>2016</v>
      </c>
      <c r="B403">
        <v>3.3300215000000001E-2</v>
      </c>
      <c r="C403">
        <v>0.109915022</v>
      </c>
      <c r="D403">
        <v>0.26589982299999998</v>
      </c>
      <c r="E403">
        <v>0.48098001200000001</v>
      </c>
      <c r="F403">
        <v>0.53885808499999999</v>
      </c>
      <c r="G403">
        <v>0.63233835000000005</v>
      </c>
      <c r="H403">
        <v>0.69664412799999997</v>
      </c>
      <c r="I403">
        <v>0.78559349499999998</v>
      </c>
      <c r="J403">
        <v>0.84670904400000002</v>
      </c>
      <c r="K403">
        <v>0.96047921300000005</v>
      </c>
      <c r="L403">
        <v>1.166773547</v>
      </c>
      <c r="M403">
        <v>1.3694739359999999</v>
      </c>
      <c r="N403">
        <v>1.6232018939999999</v>
      </c>
      <c r="O403">
        <v>1.6847912089999999</v>
      </c>
      <c r="P403">
        <v>1.738218</v>
      </c>
    </row>
    <row r="404" spans="1:43" x14ac:dyDescent="0.2">
      <c r="A404">
        <v>2018</v>
      </c>
      <c r="B404">
        <v>2.9279013E-2</v>
      </c>
      <c r="C404">
        <v>0.113887513</v>
      </c>
      <c r="D404">
        <v>0.25112267500000002</v>
      </c>
      <c r="E404">
        <v>0.40643369000000001</v>
      </c>
      <c r="F404">
        <v>0.51202235500000004</v>
      </c>
      <c r="G404">
        <v>0.59579568500000002</v>
      </c>
      <c r="H404">
        <v>0.67860015600000001</v>
      </c>
      <c r="I404">
        <v>0.72186286099999997</v>
      </c>
      <c r="J404">
        <v>0.81782518000000004</v>
      </c>
      <c r="K404">
        <v>0.874899121</v>
      </c>
      <c r="L404">
        <v>0.97760769599999997</v>
      </c>
      <c r="M404">
        <v>1.044707584</v>
      </c>
      <c r="N404">
        <v>1.1519333899999999</v>
      </c>
      <c r="O404">
        <v>1.389053393</v>
      </c>
      <c r="P404">
        <v>1.6261733949999999</v>
      </c>
    </row>
    <row r="405" spans="1:43" x14ac:dyDescent="0.2">
      <c r="A405">
        <v>2020</v>
      </c>
      <c r="B405">
        <v>2.9279013E-2</v>
      </c>
      <c r="C405">
        <v>0.113887513</v>
      </c>
      <c r="D405">
        <v>0.25112267500000002</v>
      </c>
      <c r="E405">
        <v>0.40643369000000001</v>
      </c>
      <c r="F405">
        <v>0.51202235500000004</v>
      </c>
      <c r="G405">
        <v>0.59579568500000002</v>
      </c>
      <c r="H405">
        <v>0.67860015600000001</v>
      </c>
      <c r="I405">
        <v>0.72186286099999997</v>
      </c>
      <c r="J405">
        <v>0.81782518000000004</v>
      </c>
      <c r="K405">
        <v>0.874899121</v>
      </c>
      <c r="L405">
        <v>0.97760769599999997</v>
      </c>
      <c r="M405">
        <v>1.044707584</v>
      </c>
      <c r="N405">
        <v>1.1519333899999999</v>
      </c>
      <c r="O405">
        <v>1.389053393</v>
      </c>
      <c r="P405">
        <v>1.6261733949999999</v>
      </c>
    </row>
    <row r="406" spans="1:43" x14ac:dyDescent="0.2">
      <c r="A406">
        <v>2022</v>
      </c>
      <c r="B406">
        <v>2.2340125999999998E-2</v>
      </c>
      <c r="C406">
        <v>0.16307050200000001</v>
      </c>
      <c r="D406">
        <v>0.28087430200000002</v>
      </c>
      <c r="E406">
        <v>0.37731543899999997</v>
      </c>
      <c r="F406">
        <v>0.47539210599999998</v>
      </c>
      <c r="G406">
        <v>0.56840108600000006</v>
      </c>
      <c r="H406">
        <v>0.73328093900000002</v>
      </c>
      <c r="I406">
        <v>0.80313542400000004</v>
      </c>
      <c r="J406">
        <v>0.84026475199999995</v>
      </c>
      <c r="K406">
        <v>0.95574643400000003</v>
      </c>
      <c r="L406">
        <v>1.077189269</v>
      </c>
      <c r="M406">
        <v>0.99408522200000005</v>
      </c>
      <c r="N406">
        <v>1.21649973</v>
      </c>
      <c r="O406">
        <v>1.350697939</v>
      </c>
      <c r="P406">
        <v>1.969390269</v>
      </c>
    </row>
    <row r="407" spans="1:43" x14ac:dyDescent="0.2">
      <c r="A407">
        <v>2024</v>
      </c>
      <c r="B407">
        <v>1.6258696999999999E-2</v>
      </c>
      <c r="C407">
        <v>8.6594742000000002E-2</v>
      </c>
      <c r="D407">
        <v>0.30182416400000001</v>
      </c>
      <c r="E407">
        <v>0.429249251</v>
      </c>
      <c r="F407">
        <v>0.50915456000000003</v>
      </c>
      <c r="G407">
        <v>0.54300278400000002</v>
      </c>
      <c r="H407">
        <v>0.622477159</v>
      </c>
      <c r="I407">
        <v>0.739921418</v>
      </c>
      <c r="J407">
        <v>0.84854919900000003</v>
      </c>
      <c r="K407">
        <v>0.89023341600000006</v>
      </c>
      <c r="L407">
        <v>0.96316922800000004</v>
      </c>
      <c r="M407">
        <v>1.0248896320000001</v>
      </c>
      <c r="N407">
        <v>1.139446553</v>
      </c>
      <c r="O407">
        <v>0.97998985500000002</v>
      </c>
      <c r="P407">
        <v>2.4030599449999999</v>
      </c>
    </row>
    <row r="408" spans="1:43" x14ac:dyDescent="0.2">
      <c r="B408" t="s">
        <v>51</v>
      </c>
    </row>
    <row r="409" spans="1:43" x14ac:dyDescent="0.2">
      <c r="B409">
        <v>0.80156997399999996</v>
      </c>
      <c r="C409">
        <v>1.3087779260000001</v>
      </c>
      <c r="D409">
        <v>0.88700000000000001</v>
      </c>
      <c r="E409">
        <v>0.96299999999999997</v>
      </c>
      <c r="F409">
        <v>0.66069537300000003</v>
      </c>
      <c r="G409">
        <v>1.363870605</v>
      </c>
      <c r="H409">
        <v>0.93734663900000004</v>
      </c>
      <c r="I409">
        <v>1.263771226</v>
      </c>
      <c r="J409">
        <v>1.0361090150000001</v>
      </c>
      <c r="K409">
        <v>1.218350075</v>
      </c>
      <c r="L409">
        <v>0.770514845</v>
      </c>
      <c r="M409">
        <v>1.31695717</v>
      </c>
      <c r="N409">
        <v>0.565789349</v>
      </c>
      <c r="O409">
        <v>0.64625486399999998</v>
      </c>
      <c r="P409">
        <v>1.4475777780000001</v>
      </c>
      <c r="Q409">
        <v>1.095249208</v>
      </c>
      <c r="R409">
        <v>1.4759994009999999</v>
      </c>
      <c r="S409">
        <v>0.14905569799999999</v>
      </c>
      <c r="T409">
        <v>0.87097416800000005</v>
      </c>
      <c r="U409">
        <v>1.0491986369999999</v>
      </c>
      <c r="V409">
        <v>1.431904869</v>
      </c>
      <c r="W409">
        <v>1.629112326</v>
      </c>
      <c r="X409">
        <v>1.4675960459999999</v>
      </c>
      <c r="Y409">
        <v>1.4998822730000001</v>
      </c>
      <c r="Z409">
        <v>0.65158360800000004</v>
      </c>
      <c r="AA409">
        <v>0.64470445300000001</v>
      </c>
      <c r="AB409">
        <v>0.407246675</v>
      </c>
      <c r="AC409">
        <v>0.43967159300000003</v>
      </c>
      <c r="AD409">
        <v>0.43967159300000003</v>
      </c>
      <c r="AE409">
        <v>0.43967159300000003</v>
      </c>
      <c r="AF409">
        <v>0.43967159300000003</v>
      </c>
      <c r="AG409">
        <v>0.43967159300000003</v>
      </c>
      <c r="AH409">
        <v>0.43967159300000003</v>
      </c>
      <c r="AI409">
        <v>0.43967159300000003</v>
      </c>
      <c r="AJ409">
        <v>0.4</v>
      </c>
      <c r="AK409">
        <v>0.4</v>
      </c>
      <c r="AL409">
        <v>0.4</v>
      </c>
      <c r="AM409">
        <v>0.4</v>
      </c>
      <c r="AN409">
        <v>0.4</v>
      </c>
      <c r="AO409">
        <v>0.4</v>
      </c>
      <c r="AP409">
        <v>0.4</v>
      </c>
      <c r="AQ409">
        <v>0.4</v>
      </c>
    </row>
    <row r="410" spans="1:43" x14ac:dyDescent="0.2">
      <c r="B410" t="s">
        <v>53</v>
      </c>
    </row>
    <row r="411" spans="1:43" x14ac:dyDescent="0.2">
      <c r="B411">
        <v>1</v>
      </c>
    </row>
    <row r="412" spans="1:43" x14ac:dyDescent="0.2">
      <c r="B412" t="s">
        <v>54</v>
      </c>
    </row>
    <row r="413" spans="1:43" x14ac:dyDescent="0.2">
      <c r="B413">
        <v>0.99999009999999999</v>
      </c>
      <c r="C413" s="1">
        <v>4.95E-6</v>
      </c>
      <c r="D413">
        <v>0</v>
      </c>
      <c r="E413">
        <v>0</v>
      </c>
      <c r="F413">
        <v>0</v>
      </c>
      <c r="G413">
        <v>0</v>
      </c>
      <c r="H413">
        <v>0</v>
      </c>
      <c r="I413">
        <v>0</v>
      </c>
      <c r="J413">
        <v>0</v>
      </c>
      <c r="K413">
        <v>0</v>
      </c>
      <c r="L413">
        <v>0</v>
      </c>
      <c r="M413">
        <v>0</v>
      </c>
      <c r="N413">
        <v>0</v>
      </c>
      <c r="O413">
        <v>0</v>
      </c>
      <c r="P413">
        <v>0</v>
      </c>
    </row>
    <row r="414" spans="1:43" x14ac:dyDescent="0.2">
      <c r="B414">
        <v>1.2629970000000001E-2</v>
      </c>
      <c r="C414">
        <v>0.9747401</v>
      </c>
      <c r="D414">
        <v>1.2629970000000001E-2</v>
      </c>
      <c r="E414" s="1">
        <v>4.1199999999999997E-11</v>
      </c>
      <c r="F414">
        <v>0</v>
      </c>
      <c r="G414">
        <v>0</v>
      </c>
      <c r="H414">
        <v>0</v>
      </c>
      <c r="I414">
        <v>0</v>
      </c>
      <c r="J414">
        <v>0</v>
      </c>
      <c r="K414">
        <v>0</v>
      </c>
      <c r="L414">
        <v>0</v>
      </c>
      <c r="M414">
        <v>0</v>
      </c>
      <c r="N414">
        <v>0</v>
      </c>
      <c r="O414">
        <v>0</v>
      </c>
      <c r="P414">
        <v>0</v>
      </c>
    </row>
    <row r="415" spans="1:43" x14ac:dyDescent="0.2">
      <c r="B415" s="1">
        <v>4.95E-6</v>
      </c>
      <c r="C415">
        <v>6.7442080000000001E-2</v>
      </c>
      <c r="D415">
        <v>0.86510600000000004</v>
      </c>
      <c r="E415">
        <v>6.7442080000000001E-2</v>
      </c>
      <c r="F415" s="1">
        <v>4.95E-6</v>
      </c>
      <c r="G415" s="1">
        <v>4.1000000000000002E-13</v>
      </c>
      <c r="H415">
        <v>0</v>
      </c>
      <c r="I415">
        <v>0</v>
      </c>
      <c r="J415">
        <v>0</v>
      </c>
      <c r="K415">
        <v>0</v>
      </c>
      <c r="L415">
        <v>0</v>
      </c>
      <c r="M415">
        <v>0</v>
      </c>
      <c r="N415">
        <v>0</v>
      </c>
      <c r="O415">
        <v>0</v>
      </c>
      <c r="P415">
        <v>0</v>
      </c>
    </row>
    <row r="416" spans="1:43" x14ac:dyDescent="0.2">
      <c r="B416" s="1">
        <v>2.1999999999999998E-8</v>
      </c>
      <c r="C416">
        <v>4.2088E-4</v>
      </c>
      <c r="D416">
        <v>0.13046260000000001</v>
      </c>
      <c r="E416">
        <v>0.73823289999999997</v>
      </c>
      <c r="F416">
        <v>0.13046260000000001</v>
      </c>
      <c r="G416">
        <v>4.2088E-4</v>
      </c>
      <c r="H416" s="1">
        <v>2.1999999999999998E-8</v>
      </c>
      <c r="I416" s="1">
        <v>3.6500000000000002E-14</v>
      </c>
      <c r="J416">
        <v>0</v>
      </c>
      <c r="K416">
        <v>0</v>
      </c>
      <c r="L416">
        <v>0</v>
      </c>
      <c r="M416">
        <v>0</v>
      </c>
      <c r="N416">
        <v>0</v>
      </c>
      <c r="O416">
        <v>0</v>
      </c>
      <c r="P416">
        <v>0</v>
      </c>
    </row>
    <row r="417" spans="2:51" x14ac:dyDescent="0.2">
      <c r="B417" s="1">
        <v>5.5900000000000003E-10</v>
      </c>
      <c r="C417" s="1">
        <v>4.95E-6</v>
      </c>
      <c r="D417">
        <v>3.6766500000000001E-3</v>
      </c>
      <c r="E417">
        <v>0.1808795</v>
      </c>
      <c r="F417">
        <v>0.63087789999999999</v>
      </c>
      <c r="G417">
        <v>0.1808795</v>
      </c>
      <c r="H417">
        <v>3.6766500000000001E-3</v>
      </c>
      <c r="I417" s="1">
        <v>4.95E-6</v>
      </c>
      <c r="J417" s="1">
        <v>5.5900000000000003E-10</v>
      </c>
      <c r="K417" s="1">
        <v>8.3299999999999993E-15</v>
      </c>
      <c r="L417">
        <v>0</v>
      </c>
      <c r="M417">
        <v>0</v>
      </c>
      <c r="N417">
        <v>0</v>
      </c>
      <c r="O417">
        <v>0</v>
      </c>
      <c r="P417">
        <v>0</v>
      </c>
    </row>
    <row r="418" spans="2:51" x14ac:dyDescent="0.2">
      <c r="B418" s="1">
        <v>4.1199999999999997E-11</v>
      </c>
      <c r="C418" s="1">
        <v>1.48E-7</v>
      </c>
      <c r="D418">
        <v>1.07E-4</v>
      </c>
      <c r="E418">
        <v>1.2522810000000001E-2</v>
      </c>
      <c r="F418">
        <v>0.21442330000000001</v>
      </c>
      <c r="G418">
        <v>0.54589339999999997</v>
      </c>
      <c r="H418">
        <v>0.21442330000000001</v>
      </c>
      <c r="I418">
        <v>1.2522810000000001E-2</v>
      </c>
      <c r="J418">
        <v>1.07E-4</v>
      </c>
      <c r="K418" s="1">
        <v>1.48E-7</v>
      </c>
      <c r="L418" s="1">
        <v>4.1199999999999997E-11</v>
      </c>
      <c r="M418" s="1">
        <v>2.9999999999999998E-15</v>
      </c>
      <c r="N418">
        <v>0</v>
      </c>
      <c r="O418">
        <v>0</v>
      </c>
      <c r="P418">
        <v>0</v>
      </c>
    </row>
    <row r="419" spans="2:51" x14ac:dyDescent="0.2">
      <c r="B419" s="1">
        <v>5.93E-12</v>
      </c>
      <c r="C419" s="1">
        <v>9.4300000000000007E-9</v>
      </c>
      <c r="D419" s="1">
        <v>4.9400000000000001E-6</v>
      </c>
      <c r="E419">
        <v>7.2522000000000005E-4</v>
      </c>
      <c r="F419">
        <v>2.6704729999999999E-2</v>
      </c>
      <c r="G419">
        <v>0.23309099999999999</v>
      </c>
      <c r="H419">
        <v>0.47894819999999999</v>
      </c>
      <c r="I419">
        <v>0.23309099999999999</v>
      </c>
      <c r="J419">
        <v>2.6704729999999999E-2</v>
      </c>
      <c r="K419">
        <v>7.2522000000000005E-4</v>
      </c>
      <c r="L419" s="1">
        <v>4.9400000000000001E-6</v>
      </c>
      <c r="M419" s="1">
        <v>9.4300000000000007E-9</v>
      </c>
      <c r="N419" s="1">
        <v>5.93E-12</v>
      </c>
      <c r="O419" s="1">
        <v>1.4399999999999999E-15</v>
      </c>
      <c r="P419">
        <v>0</v>
      </c>
    </row>
    <row r="420" spans="2:51" x14ac:dyDescent="0.2">
      <c r="B420" s="1">
        <v>1.33E-12</v>
      </c>
      <c r="C420" s="1">
        <v>1.0500000000000001E-9</v>
      </c>
      <c r="D420" s="1">
        <v>3.6899999999999998E-7</v>
      </c>
      <c r="E420" s="1">
        <v>5.1400000000000003E-5</v>
      </c>
      <c r="F420">
        <v>2.58202E-3</v>
      </c>
      <c r="G420">
        <v>4.3734990000000001E-2</v>
      </c>
      <c r="H420">
        <v>0.240841</v>
      </c>
      <c r="I420">
        <v>0.42558040000000003</v>
      </c>
      <c r="J420">
        <v>0.240841</v>
      </c>
      <c r="K420">
        <v>4.3734990000000001E-2</v>
      </c>
      <c r="L420">
        <v>2.58202E-3</v>
      </c>
      <c r="M420" s="1">
        <v>5.1400000000000003E-5</v>
      </c>
      <c r="N420" s="1">
        <v>3.6899999999999998E-7</v>
      </c>
      <c r="O420" s="1">
        <v>1.0500000000000001E-9</v>
      </c>
      <c r="P420" s="1">
        <v>1.33089E-12</v>
      </c>
    </row>
    <row r="421" spans="2:51" x14ac:dyDescent="0.2">
      <c r="B421" s="1">
        <v>4.0900000000000002E-13</v>
      </c>
      <c r="C421" s="1">
        <v>1.7800000000000001E-10</v>
      </c>
      <c r="D421" s="1">
        <v>4.1899999999999998E-8</v>
      </c>
      <c r="E421" s="1">
        <v>4.8999999999999997E-6</v>
      </c>
      <c r="F421">
        <v>2.6525000000000002E-4</v>
      </c>
      <c r="G421">
        <v>6.2334599999999997E-3</v>
      </c>
      <c r="H421">
        <v>6.0943360000000002E-2</v>
      </c>
      <c r="I421">
        <v>0.2413768</v>
      </c>
      <c r="J421">
        <v>0.38235239999999998</v>
      </c>
      <c r="K421">
        <v>0.2413768</v>
      </c>
      <c r="L421">
        <v>6.0943360000000002E-2</v>
      </c>
      <c r="M421">
        <v>6.2334599999999997E-3</v>
      </c>
      <c r="N421">
        <v>2.6525000000000002E-4</v>
      </c>
      <c r="O421" s="1">
        <v>4.8999999999999997E-6</v>
      </c>
      <c r="P421" s="1">
        <v>4.2078400000000003E-8</v>
      </c>
    </row>
    <row r="422" spans="2:51" x14ac:dyDescent="0.2">
      <c r="B422" s="1">
        <v>1.5700000000000001E-13</v>
      </c>
      <c r="C422" s="1">
        <v>4.1000000000000001E-11</v>
      </c>
      <c r="D422" s="1">
        <v>6.65E-9</v>
      </c>
      <c r="E422" s="1">
        <v>6.2699999999999999E-7</v>
      </c>
      <c r="F422" s="1">
        <v>3.2400000000000001E-5</v>
      </c>
      <c r="G422">
        <v>8.7168E-4</v>
      </c>
      <c r="H422">
        <v>1.172525E-2</v>
      </c>
      <c r="I422">
        <v>7.6513670000000006E-2</v>
      </c>
      <c r="J422">
        <v>0.23746900000000001</v>
      </c>
      <c r="K422">
        <v>0.34677469999999999</v>
      </c>
      <c r="L422">
        <v>0.23746900000000001</v>
      </c>
      <c r="M422">
        <v>7.6513670000000006E-2</v>
      </c>
      <c r="N422">
        <v>1.172525E-2</v>
      </c>
      <c r="O422">
        <v>8.7168E-4</v>
      </c>
      <c r="P422" s="1">
        <v>3.3033700000000002E-5</v>
      </c>
    </row>
    <row r="423" spans="2:51" x14ac:dyDescent="0.2">
      <c r="B423" s="1">
        <v>7.0799999999999999E-14</v>
      </c>
      <c r="C423" s="1">
        <v>1.2000000000000001E-11</v>
      </c>
      <c r="D423" s="1">
        <v>1.39E-9</v>
      </c>
      <c r="E423" s="1">
        <v>1.04E-7</v>
      </c>
      <c r="F423" s="1">
        <v>4.8400000000000002E-6</v>
      </c>
      <c r="G423">
        <v>1.3365E-4</v>
      </c>
      <c r="H423">
        <v>2.1153399999999998E-3</v>
      </c>
      <c r="I423">
        <v>1.864729E-2</v>
      </c>
      <c r="J423">
        <v>8.9574810000000005E-2</v>
      </c>
      <c r="K423">
        <v>0.23099420000000001</v>
      </c>
      <c r="L423">
        <v>0.31705949999999999</v>
      </c>
      <c r="M423">
        <v>0.23099420000000001</v>
      </c>
      <c r="N423">
        <v>8.9574810000000005E-2</v>
      </c>
      <c r="O423">
        <v>1.864729E-2</v>
      </c>
      <c r="P423">
        <v>2.2539349999999999E-3</v>
      </c>
    </row>
    <row r="424" spans="2:51" x14ac:dyDescent="0.2">
      <c r="B424" s="1">
        <v>3.6300000000000001E-14</v>
      </c>
      <c r="C424" s="1">
        <v>4.2300000000000004E-12</v>
      </c>
      <c r="D424" s="1">
        <v>3.6099999999999999E-10</v>
      </c>
      <c r="E424" s="1">
        <v>2.1699999999999999E-8</v>
      </c>
      <c r="F424" s="1">
        <v>8.8000000000000004E-7</v>
      </c>
      <c r="G424" s="1">
        <v>2.34E-5</v>
      </c>
      <c r="H424">
        <v>3.9656000000000001E-4</v>
      </c>
      <c r="I424">
        <v>4.1544800000000003E-3</v>
      </c>
      <c r="J424">
        <v>2.6383110000000001E-2</v>
      </c>
      <c r="K424">
        <v>9.9925050000000001E-2</v>
      </c>
      <c r="L424">
        <v>0.22316079999999999</v>
      </c>
      <c r="M424">
        <v>0.29191139999999999</v>
      </c>
      <c r="N424">
        <v>0.22316079999999999</v>
      </c>
      <c r="O424">
        <v>9.9925050000000001E-2</v>
      </c>
      <c r="P424">
        <v>3.0958452000000001E-2</v>
      </c>
    </row>
    <row r="425" spans="2:51" x14ac:dyDescent="0.2">
      <c r="B425" s="1">
        <v>2.0500000000000001E-14</v>
      </c>
      <c r="C425" s="1">
        <v>1.7300000000000001E-12</v>
      </c>
      <c r="D425" s="1">
        <v>1.12E-10</v>
      </c>
      <c r="E425" s="1">
        <v>5.4400000000000002E-9</v>
      </c>
      <c r="F425" s="1">
        <v>1.91E-7</v>
      </c>
      <c r="G425" s="1">
        <v>4.7500000000000003E-6</v>
      </c>
      <c r="H425" s="1">
        <v>8.1000000000000004E-5</v>
      </c>
      <c r="I425">
        <v>9.2800999999999995E-4</v>
      </c>
      <c r="J425">
        <v>7.0082599999999997E-3</v>
      </c>
      <c r="K425">
        <v>3.4329459999999999E-2</v>
      </c>
      <c r="L425">
        <v>0.10773530000000001</v>
      </c>
      <c r="M425">
        <v>0.214724</v>
      </c>
      <c r="N425">
        <v>0.27037800000000001</v>
      </c>
      <c r="O425">
        <v>0.214724</v>
      </c>
      <c r="P425">
        <v>0.15008697700000001</v>
      </c>
    </row>
    <row r="426" spans="2:51" x14ac:dyDescent="0.2">
      <c r="B426" s="1">
        <v>1.25E-14</v>
      </c>
      <c r="C426" s="1">
        <v>7.9400000000000005E-13</v>
      </c>
      <c r="D426" s="1">
        <v>4.0399999999999997E-11</v>
      </c>
      <c r="E426" s="1">
        <v>1.61E-9</v>
      </c>
      <c r="F426" s="1">
        <v>4.88E-8</v>
      </c>
      <c r="G426" s="1">
        <v>1.11E-6</v>
      </c>
      <c r="H426" s="1">
        <v>1.84E-5</v>
      </c>
      <c r="I426">
        <v>2.1798E-4</v>
      </c>
      <c r="J426">
        <v>1.8224599999999999E-3</v>
      </c>
      <c r="K426">
        <v>1.0570009999999999E-2</v>
      </c>
      <c r="L426">
        <v>4.2011159999999999E-2</v>
      </c>
      <c r="M426">
        <v>0.1133398</v>
      </c>
      <c r="N426">
        <v>0.2061451</v>
      </c>
      <c r="O426">
        <v>0.25174800000000003</v>
      </c>
      <c r="P426">
        <v>0.374126071</v>
      </c>
    </row>
    <row r="427" spans="2:51" x14ac:dyDescent="0.2">
      <c r="B427" s="1">
        <v>8.1600000000000001E-15</v>
      </c>
      <c r="C427" s="1">
        <v>4.0100000000000001E-13</v>
      </c>
      <c r="D427" s="1">
        <v>1.64E-11</v>
      </c>
      <c r="E427" s="1">
        <v>5.4299999999999999E-10</v>
      </c>
      <c r="F427" s="1">
        <v>1.4300000000000001E-8</v>
      </c>
      <c r="G427" s="1">
        <v>2.9400000000000001E-7</v>
      </c>
      <c r="H427" s="1">
        <v>4.6399999999999996E-6</v>
      </c>
      <c r="I427" s="1">
        <v>5.5099999999999998E-5</v>
      </c>
      <c r="J427">
        <v>4.8569999999999999E-4</v>
      </c>
      <c r="K427">
        <v>3.1358599999999999E-3</v>
      </c>
      <c r="L427">
        <v>1.46556E-2</v>
      </c>
      <c r="M427">
        <v>4.9109819999999998E-2</v>
      </c>
      <c r="N427">
        <v>0.117114</v>
      </c>
      <c r="O427">
        <v>0.1976984</v>
      </c>
      <c r="P427">
        <v>0.61774063000000001</v>
      </c>
    </row>
    <row r="428" spans="2:51" x14ac:dyDescent="0.2">
      <c r="B428" t="s">
        <v>55</v>
      </c>
    </row>
    <row r="429" spans="2:51" x14ac:dyDescent="0.2">
      <c r="B429">
        <v>50</v>
      </c>
    </row>
    <row r="430" spans="2:51" x14ac:dyDescent="0.2">
      <c r="B430" t="s">
        <v>56</v>
      </c>
    </row>
    <row r="431" spans="2:51" x14ac:dyDescent="0.2">
      <c r="B431">
        <v>356.30169999999998</v>
      </c>
      <c r="C431">
        <v>191.3244</v>
      </c>
      <c r="D431">
        <v>175.99860000000001</v>
      </c>
      <c r="E431">
        <v>272.32119999999998</v>
      </c>
      <c r="F431">
        <v>300.42899999999997</v>
      </c>
      <c r="G431">
        <v>379.95339999999999</v>
      </c>
      <c r="H431">
        <v>1060.6808000000001</v>
      </c>
      <c r="I431">
        <v>1871.7529999999999</v>
      </c>
      <c r="J431">
        <v>3406.3110000000001</v>
      </c>
      <c r="K431">
        <v>8008.7790000000005</v>
      </c>
      <c r="L431">
        <v>14866.69</v>
      </c>
      <c r="M431">
        <v>28191.33</v>
      </c>
      <c r="N431">
        <v>47829.85</v>
      </c>
      <c r="O431">
        <v>75761.34</v>
      </c>
      <c r="P431">
        <v>118991.21</v>
      </c>
      <c r="Q431">
        <v>160278.74</v>
      </c>
      <c r="R431">
        <v>187798.99</v>
      </c>
      <c r="S431">
        <v>195005.81</v>
      </c>
      <c r="T431">
        <v>161925.57</v>
      </c>
      <c r="U431">
        <v>120952.47</v>
      </c>
      <c r="V431">
        <v>81832.509999999995</v>
      </c>
      <c r="W431">
        <v>58525.5</v>
      </c>
      <c r="X431">
        <v>48529.8</v>
      </c>
      <c r="Y431">
        <v>53112.68</v>
      </c>
      <c r="Z431">
        <v>63932.6</v>
      </c>
      <c r="AA431">
        <v>85089.87</v>
      </c>
      <c r="AB431">
        <v>99836.23</v>
      </c>
      <c r="AC431">
        <v>108665.82</v>
      </c>
      <c r="AD431">
        <v>106007.88</v>
      </c>
      <c r="AE431">
        <v>95931.45</v>
      </c>
      <c r="AF431">
        <v>84187.29</v>
      </c>
      <c r="AG431">
        <v>68509.41</v>
      </c>
      <c r="AH431">
        <v>54431.39</v>
      </c>
      <c r="AI431">
        <v>41751.01</v>
      </c>
      <c r="AJ431">
        <v>29627.829000000002</v>
      </c>
      <c r="AK431">
        <v>23569.507000000001</v>
      </c>
      <c r="AL431">
        <v>16344.513000000001</v>
      </c>
      <c r="AM431">
        <v>12779.3747</v>
      </c>
      <c r="AN431">
        <v>8947.8269</v>
      </c>
      <c r="AO431">
        <v>6733.8239000000003</v>
      </c>
      <c r="AP431">
        <v>5031.3190000000004</v>
      </c>
      <c r="AQ431">
        <v>3361.0409</v>
      </c>
      <c r="AR431">
        <v>2788.0421000000001</v>
      </c>
      <c r="AS431">
        <v>1906.3801000000001</v>
      </c>
      <c r="AT431">
        <v>1438.2577000000001</v>
      </c>
      <c r="AU431">
        <v>870.67470000000003</v>
      </c>
      <c r="AV431">
        <v>733.15530000000001</v>
      </c>
      <c r="AW431">
        <v>561.25170000000003</v>
      </c>
      <c r="AX431">
        <v>392.63940000000002</v>
      </c>
      <c r="AY431">
        <v>298.4975</v>
      </c>
    </row>
    <row r="432" spans="2:51" x14ac:dyDescent="0.2">
      <c r="B432" t="s">
        <v>57</v>
      </c>
    </row>
    <row r="433" spans="2:26" x14ac:dyDescent="0.2">
      <c r="B433">
        <v>1</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row>
    <row r="434" spans="2:26" x14ac:dyDescent="0.2">
      <c r="B434">
        <v>0.99</v>
      </c>
      <c r="C434">
        <v>9.4900000000000002E-3</v>
      </c>
      <c r="D434">
        <v>2.2200000000000001E-5</v>
      </c>
      <c r="E434">
        <v>2.2200000000000001E-5</v>
      </c>
      <c r="F434">
        <v>3.4400000000000001E-7</v>
      </c>
      <c r="G434" s="1">
        <v>8.8900000000000005E-9</v>
      </c>
      <c r="H434" s="1">
        <v>6.4199999999999995E-10</v>
      </c>
      <c r="I434" s="1">
        <v>3.83E-11</v>
      </c>
      <c r="J434" s="1">
        <v>1.8899999999999998E-12</v>
      </c>
      <c r="K434" s="1">
        <v>7.6700000000000004E-14</v>
      </c>
      <c r="L434" s="1">
        <v>2.55E-15</v>
      </c>
      <c r="M434" s="1">
        <v>1.11E-16</v>
      </c>
      <c r="N434">
        <v>0</v>
      </c>
      <c r="O434">
        <v>0</v>
      </c>
      <c r="P434">
        <v>0</v>
      </c>
      <c r="Q434">
        <v>0</v>
      </c>
      <c r="R434">
        <v>0</v>
      </c>
      <c r="S434">
        <v>0</v>
      </c>
      <c r="T434">
        <v>0</v>
      </c>
      <c r="U434">
        <v>0</v>
      </c>
      <c r="V434">
        <v>0</v>
      </c>
      <c r="W434">
        <v>0</v>
      </c>
      <c r="X434">
        <v>0</v>
      </c>
      <c r="Y434">
        <v>0</v>
      </c>
      <c r="Z434">
        <v>0</v>
      </c>
    </row>
    <row r="435" spans="2:26" x14ac:dyDescent="0.2">
      <c r="B435">
        <v>0.18</v>
      </c>
      <c r="C435">
        <v>0.23400000000000001</v>
      </c>
      <c r="D435">
        <v>0.27100000000000002</v>
      </c>
      <c r="E435">
        <v>0.19600000000000001</v>
      </c>
      <c r="F435">
        <v>7.46E-2</v>
      </c>
      <c r="G435">
        <v>2.41E-2</v>
      </c>
      <c r="H435">
        <v>1.1827654E-2</v>
      </c>
      <c r="I435">
        <v>5.1483179999999998E-3</v>
      </c>
      <c r="J435">
        <v>1.985807E-3</v>
      </c>
      <c r="K435">
        <v>6.7874700000000005E-4</v>
      </c>
      <c r="L435">
        <v>2.0557600000000001E-4</v>
      </c>
      <c r="M435">
        <v>5.52E-5</v>
      </c>
      <c r="N435">
        <v>1.31E-5</v>
      </c>
      <c r="O435">
        <v>2.7599999999999998E-6</v>
      </c>
      <c r="P435">
        <v>5.1600000000000001E-7</v>
      </c>
      <c r="Q435" s="1">
        <v>9.4500000000000006E-8</v>
      </c>
      <c r="R435" s="1">
        <v>5.14E-9</v>
      </c>
      <c r="S435" s="1">
        <v>6.6399999999999998E-11</v>
      </c>
      <c r="T435" s="1">
        <v>5.3199999999999995E-13</v>
      </c>
      <c r="U435" s="1">
        <v>2.6599999999999998E-15</v>
      </c>
      <c r="V435">
        <v>0</v>
      </c>
      <c r="W435">
        <v>0</v>
      </c>
      <c r="X435">
        <v>0</v>
      </c>
      <c r="Y435">
        <v>0</v>
      </c>
      <c r="Z435">
        <v>0</v>
      </c>
    </row>
    <row r="436" spans="2:26" x14ac:dyDescent="0.2">
      <c r="B436">
        <v>1.66E-3</v>
      </c>
      <c r="C436">
        <v>9.1299999999999992E-3</v>
      </c>
      <c r="D436">
        <v>3.7699999999999997E-2</v>
      </c>
      <c r="E436">
        <v>0.105</v>
      </c>
      <c r="F436">
        <v>0.14000000000000001</v>
      </c>
      <c r="G436">
        <v>0.11799999999999999</v>
      </c>
      <c r="H436">
        <v>0.127</v>
      </c>
      <c r="I436">
        <v>0.123</v>
      </c>
      <c r="J436">
        <v>0.108</v>
      </c>
      <c r="K436">
        <v>8.5342971000000004E-2</v>
      </c>
      <c r="L436">
        <v>6.1163852999999997E-2</v>
      </c>
      <c r="M436">
        <v>3.9625368000000001E-2</v>
      </c>
      <c r="N436">
        <v>2.3206067E-2</v>
      </c>
      <c r="O436">
        <v>1.2285068E-2</v>
      </c>
      <c r="P436">
        <v>5.8789389999999997E-3</v>
      </c>
      <c r="Q436">
        <v>3.1615749999999998E-3</v>
      </c>
      <c r="R436">
        <v>7.99915E-4</v>
      </c>
      <c r="S436">
        <v>7.7899999999999996E-5</v>
      </c>
      <c r="T436">
        <v>5.1000000000000003E-6</v>
      </c>
      <c r="U436">
        <v>2.2399999999999999E-7</v>
      </c>
      <c r="V436" s="1">
        <v>6.6100000000000001E-9</v>
      </c>
      <c r="W436" s="1">
        <v>1.3100000000000001E-10</v>
      </c>
      <c r="X436" s="1">
        <v>1.7300000000000001E-12</v>
      </c>
      <c r="Y436" s="1">
        <v>1.5299999999999999E-14</v>
      </c>
      <c r="Z436">
        <v>0</v>
      </c>
    </row>
    <row r="437" spans="2:26" x14ac:dyDescent="0.2">
      <c r="B437">
        <v>2.2299999999999998E-6</v>
      </c>
      <c r="C437">
        <v>3.4499999999999998E-5</v>
      </c>
      <c r="D437">
        <v>3.8200000000000002E-4</v>
      </c>
      <c r="E437">
        <v>2.8900000000000002E-3</v>
      </c>
      <c r="F437">
        <v>9.0100000000000006E-3</v>
      </c>
      <c r="G437">
        <v>1.4200000000000001E-2</v>
      </c>
      <c r="H437">
        <v>2.58E-2</v>
      </c>
      <c r="I437">
        <v>4.2700000000000002E-2</v>
      </c>
      <c r="J437">
        <v>6.4100000000000004E-2</v>
      </c>
      <c r="K437">
        <v>8.7300000000000003E-2</v>
      </c>
      <c r="L437">
        <v>0.107985505</v>
      </c>
      <c r="M437">
        <v>0.121217889</v>
      </c>
      <c r="N437">
        <v>0.123525185</v>
      </c>
      <c r="O437">
        <v>0.114269917</v>
      </c>
      <c r="P437">
        <v>9.5961196999999998E-2</v>
      </c>
      <c r="Q437">
        <v>0.101110882</v>
      </c>
      <c r="R437">
        <v>6.4927078999999999E-2</v>
      </c>
      <c r="S437">
        <v>1.9725952000000001E-2</v>
      </c>
      <c r="T437">
        <v>4.1035680000000001E-3</v>
      </c>
      <c r="U437">
        <v>5.8414899999999995E-4</v>
      </c>
      <c r="V437">
        <v>5.6900000000000001E-5</v>
      </c>
      <c r="W437">
        <v>3.7799999999999998E-6</v>
      </c>
      <c r="X437">
        <v>1.72E-7</v>
      </c>
      <c r="Y437" s="1">
        <v>5.3199999999999998E-9</v>
      </c>
      <c r="Z437" s="1">
        <v>1.1399999999999999E-10</v>
      </c>
    </row>
    <row r="438" spans="2:26" x14ac:dyDescent="0.2">
      <c r="B438" s="1">
        <v>2.7100000000000001E-8</v>
      </c>
      <c r="C438">
        <v>5.2200000000000004E-7</v>
      </c>
      <c r="D438">
        <v>7.6499999999999996E-6</v>
      </c>
      <c r="E438">
        <v>8.2000000000000001E-5</v>
      </c>
      <c r="F438">
        <v>3.57E-4</v>
      </c>
      <c r="G438">
        <v>7.36E-4</v>
      </c>
      <c r="H438">
        <v>1.72E-3</v>
      </c>
      <c r="I438">
        <v>3.7299999999999998E-3</v>
      </c>
      <c r="J438">
        <v>7.4700000000000001E-3</v>
      </c>
      <c r="K438">
        <v>1.38E-2</v>
      </c>
      <c r="L438">
        <v>2.3599999999999999E-2</v>
      </c>
      <c r="M438">
        <v>3.7274810999999998E-2</v>
      </c>
      <c r="N438">
        <v>5.4378942999999999E-2</v>
      </c>
      <c r="O438">
        <v>7.3305192000000005E-2</v>
      </c>
      <c r="P438">
        <v>9.1312009999999999E-2</v>
      </c>
      <c r="Q438">
        <v>0.160683414</v>
      </c>
      <c r="R438">
        <v>0.21765195200000001</v>
      </c>
      <c r="S438">
        <v>0.16675665200000001</v>
      </c>
      <c r="T438">
        <v>9.3721299999999994E-2</v>
      </c>
      <c r="U438">
        <v>3.8633431000000003E-2</v>
      </c>
      <c r="V438">
        <v>1.1677831E-2</v>
      </c>
      <c r="W438">
        <v>2.5876879999999999E-3</v>
      </c>
      <c r="X438">
        <v>4.2021099999999998E-4</v>
      </c>
      <c r="Y438">
        <v>5.0000000000000002E-5</v>
      </c>
      <c r="Z438">
        <v>4.6500000000000004E-6</v>
      </c>
    </row>
    <row r="439" spans="2:26" x14ac:dyDescent="0.2">
      <c r="B439" s="1">
        <v>8.2800000000000004E-10</v>
      </c>
      <c r="C439" s="1">
        <v>1.7500000000000001E-8</v>
      </c>
      <c r="D439">
        <v>2.9200000000000002E-7</v>
      </c>
      <c r="E439">
        <v>3.7299999999999999E-6</v>
      </c>
      <c r="F439">
        <v>1.9300000000000002E-5</v>
      </c>
      <c r="G439">
        <v>4.5899999999999998E-5</v>
      </c>
      <c r="H439">
        <v>1.2300000000000001E-4</v>
      </c>
      <c r="I439">
        <v>3.1E-4</v>
      </c>
      <c r="J439">
        <v>7.2800000000000002E-4</v>
      </c>
      <c r="K439">
        <v>1.6000000000000001E-3</v>
      </c>
      <c r="L439">
        <v>3.2699999999999999E-3</v>
      </c>
      <c r="M439">
        <v>6.2700000000000004E-3</v>
      </c>
      <c r="N439">
        <v>1.122592E-2</v>
      </c>
      <c r="O439">
        <v>1.8785278999999998E-2</v>
      </c>
      <c r="P439">
        <v>2.9377785E-2</v>
      </c>
      <c r="Q439">
        <v>7.0216606000000001E-2</v>
      </c>
      <c r="R439">
        <v>0.14928418600000001</v>
      </c>
      <c r="S439">
        <v>0.19759977500000001</v>
      </c>
      <c r="T439">
        <v>0.20043524800000001</v>
      </c>
      <c r="U439">
        <v>0.15580370900000001</v>
      </c>
      <c r="V439">
        <v>9.2806707000000002E-2</v>
      </c>
      <c r="W439">
        <v>4.2358646999999999E-2</v>
      </c>
      <c r="X439">
        <v>1.4811937000000001E-2</v>
      </c>
      <c r="Y439">
        <v>3.9675190000000001E-3</v>
      </c>
      <c r="Z439">
        <v>9.5866199999999999E-4</v>
      </c>
    </row>
    <row r="440" spans="2:26" x14ac:dyDescent="0.2">
      <c r="B440" s="1">
        <v>5.2999999999999998E-11</v>
      </c>
      <c r="C440" s="1">
        <v>1.1599999999999999E-9</v>
      </c>
      <c r="D440" s="1">
        <v>2.0599999999999999E-8</v>
      </c>
      <c r="E440">
        <v>2.8799999999999998E-7</v>
      </c>
      <c r="F440">
        <v>1.64E-6</v>
      </c>
      <c r="G440">
        <v>4.2400000000000001E-6</v>
      </c>
      <c r="H440">
        <v>1.2300000000000001E-5</v>
      </c>
      <c r="I440">
        <v>3.3800000000000002E-5</v>
      </c>
      <c r="J440">
        <v>8.7100000000000003E-5</v>
      </c>
      <c r="K440">
        <v>2.12E-4</v>
      </c>
      <c r="L440">
        <v>4.8500000000000003E-4</v>
      </c>
      <c r="M440">
        <v>1.0399999999999999E-3</v>
      </c>
      <c r="N440">
        <v>2.1199999999999999E-3</v>
      </c>
      <c r="O440">
        <v>4.0525709999999996E-3</v>
      </c>
      <c r="P440">
        <v>7.2959449999999999E-3</v>
      </c>
      <c r="Q440">
        <v>2.1165228000000001E-2</v>
      </c>
      <c r="R440">
        <v>6.0018578000000003E-2</v>
      </c>
      <c r="S440">
        <v>0.112301599</v>
      </c>
      <c r="T440">
        <v>0.16588472900000001</v>
      </c>
      <c r="U440">
        <v>0.193449022</v>
      </c>
      <c r="V440">
        <v>0.17810416500000001</v>
      </c>
      <c r="W440">
        <v>0.12945679500000001</v>
      </c>
      <c r="X440">
        <v>7.4285303999999996E-2</v>
      </c>
      <c r="Y440">
        <v>3.3649677000000003E-2</v>
      </c>
      <c r="Z440">
        <v>1.6336399000000001E-2</v>
      </c>
    </row>
    <row r="441" spans="2:26" x14ac:dyDescent="0.2">
      <c r="B441" s="1">
        <v>1.1100000000000001E-11</v>
      </c>
      <c r="C441" s="1">
        <v>2.24E-10</v>
      </c>
      <c r="D441" s="1">
        <v>3.8099999999999999E-9</v>
      </c>
      <c r="E441" s="1">
        <v>5.2399999999999999E-8</v>
      </c>
      <c r="F441">
        <v>2.9900000000000002E-7</v>
      </c>
      <c r="G441">
        <v>7.8199999999999999E-7</v>
      </c>
      <c r="H441">
        <v>2.3199999999999998E-6</v>
      </c>
      <c r="I441">
        <v>6.5300000000000002E-6</v>
      </c>
      <c r="J441">
        <v>1.7399999999999999E-5</v>
      </c>
      <c r="K441">
        <v>4.3999999999999999E-5</v>
      </c>
      <c r="L441">
        <v>1.06E-4</v>
      </c>
      <c r="M441">
        <v>2.4000000000000001E-4</v>
      </c>
      <c r="N441">
        <v>5.1699999999999999E-4</v>
      </c>
      <c r="O441">
        <v>1.058055E-3</v>
      </c>
      <c r="P441">
        <v>2.0514980000000001E-3</v>
      </c>
      <c r="Q441">
        <v>6.6261050000000002E-3</v>
      </c>
      <c r="R441">
        <v>2.2217206E-2</v>
      </c>
      <c r="S441">
        <v>5.1214137999999999E-2</v>
      </c>
      <c r="T441">
        <v>9.5720020000000003E-2</v>
      </c>
      <c r="U441">
        <v>0.145060566</v>
      </c>
      <c r="V441">
        <v>0.17825592800000001</v>
      </c>
      <c r="W441">
        <v>0.177620793</v>
      </c>
      <c r="X441">
        <v>0.14351546900000001</v>
      </c>
      <c r="Y441">
        <v>9.4026716999999996E-2</v>
      </c>
      <c r="Z441">
        <v>8.1699130999999994E-2</v>
      </c>
    </row>
    <row r="442" spans="2:26" x14ac:dyDescent="0.2">
      <c r="B442" s="1">
        <v>1.41E-11</v>
      </c>
      <c r="C442" s="1">
        <v>2.1999999999999999E-10</v>
      </c>
      <c r="D442" s="1">
        <v>3.0300000000000001E-9</v>
      </c>
      <c r="E442" s="1">
        <v>3.4900000000000001E-8</v>
      </c>
      <c r="F442">
        <v>1.7599999999999999E-7</v>
      </c>
      <c r="G442">
        <v>4.27E-7</v>
      </c>
      <c r="H442">
        <v>1.1999999999999999E-6</v>
      </c>
      <c r="I442">
        <v>3.1999999999999999E-6</v>
      </c>
      <c r="J442">
        <v>8.1899999999999995E-6</v>
      </c>
      <c r="K442">
        <v>2.0000000000000002E-5</v>
      </c>
      <c r="L442">
        <v>4.6699999999999997E-5</v>
      </c>
      <c r="M442">
        <v>1.0399999999999999E-4</v>
      </c>
      <c r="N442">
        <v>2.22E-4</v>
      </c>
      <c r="O442">
        <v>4.529E-4</v>
      </c>
      <c r="P442">
        <v>8.8199000000000003E-4</v>
      </c>
      <c r="Q442">
        <v>2.8999360000000001E-3</v>
      </c>
      <c r="R442">
        <v>1.0186588E-2</v>
      </c>
      <c r="S442">
        <v>2.5417433999999999E-2</v>
      </c>
      <c r="T442">
        <v>5.2999644999999998E-2</v>
      </c>
      <c r="U442">
        <v>9.2356586000000004E-2</v>
      </c>
      <c r="V442">
        <v>0.13450183900000001</v>
      </c>
      <c r="W442">
        <v>0.16370506700000001</v>
      </c>
      <c r="X442">
        <v>0.16652285</v>
      </c>
      <c r="Y442">
        <v>0.14156755500000001</v>
      </c>
      <c r="Z442">
        <v>0.20810120200000001</v>
      </c>
    </row>
    <row r="443" spans="2:26" x14ac:dyDescent="0.2">
      <c r="B443" s="1">
        <v>2.4299999999999999E-11</v>
      </c>
      <c r="C443" s="1">
        <v>3.0199999999999999E-10</v>
      </c>
      <c r="D443" s="1">
        <v>3.4299999999999999E-9</v>
      </c>
      <c r="E443" s="1">
        <v>3.33E-8</v>
      </c>
      <c r="F443">
        <v>1.49E-7</v>
      </c>
      <c r="G443">
        <v>3.34E-7</v>
      </c>
      <c r="H443">
        <v>8.8100000000000001E-7</v>
      </c>
      <c r="I443">
        <v>2.2299999999999998E-6</v>
      </c>
      <c r="J443">
        <v>5.4299999999999997E-6</v>
      </c>
      <c r="K443">
        <v>1.27E-5</v>
      </c>
      <c r="L443">
        <v>2.8600000000000001E-5</v>
      </c>
      <c r="M443">
        <v>6.1799999999999998E-5</v>
      </c>
      <c r="N443">
        <v>1.2799999999999999E-4</v>
      </c>
      <c r="O443">
        <v>2.5700000000000001E-4</v>
      </c>
      <c r="P443">
        <v>4.9299999999999995E-4</v>
      </c>
      <c r="Q443">
        <v>1.6072390000000001E-3</v>
      </c>
      <c r="R443">
        <v>5.6727959999999999E-3</v>
      </c>
      <c r="S443">
        <v>1.4542307000000001E-2</v>
      </c>
      <c r="T443">
        <v>3.1884033999999999E-2</v>
      </c>
      <c r="U443">
        <v>5.9789887E-2</v>
      </c>
      <c r="V443">
        <v>9.5897088000000005E-2</v>
      </c>
      <c r="W443">
        <v>0.131556698</v>
      </c>
      <c r="X443">
        <v>0.15436714100000001</v>
      </c>
      <c r="Y443">
        <v>0.154929241</v>
      </c>
      <c r="Z443">
        <v>0.348763235</v>
      </c>
    </row>
    <row r="444" spans="2:26" x14ac:dyDescent="0.2">
      <c r="B444" s="1">
        <v>5.09E-11</v>
      </c>
      <c r="C444" s="1">
        <v>5.1199999999999999E-10</v>
      </c>
      <c r="D444" s="1">
        <v>4.8699999999999999E-9</v>
      </c>
      <c r="E444" s="1">
        <v>4.0299999999999997E-8</v>
      </c>
      <c r="F444">
        <v>1.61E-7</v>
      </c>
      <c r="G444">
        <v>3.3500000000000002E-7</v>
      </c>
      <c r="H444">
        <v>8.3099999999999996E-7</v>
      </c>
      <c r="I444">
        <v>1.99E-6</v>
      </c>
      <c r="J444">
        <v>4.6E-6</v>
      </c>
      <c r="K444">
        <v>1.03E-5</v>
      </c>
      <c r="L444">
        <v>2.2200000000000001E-5</v>
      </c>
      <c r="M444">
        <v>4.6300000000000001E-5</v>
      </c>
      <c r="N444">
        <v>9.31E-5</v>
      </c>
      <c r="O444">
        <v>1.8100000000000001E-4</v>
      </c>
      <c r="P444">
        <v>3.4000000000000002E-4</v>
      </c>
      <c r="Q444">
        <v>1.0831390000000001E-3</v>
      </c>
      <c r="R444">
        <v>3.7533850000000001E-3</v>
      </c>
      <c r="S444">
        <v>9.5939839999999998E-3</v>
      </c>
      <c r="T444">
        <v>2.1360052000000001E-2</v>
      </c>
      <c r="U444">
        <v>4.1422900999999998E-2</v>
      </c>
      <c r="V444">
        <v>6.9971294000000003E-2</v>
      </c>
      <c r="W444">
        <v>0.102954544</v>
      </c>
      <c r="X444">
        <v>0.131953561</v>
      </c>
      <c r="Y444">
        <v>0.14731572600000001</v>
      </c>
      <c r="Z444">
        <v>0.46989056299999998</v>
      </c>
    </row>
    <row r="445" spans="2:26" x14ac:dyDescent="0.2">
      <c r="B445" s="1">
        <v>1.1800000000000001E-10</v>
      </c>
      <c r="C445" s="1">
        <v>9.8199999999999992E-10</v>
      </c>
      <c r="D445" s="1">
        <v>7.9500000000000001E-9</v>
      </c>
      <c r="E445" s="1">
        <v>5.69E-8</v>
      </c>
      <c r="F445">
        <v>2.04E-7</v>
      </c>
      <c r="G445">
        <v>3.96E-7</v>
      </c>
      <c r="H445">
        <v>9.2800000000000005E-7</v>
      </c>
      <c r="I445">
        <v>2.1100000000000001E-6</v>
      </c>
      <c r="J445">
        <v>4.6399999999999996E-6</v>
      </c>
      <c r="K445">
        <v>9.9000000000000001E-6</v>
      </c>
      <c r="L445">
        <v>2.05E-5</v>
      </c>
      <c r="M445">
        <v>4.1100000000000003E-5</v>
      </c>
      <c r="N445">
        <v>7.9800000000000002E-5</v>
      </c>
      <c r="O445">
        <v>1.4999999999999999E-4</v>
      </c>
      <c r="P445">
        <v>2.7500000000000002E-4</v>
      </c>
      <c r="Q445">
        <v>8.5008000000000002E-4</v>
      </c>
      <c r="R445">
        <v>2.856071E-3</v>
      </c>
      <c r="S445">
        <v>7.1557239999999996E-3</v>
      </c>
      <c r="T445">
        <v>1.5846849999999999E-2</v>
      </c>
      <c r="U445">
        <v>3.1020045999999999E-2</v>
      </c>
      <c r="V445">
        <v>5.3673089E-2</v>
      </c>
      <c r="W445">
        <v>8.2089790999999995E-2</v>
      </c>
      <c r="X445">
        <v>0.110979571</v>
      </c>
      <c r="Y445">
        <v>0.132623461</v>
      </c>
      <c r="Z445">
        <v>0.56232035800000002</v>
      </c>
    </row>
    <row r="446" spans="2:26" x14ac:dyDescent="0.2">
      <c r="B446" s="1">
        <v>2.8899999999999998E-10</v>
      </c>
      <c r="C446" s="1">
        <v>2.0099999999999999E-9</v>
      </c>
      <c r="D446" s="1">
        <v>1.4100000000000001E-8</v>
      </c>
      <c r="E446" s="1">
        <v>8.8500000000000005E-8</v>
      </c>
      <c r="F446">
        <v>2.8799999999999998E-7</v>
      </c>
      <c r="G446">
        <v>5.2200000000000004E-7</v>
      </c>
      <c r="H446">
        <v>1.1599999999999999E-6</v>
      </c>
      <c r="I446">
        <v>2.5000000000000002E-6</v>
      </c>
      <c r="J446">
        <v>5.2599999999999996E-6</v>
      </c>
      <c r="K446">
        <v>1.0699999999999999E-5</v>
      </c>
      <c r="L446">
        <v>2.1299999999999999E-5</v>
      </c>
      <c r="M446">
        <v>4.1100000000000003E-5</v>
      </c>
      <c r="N446">
        <v>7.7200000000000006E-5</v>
      </c>
      <c r="O446">
        <v>1.4100000000000001E-4</v>
      </c>
      <c r="P446">
        <v>2.5000000000000001E-4</v>
      </c>
      <c r="Q446">
        <v>7.4830800000000005E-4</v>
      </c>
      <c r="R446">
        <v>2.4220539999999999E-3</v>
      </c>
      <c r="S446">
        <v>5.8915759999999999E-3</v>
      </c>
      <c r="T446">
        <v>1.2820811E-2</v>
      </c>
      <c r="U446">
        <v>2.4959709E-2</v>
      </c>
      <c r="V446">
        <v>4.3471721999999997E-2</v>
      </c>
      <c r="W446">
        <v>6.7736108000000003E-2</v>
      </c>
      <c r="X446">
        <v>9.4423906000000002E-2</v>
      </c>
      <c r="Y446">
        <v>0.11775888599999999</v>
      </c>
      <c r="Z446">
        <v>0.62921567300000003</v>
      </c>
    </row>
    <row r="447" spans="2:26" x14ac:dyDescent="0.2">
      <c r="B447" s="1">
        <v>2.3600000000000001E-10</v>
      </c>
      <c r="C447" s="1">
        <v>1.3600000000000001E-9</v>
      </c>
      <c r="D447" s="1">
        <v>8.2800000000000004E-9</v>
      </c>
      <c r="E447" s="1">
        <v>4.58E-8</v>
      </c>
      <c r="F447">
        <v>1.36E-7</v>
      </c>
      <c r="G447">
        <v>2.34E-7</v>
      </c>
      <c r="H447">
        <v>4.9699999999999996E-7</v>
      </c>
      <c r="I447">
        <v>1.0300000000000001E-6</v>
      </c>
      <c r="J447">
        <v>2.0899999999999999E-6</v>
      </c>
      <c r="K447">
        <v>4.1500000000000001E-6</v>
      </c>
      <c r="L447">
        <v>8.0199999999999994E-6</v>
      </c>
      <c r="M447">
        <v>1.52E-5</v>
      </c>
      <c r="N447">
        <v>2.8E-5</v>
      </c>
      <c r="O447">
        <v>5.0500000000000001E-5</v>
      </c>
      <c r="P447">
        <v>8.8900000000000006E-5</v>
      </c>
      <c r="Q447">
        <v>2.6535799999999999E-4</v>
      </c>
      <c r="R447">
        <v>8.6649100000000005E-4</v>
      </c>
      <c r="S447">
        <v>2.1640240000000001E-3</v>
      </c>
      <c r="T447">
        <v>4.9218930000000001E-3</v>
      </c>
      <c r="U447">
        <v>1.0194751E-2</v>
      </c>
      <c r="V447">
        <v>1.9230809000000001E-2</v>
      </c>
      <c r="W447">
        <v>3.3036712000000003E-2</v>
      </c>
      <c r="X447">
        <v>5.1686364999999998E-2</v>
      </c>
      <c r="Y447">
        <v>7.3643837000000004E-2</v>
      </c>
      <c r="Z447">
        <v>0.80379094399999995</v>
      </c>
    </row>
    <row r="448" spans="2:26" x14ac:dyDescent="0.2">
      <c r="B448" t="s">
        <v>58</v>
      </c>
    </row>
    <row r="449" spans="2:67" x14ac:dyDescent="0.2">
      <c r="B449">
        <v>1234567</v>
      </c>
      <c r="BO449" t="s">
        <v>723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A9B7-132B-F740-BA9F-8B5B09107F79}">
  <dimension ref="A2:DW520"/>
  <sheetViews>
    <sheetView topLeftCell="A255" workbookViewId="0">
      <selection activeCell="G281" sqref="G281"/>
    </sheetView>
  </sheetViews>
  <sheetFormatPr baseColWidth="10" defaultRowHeight="16" x14ac:dyDescent="0.2"/>
  <sheetData>
    <row r="2" spans="2:2" x14ac:dyDescent="0.2">
      <c r="B2">
        <v>2023</v>
      </c>
    </row>
    <row r="3" spans="2:2" x14ac:dyDescent="0.2">
      <c r="B3" t="s">
        <v>89</v>
      </c>
    </row>
    <row r="4" spans="2:2" x14ac:dyDescent="0.2">
      <c r="B4" t="s">
        <v>90</v>
      </c>
    </row>
    <row r="5" spans="2:2" x14ac:dyDescent="0.2">
      <c r="B5">
        <v>48854</v>
      </c>
    </row>
    <row r="6" spans="2:2" x14ac:dyDescent="0.2">
      <c r="B6">
        <v>326636</v>
      </c>
    </row>
    <row r="7" spans="2:2" x14ac:dyDescent="0.2">
      <c r="B7">
        <v>1</v>
      </c>
    </row>
    <row r="8" spans="2:2" x14ac:dyDescent="0.2">
      <c r="B8">
        <v>15</v>
      </c>
    </row>
    <row r="9" spans="2:2" x14ac:dyDescent="0.2">
      <c r="B9">
        <v>20</v>
      </c>
    </row>
    <row r="10" spans="2:2" x14ac:dyDescent="0.2">
      <c r="B10">
        <v>80</v>
      </c>
    </row>
    <row r="11" spans="2:2" x14ac:dyDescent="0.2">
      <c r="B11">
        <v>3</v>
      </c>
    </row>
    <row r="12" spans="2:2" x14ac:dyDescent="0.2">
      <c r="B12">
        <v>579796.5</v>
      </c>
    </row>
    <row r="13" spans="2:2" x14ac:dyDescent="0.2">
      <c r="B13">
        <v>411552</v>
      </c>
    </row>
    <row r="14" spans="2:2" x14ac:dyDescent="0.2">
      <c r="B14">
        <v>319367.09999999998</v>
      </c>
    </row>
    <row r="15" spans="2:2" x14ac:dyDescent="0.2">
      <c r="B15" t="s">
        <v>91</v>
      </c>
    </row>
    <row r="16" spans="2:2" x14ac:dyDescent="0.2">
      <c r="B16">
        <f>SUM(B12:B14)</f>
        <v>1310715.6000000001</v>
      </c>
    </row>
    <row r="21" spans="1:13" x14ac:dyDescent="0.2">
      <c r="A21" t="s">
        <v>334</v>
      </c>
    </row>
    <row r="22" spans="1:13" x14ac:dyDescent="0.2">
      <c r="A22" t="s">
        <v>335</v>
      </c>
      <c r="B22" t="s">
        <v>66</v>
      </c>
      <c r="C22" t="s">
        <v>189</v>
      </c>
      <c r="D22" t="s">
        <v>336</v>
      </c>
      <c r="E22" t="s">
        <v>337</v>
      </c>
      <c r="F22" t="s">
        <v>272</v>
      </c>
      <c r="G22" t="s">
        <v>338</v>
      </c>
      <c r="H22" t="s">
        <v>339</v>
      </c>
      <c r="I22" t="s">
        <v>143</v>
      </c>
      <c r="J22" t="s">
        <v>272</v>
      </c>
      <c r="K22" t="s">
        <v>340</v>
      </c>
      <c r="L22" t="s">
        <v>341</v>
      </c>
      <c r="M22" t="s">
        <v>342</v>
      </c>
    </row>
    <row r="23" spans="1:13" x14ac:dyDescent="0.2">
      <c r="A23" t="s">
        <v>335</v>
      </c>
      <c r="B23" t="s">
        <v>189</v>
      </c>
      <c r="C23" t="s">
        <v>343</v>
      </c>
      <c r="D23" t="s">
        <v>344</v>
      </c>
      <c r="E23" s="18">
        <v>44627</v>
      </c>
      <c r="F23" s="19">
        <v>0.71116898148148144</v>
      </c>
    </row>
    <row r="24" spans="1:13" x14ac:dyDescent="0.2">
      <c r="A24" t="s">
        <v>99</v>
      </c>
    </row>
    <row r="25" spans="1:13" x14ac:dyDescent="0.2">
      <c r="A25">
        <v>1977</v>
      </c>
      <c r="B25" t="s">
        <v>345</v>
      </c>
    </row>
    <row r="26" spans="1:13" x14ac:dyDescent="0.2">
      <c r="A26">
        <v>2024</v>
      </c>
      <c r="B26" t="s">
        <v>346</v>
      </c>
    </row>
    <row r="27" spans="1:13" x14ac:dyDescent="0.2">
      <c r="A27">
        <v>1</v>
      </c>
      <c r="B27" t="s">
        <v>347</v>
      </c>
    </row>
    <row r="28" spans="1:13" x14ac:dyDescent="0.2">
      <c r="A28">
        <v>12</v>
      </c>
      <c r="B28" t="s">
        <v>348</v>
      </c>
    </row>
    <row r="29" spans="1:13" x14ac:dyDescent="0.2">
      <c r="A29">
        <v>2</v>
      </c>
      <c r="B29" t="s">
        <v>349</v>
      </c>
    </row>
    <row r="30" spans="1:13" x14ac:dyDescent="0.2">
      <c r="A30">
        <v>1</v>
      </c>
      <c r="B30" t="s">
        <v>350</v>
      </c>
    </row>
    <row r="31" spans="1:13" x14ac:dyDescent="0.2">
      <c r="A31">
        <v>1</v>
      </c>
      <c r="B31" t="s">
        <v>351</v>
      </c>
    </row>
    <row r="32" spans="1:13" x14ac:dyDescent="0.2">
      <c r="A32">
        <v>20</v>
      </c>
      <c r="B32" t="s">
        <v>352</v>
      </c>
    </row>
    <row r="33" spans="1:7" x14ac:dyDescent="0.2">
      <c r="A33">
        <v>1</v>
      </c>
      <c r="B33" t="s">
        <v>353</v>
      </c>
    </row>
    <row r="34" spans="1:7" x14ac:dyDescent="0.2">
      <c r="A34">
        <v>2</v>
      </c>
      <c r="B34" t="s">
        <v>354</v>
      </c>
    </row>
    <row r="35" spans="1:7" x14ac:dyDescent="0.2">
      <c r="A35" t="s">
        <v>355</v>
      </c>
    </row>
    <row r="36" spans="1:7" x14ac:dyDescent="0.2">
      <c r="A36" t="s">
        <v>356</v>
      </c>
      <c r="B36" t="s">
        <v>357</v>
      </c>
      <c r="C36" t="s">
        <v>358</v>
      </c>
      <c r="D36" t="s">
        <v>359</v>
      </c>
      <c r="E36" t="s">
        <v>360</v>
      </c>
      <c r="F36" t="s">
        <v>361</v>
      </c>
    </row>
    <row r="37" spans="1:7" x14ac:dyDescent="0.2">
      <c r="A37">
        <v>1</v>
      </c>
      <c r="B37">
        <v>-1</v>
      </c>
      <c r="C37">
        <v>1</v>
      </c>
      <c r="D37">
        <v>1</v>
      </c>
      <c r="E37">
        <v>0</v>
      </c>
      <c r="F37" t="s">
        <v>127</v>
      </c>
      <c r="G37" t="s">
        <v>362</v>
      </c>
    </row>
    <row r="38" spans="1:7" x14ac:dyDescent="0.2">
      <c r="A38">
        <v>3</v>
      </c>
      <c r="B38">
        <v>1</v>
      </c>
      <c r="C38">
        <v>1</v>
      </c>
      <c r="D38">
        <v>2</v>
      </c>
      <c r="E38">
        <v>0</v>
      </c>
      <c r="F38" t="s">
        <v>204</v>
      </c>
      <c r="G38" t="s">
        <v>363</v>
      </c>
    </row>
    <row r="39" spans="1:7" x14ac:dyDescent="0.2">
      <c r="A39" t="s">
        <v>364</v>
      </c>
      <c r="B39" t="s">
        <v>66</v>
      </c>
    </row>
    <row r="40" spans="1:7" x14ac:dyDescent="0.2">
      <c r="A40" t="s">
        <v>365</v>
      </c>
      <c r="B40" t="s">
        <v>366</v>
      </c>
      <c r="C40" t="s">
        <v>367</v>
      </c>
      <c r="D40" t="s">
        <v>116</v>
      </c>
      <c r="E40" t="s">
        <v>368</v>
      </c>
    </row>
    <row r="41" spans="1:7" x14ac:dyDescent="0.2">
      <c r="B41">
        <v>-999</v>
      </c>
      <c r="C41">
        <v>1</v>
      </c>
      <c r="D41">
        <v>1</v>
      </c>
      <c r="E41">
        <v>42500</v>
      </c>
      <c r="F41">
        <v>0.01</v>
      </c>
      <c r="G41" t="s">
        <v>362</v>
      </c>
    </row>
    <row r="42" spans="1:7" x14ac:dyDescent="0.2">
      <c r="B42">
        <v>1977</v>
      </c>
      <c r="C42">
        <v>1</v>
      </c>
      <c r="D42">
        <v>1</v>
      </c>
      <c r="E42">
        <v>33335</v>
      </c>
      <c r="F42">
        <v>0.01</v>
      </c>
      <c r="G42" t="s">
        <v>363</v>
      </c>
    </row>
    <row r="43" spans="1:7" x14ac:dyDescent="0.2">
      <c r="B43">
        <v>1978</v>
      </c>
      <c r="C43">
        <v>1</v>
      </c>
      <c r="D43">
        <v>1</v>
      </c>
      <c r="E43">
        <v>42543</v>
      </c>
      <c r="F43">
        <v>0.01</v>
      </c>
      <c r="G43" t="s">
        <v>369</v>
      </c>
    </row>
    <row r="44" spans="1:7" x14ac:dyDescent="0.2">
      <c r="B44">
        <v>1979</v>
      </c>
      <c r="C44">
        <v>1</v>
      </c>
      <c r="D44">
        <v>1</v>
      </c>
      <c r="E44">
        <v>33761</v>
      </c>
      <c r="F44">
        <v>0.01</v>
      </c>
      <c r="G44" t="s">
        <v>370</v>
      </c>
    </row>
    <row r="45" spans="1:7" x14ac:dyDescent="0.2">
      <c r="B45">
        <v>1980</v>
      </c>
      <c r="C45">
        <v>1</v>
      </c>
      <c r="D45">
        <v>1</v>
      </c>
      <c r="E45">
        <v>35058</v>
      </c>
      <c r="F45">
        <v>0.01</v>
      </c>
      <c r="G45" t="s">
        <v>371</v>
      </c>
    </row>
    <row r="46" spans="1:7" x14ac:dyDescent="0.2">
      <c r="B46">
        <v>1981</v>
      </c>
      <c r="C46">
        <v>1</v>
      </c>
      <c r="D46">
        <v>1</v>
      </c>
      <c r="E46">
        <v>56507</v>
      </c>
      <c r="F46">
        <v>0.01</v>
      </c>
      <c r="G46" t="s">
        <v>372</v>
      </c>
    </row>
    <row r="47" spans="1:7" x14ac:dyDescent="0.2">
      <c r="B47">
        <v>1982</v>
      </c>
      <c r="C47">
        <v>1</v>
      </c>
      <c r="D47">
        <v>1</v>
      </c>
      <c r="E47">
        <v>61104</v>
      </c>
      <c r="F47">
        <v>0.01</v>
      </c>
      <c r="G47" t="s">
        <v>373</v>
      </c>
    </row>
    <row r="48" spans="1:7" x14ac:dyDescent="0.2">
      <c r="B48">
        <v>1983</v>
      </c>
      <c r="C48">
        <v>1</v>
      </c>
      <c r="D48">
        <v>1</v>
      </c>
      <c r="E48">
        <v>94801</v>
      </c>
      <c r="F48">
        <v>0.01</v>
      </c>
      <c r="G48" t="s">
        <v>374</v>
      </c>
    </row>
    <row r="49" spans="2:7" x14ac:dyDescent="0.2">
      <c r="B49">
        <v>1984</v>
      </c>
      <c r="C49">
        <v>1</v>
      </c>
      <c r="D49">
        <v>1</v>
      </c>
      <c r="E49">
        <v>125103</v>
      </c>
      <c r="F49">
        <v>0.01</v>
      </c>
      <c r="G49" t="s">
        <v>375</v>
      </c>
    </row>
    <row r="50" spans="2:7" x14ac:dyDescent="0.2">
      <c r="B50">
        <v>1985</v>
      </c>
      <c r="C50">
        <v>1</v>
      </c>
      <c r="D50">
        <v>1</v>
      </c>
      <c r="E50">
        <v>143447</v>
      </c>
      <c r="F50">
        <v>0.01</v>
      </c>
      <c r="G50" t="s">
        <v>376</v>
      </c>
    </row>
    <row r="51" spans="2:7" x14ac:dyDescent="0.2">
      <c r="B51">
        <v>1986</v>
      </c>
      <c r="C51">
        <v>1</v>
      </c>
      <c r="D51">
        <v>1</v>
      </c>
      <c r="E51">
        <v>135605</v>
      </c>
      <c r="F51">
        <v>0.01</v>
      </c>
      <c r="G51" t="s">
        <v>377</v>
      </c>
    </row>
    <row r="52" spans="2:7" x14ac:dyDescent="0.2">
      <c r="B52">
        <v>1987</v>
      </c>
      <c r="C52">
        <v>1</v>
      </c>
      <c r="D52">
        <v>1</v>
      </c>
      <c r="E52">
        <v>149903</v>
      </c>
      <c r="F52">
        <v>0.01</v>
      </c>
      <c r="G52" t="s">
        <v>378</v>
      </c>
    </row>
    <row r="53" spans="2:7" x14ac:dyDescent="0.2">
      <c r="B53">
        <v>1988</v>
      </c>
      <c r="C53">
        <v>1</v>
      </c>
      <c r="D53">
        <v>1</v>
      </c>
      <c r="E53">
        <v>203071</v>
      </c>
      <c r="F53">
        <v>0.01</v>
      </c>
      <c r="G53" t="s">
        <v>379</v>
      </c>
    </row>
    <row r="54" spans="2:7" x14ac:dyDescent="0.2">
      <c r="B54">
        <v>1989</v>
      </c>
      <c r="C54">
        <v>1</v>
      </c>
      <c r="D54">
        <v>1</v>
      </c>
      <c r="E54">
        <v>178323</v>
      </c>
      <c r="F54">
        <v>0.01</v>
      </c>
      <c r="G54" t="s">
        <v>380</v>
      </c>
    </row>
    <row r="55" spans="2:7" x14ac:dyDescent="0.2">
      <c r="B55">
        <v>1990</v>
      </c>
      <c r="C55">
        <v>1</v>
      </c>
      <c r="D55">
        <v>1</v>
      </c>
      <c r="E55">
        <v>172067</v>
      </c>
      <c r="F55">
        <v>0.01</v>
      </c>
      <c r="G55" t="s">
        <v>381</v>
      </c>
    </row>
    <row r="56" spans="2:7" x14ac:dyDescent="0.2">
      <c r="B56">
        <v>1991</v>
      </c>
      <c r="C56">
        <v>1</v>
      </c>
      <c r="D56">
        <v>1</v>
      </c>
      <c r="E56">
        <v>210241</v>
      </c>
      <c r="F56">
        <v>0.01</v>
      </c>
      <c r="G56" t="s">
        <v>382</v>
      </c>
    </row>
    <row r="57" spans="2:7" x14ac:dyDescent="0.2">
      <c r="B57">
        <v>1992</v>
      </c>
      <c r="C57">
        <v>1</v>
      </c>
      <c r="D57">
        <v>1</v>
      </c>
      <c r="E57">
        <v>164210</v>
      </c>
      <c r="F57">
        <v>0.01</v>
      </c>
      <c r="G57" t="s">
        <v>383</v>
      </c>
    </row>
    <row r="58" spans="2:7" x14ac:dyDescent="0.2">
      <c r="B58">
        <v>1993</v>
      </c>
      <c r="C58">
        <v>1</v>
      </c>
      <c r="D58">
        <v>1</v>
      </c>
      <c r="E58">
        <v>133186</v>
      </c>
      <c r="F58">
        <v>0.01</v>
      </c>
      <c r="G58" t="s">
        <v>384</v>
      </c>
    </row>
    <row r="59" spans="2:7" x14ac:dyDescent="0.2">
      <c r="B59">
        <v>1994</v>
      </c>
      <c r="C59">
        <v>1</v>
      </c>
      <c r="D59">
        <v>1</v>
      </c>
      <c r="E59">
        <v>172263</v>
      </c>
      <c r="F59">
        <v>0.01</v>
      </c>
      <c r="G59" t="s">
        <v>385</v>
      </c>
    </row>
    <row r="60" spans="2:7" x14ac:dyDescent="0.2">
      <c r="B60">
        <v>1995</v>
      </c>
      <c r="C60">
        <v>1</v>
      </c>
      <c r="D60">
        <v>1</v>
      </c>
      <c r="E60">
        <v>228498</v>
      </c>
      <c r="F60">
        <v>0.01</v>
      </c>
      <c r="G60" t="s">
        <v>386</v>
      </c>
    </row>
    <row r="61" spans="2:7" x14ac:dyDescent="0.2">
      <c r="B61">
        <v>1996</v>
      </c>
      <c r="C61">
        <v>1</v>
      </c>
      <c r="D61">
        <v>1</v>
      </c>
      <c r="E61">
        <v>209067</v>
      </c>
      <c r="F61">
        <v>0.01</v>
      </c>
      <c r="G61" t="s">
        <v>387</v>
      </c>
    </row>
    <row r="62" spans="2:7" x14ac:dyDescent="0.2">
      <c r="B62">
        <v>1997</v>
      </c>
      <c r="C62">
        <v>1</v>
      </c>
      <c r="D62">
        <v>1</v>
      </c>
      <c r="E62">
        <v>232601</v>
      </c>
      <c r="F62">
        <v>0.01</v>
      </c>
      <c r="G62" t="s">
        <v>388</v>
      </c>
    </row>
    <row r="63" spans="2:7" x14ac:dyDescent="0.2">
      <c r="B63">
        <v>1998</v>
      </c>
      <c r="C63">
        <v>1</v>
      </c>
      <c r="D63">
        <v>1</v>
      </c>
      <c r="E63">
        <v>158529</v>
      </c>
      <c r="F63">
        <v>0.01</v>
      </c>
      <c r="G63" t="s">
        <v>389</v>
      </c>
    </row>
    <row r="64" spans="2:7" x14ac:dyDescent="0.2">
      <c r="B64">
        <v>1999</v>
      </c>
      <c r="C64">
        <v>1</v>
      </c>
      <c r="D64">
        <v>1</v>
      </c>
      <c r="E64">
        <v>145867</v>
      </c>
      <c r="F64">
        <v>0.01</v>
      </c>
      <c r="G64" t="s">
        <v>390</v>
      </c>
    </row>
    <row r="65" spans="2:7" x14ac:dyDescent="0.2">
      <c r="B65">
        <v>2000</v>
      </c>
      <c r="C65">
        <v>1</v>
      </c>
      <c r="D65">
        <v>1</v>
      </c>
      <c r="E65">
        <v>151376</v>
      </c>
      <c r="F65">
        <v>0.01</v>
      </c>
      <c r="G65" t="s">
        <v>391</v>
      </c>
    </row>
    <row r="66" spans="2:7" x14ac:dyDescent="0.2">
      <c r="B66">
        <v>2001</v>
      </c>
      <c r="C66">
        <v>1</v>
      </c>
      <c r="D66">
        <v>1</v>
      </c>
      <c r="E66">
        <v>142542</v>
      </c>
      <c r="F66">
        <v>0.01</v>
      </c>
      <c r="G66" t="s">
        <v>392</v>
      </c>
    </row>
    <row r="67" spans="2:7" x14ac:dyDescent="0.2">
      <c r="B67">
        <v>2002</v>
      </c>
      <c r="C67">
        <v>1</v>
      </c>
      <c r="D67">
        <v>1</v>
      </c>
      <c r="E67">
        <v>166555</v>
      </c>
      <c r="F67">
        <v>0.01</v>
      </c>
      <c r="G67" t="s">
        <v>393</v>
      </c>
    </row>
    <row r="68" spans="2:7" x14ac:dyDescent="0.2">
      <c r="B68">
        <v>2003</v>
      </c>
      <c r="C68">
        <v>1</v>
      </c>
      <c r="D68">
        <v>1</v>
      </c>
      <c r="E68">
        <v>175443</v>
      </c>
      <c r="F68">
        <v>0.01</v>
      </c>
      <c r="G68" t="s">
        <v>394</v>
      </c>
    </row>
    <row r="69" spans="2:7" x14ac:dyDescent="0.2">
      <c r="B69">
        <v>2004</v>
      </c>
      <c r="C69">
        <v>1</v>
      </c>
      <c r="D69">
        <v>1</v>
      </c>
      <c r="E69">
        <v>183748</v>
      </c>
      <c r="F69">
        <v>0.01</v>
      </c>
      <c r="G69" t="s">
        <v>395</v>
      </c>
    </row>
    <row r="70" spans="2:7" x14ac:dyDescent="0.2">
      <c r="B70">
        <v>2005</v>
      </c>
      <c r="C70">
        <v>1</v>
      </c>
      <c r="D70">
        <v>1</v>
      </c>
      <c r="E70">
        <v>182940</v>
      </c>
      <c r="F70">
        <v>0.01</v>
      </c>
      <c r="G70" t="s">
        <v>396</v>
      </c>
    </row>
    <row r="71" spans="2:7" x14ac:dyDescent="0.2">
      <c r="B71">
        <v>2006</v>
      </c>
      <c r="C71">
        <v>1</v>
      </c>
      <c r="D71">
        <v>1</v>
      </c>
      <c r="E71">
        <v>168818</v>
      </c>
      <c r="F71">
        <v>0.01</v>
      </c>
      <c r="G71" t="s">
        <v>397</v>
      </c>
    </row>
    <row r="72" spans="2:7" x14ac:dyDescent="0.2">
      <c r="B72">
        <v>2007</v>
      </c>
      <c r="C72">
        <v>1</v>
      </c>
      <c r="D72">
        <v>1</v>
      </c>
      <c r="E72">
        <v>140129</v>
      </c>
      <c r="F72">
        <v>0.01</v>
      </c>
      <c r="G72" t="s">
        <v>398</v>
      </c>
    </row>
    <row r="73" spans="2:7" x14ac:dyDescent="0.2">
      <c r="B73">
        <v>2008</v>
      </c>
      <c r="C73">
        <v>1</v>
      </c>
      <c r="D73">
        <v>1</v>
      </c>
      <c r="E73">
        <v>139802</v>
      </c>
      <c r="F73">
        <v>0.01</v>
      </c>
      <c r="G73" t="s">
        <v>399</v>
      </c>
    </row>
    <row r="74" spans="2:7" x14ac:dyDescent="0.2">
      <c r="B74">
        <v>2009</v>
      </c>
      <c r="C74">
        <v>1</v>
      </c>
      <c r="D74">
        <v>1</v>
      </c>
      <c r="E74">
        <v>147174</v>
      </c>
      <c r="F74">
        <v>0.01</v>
      </c>
      <c r="G74" t="s">
        <v>400</v>
      </c>
    </row>
    <row r="75" spans="2:7" x14ac:dyDescent="0.2">
      <c r="B75">
        <v>2010</v>
      </c>
      <c r="C75">
        <v>1</v>
      </c>
      <c r="D75">
        <v>1</v>
      </c>
      <c r="E75">
        <v>142844</v>
      </c>
      <c r="F75">
        <v>0.01</v>
      </c>
      <c r="G75" t="s">
        <v>401</v>
      </c>
    </row>
    <row r="76" spans="2:7" x14ac:dyDescent="0.2">
      <c r="B76">
        <v>2011</v>
      </c>
      <c r="C76">
        <v>1</v>
      </c>
      <c r="D76">
        <v>1</v>
      </c>
      <c r="E76">
        <v>209201</v>
      </c>
      <c r="F76">
        <v>0.01</v>
      </c>
      <c r="G76" t="s">
        <v>402</v>
      </c>
    </row>
    <row r="77" spans="2:7" x14ac:dyDescent="0.2">
      <c r="B77">
        <v>2012</v>
      </c>
      <c r="C77">
        <v>1</v>
      </c>
      <c r="D77">
        <v>1</v>
      </c>
      <c r="E77">
        <v>232623</v>
      </c>
      <c r="F77">
        <v>0.01</v>
      </c>
      <c r="G77" t="s">
        <v>403</v>
      </c>
    </row>
    <row r="78" spans="2:7" x14ac:dyDescent="0.2">
      <c r="B78">
        <v>2013</v>
      </c>
      <c r="C78">
        <v>1</v>
      </c>
      <c r="D78">
        <v>1</v>
      </c>
      <c r="E78">
        <v>236691</v>
      </c>
      <c r="F78">
        <v>0.01</v>
      </c>
      <c r="G78" t="s">
        <v>404</v>
      </c>
    </row>
    <row r="79" spans="2:7" x14ac:dyDescent="0.2">
      <c r="B79">
        <v>2014</v>
      </c>
      <c r="C79">
        <v>1</v>
      </c>
      <c r="D79">
        <v>1</v>
      </c>
      <c r="E79">
        <v>238718</v>
      </c>
      <c r="F79">
        <v>0.01</v>
      </c>
      <c r="G79" t="s">
        <v>405</v>
      </c>
    </row>
    <row r="80" spans="2:7" x14ac:dyDescent="0.2">
      <c r="B80">
        <v>2015</v>
      </c>
      <c r="C80">
        <v>1</v>
      </c>
      <c r="D80">
        <v>1</v>
      </c>
      <c r="E80">
        <v>232829</v>
      </c>
      <c r="F80">
        <v>0.01</v>
      </c>
      <c r="G80" t="s">
        <v>406</v>
      </c>
    </row>
    <row r="81" spans="1:8" x14ac:dyDescent="0.2">
      <c r="B81">
        <v>2016</v>
      </c>
      <c r="C81">
        <v>1</v>
      </c>
      <c r="D81">
        <v>1</v>
      </c>
      <c r="E81">
        <v>247620</v>
      </c>
      <c r="F81">
        <v>0.01</v>
      </c>
      <c r="G81" t="s">
        <v>407</v>
      </c>
    </row>
    <row r="82" spans="1:8" x14ac:dyDescent="0.2">
      <c r="B82">
        <v>2017</v>
      </c>
      <c r="C82">
        <v>1</v>
      </c>
      <c r="D82">
        <v>1</v>
      </c>
      <c r="E82">
        <v>237851</v>
      </c>
      <c r="F82">
        <v>0.01</v>
      </c>
      <c r="G82" t="s">
        <v>408</v>
      </c>
    </row>
    <row r="83" spans="1:8" x14ac:dyDescent="0.2">
      <c r="B83">
        <v>2018</v>
      </c>
      <c r="C83">
        <v>1</v>
      </c>
      <c r="D83">
        <v>1</v>
      </c>
      <c r="E83">
        <v>199867</v>
      </c>
      <c r="F83">
        <v>0.01</v>
      </c>
      <c r="G83" t="s">
        <v>409</v>
      </c>
    </row>
    <row r="84" spans="1:8" x14ac:dyDescent="0.2">
      <c r="B84">
        <v>2019</v>
      </c>
      <c r="C84">
        <v>1</v>
      </c>
      <c r="D84">
        <v>1</v>
      </c>
      <c r="E84">
        <v>178904</v>
      </c>
      <c r="F84">
        <v>0.01</v>
      </c>
      <c r="G84" t="s">
        <v>410</v>
      </c>
    </row>
    <row r="85" spans="1:8" x14ac:dyDescent="0.2">
      <c r="B85">
        <v>2020</v>
      </c>
      <c r="C85">
        <v>1</v>
      </c>
      <c r="D85">
        <v>1</v>
      </c>
      <c r="E85">
        <v>155665</v>
      </c>
      <c r="F85">
        <v>0.01</v>
      </c>
      <c r="G85" t="s">
        <v>411</v>
      </c>
    </row>
    <row r="86" spans="1:8" x14ac:dyDescent="0.2">
      <c r="B86">
        <v>2021</v>
      </c>
      <c r="C86">
        <v>1</v>
      </c>
      <c r="D86">
        <v>1</v>
      </c>
      <c r="E86">
        <v>121749</v>
      </c>
      <c r="F86">
        <v>0.01</v>
      </c>
      <c r="G86" t="s">
        <v>412</v>
      </c>
    </row>
    <row r="87" spans="1:8" x14ac:dyDescent="0.2">
      <c r="B87">
        <v>2022</v>
      </c>
      <c r="C87">
        <v>1</v>
      </c>
      <c r="D87">
        <v>1</v>
      </c>
      <c r="E87">
        <v>148810</v>
      </c>
      <c r="F87">
        <v>0.01</v>
      </c>
      <c r="G87" t="s">
        <v>413</v>
      </c>
    </row>
    <row r="88" spans="1:8" x14ac:dyDescent="0.2">
      <c r="B88">
        <v>2023</v>
      </c>
      <c r="C88">
        <v>1</v>
      </c>
      <c r="D88">
        <v>1</v>
      </c>
      <c r="E88">
        <v>143541</v>
      </c>
      <c r="F88">
        <v>0.01</v>
      </c>
      <c r="G88" t="s">
        <v>414</v>
      </c>
    </row>
    <row r="89" spans="1:8" x14ac:dyDescent="0.2">
      <c r="B89">
        <v>2024</v>
      </c>
      <c r="C89">
        <v>1</v>
      </c>
      <c r="D89">
        <v>1</v>
      </c>
      <c r="E89">
        <v>165659</v>
      </c>
      <c r="F89">
        <v>0.02</v>
      </c>
      <c r="G89" t="s">
        <v>415</v>
      </c>
    </row>
    <row r="90" spans="1:8" x14ac:dyDescent="0.2">
      <c r="A90">
        <v>-9999</v>
      </c>
      <c r="B90">
        <v>0</v>
      </c>
      <c r="C90">
        <v>0</v>
      </c>
      <c r="D90">
        <v>0</v>
      </c>
      <c r="E90">
        <v>0</v>
      </c>
      <c r="F90" t="s">
        <v>416</v>
      </c>
    </row>
    <row r="91" spans="1:8" x14ac:dyDescent="0.2">
      <c r="A91" t="s">
        <v>417</v>
      </c>
    </row>
    <row r="92" spans="1:8" x14ac:dyDescent="0.2">
      <c r="A92" t="s">
        <v>418</v>
      </c>
      <c r="B92" t="s">
        <v>419</v>
      </c>
      <c r="C92" t="s">
        <v>420</v>
      </c>
      <c r="D92" t="s">
        <v>421</v>
      </c>
      <c r="E92" t="s">
        <v>422</v>
      </c>
      <c r="F92" t="s">
        <v>104</v>
      </c>
      <c r="G92" t="s">
        <v>423</v>
      </c>
      <c r="H92" t="s">
        <v>424</v>
      </c>
    </row>
    <row r="93" spans="1:8" x14ac:dyDescent="0.2">
      <c r="A93" t="s">
        <v>425</v>
      </c>
      <c r="B93" t="s">
        <v>426</v>
      </c>
      <c r="C93" t="s">
        <v>427</v>
      </c>
      <c r="D93" t="s">
        <v>428</v>
      </c>
    </row>
    <row r="94" spans="1:8" x14ac:dyDescent="0.2">
      <c r="A94" t="s">
        <v>429</v>
      </c>
      <c r="B94" t="s">
        <v>430</v>
      </c>
      <c r="C94" t="s">
        <v>431</v>
      </c>
      <c r="D94" t="s">
        <v>432</v>
      </c>
      <c r="E94" t="s">
        <v>433</v>
      </c>
    </row>
    <row r="95" spans="1:8" x14ac:dyDescent="0.2">
      <c r="A95" t="s">
        <v>434</v>
      </c>
      <c r="B95" t="s">
        <v>435</v>
      </c>
      <c r="C95" t="s">
        <v>436</v>
      </c>
      <c r="D95" t="s">
        <v>437</v>
      </c>
    </row>
    <row r="96" spans="1:8" x14ac:dyDescent="0.2">
      <c r="A96">
        <v>1</v>
      </c>
      <c r="B96">
        <v>0</v>
      </c>
      <c r="C96">
        <v>0</v>
      </c>
      <c r="D96">
        <v>1</v>
      </c>
      <c r="E96" t="s">
        <v>438</v>
      </c>
    </row>
    <row r="97" spans="1:7" x14ac:dyDescent="0.2">
      <c r="A97">
        <v>2</v>
      </c>
      <c r="B97">
        <v>0</v>
      </c>
      <c r="C97">
        <v>0</v>
      </c>
      <c r="D97">
        <v>1</v>
      </c>
      <c r="E97" t="s">
        <v>439</v>
      </c>
    </row>
    <row r="98" spans="1:7" x14ac:dyDescent="0.2">
      <c r="A98" t="s">
        <v>99</v>
      </c>
    </row>
    <row r="99" spans="1:7" x14ac:dyDescent="0.2">
      <c r="A99" t="s">
        <v>440</v>
      </c>
    </row>
    <row r="100" spans="1:7" x14ac:dyDescent="0.2">
      <c r="A100" t="s">
        <v>365</v>
      </c>
      <c r="B100" t="s">
        <v>441</v>
      </c>
      <c r="C100" t="s">
        <v>118</v>
      </c>
      <c r="D100" t="s">
        <v>155</v>
      </c>
      <c r="E100" t="s">
        <v>442</v>
      </c>
    </row>
    <row r="101" spans="1:7" x14ac:dyDescent="0.2">
      <c r="B101">
        <v>1982</v>
      </c>
      <c r="C101">
        <v>7</v>
      </c>
      <c r="D101">
        <v>2</v>
      </c>
      <c r="E101">
        <v>715517</v>
      </c>
      <c r="F101">
        <v>5.7165399999999998E-2</v>
      </c>
      <c r="G101" t="s">
        <v>362</v>
      </c>
    </row>
    <row r="102" spans="1:7" x14ac:dyDescent="0.2">
      <c r="B102">
        <v>1983</v>
      </c>
      <c r="C102">
        <v>7</v>
      </c>
      <c r="D102">
        <v>2</v>
      </c>
      <c r="E102">
        <v>873613</v>
      </c>
      <c r="F102">
        <v>6.7511000000000002E-2</v>
      </c>
      <c r="G102" t="s">
        <v>363</v>
      </c>
    </row>
    <row r="103" spans="1:7" x14ac:dyDescent="0.2">
      <c r="B103">
        <v>1984</v>
      </c>
      <c r="C103">
        <v>7</v>
      </c>
      <c r="D103">
        <v>2</v>
      </c>
      <c r="E103">
        <v>706334</v>
      </c>
      <c r="F103">
        <v>5.1611999999999998E-2</v>
      </c>
      <c r="G103" t="s">
        <v>369</v>
      </c>
    </row>
    <row r="104" spans="1:7" x14ac:dyDescent="0.2">
      <c r="B104">
        <v>1985</v>
      </c>
      <c r="C104">
        <v>7</v>
      </c>
      <c r="D104">
        <v>2</v>
      </c>
      <c r="E104">
        <v>901208</v>
      </c>
      <c r="F104">
        <v>4.6186499999999998E-2</v>
      </c>
      <c r="G104" t="s">
        <v>370</v>
      </c>
    </row>
    <row r="105" spans="1:7" x14ac:dyDescent="0.2">
      <c r="B105">
        <v>1986</v>
      </c>
      <c r="C105">
        <v>7</v>
      </c>
      <c r="D105">
        <v>2</v>
      </c>
      <c r="E105">
        <v>885008</v>
      </c>
      <c r="F105">
        <v>4.80019E-2</v>
      </c>
      <c r="G105" t="s">
        <v>371</v>
      </c>
    </row>
    <row r="106" spans="1:7" x14ac:dyDescent="0.2">
      <c r="B106">
        <v>1987</v>
      </c>
      <c r="C106">
        <v>7</v>
      </c>
      <c r="D106">
        <v>2</v>
      </c>
      <c r="E106">
        <v>825641</v>
      </c>
      <c r="F106">
        <v>5.7332399999999999E-2</v>
      </c>
      <c r="G106" t="s">
        <v>372</v>
      </c>
    </row>
    <row r="107" spans="1:7" x14ac:dyDescent="0.2">
      <c r="B107">
        <v>1988</v>
      </c>
      <c r="C107">
        <v>7</v>
      </c>
      <c r="D107">
        <v>2</v>
      </c>
      <c r="E107">
        <v>546101</v>
      </c>
      <c r="F107">
        <v>4.4165599999999999E-2</v>
      </c>
      <c r="G107" t="s">
        <v>373</v>
      </c>
    </row>
    <row r="108" spans="1:7" x14ac:dyDescent="0.2">
      <c r="B108">
        <v>1989</v>
      </c>
      <c r="C108">
        <v>7</v>
      </c>
      <c r="D108">
        <v>2</v>
      </c>
      <c r="E108">
        <v>359173</v>
      </c>
      <c r="F108">
        <v>5.7101100000000002E-2</v>
      </c>
      <c r="G108" t="s">
        <v>374</v>
      </c>
    </row>
    <row r="109" spans="1:7" x14ac:dyDescent="0.2">
      <c r="B109">
        <v>1990</v>
      </c>
      <c r="C109">
        <v>7</v>
      </c>
      <c r="D109">
        <v>2</v>
      </c>
      <c r="E109">
        <v>472141</v>
      </c>
      <c r="F109">
        <v>5.1309199999999999E-2</v>
      </c>
      <c r="G109" t="s">
        <v>375</v>
      </c>
    </row>
    <row r="110" spans="1:7" x14ac:dyDescent="0.2">
      <c r="B110">
        <v>1991</v>
      </c>
      <c r="C110">
        <v>7</v>
      </c>
      <c r="D110">
        <v>2</v>
      </c>
      <c r="E110">
        <v>513627</v>
      </c>
      <c r="F110">
        <v>5.1726099999999997E-2</v>
      </c>
      <c r="G110" t="s">
        <v>376</v>
      </c>
    </row>
    <row r="111" spans="1:7" x14ac:dyDescent="0.2">
      <c r="B111">
        <v>1992</v>
      </c>
      <c r="C111">
        <v>7</v>
      </c>
      <c r="D111">
        <v>2</v>
      </c>
      <c r="E111">
        <v>558056</v>
      </c>
      <c r="F111">
        <v>5.7177699999999998E-2</v>
      </c>
      <c r="G111" t="s">
        <v>377</v>
      </c>
    </row>
    <row r="112" spans="1:7" x14ac:dyDescent="0.2">
      <c r="B112">
        <v>1993</v>
      </c>
      <c r="C112">
        <v>7</v>
      </c>
      <c r="D112">
        <v>2</v>
      </c>
      <c r="E112">
        <v>828772</v>
      </c>
      <c r="F112">
        <v>5.7259999999999998E-2</v>
      </c>
      <c r="G112" t="s">
        <v>378</v>
      </c>
    </row>
    <row r="113" spans="2:7" x14ac:dyDescent="0.2">
      <c r="B113">
        <v>1994</v>
      </c>
      <c r="C113">
        <v>7</v>
      </c>
      <c r="D113">
        <v>2</v>
      </c>
      <c r="E113">
        <v>1174740</v>
      </c>
      <c r="F113">
        <v>4.9407800000000002E-2</v>
      </c>
      <c r="G113" t="s">
        <v>379</v>
      </c>
    </row>
    <row r="114" spans="2:7" x14ac:dyDescent="0.2">
      <c r="B114">
        <v>1995</v>
      </c>
      <c r="C114">
        <v>7</v>
      </c>
      <c r="D114">
        <v>2</v>
      </c>
      <c r="E114">
        <v>722059</v>
      </c>
      <c r="F114">
        <v>4.8411799999999998E-2</v>
      </c>
      <c r="G114" t="s">
        <v>380</v>
      </c>
    </row>
    <row r="115" spans="2:7" x14ac:dyDescent="0.2">
      <c r="B115">
        <v>1996</v>
      </c>
      <c r="C115">
        <v>7</v>
      </c>
      <c r="D115">
        <v>2</v>
      </c>
      <c r="E115">
        <v>613005</v>
      </c>
      <c r="F115">
        <v>5.9802300000000003E-2</v>
      </c>
      <c r="G115" t="s">
        <v>381</v>
      </c>
    </row>
    <row r="116" spans="2:7" x14ac:dyDescent="0.2">
      <c r="B116">
        <v>1997</v>
      </c>
      <c r="C116">
        <v>7</v>
      </c>
      <c r="D116">
        <v>2</v>
      </c>
      <c r="E116">
        <v>523443</v>
      </c>
      <c r="F116">
        <v>5.5685199999999997E-2</v>
      </c>
      <c r="G116" t="s">
        <v>382</v>
      </c>
    </row>
    <row r="117" spans="2:7" x14ac:dyDescent="0.2">
      <c r="B117">
        <v>1998</v>
      </c>
      <c r="C117">
        <v>7</v>
      </c>
      <c r="D117">
        <v>2</v>
      </c>
      <c r="E117">
        <v>619557</v>
      </c>
      <c r="F117">
        <v>7.0966500000000002E-2</v>
      </c>
      <c r="G117" t="s">
        <v>383</v>
      </c>
    </row>
    <row r="118" spans="2:7" x14ac:dyDescent="0.2">
      <c r="B118">
        <v>1999</v>
      </c>
      <c r="C118">
        <v>7</v>
      </c>
      <c r="D118">
        <v>2</v>
      </c>
      <c r="E118">
        <v>527894</v>
      </c>
      <c r="F118">
        <v>5.4621900000000001E-2</v>
      </c>
      <c r="G118" t="s">
        <v>384</v>
      </c>
    </row>
    <row r="119" spans="2:7" x14ac:dyDescent="0.2">
      <c r="B119">
        <v>2000</v>
      </c>
      <c r="C119">
        <v>7</v>
      </c>
      <c r="D119">
        <v>2</v>
      </c>
      <c r="E119">
        <v>518417</v>
      </c>
      <c r="F119">
        <v>5.6085000000000003E-2</v>
      </c>
      <c r="G119" t="s">
        <v>385</v>
      </c>
    </row>
    <row r="120" spans="2:7" x14ac:dyDescent="0.2">
      <c r="B120">
        <v>2001</v>
      </c>
      <c r="C120">
        <v>7</v>
      </c>
      <c r="D120">
        <v>2</v>
      </c>
      <c r="E120">
        <v>1009880</v>
      </c>
      <c r="F120">
        <v>5.4991999999999999E-2</v>
      </c>
      <c r="G120" t="s">
        <v>386</v>
      </c>
    </row>
    <row r="121" spans="2:7" x14ac:dyDescent="0.2">
      <c r="B121">
        <v>2002</v>
      </c>
      <c r="C121">
        <v>7</v>
      </c>
      <c r="D121">
        <v>2</v>
      </c>
      <c r="E121">
        <v>631717</v>
      </c>
      <c r="F121">
        <v>7.0508699999999994E-2</v>
      </c>
      <c r="G121" t="s">
        <v>387</v>
      </c>
    </row>
    <row r="122" spans="2:7" x14ac:dyDescent="0.2">
      <c r="B122">
        <v>2003</v>
      </c>
      <c r="C122">
        <v>7</v>
      </c>
      <c r="D122">
        <v>2</v>
      </c>
      <c r="E122">
        <v>625926</v>
      </c>
      <c r="F122">
        <v>7.9117300000000002E-2</v>
      </c>
      <c r="G122" t="s">
        <v>388</v>
      </c>
    </row>
    <row r="123" spans="2:7" x14ac:dyDescent="0.2">
      <c r="B123">
        <v>2004</v>
      </c>
      <c r="C123">
        <v>7</v>
      </c>
      <c r="D123">
        <v>2</v>
      </c>
      <c r="E123">
        <v>492385</v>
      </c>
      <c r="F123">
        <v>8.1312700000000002E-2</v>
      </c>
      <c r="G123" t="s">
        <v>389</v>
      </c>
    </row>
    <row r="124" spans="2:7" x14ac:dyDescent="0.2">
      <c r="B124">
        <v>2005</v>
      </c>
      <c r="C124">
        <v>7</v>
      </c>
      <c r="D124">
        <v>2</v>
      </c>
      <c r="E124">
        <v>503965</v>
      </c>
      <c r="F124">
        <v>7.1332900000000005E-2</v>
      </c>
      <c r="G124" t="s">
        <v>390</v>
      </c>
    </row>
    <row r="125" spans="2:7" x14ac:dyDescent="0.2">
      <c r="B125">
        <v>2006</v>
      </c>
      <c r="C125">
        <v>7</v>
      </c>
      <c r="D125">
        <v>2</v>
      </c>
      <c r="E125">
        <v>440787</v>
      </c>
      <c r="F125">
        <v>4.6351299999999998E-2</v>
      </c>
      <c r="G125" t="s">
        <v>391</v>
      </c>
    </row>
    <row r="126" spans="2:7" x14ac:dyDescent="0.2">
      <c r="B126">
        <v>2007</v>
      </c>
      <c r="C126">
        <v>7</v>
      </c>
      <c r="D126">
        <v>2</v>
      </c>
      <c r="E126">
        <v>596073</v>
      </c>
      <c r="F126">
        <v>5.1325599999999999E-2</v>
      </c>
      <c r="G126" t="s">
        <v>392</v>
      </c>
    </row>
    <row r="127" spans="2:7" x14ac:dyDescent="0.2">
      <c r="B127">
        <v>2008</v>
      </c>
      <c r="C127">
        <v>7</v>
      </c>
      <c r="D127">
        <v>2</v>
      </c>
      <c r="E127">
        <v>483588</v>
      </c>
      <c r="F127">
        <v>5.1220599999999998E-2</v>
      </c>
      <c r="G127" t="s">
        <v>393</v>
      </c>
    </row>
    <row r="128" spans="2:7" x14ac:dyDescent="0.2">
      <c r="B128">
        <v>2009</v>
      </c>
      <c r="C128">
        <v>7</v>
      </c>
      <c r="D128">
        <v>2</v>
      </c>
      <c r="E128">
        <v>713923</v>
      </c>
      <c r="F128">
        <v>4.5935499999999997E-2</v>
      </c>
      <c r="G128" t="s">
        <v>394</v>
      </c>
    </row>
    <row r="129" spans="1:7" x14ac:dyDescent="0.2">
      <c r="B129">
        <v>2010</v>
      </c>
      <c r="C129">
        <v>7</v>
      </c>
      <c r="D129">
        <v>2</v>
      </c>
      <c r="E129">
        <v>752483</v>
      </c>
      <c r="F129">
        <v>4.91271E-2</v>
      </c>
      <c r="G129" t="s">
        <v>395</v>
      </c>
    </row>
    <row r="130" spans="1:7" x14ac:dyDescent="0.2">
      <c r="B130">
        <v>2011</v>
      </c>
      <c r="C130">
        <v>7</v>
      </c>
      <c r="D130">
        <v>2</v>
      </c>
      <c r="E130">
        <v>862077</v>
      </c>
      <c r="F130">
        <v>4.8169700000000003E-2</v>
      </c>
      <c r="G130" t="s">
        <v>396</v>
      </c>
    </row>
    <row r="131" spans="1:7" x14ac:dyDescent="0.2">
      <c r="B131">
        <v>2012</v>
      </c>
      <c r="C131">
        <v>7</v>
      </c>
      <c r="D131">
        <v>2</v>
      </c>
      <c r="E131">
        <v>1053710</v>
      </c>
      <c r="F131">
        <v>5.9393000000000001E-2</v>
      </c>
      <c r="G131" t="s">
        <v>397</v>
      </c>
    </row>
    <row r="132" spans="1:7" x14ac:dyDescent="0.2">
      <c r="B132">
        <v>2013</v>
      </c>
      <c r="C132">
        <v>7</v>
      </c>
      <c r="D132">
        <v>2</v>
      </c>
      <c r="E132">
        <v>768344</v>
      </c>
      <c r="F132">
        <v>5.6405499999999997E-2</v>
      </c>
      <c r="G132" t="s">
        <v>398</v>
      </c>
    </row>
    <row r="133" spans="1:7" x14ac:dyDescent="0.2">
      <c r="B133">
        <v>2014</v>
      </c>
      <c r="C133">
        <v>7</v>
      </c>
      <c r="D133">
        <v>2</v>
      </c>
      <c r="E133">
        <v>1230170</v>
      </c>
      <c r="F133">
        <v>6.8068400000000001E-2</v>
      </c>
      <c r="G133" t="s">
        <v>399</v>
      </c>
    </row>
    <row r="134" spans="1:7" x14ac:dyDescent="0.2">
      <c r="B134">
        <v>2015</v>
      </c>
      <c r="C134">
        <v>7</v>
      </c>
      <c r="D134">
        <v>2</v>
      </c>
      <c r="E134">
        <v>1081400</v>
      </c>
      <c r="F134">
        <v>6.6227400000000006E-2</v>
      </c>
      <c r="G134" t="s">
        <v>400</v>
      </c>
    </row>
    <row r="135" spans="1:7" x14ac:dyDescent="0.2">
      <c r="B135">
        <v>2016</v>
      </c>
      <c r="C135">
        <v>7</v>
      </c>
      <c r="D135">
        <v>2</v>
      </c>
      <c r="E135">
        <v>941485</v>
      </c>
      <c r="F135">
        <v>9.3792600000000004E-2</v>
      </c>
      <c r="G135" t="s">
        <v>401</v>
      </c>
    </row>
    <row r="136" spans="1:7" x14ac:dyDescent="0.2">
      <c r="B136">
        <v>2017</v>
      </c>
      <c r="C136">
        <v>7</v>
      </c>
      <c r="D136">
        <v>2</v>
      </c>
      <c r="E136">
        <v>519065</v>
      </c>
      <c r="F136">
        <v>4.3610599999999999E-2</v>
      </c>
      <c r="G136" t="s">
        <v>402</v>
      </c>
    </row>
    <row r="137" spans="1:7" x14ac:dyDescent="0.2">
      <c r="B137">
        <v>2018</v>
      </c>
      <c r="C137">
        <v>7</v>
      </c>
      <c r="D137">
        <v>2</v>
      </c>
      <c r="E137">
        <v>527814</v>
      </c>
      <c r="F137">
        <v>6.31129E-2</v>
      </c>
      <c r="G137" t="s">
        <v>403</v>
      </c>
    </row>
    <row r="138" spans="1:7" x14ac:dyDescent="0.2">
      <c r="B138">
        <v>2019</v>
      </c>
      <c r="C138">
        <v>7</v>
      </c>
      <c r="D138">
        <v>2</v>
      </c>
      <c r="E138">
        <v>761370</v>
      </c>
      <c r="F138">
        <v>5.07728E-2</v>
      </c>
      <c r="G138" t="s">
        <v>404</v>
      </c>
    </row>
    <row r="139" spans="1:7" x14ac:dyDescent="0.2">
      <c r="B139">
        <v>2020</v>
      </c>
      <c r="C139">
        <v>7</v>
      </c>
      <c r="D139">
        <v>-2</v>
      </c>
      <c r="G139" t="s">
        <v>405</v>
      </c>
    </row>
    <row r="140" spans="1:7" x14ac:dyDescent="0.2">
      <c r="B140">
        <v>2021</v>
      </c>
      <c r="C140">
        <v>7</v>
      </c>
      <c r="D140">
        <v>2</v>
      </c>
      <c r="E140">
        <v>607308</v>
      </c>
      <c r="F140">
        <v>5.5598599999999998E-2</v>
      </c>
      <c r="G140" t="s">
        <v>406</v>
      </c>
    </row>
    <row r="141" spans="1:7" x14ac:dyDescent="0.2">
      <c r="B141">
        <v>2022</v>
      </c>
      <c r="C141">
        <v>7</v>
      </c>
      <c r="D141">
        <v>2</v>
      </c>
      <c r="E141">
        <v>552637</v>
      </c>
      <c r="F141">
        <v>4.7806599999999998E-2</v>
      </c>
      <c r="G141" t="s">
        <v>407</v>
      </c>
    </row>
    <row r="142" spans="1:7" x14ac:dyDescent="0.2">
      <c r="B142">
        <v>2023</v>
      </c>
      <c r="C142">
        <v>7</v>
      </c>
      <c r="D142">
        <v>2</v>
      </c>
      <c r="E142">
        <v>620365</v>
      </c>
      <c r="F142">
        <v>4.6036800000000003E-2</v>
      </c>
      <c r="G142" t="s">
        <v>408</v>
      </c>
    </row>
    <row r="143" spans="1:7" x14ac:dyDescent="0.2">
      <c r="B143">
        <v>2024</v>
      </c>
      <c r="C143">
        <v>7</v>
      </c>
      <c r="D143">
        <v>2</v>
      </c>
      <c r="E143">
        <v>501466</v>
      </c>
      <c r="F143">
        <v>5.4345400000000002E-2</v>
      </c>
      <c r="G143" t="s">
        <v>409</v>
      </c>
    </row>
    <row r="144" spans="1:7" x14ac:dyDescent="0.2">
      <c r="A144">
        <v>-9999</v>
      </c>
      <c r="B144">
        <v>0</v>
      </c>
      <c r="C144">
        <v>0</v>
      </c>
      <c r="D144">
        <v>0</v>
      </c>
      <c r="E144">
        <v>0</v>
      </c>
      <c r="F144" t="s">
        <v>416</v>
      </c>
    </row>
    <row r="145" spans="1:21" x14ac:dyDescent="0.2">
      <c r="A145">
        <v>0</v>
      </c>
      <c r="B145" t="s">
        <v>443</v>
      </c>
    </row>
    <row r="146" spans="1:21" x14ac:dyDescent="0.2">
      <c r="A146" t="s">
        <v>444</v>
      </c>
      <c r="B146" t="s">
        <v>445</v>
      </c>
      <c r="C146" t="s">
        <v>446</v>
      </c>
      <c r="D146" t="s">
        <v>447</v>
      </c>
    </row>
    <row r="147" spans="1:21" x14ac:dyDescent="0.2">
      <c r="A147" t="s">
        <v>448</v>
      </c>
      <c r="B147" t="s">
        <v>449</v>
      </c>
      <c r="C147" t="s">
        <v>104</v>
      </c>
      <c r="D147" t="s">
        <v>450</v>
      </c>
      <c r="E147" t="s">
        <v>108</v>
      </c>
      <c r="F147" t="s">
        <v>451</v>
      </c>
      <c r="G147" t="s">
        <v>452</v>
      </c>
      <c r="H147" t="s">
        <v>453</v>
      </c>
      <c r="I147">
        <v>0</v>
      </c>
      <c r="J147" t="s">
        <v>104</v>
      </c>
      <c r="K147" t="s">
        <v>454</v>
      </c>
      <c r="L147" t="s">
        <v>163</v>
      </c>
      <c r="M147" t="s">
        <v>455</v>
      </c>
      <c r="N147">
        <v>-1</v>
      </c>
      <c r="O147" t="s">
        <v>104</v>
      </c>
      <c r="P147" t="s">
        <v>454</v>
      </c>
      <c r="Q147" t="s">
        <v>163</v>
      </c>
      <c r="R147" t="s">
        <v>456</v>
      </c>
      <c r="S147">
        <v>-2</v>
      </c>
      <c r="T147" t="s">
        <v>104</v>
      </c>
      <c r="U147" t="s">
        <v>457</v>
      </c>
    </row>
    <row r="148" spans="1:21" x14ac:dyDescent="0.2">
      <c r="A148" t="s">
        <v>99</v>
      </c>
    </row>
    <row r="149" spans="1:21" x14ac:dyDescent="0.2">
      <c r="A149" t="s">
        <v>458</v>
      </c>
    </row>
    <row r="150" spans="1:21" x14ac:dyDescent="0.2">
      <c r="A150" t="s">
        <v>99</v>
      </c>
    </row>
    <row r="151" spans="1:21" x14ac:dyDescent="0.2">
      <c r="A151" t="s">
        <v>459</v>
      </c>
    </row>
    <row r="152" spans="1:21" x14ac:dyDescent="0.2">
      <c r="A152" t="s">
        <v>99</v>
      </c>
    </row>
    <row r="153" spans="1:21" x14ac:dyDescent="0.2">
      <c r="A153" t="s">
        <v>460</v>
      </c>
    </row>
    <row r="154" spans="1:21" x14ac:dyDescent="0.2">
      <c r="A154">
        <v>0</v>
      </c>
      <c r="B154" t="s">
        <v>461</v>
      </c>
    </row>
    <row r="155" spans="1:21" x14ac:dyDescent="0.2">
      <c r="B155" t="s">
        <v>462</v>
      </c>
    </row>
    <row r="156" spans="1:21" x14ac:dyDescent="0.2">
      <c r="A156" t="s">
        <v>99</v>
      </c>
    </row>
    <row r="157" spans="1:21" x14ac:dyDescent="0.2">
      <c r="A157" t="s">
        <v>463</v>
      </c>
    </row>
    <row r="158" spans="1:21" x14ac:dyDescent="0.2">
      <c r="A158">
        <v>3</v>
      </c>
      <c r="B158" t="s">
        <v>99</v>
      </c>
      <c r="C158" t="s">
        <v>179</v>
      </c>
      <c r="D158" t="s">
        <v>464</v>
      </c>
      <c r="E158" t="s">
        <v>465</v>
      </c>
      <c r="F158" t="s">
        <v>466</v>
      </c>
      <c r="G158" t="s">
        <v>467</v>
      </c>
      <c r="H158" t="s">
        <v>468</v>
      </c>
      <c r="I158" t="s">
        <v>145</v>
      </c>
      <c r="J158" t="s">
        <v>469</v>
      </c>
      <c r="K158" t="s">
        <v>470</v>
      </c>
      <c r="L158" t="s">
        <v>471</v>
      </c>
      <c r="M158" t="s">
        <v>472</v>
      </c>
    </row>
    <row r="159" spans="1:21" x14ac:dyDescent="0.2">
      <c r="A159">
        <v>121</v>
      </c>
      <c r="B159" t="s">
        <v>473</v>
      </c>
    </row>
    <row r="160" spans="1:21" x14ac:dyDescent="0.2">
      <c r="A160" t="s">
        <v>474</v>
      </c>
    </row>
    <row r="161" spans="1:127" x14ac:dyDescent="0.2">
      <c r="A161">
        <v>1E-3</v>
      </c>
      <c r="B161">
        <v>0.5</v>
      </c>
      <c r="C161">
        <v>1.5</v>
      </c>
      <c r="D161">
        <v>2.5</v>
      </c>
      <c r="E161">
        <v>3.5</v>
      </c>
      <c r="F161">
        <v>4.5</v>
      </c>
      <c r="G161">
        <v>5.5</v>
      </c>
      <c r="H161">
        <v>6.5</v>
      </c>
      <c r="I161">
        <v>7.5</v>
      </c>
      <c r="J161">
        <v>8.5</v>
      </c>
      <c r="K161">
        <v>9.5</v>
      </c>
      <c r="L161">
        <v>10.5</v>
      </c>
      <c r="M161">
        <v>11.5</v>
      </c>
      <c r="N161">
        <v>12.5</v>
      </c>
      <c r="O161">
        <v>13.5</v>
      </c>
      <c r="P161">
        <v>14.5</v>
      </c>
      <c r="Q161">
        <v>15.5</v>
      </c>
      <c r="R161">
        <v>16.5</v>
      </c>
      <c r="S161">
        <v>17.5</v>
      </c>
      <c r="T161">
        <v>18.5</v>
      </c>
      <c r="U161">
        <v>19.5</v>
      </c>
      <c r="V161">
        <v>20.5</v>
      </c>
      <c r="W161">
        <v>21.5</v>
      </c>
      <c r="X161">
        <v>22.5</v>
      </c>
      <c r="Y161">
        <v>23.5</v>
      </c>
      <c r="Z161">
        <v>24.5</v>
      </c>
      <c r="AA161">
        <v>25.5</v>
      </c>
      <c r="AB161">
        <v>26.5</v>
      </c>
      <c r="AC161">
        <v>27.5</v>
      </c>
      <c r="AD161">
        <v>28.5</v>
      </c>
      <c r="AE161">
        <v>29.5</v>
      </c>
      <c r="AF161">
        <v>30.5</v>
      </c>
      <c r="AG161">
        <v>31.5</v>
      </c>
      <c r="AH161">
        <v>32.5</v>
      </c>
      <c r="AI161">
        <v>33.5</v>
      </c>
      <c r="AJ161">
        <v>34.5</v>
      </c>
      <c r="AK161">
        <v>35.5</v>
      </c>
      <c r="AL161">
        <v>36.5</v>
      </c>
      <c r="AM161">
        <v>37.5</v>
      </c>
      <c r="AN161">
        <v>38.5</v>
      </c>
      <c r="AO161">
        <v>39.5</v>
      </c>
      <c r="AP161">
        <v>40.5</v>
      </c>
      <c r="AQ161">
        <v>41.5</v>
      </c>
      <c r="AR161">
        <v>42.5</v>
      </c>
      <c r="AS161">
        <v>43.5</v>
      </c>
      <c r="AT161">
        <v>44.5</v>
      </c>
      <c r="AU161">
        <v>45.5</v>
      </c>
      <c r="AV161">
        <v>46.5</v>
      </c>
      <c r="AW161">
        <v>47.5</v>
      </c>
      <c r="AX161">
        <v>48.5</v>
      </c>
      <c r="AY161">
        <v>49.5</v>
      </c>
      <c r="AZ161">
        <v>50.5</v>
      </c>
      <c r="BA161">
        <v>51.5</v>
      </c>
      <c r="BB161">
        <v>52.5</v>
      </c>
      <c r="BC161">
        <v>53.5</v>
      </c>
      <c r="BD161">
        <v>54.5</v>
      </c>
      <c r="BE161">
        <v>55.5</v>
      </c>
      <c r="BF161">
        <v>56.5</v>
      </c>
      <c r="BG161">
        <v>57.5</v>
      </c>
      <c r="BH161">
        <v>58.5</v>
      </c>
      <c r="BI161">
        <v>59.5</v>
      </c>
      <c r="BJ161">
        <v>60.5</v>
      </c>
      <c r="BK161">
        <v>61.5</v>
      </c>
      <c r="BL161">
        <v>62.5</v>
      </c>
      <c r="BM161">
        <v>63.5</v>
      </c>
      <c r="BN161">
        <v>64.5</v>
      </c>
      <c r="BO161">
        <v>65.5</v>
      </c>
      <c r="BP161">
        <v>66.5</v>
      </c>
      <c r="BQ161">
        <v>67.5</v>
      </c>
      <c r="BR161">
        <v>68.5</v>
      </c>
      <c r="BS161">
        <v>69.5</v>
      </c>
      <c r="BT161">
        <v>70.5</v>
      </c>
      <c r="BU161">
        <v>71.5</v>
      </c>
      <c r="BV161">
        <v>72.5</v>
      </c>
      <c r="BW161">
        <v>73.5</v>
      </c>
      <c r="BX161">
        <v>74.5</v>
      </c>
      <c r="BY161">
        <v>75.5</v>
      </c>
      <c r="BZ161">
        <v>76.5</v>
      </c>
      <c r="CA161">
        <v>77.5</v>
      </c>
      <c r="CB161">
        <v>78.5</v>
      </c>
      <c r="CC161">
        <v>79.5</v>
      </c>
      <c r="CD161">
        <v>80.5</v>
      </c>
      <c r="CE161">
        <v>81.5</v>
      </c>
      <c r="CF161">
        <v>82.5</v>
      </c>
      <c r="CG161">
        <v>83.5</v>
      </c>
      <c r="CH161">
        <v>84.5</v>
      </c>
      <c r="CI161">
        <v>85.5</v>
      </c>
      <c r="CJ161">
        <v>86.5</v>
      </c>
      <c r="CK161">
        <v>87.5</v>
      </c>
      <c r="CL161">
        <v>88.5</v>
      </c>
      <c r="CM161">
        <v>89.5</v>
      </c>
      <c r="CN161">
        <v>90.5</v>
      </c>
      <c r="CO161">
        <v>91.5</v>
      </c>
      <c r="CP161">
        <v>92.5</v>
      </c>
      <c r="CQ161">
        <v>93.5</v>
      </c>
      <c r="CR161">
        <v>94.5</v>
      </c>
      <c r="CS161">
        <v>95.5</v>
      </c>
      <c r="CT161">
        <v>96.5</v>
      </c>
      <c r="CU161">
        <v>97.5</v>
      </c>
      <c r="CV161">
        <v>98.5</v>
      </c>
      <c r="CW161">
        <v>99.5</v>
      </c>
      <c r="CX161">
        <v>100.5</v>
      </c>
      <c r="CY161">
        <v>101.5</v>
      </c>
      <c r="CZ161">
        <v>102.5</v>
      </c>
      <c r="DA161">
        <v>103.5</v>
      </c>
      <c r="DB161">
        <v>104.5</v>
      </c>
      <c r="DC161">
        <v>105.5</v>
      </c>
      <c r="DD161">
        <v>106.5</v>
      </c>
      <c r="DE161">
        <v>107.5</v>
      </c>
      <c r="DF161">
        <v>108.5</v>
      </c>
      <c r="DG161">
        <v>109.5</v>
      </c>
      <c r="DH161">
        <v>110.5</v>
      </c>
      <c r="DI161">
        <v>111.5</v>
      </c>
      <c r="DJ161">
        <v>112.5</v>
      </c>
      <c r="DK161">
        <v>113.5</v>
      </c>
      <c r="DL161">
        <v>114.5</v>
      </c>
      <c r="DM161">
        <v>115.5</v>
      </c>
      <c r="DN161">
        <v>116.5</v>
      </c>
      <c r="DO161">
        <v>117.5</v>
      </c>
      <c r="DP161">
        <v>118.5</v>
      </c>
      <c r="DQ161">
        <v>119.5</v>
      </c>
      <c r="DR161" t="s">
        <v>474</v>
      </c>
    </row>
    <row r="162" spans="1:127" x14ac:dyDescent="0.2">
      <c r="A162">
        <v>1</v>
      </c>
      <c r="B162" t="s">
        <v>475</v>
      </c>
    </row>
    <row r="163" spans="1:127" x14ac:dyDescent="0.2">
      <c r="A163" t="s">
        <v>99</v>
      </c>
    </row>
    <row r="164" spans="1:127" x14ac:dyDescent="0.2">
      <c r="A164" t="s">
        <v>476</v>
      </c>
    </row>
    <row r="165" spans="1:127" x14ac:dyDescent="0.2">
      <c r="A165" t="s">
        <v>477</v>
      </c>
      <c r="B165" t="s">
        <v>478</v>
      </c>
      <c r="C165" t="s">
        <v>479</v>
      </c>
      <c r="D165" t="s">
        <v>480</v>
      </c>
      <c r="E165" t="s">
        <v>481</v>
      </c>
      <c r="F165" t="s">
        <v>482</v>
      </c>
      <c r="G165" t="s">
        <v>483</v>
      </c>
      <c r="H165" t="s">
        <v>484</v>
      </c>
    </row>
    <row r="166" spans="1:127" x14ac:dyDescent="0.2">
      <c r="A166">
        <v>-1</v>
      </c>
      <c r="B166" s="1">
        <v>9.9999999999999995E-7</v>
      </c>
      <c r="C166">
        <v>0</v>
      </c>
      <c r="D166">
        <v>0</v>
      </c>
      <c r="E166">
        <v>0</v>
      </c>
      <c r="F166">
        <v>0</v>
      </c>
      <c r="G166">
        <v>1</v>
      </c>
      <c r="H166" t="s">
        <v>438</v>
      </c>
    </row>
    <row r="167" spans="1:127" x14ac:dyDescent="0.2">
      <c r="A167">
        <v>-1</v>
      </c>
      <c r="B167" s="1">
        <v>9.9999999999999995E-7</v>
      </c>
      <c r="C167">
        <v>0</v>
      </c>
      <c r="D167">
        <v>0</v>
      </c>
      <c r="E167">
        <v>0</v>
      </c>
      <c r="F167">
        <v>0</v>
      </c>
      <c r="G167">
        <v>1</v>
      </c>
      <c r="H167" t="s">
        <v>439</v>
      </c>
    </row>
    <row r="168" spans="1:127" x14ac:dyDescent="0.2">
      <c r="A168">
        <v>120</v>
      </c>
      <c r="B168" t="s">
        <v>485</v>
      </c>
    </row>
    <row r="169" spans="1:127" x14ac:dyDescent="0.2">
      <c r="A169" t="s">
        <v>486</v>
      </c>
    </row>
    <row r="171" spans="1:127" x14ac:dyDescent="0.2">
      <c r="A171" t="s">
        <v>99</v>
      </c>
    </row>
    <row r="172" spans="1:127" x14ac:dyDescent="0.2">
      <c r="A172" t="s">
        <v>85</v>
      </c>
      <c r="B172" t="s">
        <v>631</v>
      </c>
      <c r="C172" t="s">
        <v>632</v>
      </c>
      <c r="D172" t="s">
        <v>536</v>
      </c>
      <c r="E172" t="s">
        <v>537</v>
      </c>
      <c r="F172" t="s">
        <v>249</v>
      </c>
      <c r="G172">
        <v>0.5</v>
      </c>
      <c r="H172">
        <v>1.5</v>
      </c>
      <c r="I172">
        <v>2.5</v>
      </c>
      <c r="J172">
        <v>3.5</v>
      </c>
      <c r="K172">
        <v>4.5</v>
      </c>
      <c r="L172">
        <v>5.5</v>
      </c>
      <c r="M172">
        <v>6.5</v>
      </c>
      <c r="N172">
        <v>7.5</v>
      </c>
      <c r="O172">
        <v>8.5</v>
      </c>
      <c r="P172">
        <v>9.5</v>
      </c>
      <c r="Q172">
        <v>10.5</v>
      </c>
      <c r="R172">
        <v>11.5</v>
      </c>
      <c r="S172">
        <v>12.5</v>
      </c>
      <c r="T172">
        <v>13.5</v>
      </c>
      <c r="U172">
        <v>14.5</v>
      </c>
      <c r="V172">
        <v>15.5</v>
      </c>
      <c r="W172">
        <v>16.5</v>
      </c>
      <c r="X172">
        <v>17.5</v>
      </c>
      <c r="Y172">
        <v>18.5</v>
      </c>
      <c r="Z172">
        <v>19.5</v>
      </c>
      <c r="AA172">
        <v>20.5</v>
      </c>
      <c r="AB172">
        <v>21.5</v>
      </c>
      <c r="AC172">
        <v>22.5</v>
      </c>
      <c r="AD172">
        <v>23.5</v>
      </c>
      <c r="AE172">
        <v>24.5</v>
      </c>
      <c r="AF172">
        <v>25.5</v>
      </c>
      <c r="AG172">
        <v>26.5</v>
      </c>
      <c r="AH172">
        <v>27.5</v>
      </c>
      <c r="AI172">
        <v>28.5</v>
      </c>
      <c r="AJ172">
        <v>29.5</v>
      </c>
      <c r="AK172">
        <v>30.5</v>
      </c>
      <c r="AL172">
        <v>31.5</v>
      </c>
      <c r="AM172">
        <v>32.5</v>
      </c>
      <c r="AN172">
        <v>33.5</v>
      </c>
      <c r="AO172">
        <v>34.5</v>
      </c>
      <c r="AP172">
        <v>35.5</v>
      </c>
      <c r="AQ172">
        <v>36.5</v>
      </c>
      <c r="AR172">
        <v>37.5</v>
      </c>
      <c r="AS172">
        <v>38.5</v>
      </c>
      <c r="AT172">
        <v>39.5</v>
      </c>
      <c r="AU172">
        <v>40.5</v>
      </c>
      <c r="AV172">
        <v>41.5</v>
      </c>
      <c r="AW172">
        <v>42.5</v>
      </c>
      <c r="AX172">
        <v>43.5</v>
      </c>
      <c r="AY172">
        <v>44.5</v>
      </c>
      <c r="AZ172">
        <v>45.5</v>
      </c>
      <c r="BA172">
        <v>46.5</v>
      </c>
      <c r="BB172">
        <v>47.5</v>
      </c>
      <c r="BC172">
        <v>48.5</v>
      </c>
      <c r="BD172">
        <v>49.5</v>
      </c>
      <c r="BE172">
        <v>50.5</v>
      </c>
      <c r="BF172">
        <v>51.5</v>
      </c>
      <c r="BG172">
        <v>52.5</v>
      </c>
      <c r="BH172">
        <v>53.5</v>
      </c>
      <c r="BI172">
        <v>54.5</v>
      </c>
      <c r="BJ172">
        <v>55.5</v>
      </c>
      <c r="BK172">
        <v>56.5</v>
      </c>
      <c r="BL172">
        <v>57.5</v>
      </c>
      <c r="BM172">
        <v>58.5</v>
      </c>
      <c r="BN172">
        <v>59.5</v>
      </c>
      <c r="BO172">
        <v>60.5</v>
      </c>
      <c r="BP172">
        <v>61.5</v>
      </c>
      <c r="BQ172">
        <v>62.5</v>
      </c>
      <c r="BR172">
        <v>63.5</v>
      </c>
      <c r="BS172">
        <v>64.5</v>
      </c>
      <c r="BT172">
        <v>65.5</v>
      </c>
      <c r="BU172">
        <v>66.5</v>
      </c>
      <c r="BV172">
        <v>67.5</v>
      </c>
      <c r="BW172">
        <v>68.5</v>
      </c>
      <c r="BX172">
        <v>69.5</v>
      </c>
      <c r="BY172">
        <v>70.5</v>
      </c>
      <c r="BZ172">
        <v>71.5</v>
      </c>
      <c r="CA172">
        <v>72.5</v>
      </c>
      <c r="CB172">
        <v>73.5</v>
      </c>
      <c r="CC172">
        <v>74.5</v>
      </c>
      <c r="CD172">
        <v>75.5</v>
      </c>
      <c r="CE172">
        <v>76.5</v>
      </c>
      <c r="CF172">
        <v>77.5</v>
      </c>
      <c r="CG172">
        <v>78.5</v>
      </c>
      <c r="CH172">
        <v>79.5</v>
      </c>
      <c r="CI172">
        <v>80.5</v>
      </c>
      <c r="CJ172">
        <v>81.5</v>
      </c>
      <c r="CK172">
        <v>82.5</v>
      </c>
      <c r="CL172">
        <v>83.5</v>
      </c>
      <c r="CM172">
        <v>84.5</v>
      </c>
      <c r="CN172">
        <v>85.5</v>
      </c>
      <c r="CO172">
        <v>86.5</v>
      </c>
      <c r="CP172">
        <v>87.5</v>
      </c>
      <c r="CQ172">
        <v>88.5</v>
      </c>
      <c r="CR172">
        <v>89.5</v>
      </c>
      <c r="CS172">
        <v>90.5</v>
      </c>
      <c r="CT172">
        <v>91.5</v>
      </c>
      <c r="CU172">
        <v>92.5</v>
      </c>
      <c r="CV172">
        <v>93.5</v>
      </c>
      <c r="CW172">
        <v>94.5</v>
      </c>
      <c r="CX172">
        <v>95.5</v>
      </c>
      <c r="CY172">
        <v>96.5</v>
      </c>
      <c r="CZ172">
        <v>97.5</v>
      </c>
      <c r="DA172">
        <v>98.5</v>
      </c>
      <c r="DB172">
        <v>99.5</v>
      </c>
      <c r="DC172">
        <v>100.5</v>
      </c>
      <c r="DD172">
        <v>101.5</v>
      </c>
      <c r="DE172">
        <v>102.5</v>
      </c>
      <c r="DF172">
        <v>103.5</v>
      </c>
      <c r="DG172">
        <v>104.5</v>
      </c>
      <c r="DH172">
        <v>105.5</v>
      </c>
      <c r="DI172">
        <v>106.5</v>
      </c>
      <c r="DJ172">
        <v>107.5</v>
      </c>
      <c r="DK172">
        <v>108.5</v>
      </c>
      <c r="DL172">
        <v>109.5</v>
      </c>
      <c r="DM172">
        <v>110.5</v>
      </c>
      <c r="DN172">
        <v>111.5</v>
      </c>
      <c r="DO172">
        <v>112.5</v>
      </c>
      <c r="DP172">
        <v>113.5</v>
      </c>
      <c r="DQ172">
        <v>114.5</v>
      </c>
      <c r="DR172">
        <v>115.5</v>
      </c>
      <c r="DS172">
        <v>116.5</v>
      </c>
      <c r="DT172">
        <v>117.5</v>
      </c>
      <c r="DU172">
        <v>118.5</v>
      </c>
      <c r="DV172">
        <v>119.5</v>
      </c>
      <c r="DW172" t="s">
        <v>486</v>
      </c>
    </row>
    <row r="173" spans="1:127" x14ac:dyDescent="0.2">
      <c r="A173">
        <v>1977</v>
      </c>
      <c r="B173">
        <v>1</v>
      </c>
      <c r="C173">
        <v>1</v>
      </c>
      <c r="D173">
        <v>0</v>
      </c>
      <c r="E173">
        <v>0</v>
      </c>
      <c r="F173">
        <v>6</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4.0470099999999999E-4</v>
      </c>
      <c r="AG173" s="1">
        <v>9.98E-5</v>
      </c>
      <c r="AH173">
        <v>1.9032400000000001E-3</v>
      </c>
      <c r="AI173">
        <v>1.2148E-3</v>
      </c>
      <c r="AJ173">
        <v>8.7010400000000002E-3</v>
      </c>
      <c r="AK173">
        <v>1.3594799999999999E-3</v>
      </c>
      <c r="AL173">
        <v>2.6378999999999999E-3</v>
      </c>
      <c r="AM173">
        <v>1.9249499999999999E-3</v>
      </c>
      <c r="AN173">
        <v>3.53053E-3</v>
      </c>
      <c r="AO173">
        <v>1.5741499999999999E-2</v>
      </c>
      <c r="AP173">
        <v>9.5353399999999998E-3</v>
      </c>
      <c r="AQ173">
        <v>4.9888299999999997E-3</v>
      </c>
      <c r="AR173">
        <v>3.4144500000000001E-2</v>
      </c>
      <c r="AS173">
        <v>3.6906300000000003E-2</v>
      </c>
      <c r="AT173">
        <v>2.95704E-2</v>
      </c>
      <c r="AU173">
        <v>2.7478599999999999E-2</v>
      </c>
      <c r="AV173">
        <v>2.8255300000000001E-2</v>
      </c>
      <c r="AW173">
        <v>1.0058599999999999E-3</v>
      </c>
      <c r="AX173">
        <v>2.13141E-4</v>
      </c>
      <c r="AY173">
        <v>1.3730600000000001E-2</v>
      </c>
      <c r="AZ173">
        <v>6.1117300000000001E-3</v>
      </c>
      <c r="BA173">
        <v>2.1480099999999999E-2</v>
      </c>
      <c r="BB173">
        <v>3.4137899999999999E-2</v>
      </c>
      <c r="BC173">
        <v>8.4788799999999994E-3</v>
      </c>
      <c r="BD173">
        <v>8.1756200000000001E-2</v>
      </c>
      <c r="BE173">
        <v>2.9175900000000001E-2</v>
      </c>
      <c r="BF173">
        <v>1.9104300000000001E-2</v>
      </c>
      <c r="BG173">
        <v>1.65965E-2</v>
      </c>
      <c r="BH173">
        <v>4.10417E-2</v>
      </c>
      <c r="BI173">
        <v>2.1299999999999999E-2</v>
      </c>
      <c r="BJ173">
        <v>6.6055199999999994E-2</v>
      </c>
      <c r="BK173">
        <v>2.5615300000000001E-2</v>
      </c>
      <c r="BL173">
        <v>4.78564E-2</v>
      </c>
      <c r="BM173">
        <v>1.2645699999999999E-2</v>
      </c>
      <c r="BN173">
        <v>3.6044600000000003E-2</v>
      </c>
      <c r="BO173">
        <v>3.1480899999999999E-2</v>
      </c>
      <c r="BP173">
        <v>1.9497899999999999E-2</v>
      </c>
      <c r="BQ173">
        <v>2.43073E-2</v>
      </c>
      <c r="BR173">
        <v>3.5026500000000002E-2</v>
      </c>
      <c r="BS173">
        <v>2.5344999999999999E-2</v>
      </c>
      <c r="BT173">
        <v>1.2232399999999999E-2</v>
      </c>
      <c r="BU173">
        <v>3.3602E-2</v>
      </c>
      <c r="BV173">
        <v>5.0189700000000002E-3</v>
      </c>
      <c r="BW173">
        <v>1.17149E-2</v>
      </c>
      <c r="BX173">
        <v>1.6443599999999999E-2</v>
      </c>
      <c r="BY173">
        <v>1.1417099999999999E-2</v>
      </c>
      <c r="BZ173">
        <v>1.5181500000000001E-2</v>
      </c>
      <c r="CA173">
        <v>1.4517099999999999E-3</v>
      </c>
      <c r="CB173">
        <v>8.30439E-3</v>
      </c>
      <c r="CC173">
        <v>2.1239000000000001E-2</v>
      </c>
      <c r="CD173">
        <v>3.6174599999999999E-3</v>
      </c>
      <c r="CE173">
        <v>1.6739700000000001E-3</v>
      </c>
      <c r="CF173">
        <v>2.32293E-3</v>
      </c>
      <c r="CG173">
        <v>1.9081E-3</v>
      </c>
      <c r="CH173">
        <v>2.7012500000000001E-3</v>
      </c>
      <c r="CI173">
        <v>1.26936E-3</v>
      </c>
      <c r="CJ173">
        <v>5.35338E-4</v>
      </c>
      <c r="CK173">
        <v>1.28909E-4</v>
      </c>
      <c r="CL173">
        <v>7.16112E-3</v>
      </c>
      <c r="CM173">
        <v>1.89808E-4</v>
      </c>
      <c r="CN173">
        <v>7.2248800000000004E-3</v>
      </c>
      <c r="CO173">
        <v>1.3098499999999999E-4</v>
      </c>
      <c r="CP173">
        <v>1.28909E-4</v>
      </c>
      <c r="CQ173">
        <v>0</v>
      </c>
      <c r="CR173">
        <v>0</v>
      </c>
      <c r="CS173">
        <v>0</v>
      </c>
      <c r="CT173">
        <v>0</v>
      </c>
      <c r="CU173">
        <v>0</v>
      </c>
      <c r="CV173">
        <v>0</v>
      </c>
      <c r="CW173">
        <v>1.18147E-3</v>
      </c>
      <c r="CX173">
        <v>0</v>
      </c>
      <c r="CY173">
        <v>0</v>
      </c>
      <c r="CZ173">
        <v>0</v>
      </c>
      <c r="DA173">
        <v>0</v>
      </c>
      <c r="DB173">
        <v>0</v>
      </c>
      <c r="DC173">
        <v>0</v>
      </c>
      <c r="DD173">
        <v>6.8151100000000001E-3</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t="s">
        <v>362</v>
      </c>
    </row>
    <row r="174" spans="1:127" x14ac:dyDescent="0.2">
      <c r="A174">
        <v>1978</v>
      </c>
      <c r="B174">
        <v>1</v>
      </c>
      <c r="C174">
        <v>1</v>
      </c>
      <c r="D174">
        <v>0</v>
      </c>
      <c r="E174">
        <v>0</v>
      </c>
      <c r="F174">
        <v>10</v>
      </c>
      <c r="G174">
        <v>0</v>
      </c>
      <c r="H174">
        <v>0</v>
      </c>
      <c r="I174">
        <v>0</v>
      </c>
      <c r="J174">
        <v>0</v>
      </c>
      <c r="K174">
        <v>0</v>
      </c>
      <c r="L174">
        <v>0</v>
      </c>
      <c r="M174">
        <v>0</v>
      </c>
      <c r="N174">
        <v>0</v>
      </c>
      <c r="O174">
        <v>0</v>
      </c>
      <c r="P174">
        <v>0</v>
      </c>
      <c r="Q174">
        <v>0</v>
      </c>
      <c r="R174">
        <v>0</v>
      </c>
      <c r="S174">
        <v>0</v>
      </c>
      <c r="T174">
        <v>0</v>
      </c>
      <c r="U174">
        <v>0</v>
      </c>
      <c r="V174">
        <v>0</v>
      </c>
      <c r="W174">
        <v>0</v>
      </c>
      <c r="X174">
        <v>1.77906E-4</v>
      </c>
      <c r="Y174">
        <v>0</v>
      </c>
      <c r="Z174">
        <v>0</v>
      </c>
      <c r="AA174">
        <v>1.77906E-4</v>
      </c>
      <c r="AB174">
        <v>0</v>
      </c>
      <c r="AC174">
        <v>0</v>
      </c>
      <c r="AD174">
        <v>0</v>
      </c>
      <c r="AE174">
        <v>0</v>
      </c>
      <c r="AF174">
        <v>0</v>
      </c>
      <c r="AG174">
        <v>0</v>
      </c>
      <c r="AH174">
        <v>1.19319E-4</v>
      </c>
      <c r="AI174">
        <v>0</v>
      </c>
      <c r="AJ174">
        <v>0</v>
      </c>
      <c r="AK174">
        <v>2.8388799999999999E-4</v>
      </c>
      <c r="AL174">
        <v>0</v>
      </c>
      <c r="AM174">
        <v>1.77906E-4</v>
      </c>
      <c r="AN174">
        <v>3.4089999999999999E-4</v>
      </c>
      <c r="AO174" s="1">
        <v>6.6799999999999997E-5</v>
      </c>
      <c r="AP174">
        <v>2.6414099999999999E-3</v>
      </c>
      <c r="AQ174">
        <v>7.5053299999999995E-4</v>
      </c>
      <c r="AR174">
        <v>1.5398499999999999E-3</v>
      </c>
      <c r="AS174">
        <v>1.48351E-3</v>
      </c>
      <c r="AT174">
        <v>1.4893899999999999E-3</v>
      </c>
      <c r="AU174">
        <v>2.68264E-3</v>
      </c>
      <c r="AV174">
        <v>2.8087799999999999E-3</v>
      </c>
      <c r="AW174">
        <v>1.30504E-2</v>
      </c>
      <c r="AX174">
        <v>8.7770699999999997E-3</v>
      </c>
      <c r="AY174">
        <v>1.9469899999999998E-2</v>
      </c>
      <c r="AZ174">
        <v>2.1527999999999999E-2</v>
      </c>
      <c r="BA174">
        <v>2.3169100000000001E-2</v>
      </c>
      <c r="BB174">
        <v>2.0606800000000002E-2</v>
      </c>
      <c r="BC174">
        <v>2.3494600000000001E-2</v>
      </c>
      <c r="BD174">
        <v>2.7602999999999999E-2</v>
      </c>
      <c r="BE174">
        <v>2.91066E-2</v>
      </c>
      <c r="BF174">
        <v>3.5025599999999997E-2</v>
      </c>
      <c r="BG174">
        <v>3.4437200000000001E-2</v>
      </c>
      <c r="BH174">
        <v>4.59957E-2</v>
      </c>
      <c r="BI174">
        <v>4.0205299999999999E-2</v>
      </c>
      <c r="BJ174">
        <v>4.5580000000000002E-2</v>
      </c>
      <c r="BK174">
        <v>6.92358E-2</v>
      </c>
      <c r="BL174">
        <v>5.2801899999999999E-2</v>
      </c>
      <c r="BM174">
        <v>5.2766500000000001E-2</v>
      </c>
      <c r="BN174">
        <v>5.9034400000000001E-2</v>
      </c>
      <c r="BO174">
        <v>5.6846399999999998E-2</v>
      </c>
      <c r="BP174">
        <v>4.86322E-2</v>
      </c>
      <c r="BQ174">
        <v>4.1930599999999998E-2</v>
      </c>
      <c r="BR174">
        <v>3.4502400000000003E-2</v>
      </c>
      <c r="BS174">
        <v>2.8131799999999998E-2</v>
      </c>
      <c r="BT174">
        <v>2.0944000000000001E-2</v>
      </c>
      <c r="BU174">
        <v>1.6530400000000001E-2</v>
      </c>
      <c r="BV174">
        <v>1.2586699999999999E-2</v>
      </c>
      <c r="BW174">
        <v>1.29424E-2</v>
      </c>
      <c r="BX174">
        <v>1.20491E-2</v>
      </c>
      <c r="BY174">
        <v>8.9831100000000007E-3</v>
      </c>
      <c r="BZ174">
        <v>5.3513700000000003E-3</v>
      </c>
      <c r="CA174">
        <v>9.3560199999999996E-3</v>
      </c>
      <c r="CB174">
        <v>7.6197399999999998E-3</v>
      </c>
      <c r="CC174">
        <v>6.4633499999999997E-3</v>
      </c>
      <c r="CD174">
        <v>7.5311900000000001E-3</v>
      </c>
      <c r="CE174">
        <v>6.2026700000000004E-3</v>
      </c>
      <c r="CF174">
        <v>4.75174E-3</v>
      </c>
      <c r="CG174">
        <v>2.6170999999999998E-3</v>
      </c>
      <c r="CH174">
        <v>2.3475000000000002E-3</v>
      </c>
      <c r="CI174">
        <v>2.4398900000000001E-3</v>
      </c>
      <c r="CJ174">
        <v>2.7485399999999998E-3</v>
      </c>
      <c r="CK174">
        <v>2.57602E-3</v>
      </c>
      <c r="CL174">
        <v>2.5708200000000001E-3</v>
      </c>
      <c r="CM174">
        <v>1.6130599999999999E-3</v>
      </c>
      <c r="CN174">
        <v>1.0704600000000001E-3</v>
      </c>
      <c r="CO174">
        <v>5.9409800000000004E-4</v>
      </c>
      <c r="CP174">
        <v>4.4634600000000003E-4</v>
      </c>
      <c r="CQ174">
        <v>5.3374200000000003E-4</v>
      </c>
      <c r="CR174">
        <v>5.5595099999999995E-4</v>
      </c>
      <c r="CS174" s="1">
        <v>7.1199999999999996E-5</v>
      </c>
      <c r="CT174">
        <v>3.87119E-4</v>
      </c>
      <c r="CU174">
        <v>3.7771700000000002E-4</v>
      </c>
      <c r="CV174" s="1">
        <v>9.6500000000000001E-5</v>
      </c>
      <c r="CW174">
        <v>2.1068200000000001E-4</v>
      </c>
      <c r="CX174">
        <v>1.2836799999999999E-4</v>
      </c>
      <c r="CY174">
        <v>1.19319E-4</v>
      </c>
      <c r="CZ174">
        <v>0</v>
      </c>
      <c r="DA174">
        <v>5.0976400000000001E-4</v>
      </c>
      <c r="DB174" s="1">
        <v>1.9E-6</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t="s">
        <v>363</v>
      </c>
    </row>
    <row r="175" spans="1:127" x14ac:dyDescent="0.2">
      <c r="A175">
        <v>1979</v>
      </c>
      <c r="B175">
        <v>1</v>
      </c>
      <c r="C175">
        <v>1</v>
      </c>
      <c r="D175">
        <v>0</v>
      </c>
      <c r="E175">
        <v>0</v>
      </c>
      <c r="F175">
        <v>12</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1.64069E-4</v>
      </c>
      <c r="AH175">
        <v>0</v>
      </c>
      <c r="AI175">
        <v>0</v>
      </c>
      <c r="AJ175">
        <v>1.07643E-3</v>
      </c>
      <c r="AK175">
        <v>2.8807000000000003E-4</v>
      </c>
      <c r="AL175">
        <v>1.4136299999999999E-3</v>
      </c>
      <c r="AM175">
        <v>8.43503E-4</v>
      </c>
      <c r="AN175">
        <v>1.46645E-3</v>
      </c>
      <c r="AO175">
        <v>1.41888E-3</v>
      </c>
      <c r="AP175">
        <v>1.9578999999999998E-3</v>
      </c>
      <c r="AQ175">
        <v>3.0175599999999999E-3</v>
      </c>
      <c r="AR175">
        <v>4.6182799999999998E-3</v>
      </c>
      <c r="AS175">
        <v>8.6014300000000002E-3</v>
      </c>
      <c r="AT175">
        <v>1.16706E-2</v>
      </c>
      <c r="AU175">
        <v>1.05126E-2</v>
      </c>
      <c r="AV175">
        <v>3.2974900000000001E-2</v>
      </c>
      <c r="AW175">
        <v>2.4602200000000001E-2</v>
      </c>
      <c r="AX175">
        <v>2.4199200000000001E-2</v>
      </c>
      <c r="AY175">
        <v>2.5504700000000002E-2</v>
      </c>
      <c r="AZ175">
        <v>3.7363300000000002E-2</v>
      </c>
      <c r="BA175">
        <v>2.9034000000000001E-2</v>
      </c>
      <c r="BB175">
        <v>3.1586900000000001E-2</v>
      </c>
      <c r="BC175">
        <v>3.0593499999999999E-2</v>
      </c>
      <c r="BD175">
        <v>3.5708400000000001E-2</v>
      </c>
      <c r="BE175">
        <v>2.2405700000000001E-2</v>
      </c>
      <c r="BF175">
        <v>2.9889200000000001E-2</v>
      </c>
      <c r="BG175">
        <v>2.4536800000000001E-2</v>
      </c>
      <c r="BH175">
        <v>9.3558300000000007E-3</v>
      </c>
      <c r="BI175">
        <v>3.7725300000000003E-2</v>
      </c>
      <c r="BJ175">
        <v>1.9579599999999999E-2</v>
      </c>
      <c r="BK175">
        <v>1.7874500000000001E-2</v>
      </c>
      <c r="BL175">
        <v>1.97003E-2</v>
      </c>
      <c r="BM175">
        <v>2.1862900000000001E-2</v>
      </c>
      <c r="BN175">
        <v>3.5070900000000002E-2</v>
      </c>
      <c r="BO175">
        <v>4.8714399999999998E-2</v>
      </c>
      <c r="BP175">
        <v>2.6935500000000001E-2</v>
      </c>
      <c r="BQ175">
        <v>1.6767600000000001E-2</v>
      </c>
      <c r="BR175">
        <v>3.8433299999999997E-2</v>
      </c>
      <c r="BS175">
        <v>6.3719600000000001E-2</v>
      </c>
      <c r="BT175">
        <v>2.7728200000000001E-2</v>
      </c>
      <c r="BU175">
        <v>2.7656199999999999E-2</v>
      </c>
      <c r="BV175">
        <v>3.5477799999999997E-2</v>
      </c>
      <c r="BW175">
        <v>4.0660300000000003E-2</v>
      </c>
      <c r="BX175">
        <v>2.86971E-2</v>
      </c>
      <c r="BY175">
        <v>1.76148E-2</v>
      </c>
      <c r="BZ175">
        <v>1.4005800000000001E-2</v>
      </c>
      <c r="CA175">
        <v>1.11538E-2</v>
      </c>
      <c r="CB175">
        <v>1.11068E-2</v>
      </c>
      <c r="CC175">
        <v>9.8048400000000004E-3</v>
      </c>
      <c r="CD175">
        <v>3.6401799999999998E-3</v>
      </c>
      <c r="CE175">
        <v>1.4239700000000001E-3</v>
      </c>
      <c r="CF175">
        <v>5.6259099999999996E-3</v>
      </c>
      <c r="CG175">
        <v>6.5601799999999997E-3</v>
      </c>
      <c r="CH175">
        <v>5.1349700000000002E-4</v>
      </c>
      <c r="CI175">
        <v>1.38459E-3</v>
      </c>
      <c r="CJ175">
        <v>3.53682E-3</v>
      </c>
      <c r="CK175">
        <v>2.6443799999999998E-4</v>
      </c>
      <c r="CL175">
        <v>2.4729800000000002E-4</v>
      </c>
      <c r="CM175">
        <v>2.9233900000000002E-4</v>
      </c>
      <c r="CN175">
        <v>2.0718599999999999E-4</v>
      </c>
      <c r="CO175">
        <v>1.48157E-4</v>
      </c>
      <c r="CP175" s="1">
        <v>7.6199999999999995E-5</v>
      </c>
      <c r="CQ175" s="1">
        <v>7.4099999999999999E-5</v>
      </c>
      <c r="CR175" s="1">
        <v>6.8999999999999997E-5</v>
      </c>
      <c r="CS175" s="1">
        <v>7.4300000000000004E-5</v>
      </c>
      <c r="CT175" s="1">
        <v>5.7299999999999997E-5</v>
      </c>
      <c r="CU175" s="1">
        <v>5.6499999999999998E-5</v>
      </c>
      <c r="CV175" s="1">
        <v>4.99E-5</v>
      </c>
      <c r="CW175" s="1">
        <v>3.93E-5</v>
      </c>
      <c r="CX175" s="1">
        <v>1.9899999999999999E-5</v>
      </c>
      <c r="CY175" s="1">
        <v>7.9400000000000002E-6</v>
      </c>
      <c r="CZ175" s="1">
        <v>5.4500000000000003E-5</v>
      </c>
      <c r="DA175" s="1">
        <v>1.6200000000000001E-5</v>
      </c>
      <c r="DB175" s="1">
        <v>1.4399999999999999E-5</v>
      </c>
      <c r="DC175" s="1">
        <v>1.33E-5</v>
      </c>
      <c r="DD175" s="1">
        <v>1.49E-5</v>
      </c>
      <c r="DE175">
        <v>0</v>
      </c>
      <c r="DF175">
        <v>4.0612500000000002E-4</v>
      </c>
      <c r="DG175">
        <v>0</v>
      </c>
      <c r="DH175">
        <v>0</v>
      </c>
      <c r="DI175" s="1">
        <v>1.8E-5</v>
      </c>
      <c r="DJ175">
        <v>0</v>
      </c>
      <c r="DK175">
        <v>0</v>
      </c>
      <c r="DL175">
        <v>0</v>
      </c>
      <c r="DM175">
        <v>0</v>
      </c>
      <c r="DN175">
        <v>0</v>
      </c>
      <c r="DO175">
        <v>0</v>
      </c>
      <c r="DP175">
        <v>0</v>
      </c>
      <c r="DQ175">
        <v>0</v>
      </c>
      <c r="DR175">
        <v>0</v>
      </c>
      <c r="DS175">
        <v>0</v>
      </c>
      <c r="DT175">
        <v>0</v>
      </c>
      <c r="DU175">
        <v>0</v>
      </c>
      <c r="DV175">
        <v>0</v>
      </c>
      <c r="DW175" t="s">
        <v>369</v>
      </c>
    </row>
    <row r="176" spans="1:127" x14ac:dyDescent="0.2">
      <c r="A176">
        <v>1980</v>
      </c>
      <c r="B176">
        <v>1</v>
      </c>
      <c r="C176">
        <v>1</v>
      </c>
      <c r="D176">
        <v>0</v>
      </c>
      <c r="E176">
        <v>0</v>
      </c>
      <c r="F176">
        <v>12</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s="1">
        <v>1.2500000000000001E-5</v>
      </c>
      <c r="AH176">
        <v>0</v>
      </c>
      <c r="AI176">
        <v>8.9475600000000002E-4</v>
      </c>
      <c r="AJ176">
        <v>2.31971E-3</v>
      </c>
      <c r="AK176">
        <v>2.9345199999999999E-3</v>
      </c>
      <c r="AL176">
        <v>3.1322500000000001E-3</v>
      </c>
      <c r="AM176">
        <v>5.42239E-3</v>
      </c>
      <c r="AN176">
        <v>1.0744099999999999E-2</v>
      </c>
      <c r="AO176">
        <v>1.2199E-2</v>
      </c>
      <c r="AP176">
        <v>1.3416600000000001E-2</v>
      </c>
      <c r="AQ176">
        <v>1.9809199999999999E-2</v>
      </c>
      <c r="AR176">
        <v>2.2031200000000001E-2</v>
      </c>
      <c r="AS176">
        <v>3.1327399999999998E-2</v>
      </c>
      <c r="AT176">
        <v>4.0146099999999997E-2</v>
      </c>
      <c r="AU176">
        <v>4.6273399999999999E-2</v>
      </c>
      <c r="AV176">
        <v>4.4634899999999998E-2</v>
      </c>
      <c r="AW176">
        <v>4.0208300000000002E-2</v>
      </c>
      <c r="AX176">
        <v>4.7174300000000002E-2</v>
      </c>
      <c r="AY176">
        <v>4.3508499999999999E-2</v>
      </c>
      <c r="AZ176">
        <v>4.1643699999999999E-2</v>
      </c>
      <c r="BA176">
        <v>3.7971600000000001E-2</v>
      </c>
      <c r="BB176">
        <v>3.3116E-2</v>
      </c>
      <c r="BC176">
        <v>3.1047700000000001E-2</v>
      </c>
      <c r="BD176">
        <v>3.1692999999999999E-2</v>
      </c>
      <c r="BE176">
        <v>3.3102399999999997E-2</v>
      </c>
      <c r="BF176">
        <v>2.28013E-2</v>
      </c>
      <c r="BG176">
        <v>2.5909000000000001E-2</v>
      </c>
      <c r="BH176">
        <v>2.1786E-2</v>
      </c>
      <c r="BI176">
        <v>2.1709099999999999E-2</v>
      </c>
      <c r="BJ176">
        <v>1.53265E-2</v>
      </c>
      <c r="BK176">
        <v>2.0936400000000001E-2</v>
      </c>
      <c r="BL176">
        <v>1.65043E-2</v>
      </c>
      <c r="BM176">
        <v>1.7729399999999999E-2</v>
      </c>
      <c r="BN176">
        <v>2.36583E-2</v>
      </c>
      <c r="BO176">
        <v>1.93861E-2</v>
      </c>
      <c r="BP176">
        <v>1.8322000000000001E-2</v>
      </c>
      <c r="BQ176">
        <v>1.9622299999999999E-2</v>
      </c>
      <c r="BR176">
        <v>6.3174199999999998E-3</v>
      </c>
      <c r="BS176">
        <v>2.8764600000000001E-2</v>
      </c>
      <c r="BT176">
        <v>1.30213E-2</v>
      </c>
      <c r="BU176">
        <v>6.8955099999999997E-3</v>
      </c>
      <c r="BV176">
        <v>5.6049000000000003E-3</v>
      </c>
      <c r="BW176">
        <v>6.3785500000000002E-3</v>
      </c>
      <c r="BX176">
        <v>6.7007999999999998E-3</v>
      </c>
      <c r="BY176">
        <v>5.3193399999999997E-3</v>
      </c>
      <c r="BZ176">
        <v>7.4361200000000001E-3</v>
      </c>
      <c r="CA176">
        <v>6.6761199999999998E-3</v>
      </c>
      <c r="CB176">
        <v>3.3445800000000002E-3</v>
      </c>
      <c r="CC176">
        <v>3.74661E-3</v>
      </c>
      <c r="CD176">
        <v>1.4081700000000001E-2</v>
      </c>
      <c r="CE176">
        <v>9.3286299999999992E-3</v>
      </c>
      <c r="CF176">
        <v>2.8286299999999999E-3</v>
      </c>
      <c r="CG176">
        <v>2.16541E-3</v>
      </c>
      <c r="CH176">
        <v>1.9675700000000001E-3</v>
      </c>
      <c r="CI176">
        <v>5.3752000000000001E-3</v>
      </c>
      <c r="CJ176">
        <v>3.2626399999999998E-3</v>
      </c>
      <c r="CK176">
        <v>9.9027800000000003E-4</v>
      </c>
      <c r="CL176">
        <v>3.5393199999999999E-3</v>
      </c>
      <c r="CM176">
        <v>6.5188699999999997E-4</v>
      </c>
      <c r="CN176">
        <v>8.5404599999999997E-3</v>
      </c>
      <c r="CO176">
        <v>5.3786100000000005E-4</v>
      </c>
      <c r="CP176">
        <v>6.1976800000000003E-4</v>
      </c>
      <c r="CQ176">
        <v>1.0092199999999999E-4</v>
      </c>
      <c r="CR176">
        <v>3.3130099999999999E-4</v>
      </c>
      <c r="CS176">
        <v>2.7391600000000002E-4</v>
      </c>
      <c r="CT176">
        <v>3.2277E-4</v>
      </c>
      <c r="CU176">
        <v>3.4926800000000002E-4</v>
      </c>
      <c r="CV176" s="1">
        <v>4.9599999999999999E-5</v>
      </c>
      <c r="CW176" s="1">
        <v>3.7299999999999999E-5</v>
      </c>
      <c r="CX176">
        <v>1.7911000000000001E-4</v>
      </c>
      <c r="CY176">
        <v>5.6150499999999999E-3</v>
      </c>
      <c r="CZ176" s="1">
        <v>1.6500000000000001E-5</v>
      </c>
      <c r="DA176" s="1">
        <v>1.2300000000000001E-6</v>
      </c>
      <c r="DB176" s="1">
        <v>1.2500000000000001E-5</v>
      </c>
      <c r="DC176" s="1">
        <v>3.9299999999999996E-6</v>
      </c>
      <c r="DD176">
        <v>0</v>
      </c>
      <c r="DE176" s="1">
        <v>8.4499999999999994E-5</v>
      </c>
      <c r="DF176" s="1">
        <v>3.1199999999999999E-5</v>
      </c>
      <c r="DG176" s="1">
        <v>2.0800000000000001E-5</v>
      </c>
      <c r="DH176">
        <v>0</v>
      </c>
      <c r="DI176">
        <v>0</v>
      </c>
      <c r="DJ176">
        <v>0</v>
      </c>
      <c r="DK176">
        <v>0</v>
      </c>
      <c r="DL176">
        <v>0</v>
      </c>
      <c r="DM176" s="1">
        <v>2.0800000000000001E-5</v>
      </c>
      <c r="DN176">
        <v>0</v>
      </c>
      <c r="DO176">
        <v>0</v>
      </c>
      <c r="DP176">
        <v>0</v>
      </c>
      <c r="DQ176">
        <v>0</v>
      </c>
      <c r="DR176">
        <v>0</v>
      </c>
      <c r="DS176">
        <v>0</v>
      </c>
      <c r="DT176">
        <v>0</v>
      </c>
      <c r="DU176">
        <v>0</v>
      </c>
      <c r="DV176">
        <v>0</v>
      </c>
      <c r="DW176" t="s">
        <v>370</v>
      </c>
    </row>
    <row r="177" spans="1:127" x14ac:dyDescent="0.2">
      <c r="A177">
        <v>1981</v>
      </c>
      <c r="B177">
        <v>1</v>
      </c>
      <c r="C177">
        <v>1</v>
      </c>
      <c r="D177">
        <v>0</v>
      </c>
      <c r="E177">
        <v>0</v>
      </c>
      <c r="F177">
        <v>14</v>
      </c>
      <c r="G177">
        <v>0</v>
      </c>
      <c r="H177">
        <v>0</v>
      </c>
      <c r="I177">
        <v>0</v>
      </c>
      <c r="J177">
        <v>0</v>
      </c>
      <c r="K177">
        <v>0</v>
      </c>
      <c r="L177">
        <v>0</v>
      </c>
      <c r="M177">
        <v>0</v>
      </c>
      <c r="N177">
        <v>0</v>
      </c>
      <c r="O177">
        <v>0</v>
      </c>
      <c r="P177">
        <v>0</v>
      </c>
      <c r="Q177">
        <v>0</v>
      </c>
      <c r="R177">
        <v>0</v>
      </c>
      <c r="S177">
        <v>0</v>
      </c>
      <c r="T177">
        <v>0</v>
      </c>
      <c r="U177">
        <v>0</v>
      </c>
      <c r="V177">
        <v>0</v>
      </c>
      <c r="W177" s="1">
        <v>7.8100000000000001E-5</v>
      </c>
      <c r="X177">
        <v>0</v>
      </c>
      <c r="Y177">
        <v>1.5627800000000001E-4</v>
      </c>
      <c r="Z177" s="1">
        <v>5.3199999999999999E-5</v>
      </c>
      <c r="AA177" s="1">
        <v>9.9099999999999996E-5</v>
      </c>
      <c r="AB177" s="1">
        <v>5.6100000000000002E-5</v>
      </c>
      <c r="AC177" s="1">
        <v>9.4300000000000002E-5</v>
      </c>
      <c r="AD177" s="1">
        <v>9.9099999999999996E-5</v>
      </c>
      <c r="AE177">
        <v>1.1893899999999999E-4</v>
      </c>
      <c r="AF177">
        <v>2.2760200000000001E-4</v>
      </c>
      <c r="AG177">
        <v>3.9057000000000002E-4</v>
      </c>
      <c r="AH177">
        <v>5.60182E-4</v>
      </c>
      <c r="AI177">
        <v>4.9660000000000004E-4</v>
      </c>
      <c r="AJ177">
        <v>1.4493399999999999E-3</v>
      </c>
      <c r="AK177">
        <v>3.5474899999999999E-3</v>
      </c>
      <c r="AL177">
        <v>4.0411900000000001E-3</v>
      </c>
      <c r="AM177">
        <v>7.0718400000000002E-3</v>
      </c>
      <c r="AN177">
        <v>1.29672E-2</v>
      </c>
      <c r="AO177">
        <v>1.61104E-2</v>
      </c>
      <c r="AP177">
        <v>1.6152199999999999E-2</v>
      </c>
      <c r="AQ177">
        <v>2.02338E-2</v>
      </c>
      <c r="AR177">
        <v>1.7692599999999999E-2</v>
      </c>
      <c r="AS177">
        <v>1.3709300000000001E-2</v>
      </c>
      <c r="AT177">
        <v>1.4949E-2</v>
      </c>
      <c r="AU177">
        <v>1.1314100000000001E-2</v>
      </c>
      <c r="AV177">
        <v>1.40102E-2</v>
      </c>
      <c r="AW177">
        <v>1.14723E-2</v>
      </c>
      <c r="AX177">
        <v>1.37196E-2</v>
      </c>
      <c r="AY177">
        <v>3.01085E-2</v>
      </c>
      <c r="AZ177">
        <v>2.1659100000000001E-2</v>
      </c>
      <c r="BA177">
        <v>3.04526E-2</v>
      </c>
      <c r="BB177">
        <v>3.40945E-2</v>
      </c>
      <c r="BC177">
        <v>3.1093699999999998E-2</v>
      </c>
      <c r="BD177">
        <v>3.1625500000000001E-2</v>
      </c>
      <c r="BE177">
        <v>3.5114800000000002E-2</v>
      </c>
      <c r="BF177">
        <v>3.0089299999999999E-2</v>
      </c>
      <c r="BG177">
        <v>5.0961699999999999E-2</v>
      </c>
      <c r="BH177">
        <v>3.2334099999999998E-2</v>
      </c>
      <c r="BI177">
        <v>3.6959800000000001E-2</v>
      </c>
      <c r="BJ177">
        <v>4.8307500000000003E-2</v>
      </c>
      <c r="BK177">
        <v>3.7356500000000001E-2</v>
      </c>
      <c r="BL177">
        <v>3.0533600000000001E-2</v>
      </c>
      <c r="BM177">
        <v>3.23308E-2</v>
      </c>
      <c r="BN177">
        <v>2.98071E-2</v>
      </c>
      <c r="BO177">
        <v>2.55325E-2</v>
      </c>
      <c r="BP177">
        <v>2.54215E-2</v>
      </c>
      <c r="BQ177">
        <v>3.7238500000000001E-2</v>
      </c>
      <c r="BR177">
        <v>2.0862599999999999E-2</v>
      </c>
      <c r="BS177">
        <v>2.6194700000000001E-2</v>
      </c>
      <c r="BT177">
        <v>1.69248E-2</v>
      </c>
      <c r="BU177">
        <v>2.5690000000000001E-2</v>
      </c>
      <c r="BV177">
        <v>1.55745E-2</v>
      </c>
      <c r="BW177">
        <v>9.2781800000000005E-3</v>
      </c>
      <c r="BX177">
        <v>1.3003300000000001E-2</v>
      </c>
      <c r="BY177">
        <v>1.08433E-2</v>
      </c>
      <c r="BZ177">
        <v>9.1674500000000006E-3</v>
      </c>
      <c r="CA177">
        <v>6.3277699999999999E-3</v>
      </c>
      <c r="CB177">
        <v>6.2727700000000004E-3</v>
      </c>
      <c r="CC177">
        <v>6.1854700000000002E-3</v>
      </c>
      <c r="CD177">
        <v>4.2749600000000004E-3</v>
      </c>
      <c r="CE177">
        <v>2.8720999999999998E-3</v>
      </c>
      <c r="CF177">
        <v>1.2216600000000001E-3</v>
      </c>
      <c r="CG177">
        <v>1.2744099999999999E-3</v>
      </c>
      <c r="CH177">
        <v>1.13429E-3</v>
      </c>
      <c r="CI177">
        <v>3.6330099999999999E-3</v>
      </c>
      <c r="CJ177">
        <v>4.9637699999999999E-4</v>
      </c>
      <c r="CK177">
        <v>1.1050400000000001E-3</v>
      </c>
      <c r="CL177">
        <v>7.51493E-4</v>
      </c>
      <c r="CM177">
        <v>2.23966E-4</v>
      </c>
      <c r="CN177">
        <v>1.5985800000000001E-3</v>
      </c>
      <c r="CO177">
        <v>7.2473399999999999E-4</v>
      </c>
      <c r="CP177">
        <v>2.4531500000000002E-4</v>
      </c>
      <c r="CQ177">
        <v>3.51491E-4</v>
      </c>
      <c r="CR177">
        <v>2.13737E-4</v>
      </c>
      <c r="CS177">
        <v>1.71714E-4</v>
      </c>
      <c r="CT177" s="1">
        <v>3.8500000000000001E-5</v>
      </c>
      <c r="CU177" s="1">
        <v>9.1800000000000002E-6</v>
      </c>
      <c r="CV177">
        <v>1.1436199999999999E-3</v>
      </c>
      <c r="CW177" s="1">
        <v>4.5500000000000001E-5</v>
      </c>
      <c r="CX177" s="1">
        <v>3.5299999999999997E-5</v>
      </c>
      <c r="CY177">
        <v>1.3768400000000001E-4</v>
      </c>
      <c r="CZ177" s="1">
        <v>1.01E-5</v>
      </c>
      <c r="DA177" s="1">
        <v>1.7799999999999999E-5</v>
      </c>
      <c r="DB177" s="1">
        <v>2.5400000000000001E-5</v>
      </c>
      <c r="DC177">
        <v>0</v>
      </c>
      <c r="DD177">
        <v>0</v>
      </c>
      <c r="DE177">
        <v>0</v>
      </c>
      <c r="DF177">
        <v>0</v>
      </c>
      <c r="DG177">
        <v>0</v>
      </c>
      <c r="DH177">
        <v>0</v>
      </c>
      <c r="DI177">
        <v>0</v>
      </c>
      <c r="DJ177">
        <v>0</v>
      </c>
      <c r="DK177">
        <v>0</v>
      </c>
      <c r="DL177" s="1">
        <v>2.6699999999999998E-5</v>
      </c>
      <c r="DM177">
        <v>0</v>
      </c>
      <c r="DN177">
        <v>0</v>
      </c>
      <c r="DO177">
        <v>0</v>
      </c>
      <c r="DP177">
        <v>0</v>
      </c>
      <c r="DQ177">
        <v>0</v>
      </c>
      <c r="DR177">
        <v>0</v>
      </c>
      <c r="DS177">
        <v>0</v>
      </c>
      <c r="DT177">
        <v>0</v>
      </c>
      <c r="DU177">
        <v>0</v>
      </c>
      <c r="DV177">
        <v>0</v>
      </c>
      <c r="DW177" t="s">
        <v>371</v>
      </c>
    </row>
    <row r="178" spans="1:127" x14ac:dyDescent="0.2">
      <c r="A178">
        <v>1982</v>
      </c>
      <c r="B178">
        <v>1</v>
      </c>
      <c r="C178">
        <v>1</v>
      </c>
      <c r="D178">
        <v>0</v>
      </c>
      <c r="E178">
        <v>0</v>
      </c>
      <c r="F178">
        <v>7</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2.3744E-4</v>
      </c>
      <c r="AE178" s="1">
        <v>5.0300000000000001E-6</v>
      </c>
      <c r="AF178">
        <v>0</v>
      </c>
      <c r="AG178">
        <v>0</v>
      </c>
      <c r="AH178">
        <v>0</v>
      </c>
      <c r="AI178" s="1">
        <v>5.0300000000000001E-6</v>
      </c>
      <c r="AJ178">
        <v>2.42468E-4</v>
      </c>
      <c r="AK178" s="1">
        <v>1.27E-5</v>
      </c>
      <c r="AL178">
        <v>3.7380399999999999E-4</v>
      </c>
      <c r="AM178">
        <v>1.0098500000000001E-3</v>
      </c>
      <c r="AN178">
        <v>1.2454199999999999E-3</v>
      </c>
      <c r="AO178">
        <v>3.6178199999999999E-3</v>
      </c>
      <c r="AP178">
        <v>5.2058499999999997E-3</v>
      </c>
      <c r="AQ178">
        <v>5.7184200000000001E-3</v>
      </c>
      <c r="AR178">
        <v>7.4614800000000004E-3</v>
      </c>
      <c r="AS178">
        <v>5.2757000000000004E-3</v>
      </c>
      <c r="AT178">
        <v>3.4755300000000001E-3</v>
      </c>
      <c r="AU178">
        <v>1.94932E-3</v>
      </c>
      <c r="AV178">
        <v>2.9242999999999999E-3</v>
      </c>
      <c r="AW178">
        <v>4.68441E-3</v>
      </c>
      <c r="AX178">
        <v>1.3539600000000001E-2</v>
      </c>
      <c r="AY178">
        <v>1.11115E-2</v>
      </c>
      <c r="AZ178">
        <v>7.9506300000000002E-3</v>
      </c>
      <c r="BA178">
        <v>1.05822E-2</v>
      </c>
      <c r="BB178">
        <v>1.47803E-2</v>
      </c>
      <c r="BC178">
        <v>1.5340700000000001E-2</v>
      </c>
      <c r="BD178">
        <v>1.71878E-2</v>
      </c>
      <c r="BE178">
        <v>1.5701E-2</v>
      </c>
      <c r="BF178">
        <v>2.5563700000000002E-2</v>
      </c>
      <c r="BG178">
        <v>2.0761000000000002E-2</v>
      </c>
      <c r="BH178">
        <v>2.7542199999999999E-2</v>
      </c>
      <c r="BI178">
        <v>2.69643E-2</v>
      </c>
      <c r="BJ178">
        <v>2.8875899999999999E-2</v>
      </c>
      <c r="BK178">
        <v>2.54167E-2</v>
      </c>
      <c r="BL178">
        <v>3.2924599999999998E-2</v>
      </c>
      <c r="BM178">
        <v>3.6505099999999999E-2</v>
      </c>
      <c r="BN178">
        <v>3.23624E-2</v>
      </c>
      <c r="BO178">
        <v>3.1954200000000002E-2</v>
      </c>
      <c r="BP178">
        <v>3.4611999999999997E-2</v>
      </c>
      <c r="BQ178">
        <v>4.01819E-2</v>
      </c>
      <c r="BR178">
        <v>3.4299299999999998E-2</v>
      </c>
      <c r="BS178">
        <v>3.6491299999999997E-2</v>
      </c>
      <c r="BT178">
        <v>3.6882100000000001E-2</v>
      </c>
      <c r="BU178">
        <v>2.9466099999999999E-2</v>
      </c>
      <c r="BV178">
        <v>3.1195000000000001E-2</v>
      </c>
      <c r="BW178">
        <v>2.7167299999999998E-2</v>
      </c>
      <c r="BX178">
        <v>2.6415399999999999E-2</v>
      </c>
      <c r="BY178">
        <v>2.6871900000000001E-2</v>
      </c>
      <c r="BZ178">
        <v>2.68165E-2</v>
      </c>
      <c r="CA178">
        <v>1.74074E-2</v>
      </c>
      <c r="CB178">
        <v>1.8683700000000001E-2</v>
      </c>
      <c r="CC178">
        <v>2.94192E-2</v>
      </c>
      <c r="CD178">
        <v>1.49885E-2</v>
      </c>
      <c r="CE178">
        <v>1.6917000000000001E-2</v>
      </c>
      <c r="CF178">
        <v>1.51506E-2</v>
      </c>
      <c r="CG178">
        <v>1.4949499999999999E-2</v>
      </c>
      <c r="CH178">
        <v>1.15662E-2</v>
      </c>
      <c r="CI178">
        <v>1.9450499999999999E-2</v>
      </c>
      <c r="CJ178">
        <v>9.5670900000000003E-3</v>
      </c>
      <c r="CK178">
        <v>5.8878699999999999E-3</v>
      </c>
      <c r="CL178">
        <v>9.3216099999999993E-3</v>
      </c>
      <c r="CM178">
        <v>1.4777900000000001E-3</v>
      </c>
      <c r="CN178">
        <v>6.1366099999999998E-3</v>
      </c>
      <c r="CO178">
        <v>4.4989899999999996E-3</v>
      </c>
      <c r="CP178">
        <v>1.4192E-3</v>
      </c>
      <c r="CQ178">
        <v>2.64132E-3</v>
      </c>
      <c r="CR178">
        <v>1.8160299999999999E-3</v>
      </c>
      <c r="CS178">
        <v>1.12611E-3</v>
      </c>
      <c r="CT178">
        <v>1.19523E-3</v>
      </c>
      <c r="CU178">
        <v>1.1738300000000001E-3</v>
      </c>
      <c r="CV178">
        <v>8.9820999999999998E-4</v>
      </c>
      <c r="CW178">
        <v>1.7172299999999999E-3</v>
      </c>
      <c r="CX178">
        <v>5.6069599999999996E-4</v>
      </c>
      <c r="CY178">
        <v>6.2985000000000005E-4</v>
      </c>
      <c r="CZ178">
        <v>4.48052E-4</v>
      </c>
      <c r="DA178">
        <v>6.3186399999999999E-4</v>
      </c>
      <c r="DB178" s="1">
        <v>4.21E-5</v>
      </c>
      <c r="DC178">
        <v>8.0117299999999997E-4</v>
      </c>
      <c r="DD178" s="1">
        <v>3.2700000000000002E-5</v>
      </c>
      <c r="DE178">
        <v>0</v>
      </c>
      <c r="DF178">
        <v>0</v>
      </c>
      <c r="DG178">
        <v>1.4149799999999999E-4</v>
      </c>
      <c r="DH178">
        <v>1.3153399999999999E-4</v>
      </c>
      <c r="DI178" s="1">
        <v>3.0800000000000002E-6</v>
      </c>
      <c r="DJ178">
        <v>0</v>
      </c>
      <c r="DK178">
        <v>0</v>
      </c>
      <c r="DL178">
        <v>2.60473E-4</v>
      </c>
      <c r="DM178">
        <v>0</v>
      </c>
      <c r="DN178">
        <v>0</v>
      </c>
      <c r="DO178">
        <v>0</v>
      </c>
      <c r="DP178">
        <v>0</v>
      </c>
      <c r="DQ178">
        <v>0</v>
      </c>
      <c r="DR178">
        <v>0</v>
      </c>
      <c r="DS178">
        <v>0</v>
      </c>
      <c r="DT178">
        <v>0</v>
      </c>
      <c r="DU178">
        <v>0</v>
      </c>
      <c r="DV178">
        <v>0</v>
      </c>
      <c r="DW178" t="s">
        <v>372</v>
      </c>
    </row>
    <row r="179" spans="1:127" x14ac:dyDescent="0.2">
      <c r="A179">
        <v>1983</v>
      </c>
      <c r="B179">
        <v>1</v>
      </c>
      <c r="C179">
        <v>1</v>
      </c>
      <c r="D179">
        <v>0</v>
      </c>
      <c r="E179">
        <v>0</v>
      </c>
      <c r="F179">
        <v>25</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s="1">
        <v>7.8700000000000002E-5</v>
      </c>
      <c r="AD179">
        <v>2.7032299999999999E-4</v>
      </c>
      <c r="AE179">
        <v>2.82143E-4</v>
      </c>
      <c r="AF179">
        <v>4.8589400000000001E-4</v>
      </c>
      <c r="AG179">
        <v>1.4804600000000001E-4</v>
      </c>
      <c r="AH179">
        <v>7.1208600000000001E-4</v>
      </c>
      <c r="AI179">
        <v>1.00161E-3</v>
      </c>
      <c r="AJ179">
        <v>4.0139100000000002E-4</v>
      </c>
      <c r="AK179">
        <v>9.1774700000000001E-4</v>
      </c>
      <c r="AL179">
        <v>6.7853900000000003E-4</v>
      </c>
      <c r="AM179">
        <v>5.5863199999999999E-4</v>
      </c>
      <c r="AN179">
        <v>1.3635200000000001E-4</v>
      </c>
      <c r="AO179">
        <v>8.0025400000000003E-4</v>
      </c>
      <c r="AP179">
        <v>9.78783E-4</v>
      </c>
      <c r="AQ179">
        <v>1.91566E-4</v>
      </c>
      <c r="AR179">
        <v>1.3366400000000001E-3</v>
      </c>
      <c r="AS179">
        <v>3.0039300000000001E-3</v>
      </c>
      <c r="AT179">
        <v>5.2291000000000004E-3</v>
      </c>
      <c r="AU179">
        <v>9.0084399999999995E-3</v>
      </c>
      <c r="AV179">
        <v>1.04633E-2</v>
      </c>
      <c r="AW179">
        <v>1.0627899999999999E-2</v>
      </c>
      <c r="AX179">
        <v>1.0256599999999999E-2</v>
      </c>
      <c r="AY179">
        <v>9.8008999999999995E-3</v>
      </c>
      <c r="AZ179">
        <v>8.8870800000000003E-3</v>
      </c>
      <c r="BA179">
        <v>6.78504E-3</v>
      </c>
      <c r="BB179">
        <v>7.1904300000000003E-3</v>
      </c>
      <c r="BC179">
        <v>5.1733600000000001E-3</v>
      </c>
      <c r="BD179">
        <v>4.3995199999999996E-3</v>
      </c>
      <c r="BE179">
        <v>1.7242E-2</v>
      </c>
      <c r="BF179">
        <v>6.9224300000000002E-3</v>
      </c>
      <c r="BG179">
        <v>1.2489200000000001E-2</v>
      </c>
      <c r="BH179">
        <v>1.04344E-2</v>
      </c>
      <c r="BI179">
        <v>2.4493999999999998E-2</v>
      </c>
      <c r="BJ179">
        <v>1.8442099999999999E-2</v>
      </c>
      <c r="BK179">
        <v>2.1552499999999999E-2</v>
      </c>
      <c r="BL179">
        <v>5.0500700000000003E-2</v>
      </c>
      <c r="BM179">
        <v>3.9423399999999997E-2</v>
      </c>
      <c r="BN179">
        <v>4.2734399999999999E-2</v>
      </c>
      <c r="BO179">
        <v>3.9244800000000003E-2</v>
      </c>
      <c r="BP179">
        <v>3.7488899999999999E-2</v>
      </c>
      <c r="BQ179">
        <v>4.86107E-2</v>
      </c>
      <c r="BR179">
        <v>3.87587E-2</v>
      </c>
      <c r="BS179">
        <v>4.2665000000000002E-2</v>
      </c>
      <c r="BT179">
        <v>4.4191000000000001E-2</v>
      </c>
      <c r="BU179">
        <v>3.9959300000000003E-2</v>
      </c>
      <c r="BV179">
        <v>4.0627499999999997E-2</v>
      </c>
      <c r="BW179">
        <v>4.2417799999999999E-2</v>
      </c>
      <c r="BX179">
        <v>3.4556200000000002E-2</v>
      </c>
      <c r="BY179">
        <v>2.86234E-2</v>
      </c>
      <c r="BZ179">
        <v>2.39691E-2</v>
      </c>
      <c r="CA179">
        <v>2.64234E-2</v>
      </c>
      <c r="CB179">
        <v>2.0061800000000001E-2</v>
      </c>
      <c r="CC179">
        <v>1.91115E-2</v>
      </c>
      <c r="CD179">
        <v>1.69973E-2</v>
      </c>
      <c r="CE179">
        <v>1.5319599999999999E-2</v>
      </c>
      <c r="CF179">
        <v>1.5838700000000001E-2</v>
      </c>
      <c r="CG179">
        <v>1.53925E-2</v>
      </c>
      <c r="CH179">
        <v>1.1411599999999999E-2</v>
      </c>
      <c r="CI179">
        <v>9.2012900000000009E-3</v>
      </c>
      <c r="CJ179">
        <v>6.6764299999999997E-3</v>
      </c>
      <c r="CK179">
        <v>5.5796700000000001E-3</v>
      </c>
      <c r="CL179">
        <v>5.9516100000000004E-3</v>
      </c>
      <c r="CM179">
        <v>6.1964999999999998E-3</v>
      </c>
      <c r="CN179">
        <v>3.5082199999999998E-3</v>
      </c>
      <c r="CO179">
        <v>2.7272500000000001E-3</v>
      </c>
      <c r="CP179">
        <v>3.36061E-3</v>
      </c>
      <c r="CQ179">
        <v>1.99307E-3</v>
      </c>
      <c r="CR179">
        <v>1.8256800000000001E-3</v>
      </c>
      <c r="CS179">
        <v>1.7298700000000001E-3</v>
      </c>
      <c r="CT179">
        <v>1.70126E-3</v>
      </c>
      <c r="CU179">
        <v>8.16448E-4</v>
      </c>
      <c r="CV179">
        <v>6.4902899999999997E-4</v>
      </c>
      <c r="CW179">
        <v>4.1263600000000002E-4</v>
      </c>
      <c r="CX179">
        <v>8.5995600000000005E-4</v>
      </c>
      <c r="CY179">
        <v>1.8937000000000001E-4</v>
      </c>
      <c r="CZ179">
        <v>3.1223900000000002E-4</v>
      </c>
      <c r="DA179">
        <v>1.9124800000000001E-4</v>
      </c>
      <c r="DB179" s="1">
        <v>7.4599999999999997E-5</v>
      </c>
      <c r="DC179">
        <v>1.03492E-4</v>
      </c>
      <c r="DD179">
        <v>1.39214E-4</v>
      </c>
      <c r="DE179" s="1">
        <v>1.5299999999999999E-5</v>
      </c>
      <c r="DF179" s="1">
        <v>3.9900000000000001E-5</v>
      </c>
      <c r="DG179" s="1">
        <v>2.4499999999999999E-5</v>
      </c>
      <c r="DH179" s="1">
        <v>3.9500000000000003E-6</v>
      </c>
      <c r="DI179" s="1">
        <v>1.6500000000000001E-6</v>
      </c>
      <c r="DJ179">
        <v>0</v>
      </c>
      <c r="DK179">
        <v>0</v>
      </c>
      <c r="DL179">
        <v>0</v>
      </c>
      <c r="DM179">
        <v>0</v>
      </c>
      <c r="DN179">
        <v>0</v>
      </c>
      <c r="DO179">
        <v>0</v>
      </c>
      <c r="DP179" s="1">
        <v>6.7100000000000001E-6</v>
      </c>
      <c r="DQ179">
        <v>0</v>
      </c>
      <c r="DR179">
        <v>0</v>
      </c>
      <c r="DS179">
        <v>0</v>
      </c>
      <c r="DT179">
        <v>0</v>
      </c>
      <c r="DU179">
        <v>0</v>
      </c>
      <c r="DV179">
        <v>0</v>
      </c>
      <c r="DW179" t="s">
        <v>373</v>
      </c>
    </row>
    <row r="180" spans="1:127" x14ac:dyDescent="0.2">
      <c r="A180">
        <v>1984</v>
      </c>
      <c r="B180">
        <v>1</v>
      </c>
      <c r="C180">
        <v>1</v>
      </c>
      <c r="D180">
        <v>0</v>
      </c>
      <c r="E180">
        <v>0</v>
      </c>
      <c r="F180">
        <v>30</v>
      </c>
      <c r="G180">
        <v>0</v>
      </c>
      <c r="H180">
        <v>0</v>
      </c>
      <c r="I180">
        <v>0</v>
      </c>
      <c r="J180">
        <v>0</v>
      </c>
      <c r="K180">
        <v>0</v>
      </c>
      <c r="L180">
        <v>0</v>
      </c>
      <c r="M180">
        <v>0</v>
      </c>
      <c r="N180">
        <v>0</v>
      </c>
      <c r="O180">
        <v>0</v>
      </c>
      <c r="P180">
        <v>0</v>
      </c>
      <c r="Q180">
        <v>0</v>
      </c>
      <c r="R180">
        <v>1.5668799999999999E-4</v>
      </c>
      <c r="S180">
        <v>0</v>
      </c>
      <c r="T180" s="1">
        <v>1.91E-5</v>
      </c>
      <c r="U180">
        <v>0</v>
      </c>
      <c r="V180" s="1">
        <v>4.3999999999999999E-5</v>
      </c>
      <c r="W180" s="1">
        <v>9.5000000000000005E-5</v>
      </c>
      <c r="X180">
        <v>1.6117900000000001E-4</v>
      </c>
      <c r="Y180">
        <v>1.7331900000000001E-4</v>
      </c>
      <c r="Z180">
        <v>8.2507499999999998E-4</v>
      </c>
      <c r="AA180">
        <v>1.0973599999999999E-3</v>
      </c>
      <c r="AB180">
        <v>1.20027E-3</v>
      </c>
      <c r="AC180">
        <v>2.0445799999999998E-3</v>
      </c>
      <c r="AD180">
        <v>2.6062899999999998E-3</v>
      </c>
      <c r="AE180">
        <v>4.5331099999999999E-3</v>
      </c>
      <c r="AF180">
        <v>6.00513E-3</v>
      </c>
      <c r="AG180">
        <v>7.21238E-3</v>
      </c>
      <c r="AH180">
        <v>8.7114900000000006E-3</v>
      </c>
      <c r="AI180">
        <v>9.1086899999999991E-3</v>
      </c>
      <c r="AJ180">
        <v>1.30525E-2</v>
      </c>
      <c r="AK180">
        <v>1.22611E-2</v>
      </c>
      <c r="AL180">
        <v>1.0906799999999999E-2</v>
      </c>
      <c r="AM180">
        <v>1.1497E-2</v>
      </c>
      <c r="AN180">
        <v>8.4674799999999995E-3</v>
      </c>
      <c r="AO180">
        <v>9.5293099999999992E-3</v>
      </c>
      <c r="AP180">
        <v>9.1799499999999992E-3</v>
      </c>
      <c r="AQ180">
        <v>1.10086E-2</v>
      </c>
      <c r="AR180">
        <v>1.3436099999999999E-2</v>
      </c>
      <c r="AS180">
        <v>1.4772199999999999E-2</v>
      </c>
      <c r="AT180">
        <v>1.2956499999999999E-2</v>
      </c>
      <c r="AU180">
        <v>1.7384299999999998E-2</v>
      </c>
      <c r="AV180">
        <v>1.3123900000000001E-2</v>
      </c>
      <c r="AW180">
        <v>1.16274E-2</v>
      </c>
      <c r="AX180">
        <v>1.07273E-2</v>
      </c>
      <c r="AY180">
        <v>9.5797899999999995E-3</v>
      </c>
      <c r="AZ180">
        <v>7.7201800000000001E-3</v>
      </c>
      <c r="BA180">
        <v>9.4085100000000001E-3</v>
      </c>
      <c r="BB180">
        <v>9.5005999999999997E-3</v>
      </c>
      <c r="BC180">
        <v>7.0469299999999999E-3</v>
      </c>
      <c r="BD180">
        <v>8.8248400000000005E-3</v>
      </c>
      <c r="BE180">
        <v>1.03173E-2</v>
      </c>
      <c r="BF180">
        <v>1.24236E-2</v>
      </c>
      <c r="BG180">
        <v>6.3714399999999999E-3</v>
      </c>
      <c r="BH180">
        <v>1.5183200000000001E-2</v>
      </c>
      <c r="BI180">
        <v>1.5591600000000001E-2</v>
      </c>
      <c r="BJ180">
        <v>1.6786800000000001E-2</v>
      </c>
      <c r="BK180">
        <v>1.61012E-2</v>
      </c>
      <c r="BL180">
        <v>1.8468100000000001E-2</v>
      </c>
      <c r="BM180">
        <v>2.4211099999999999E-2</v>
      </c>
      <c r="BN180">
        <v>2.48034E-2</v>
      </c>
      <c r="BO180">
        <v>2.39113E-2</v>
      </c>
      <c r="BP180">
        <v>2.7942600000000001E-2</v>
      </c>
      <c r="BQ180">
        <v>2.1241699999999999E-2</v>
      </c>
      <c r="BR180">
        <v>2.90862E-2</v>
      </c>
      <c r="BS180">
        <v>2.7670500000000001E-2</v>
      </c>
      <c r="BT180">
        <v>3.6878099999999997E-2</v>
      </c>
      <c r="BU180">
        <v>3.4762800000000003E-2</v>
      </c>
      <c r="BV180">
        <v>3.0202099999999999E-2</v>
      </c>
      <c r="BW180">
        <v>3.3999599999999998E-2</v>
      </c>
      <c r="BX180">
        <v>2.7853200000000002E-2</v>
      </c>
      <c r="BY180">
        <v>3.1078100000000001E-2</v>
      </c>
      <c r="BZ180">
        <v>2.5613299999999999E-2</v>
      </c>
      <c r="CA180">
        <v>2.5080399999999999E-2</v>
      </c>
      <c r="CB180">
        <v>2.0485799999999998E-2</v>
      </c>
      <c r="CC180">
        <v>2.06578E-2</v>
      </c>
      <c r="CD180">
        <v>1.63004E-2</v>
      </c>
      <c r="CE180">
        <v>1.54039E-2</v>
      </c>
      <c r="CF180">
        <v>1.5055300000000001E-2</v>
      </c>
      <c r="CG180">
        <v>1.32195E-2</v>
      </c>
      <c r="CH180">
        <v>1.46409E-2</v>
      </c>
      <c r="CI180">
        <v>1.0713200000000001E-2</v>
      </c>
      <c r="CJ180">
        <v>9.9862300000000005E-3</v>
      </c>
      <c r="CK180">
        <v>1.0491E-2</v>
      </c>
      <c r="CL180">
        <v>6.8093499999999996E-3</v>
      </c>
      <c r="CM180">
        <v>6.82667E-3</v>
      </c>
      <c r="CN180">
        <v>4.3637099999999998E-3</v>
      </c>
      <c r="CO180">
        <v>4.63446E-3</v>
      </c>
      <c r="CP180">
        <v>4.2325100000000001E-3</v>
      </c>
      <c r="CQ180">
        <v>2.8503299999999999E-3</v>
      </c>
      <c r="CR180">
        <v>2.6451000000000001E-3</v>
      </c>
      <c r="CS180">
        <v>3.0348699999999998E-3</v>
      </c>
      <c r="CT180">
        <v>1.21656E-3</v>
      </c>
      <c r="CU180">
        <v>1.2563299999999999E-3</v>
      </c>
      <c r="CV180">
        <v>7.8766100000000005E-4</v>
      </c>
      <c r="CW180">
        <v>8.9930000000000001E-4</v>
      </c>
      <c r="CX180">
        <v>3.1192900000000001E-4</v>
      </c>
      <c r="CY180">
        <v>3.4630700000000002E-4</v>
      </c>
      <c r="CZ180">
        <v>4.2298299999999999E-4</v>
      </c>
      <c r="DA180">
        <v>1.8021700000000001E-4</v>
      </c>
      <c r="DB180">
        <v>2.2629099999999999E-4</v>
      </c>
      <c r="DC180">
        <v>1.24678E-4</v>
      </c>
      <c r="DD180" s="1">
        <v>7.5799999999999999E-5</v>
      </c>
      <c r="DE180" s="1">
        <v>8.3200000000000003E-5</v>
      </c>
      <c r="DF180" s="1">
        <v>1.8600000000000001E-5</v>
      </c>
      <c r="DG180" s="1">
        <v>2.8900000000000001E-5</v>
      </c>
      <c r="DH180" s="1">
        <v>7.6899999999999999E-5</v>
      </c>
      <c r="DI180" s="1">
        <v>9.8200000000000008E-6</v>
      </c>
      <c r="DJ180" s="1">
        <v>1.2500000000000001E-6</v>
      </c>
      <c r="DK180">
        <v>0</v>
      </c>
      <c r="DL180">
        <v>0</v>
      </c>
      <c r="DM180">
        <v>0</v>
      </c>
      <c r="DN180">
        <v>0</v>
      </c>
      <c r="DO180">
        <v>0</v>
      </c>
      <c r="DP180">
        <v>0</v>
      </c>
      <c r="DQ180">
        <v>0</v>
      </c>
      <c r="DR180">
        <v>0</v>
      </c>
      <c r="DS180">
        <v>0</v>
      </c>
      <c r="DT180">
        <v>0</v>
      </c>
      <c r="DU180">
        <v>0</v>
      </c>
      <c r="DV180">
        <v>0</v>
      </c>
      <c r="DW180" t="s">
        <v>374</v>
      </c>
    </row>
    <row r="181" spans="1:127" x14ac:dyDescent="0.2">
      <c r="A181">
        <v>1985</v>
      </c>
      <c r="B181">
        <v>1</v>
      </c>
      <c r="C181">
        <v>1</v>
      </c>
      <c r="D181">
        <v>0</v>
      </c>
      <c r="E181">
        <v>0</v>
      </c>
      <c r="F181">
        <v>46</v>
      </c>
      <c r="G181">
        <v>0</v>
      </c>
      <c r="H181">
        <v>0</v>
      </c>
      <c r="I181">
        <v>0</v>
      </c>
      <c r="J181">
        <v>0</v>
      </c>
      <c r="K181">
        <v>0</v>
      </c>
      <c r="L181">
        <v>0</v>
      </c>
      <c r="M181">
        <v>0</v>
      </c>
      <c r="N181">
        <v>0</v>
      </c>
      <c r="O181">
        <v>0</v>
      </c>
      <c r="P181">
        <v>0</v>
      </c>
      <c r="Q181">
        <v>0</v>
      </c>
      <c r="R181">
        <v>0</v>
      </c>
      <c r="S181">
        <v>0</v>
      </c>
      <c r="T181">
        <v>0</v>
      </c>
      <c r="U181" s="1">
        <v>6.1E-6</v>
      </c>
      <c r="V181" s="1">
        <v>6.1E-6</v>
      </c>
      <c r="W181">
        <v>0</v>
      </c>
      <c r="X181">
        <v>0</v>
      </c>
      <c r="Y181">
        <v>0</v>
      </c>
      <c r="Z181">
        <v>0</v>
      </c>
      <c r="AA181">
        <v>0</v>
      </c>
      <c r="AB181" s="1">
        <v>1.3900000000000001E-5</v>
      </c>
      <c r="AC181" s="1">
        <v>7.2599999999999999E-6</v>
      </c>
      <c r="AD181">
        <v>0</v>
      </c>
      <c r="AE181">
        <v>0</v>
      </c>
      <c r="AF181">
        <v>0</v>
      </c>
      <c r="AG181">
        <v>0</v>
      </c>
      <c r="AH181">
        <v>0</v>
      </c>
      <c r="AI181" s="1">
        <v>4.8099999999999997E-6</v>
      </c>
      <c r="AJ181" s="1">
        <v>9.7100000000000002E-5</v>
      </c>
      <c r="AK181">
        <v>1.09139E-4</v>
      </c>
      <c r="AL181">
        <v>8.3031100000000003E-4</v>
      </c>
      <c r="AM181">
        <v>2.2969200000000001E-4</v>
      </c>
      <c r="AN181">
        <v>2.1100400000000001E-3</v>
      </c>
      <c r="AO181">
        <v>1.7645600000000001E-2</v>
      </c>
      <c r="AP181">
        <v>3.0332100000000002E-3</v>
      </c>
      <c r="AQ181">
        <v>6.1637899999999997E-3</v>
      </c>
      <c r="AR181">
        <v>5.4726899999999997E-3</v>
      </c>
      <c r="AS181">
        <v>1.32839E-2</v>
      </c>
      <c r="AT181">
        <v>1.42515E-2</v>
      </c>
      <c r="AU181">
        <v>1.21511E-2</v>
      </c>
      <c r="AV181">
        <v>2.0402400000000001E-2</v>
      </c>
      <c r="AW181">
        <v>2.2777599999999999E-2</v>
      </c>
      <c r="AX181">
        <v>4.4840400000000002E-2</v>
      </c>
      <c r="AY181">
        <v>2.6374499999999999E-2</v>
      </c>
      <c r="AZ181">
        <v>4.6302200000000002E-2</v>
      </c>
      <c r="BA181">
        <v>4.71093E-2</v>
      </c>
      <c r="BB181">
        <v>4.45025E-2</v>
      </c>
      <c r="BC181">
        <v>5.2585199999999999E-2</v>
      </c>
      <c r="BD181">
        <v>3.40916E-2</v>
      </c>
      <c r="BE181">
        <v>2.8118899999999999E-2</v>
      </c>
      <c r="BF181">
        <v>3.7029600000000003E-2</v>
      </c>
      <c r="BG181">
        <v>3.3245200000000003E-2</v>
      </c>
      <c r="BH181">
        <v>3.2004100000000001E-2</v>
      </c>
      <c r="BI181">
        <v>2.15459E-2</v>
      </c>
      <c r="BJ181">
        <v>2.1260000000000001E-2</v>
      </c>
      <c r="BK181">
        <v>1.1085899999999999E-2</v>
      </c>
      <c r="BL181">
        <v>2.6633799999999999E-2</v>
      </c>
      <c r="BM181">
        <v>8.8219400000000003E-3</v>
      </c>
      <c r="BN181">
        <v>1.3228800000000001E-2</v>
      </c>
      <c r="BO181">
        <v>9.2295499999999996E-3</v>
      </c>
      <c r="BP181">
        <v>6.3311900000000004E-3</v>
      </c>
      <c r="BQ181">
        <v>8.2701900000000002E-3</v>
      </c>
      <c r="BR181">
        <v>1.5587999999999999E-2</v>
      </c>
      <c r="BS181">
        <v>9.2065500000000008E-3</v>
      </c>
      <c r="BT181">
        <v>1.0879399999999999E-2</v>
      </c>
      <c r="BU181">
        <v>1.1012299999999999E-2</v>
      </c>
      <c r="BV181">
        <v>1.9374099999999998E-2</v>
      </c>
      <c r="BW181">
        <v>1.3461300000000001E-2</v>
      </c>
      <c r="BX181">
        <v>1.5485000000000001E-2</v>
      </c>
      <c r="BY181">
        <v>2.3481599999999998E-2</v>
      </c>
      <c r="BZ181">
        <v>3.18511E-2</v>
      </c>
      <c r="CA181">
        <v>1.54593E-2</v>
      </c>
      <c r="CB181">
        <v>1.38987E-2</v>
      </c>
      <c r="CC181">
        <v>1.44461E-2</v>
      </c>
      <c r="CD181">
        <v>1.3176500000000001E-2</v>
      </c>
      <c r="CE181">
        <v>1.4035000000000001E-2</v>
      </c>
      <c r="CF181">
        <v>1.2489500000000001E-2</v>
      </c>
      <c r="CG181">
        <v>1.0555500000000001E-2</v>
      </c>
      <c r="CH181">
        <v>1.09806E-2</v>
      </c>
      <c r="CI181">
        <v>9.2783499999999994E-3</v>
      </c>
      <c r="CJ181">
        <v>7.1169199999999997E-3</v>
      </c>
      <c r="CK181">
        <v>1.53023E-2</v>
      </c>
      <c r="CL181">
        <v>5.5080600000000004E-3</v>
      </c>
      <c r="CM181">
        <v>4.9489900000000003E-3</v>
      </c>
      <c r="CN181">
        <v>4.3588999999999998E-3</v>
      </c>
      <c r="CO181">
        <v>3.2984199999999998E-3</v>
      </c>
      <c r="CP181">
        <v>3.6285900000000001E-3</v>
      </c>
      <c r="CQ181">
        <v>2.97832E-3</v>
      </c>
      <c r="CR181">
        <v>2.5618500000000001E-3</v>
      </c>
      <c r="CS181">
        <v>2.0401099999999999E-3</v>
      </c>
      <c r="CT181">
        <v>1.63356E-3</v>
      </c>
      <c r="CU181">
        <v>2.67513E-3</v>
      </c>
      <c r="CV181">
        <v>1.31409E-3</v>
      </c>
      <c r="CW181">
        <v>1.4327700000000001E-3</v>
      </c>
      <c r="CX181">
        <v>5.0645499999999995E-4</v>
      </c>
      <c r="CY181">
        <v>1.3271100000000001E-3</v>
      </c>
      <c r="CZ181">
        <v>9.1661300000000004E-4</v>
      </c>
      <c r="DA181">
        <v>3.6602599999999998E-4</v>
      </c>
      <c r="DB181">
        <v>5.4180199999999997E-4</v>
      </c>
      <c r="DC181">
        <v>2.33687E-4</v>
      </c>
      <c r="DD181">
        <v>4.3330799999999998E-4</v>
      </c>
      <c r="DE181" s="1">
        <v>8.1199999999999995E-5</v>
      </c>
      <c r="DF181" s="1">
        <v>3.7400000000000001E-5</v>
      </c>
      <c r="DG181">
        <v>7.0230200000000003E-4</v>
      </c>
      <c r="DH181">
        <v>1.1509400000000001E-4</v>
      </c>
      <c r="DI181" s="1">
        <v>2.3799999999999999E-5</v>
      </c>
      <c r="DJ181" s="1">
        <v>5.3399999999999997E-6</v>
      </c>
      <c r="DK181" s="1">
        <v>6.64E-6</v>
      </c>
      <c r="DL181" s="1">
        <v>8.0700000000000007E-6</v>
      </c>
      <c r="DM181" s="1">
        <v>8.1699999999999997E-6</v>
      </c>
      <c r="DN181" s="1">
        <v>3.1700000000000001E-6</v>
      </c>
      <c r="DO181" s="1">
        <v>3.5899999999999999E-6</v>
      </c>
      <c r="DP181" s="1">
        <v>6.3400000000000003E-6</v>
      </c>
      <c r="DQ181" s="1">
        <v>4.6800000000000001E-6</v>
      </c>
      <c r="DR181">
        <v>0</v>
      </c>
      <c r="DS181">
        <v>0</v>
      </c>
      <c r="DT181" s="1">
        <v>5.1599999999999997E-6</v>
      </c>
      <c r="DU181">
        <v>0</v>
      </c>
      <c r="DV181">
        <v>0</v>
      </c>
      <c r="DW181" t="s">
        <v>375</v>
      </c>
    </row>
    <row r="182" spans="1:127" x14ac:dyDescent="0.2">
      <c r="A182">
        <v>1986</v>
      </c>
      <c r="B182">
        <v>1</v>
      </c>
      <c r="C182">
        <v>1</v>
      </c>
      <c r="D182">
        <v>0</v>
      </c>
      <c r="E182">
        <v>0</v>
      </c>
      <c r="F182">
        <v>47</v>
      </c>
      <c r="G182">
        <v>0</v>
      </c>
      <c r="H182">
        <v>0</v>
      </c>
      <c r="I182">
        <v>0</v>
      </c>
      <c r="J182">
        <v>0</v>
      </c>
      <c r="K182">
        <v>0</v>
      </c>
      <c r="L182">
        <v>0</v>
      </c>
      <c r="M182">
        <v>0</v>
      </c>
      <c r="N182">
        <v>0</v>
      </c>
      <c r="O182">
        <v>0</v>
      </c>
      <c r="P182">
        <v>0</v>
      </c>
      <c r="Q182">
        <v>0</v>
      </c>
      <c r="R182" s="1">
        <v>3.5599999999999998E-6</v>
      </c>
      <c r="S182" s="1">
        <v>3.5599999999999998E-6</v>
      </c>
      <c r="T182" s="1">
        <v>7.1199999999999996E-6</v>
      </c>
      <c r="U182" s="1">
        <v>7.1199999999999996E-6</v>
      </c>
      <c r="V182" s="1">
        <v>1.5299999999999999E-5</v>
      </c>
      <c r="W182" s="1">
        <v>3.6199999999999999E-5</v>
      </c>
      <c r="X182" s="1">
        <v>9.0000000000000006E-5</v>
      </c>
      <c r="Y182" s="1">
        <v>7.1899999999999999E-5</v>
      </c>
      <c r="Z182" s="1">
        <v>1.84E-5</v>
      </c>
      <c r="AA182" s="1">
        <v>6.3100000000000002E-5</v>
      </c>
      <c r="AB182" s="1">
        <v>4.1E-5</v>
      </c>
      <c r="AC182">
        <v>3.8466999999999999E-4</v>
      </c>
      <c r="AD182" s="1">
        <v>6.2399999999999999E-5</v>
      </c>
      <c r="AE182">
        <v>2.14255E-3</v>
      </c>
      <c r="AF182">
        <v>1.2231099999999999E-3</v>
      </c>
      <c r="AG182">
        <v>3.6039100000000001E-3</v>
      </c>
      <c r="AH182">
        <v>3.3786699999999999E-3</v>
      </c>
      <c r="AI182">
        <v>5.13277E-3</v>
      </c>
      <c r="AJ182">
        <v>5.0640099999999999E-3</v>
      </c>
      <c r="AK182">
        <v>5.4038300000000001E-3</v>
      </c>
      <c r="AL182">
        <v>7.6404000000000003E-3</v>
      </c>
      <c r="AM182">
        <v>1.1207399999999999E-2</v>
      </c>
      <c r="AN182">
        <v>1.48025E-2</v>
      </c>
      <c r="AO182">
        <v>1.53571E-2</v>
      </c>
      <c r="AP182">
        <v>1.94936E-2</v>
      </c>
      <c r="AQ182">
        <v>1.4499E-2</v>
      </c>
      <c r="AR182">
        <v>1.41786E-2</v>
      </c>
      <c r="AS182">
        <v>1.50014E-2</v>
      </c>
      <c r="AT182">
        <v>1.6009200000000001E-2</v>
      </c>
      <c r="AU182">
        <v>1.3582199999999999E-2</v>
      </c>
      <c r="AV182">
        <v>1.3531E-2</v>
      </c>
      <c r="AW182">
        <v>8.98616E-3</v>
      </c>
      <c r="AX182">
        <v>1.4257000000000001E-2</v>
      </c>
      <c r="AY182">
        <v>2.0049899999999999E-2</v>
      </c>
      <c r="AZ182">
        <v>1.84473E-2</v>
      </c>
      <c r="BA182">
        <v>2.3998999999999999E-2</v>
      </c>
      <c r="BB182">
        <v>2.32576E-2</v>
      </c>
      <c r="BC182">
        <v>2.4957799999999999E-2</v>
      </c>
      <c r="BD182">
        <v>2.62277E-2</v>
      </c>
      <c r="BE182">
        <v>2.8863199999999999E-2</v>
      </c>
      <c r="BF182">
        <v>3.1406299999999998E-2</v>
      </c>
      <c r="BG182">
        <v>3.2366899999999997E-2</v>
      </c>
      <c r="BH182">
        <v>2.94278E-2</v>
      </c>
      <c r="BI182">
        <v>3.1604E-2</v>
      </c>
      <c r="BJ182">
        <v>3.5501400000000002E-2</v>
      </c>
      <c r="BK182">
        <v>3.8902600000000002E-2</v>
      </c>
      <c r="BL182">
        <v>2.9336500000000001E-2</v>
      </c>
      <c r="BM182">
        <v>2.784E-2</v>
      </c>
      <c r="BN182">
        <v>2.70607E-2</v>
      </c>
      <c r="BO182">
        <v>2.45633E-2</v>
      </c>
      <c r="BP182">
        <v>2.10604E-2</v>
      </c>
      <c r="BQ182">
        <v>2.3430599999999999E-2</v>
      </c>
      <c r="BR182">
        <v>1.9399599999999999E-2</v>
      </c>
      <c r="BS182">
        <v>1.71475E-2</v>
      </c>
      <c r="BT182">
        <v>1.66596E-2</v>
      </c>
      <c r="BU182">
        <v>1.36499E-2</v>
      </c>
      <c r="BV182">
        <v>1.33653E-2</v>
      </c>
      <c r="BW182">
        <v>1.23252E-2</v>
      </c>
      <c r="BX182">
        <v>1.3561399999999999E-2</v>
      </c>
      <c r="BY182">
        <v>1.2173E-2</v>
      </c>
      <c r="BZ182">
        <v>1.2180699999999999E-2</v>
      </c>
      <c r="CA182">
        <v>1.2490100000000001E-2</v>
      </c>
      <c r="CB182">
        <v>1.27785E-2</v>
      </c>
      <c r="CC182">
        <v>9.1795499999999999E-3</v>
      </c>
      <c r="CD182">
        <v>8.7204599999999993E-3</v>
      </c>
      <c r="CE182">
        <v>9.3346899999999997E-3</v>
      </c>
      <c r="CF182">
        <v>8.5862000000000004E-3</v>
      </c>
      <c r="CG182">
        <v>9.1615599999999991E-3</v>
      </c>
      <c r="CH182">
        <v>9.4289100000000004E-3</v>
      </c>
      <c r="CI182">
        <v>1.0221900000000001E-2</v>
      </c>
      <c r="CJ182">
        <v>7.2206099999999997E-3</v>
      </c>
      <c r="CK182">
        <v>7.6526299999999997E-3</v>
      </c>
      <c r="CL182">
        <v>5.5945200000000004E-3</v>
      </c>
      <c r="CM182">
        <v>5.2852000000000003E-3</v>
      </c>
      <c r="CN182">
        <v>5.4310199999999999E-3</v>
      </c>
      <c r="CO182">
        <v>3.6316E-3</v>
      </c>
      <c r="CP182">
        <v>2.7279800000000001E-3</v>
      </c>
      <c r="CQ182">
        <v>2.1337700000000001E-3</v>
      </c>
      <c r="CR182">
        <v>2.4682900000000002E-3</v>
      </c>
      <c r="CS182">
        <v>2.6844799999999999E-3</v>
      </c>
      <c r="CT182">
        <v>1.66117E-3</v>
      </c>
      <c r="CU182">
        <v>1.3031399999999999E-3</v>
      </c>
      <c r="CV182">
        <v>1.16905E-3</v>
      </c>
      <c r="CW182">
        <v>1.22646E-3</v>
      </c>
      <c r="CX182">
        <v>1.1202E-3</v>
      </c>
      <c r="CY182">
        <v>7.3774300000000001E-4</v>
      </c>
      <c r="CZ182">
        <v>7.0120399999999998E-4</v>
      </c>
      <c r="DA182">
        <v>4.3025700000000002E-4</v>
      </c>
      <c r="DB182">
        <v>2.9593499999999999E-4</v>
      </c>
      <c r="DC182">
        <v>4.6773099999999998E-4</v>
      </c>
      <c r="DD182">
        <v>3.8443199999999998E-4</v>
      </c>
      <c r="DE182">
        <v>1.27871E-4</v>
      </c>
      <c r="DF182" s="1">
        <v>6.0800000000000001E-5</v>
      </c>
      <c r="DG182">
        <v>1.9317999999999999E-4</v>
      </c>
      <c r="DH182">
        <v>6.4081200000000004E-4</v>
      </c>
      <c r="DI182" s="1">
        <v>3.4600000000000001E-5</v>
      </c>
      <c r="DJ182" s="1">
        <v>1.11E-6</v>
      </c>
      <c r="DK182">
        <v>2.4998899999999999E-4</v>
      </c>
      <c r="DL182" s="1">
        <v>1.06E-5</v>
      </c>
      <c r="DM182" s="1">
        <v>1.4100000000000001E-6</v>
      </c>
      <c r="DN182" s="1">
        <v>1.0900000000000001E-5</v>
      </c>
      <c r="DO182">
        <v>0</v>
      </c>
      <c r="DP182" s="1">
        <v>1.0499999999999999E-5</v>
      </c>
      <c r="DQ182">
        <v>0</v>
      </c>
      <c r="DR182" s="1">
        <v>1.0499999999999999E-5</v>
      </c>
      <c r="DS182">
        <v>0</v>
      </c>
      <c r="DT182">
        <v>1.7498500000000001E-4</v>
      </c>
      <c r="DU182">
        <v>1.7498500000000001E-4</v>
      </c>
      <c r="DV182" s="1">
        <v>4.3599999999999998E-6</v>
      </c>
      <c r="DW182" t="s">
        <v>376</v>
      </c>
    </row>
    <row r="183" spans="1:127" x14ac:dyDescent="0.2">
      <c r="A183">
        <v>1987</v>
      </c>
      <c r="B183">
        <v>1</v>
      </c>
      <c r="C183">
        <v>1</v>
      </c>
      <c r="D183">
        <v>0</v>
      </c>
      <c r="E183">
        <v>0</v>
      </c>
      <c r="F183">
        <v>86</v>
      </c>
      <c r="G183">
        <v>0</v>
      </c>
      <c r="H183">
        <v>0</v>
      </c>
      <c r="I183">
        <v>0</v>
      </c>
      <c r="J183">
        <v>0</v>
      </c>
      <c r="K183">
        <v>0</v>
      </c>
      <c r="L183">
        <v>0</v>
      </c>
      <c r="M183">
        <v>0</v>
      </c>
      <c r="N183">
        <v>0</v>
      </c>
      <c r="O183">
        <v>0</v>
      </c>
      <c r="P183">
        <v>0</v>
      </c>
      <c r="Q183">
        <v>0</v>
      </c>
      <c r="R183">
        <v>0</v>
      </c>
      <c r="S183">
        <v>0</v>
      </c>
      <c r="T183" s="1">
        <v>1.4800000000000001E-5</v>
      </c>
      <c r="U183" s="1">
        <v>7.4200000000000001E-6</v>
      </c>
      <c r="V183" s="1">
        <v>7.7200000000000006E-5</v>
      </c>
      <c r="W183" s="1">
        <v>2.87E-5</v>
      </c>
      <c r="X183">
        <v>1.90879E-4</v>
      </c>
      <c r="Y183">
        <v>3.5970899999999999E-4</v>
      </c>
      <c r="Z183">
        <v>3.0732300000000003E-4</v>
      </c>
      <c r="AA183">
        <v>4.6601800000000001E-4</v>
      </c>
      <c r="AB183">
        <v>8.4926700000000001E-4</v>
      </c>
      <c r="AC183">
        <v>2.9174499999999999E-4</v>
      </c>
      <c r="AD183">
        <v>3.2015800000000002E-4</v>
      </c>
      <c r="AE183">
        <v>3.07662E-4</v>
      </c>
      <c r="AF183">
        <v>5.7636999999999999E-4</v>
      </c>
      <c r="AG183">
        <v>6.2295500000000001E-4</v>
      </c>
      <c r="AH183">
        <v>1.31562E-3</v>
      </c>
      <c r="AI183">
        <v>1.3221000000000001E-3</v>
      </c>
      <c r="AJ183">
        <v>2.5685500000000002E-3</v>
      </c>
      <c r="AK183">
        <v>3.55748E-3</v>
      </c>
      <c r="AL183">
        <v>4.1650999999999997E-3</v>
      </c>
      <c r="AM183">
        <v>5.6733499999999997E-3</v>
      </c>
      <c r="AN183">
        <v>7.12314E-3</v>
      </c>
      <c r="AO183">
        <v>8.3522400000000004E-3</v>
      </c>
      <c r="AP183">
        <v>8.3552399999999999E-3</v>
      </c>
      <c r="AQ183">
        <v>1.12386E-2</v>
      </c>
      <c r="AR183">
        <v>7.7134300000000003E-3</v>
      </c>
      <c r="AS183">
        <v>7.4776599999999997E-3</v>
      </c>
      <c r="AT183">
        <v>8.1882299999999995E-3</v>
      </c>
      <c r="AU183">
        <v>6.5239E-3</v>
      </c>
      <c r="AV183">
        <v>7.7873400000000002E-3</v>
      </c>
      <c r="AW183">
        <v>1.0204100000000001E-2</v>
      </c>
      <c r="AX183">
        <v>1.1705999999999999E-2</v>
      </c>
      <c r="AY183">
        <v>1.4519000000000001E-2</v>
      </c>
      <c r="AZ183">
        <v>1.6952999999999999E-2</v>
      </c>
      <c r="BA183">
        <v>1.9066300000000001E-2</v>
      </c>
      <c r="BB183">
        <v>1.7764700000000001E-2</v>
      </c>
      <c r="BC183">
        <v>1.7641500000000001E-2</v>
      </c>
      <c r="BD183">
        <v>1.7352300000000001E-2</v>
      </c>
      <c r="BE183">
        <v>1.4702700000000001E-2</v>
      </c>
      <c r="BF183">
        <v>1.5970399999999999E-2</v>
      </c>
      <c r="BG183">
        <v>1.4602E-2</v>
      </c>
      <c r="BH183">
        <v>1.51013E-2</v>
      </c>
      <c r="BI183">
        <v>1.7196400000000001E-2</v>
      </c>
      <c r="BJ183">
        <v>1.8575600000000001E-2</v>
      </c>
      <c r="BK183">
        <v>1.8351900000000001E-2</v>
      </c>
      <c r="BL183">
        <v>2.1845E-2</v>
      </c>
      <c r="BM183">
        <v>2.1487699999999998E-2</v>
      </c>
      <c r="BN183">
        <v>2.6408500000000001E-2</v>
      </c>
      <c r="BO183">
        <v>2.1302000000000001E-2</v>
      </c>
      <c r="BP183">
        <v>2.21143E-2</v>
      </c>
      <c r="BQ183">
        <v>2.4277300000000002E-2</v>
      </c>
      <c r="BR183">
        <v>2.7002399999999999E-2</v>
      </c>
      <c r="BS183">
        <v>2.45469E-2</v>
      </c>
      <c r="BT183">
        <v>2.6764400000000001E-2</v>
      </c>
      <c r="BU183">
        <v>2.5584599999999999E-2</v>
      </c>
      <c r="BV183">
        <v>2.45819E-2</v>
      </c>
      <c r="BW183">
        <v>2.4476100000000001E-2</v>
      </c>
      <c r="BX183">
        <v>2.3970499999999999E-2</v>
      </c>
      <c r="BY183">
        <v>2.4726999999999999E-2</v>
      </c>
      <c r="BZ183">
        <v>2.3155700000000001E-2</v>
      </c>
      <c r="CA183">
        <v>2.2537700000000001E-2</v>
      </c>
      <c r="CB183">
        <v>2.3276100000000001E-2</v>
      </c>
      <c r="CC183">
        <v>2.5391E-2</v>
      </c>
      <c r="CD183">
        <v>2.1273199999999999E-2</v>
      </c>
      <c r="CE183">
        <v>2.2253800000000001E-2</v>
      </c>
      <c r="CF183">
        <v>1.8105699999999999E-2</v>
      </c>
      <c r="CG183">
        <v>1.7116900000000001E-2</v>
      </c>
      <c r="CH183">
        <v>1.5244600000000001E-2</v>
      </c>
      <c r="CI183">
        <v>1.66334E-2</v>
      </c>
      <c r="CJ183">
        <v>1.4064200000000001E-2</v>
      </c>
      <c r="CK183">
        <v>1.3243899999999999E-2</v>
      </c>
      <c r="CL183">
        <v>1.0484E-2</v>
      </c>
      <c r="CM183">
        <v>9.6770599999999995E-3</v>
      </c>
      <c r="CN183">
        <v>8.4123800000000006E-3</v>
      </c>
      <c r="CO183">
        <v>8.2916699999999992E-3</v>
      </c>
      <c r="CP183">
        <v>6.9344000000000003E-3</v>
      </c>
      <c r="CQ183">
        <v>6.3003199999999999E-3</v>
      </c>
      <c r="CR183">
        <v>6.8631300000000003E-3</v>
      </c>
      <c r="CS183">
        <v>6.0567099999999999E-3</v>
      </c>
      <c r="CT183">
        <v>5.2800299999999998E-3</v>
      </c>
      <c r="CU183">
        <v>5.1997600000000003E-3</v>
      </c>
      <c r="CV183">
        <v>4.1230700000000004E-3</v>
      </c>
      <c r="CW183">
        <v>5.3496699999999999E-3</v>
      </c>
      <c r="CX183">
        <v>1.95306E-3</v>
      </c>
      <c r="CY183">
        <v>1.60327E-3</v>
      </c>
      <c r="CZ183">
        <v>1.35388E-3</v>
      </c>
      <c r="DA183">
        <v>1.0411800000000001E-3</v>
      </c>
      <c r="DB183">
        <v>9.940140000000001E-4</v>
      </c>
      <c r="DC183">
        <v>5.5004999999999995E-4</v>
      </c>
      <c r="DD183">
        <v>6.58279E-4</v>
      </c>
      <c r="DE183">
        <v>5.5842700000000001E-4</v>
      </c>
      <c r="DF183">
        <v>3.3873399999999999E-4</v>
      </c>
      <c r="DG183">
        <v>3.7389900000000002E-4</v>
      </c>
      <c r="DH183">
        <v>1.89629E-4</v>
      </c>
      <c r="DI183">
        <v>1.2183100000000001E-4</v>
      </c>
      <c r="DJ183" s="1">
        <v>5.3600000000000002E-5</v>
      </c>
      <c r="DK183" s="1">
        <v>9.2800000000000006E-5</v>
      </c>
      <c r="DL183" s="1">
        <v>5.5000000000000002E-5</v>
      </c>
      <c r="DM183" s="1">
        <v>8.3999999999999995E-5</v>
      </c>
      <c r="DN183" s="1">
        <v>2.5899999999999999E-5</v>
      </c>
      <c r="DO183" s="1">
        <v>3.0300000000000001E-5</v>
      </c>
      <c r="DP183" s="1">
        <v>2.6599999999999999E-5</v>
      </c>
      <c r="DQ183" s="1">
        <v>2.2099999999999998E-5</v>
      </c>
      <c r="DR183" s="1">
        <v>7.0899999999999999E-6</v>
      </c>
      <c r="DS183" s="1">
        <v>1.1800000000000001E-5</v>
      </c>
      <c r="DT183" s="1">
        <v>8.4700000000000002E-6</v>
      </c>
      <c r="DU183">
        <v>0</v>
      </c>
      <c r="DV183">
        <v>0</v>
      </c>
      <c r="DW183" t="s">
        <v>377</v>
      </c>
    </row>
    <row r="184" spans="1:127" x14ac:dyDescent="0.2">
      <c r="A184">
        <v>1988</v>
      </c>
      <c r="B184">
        <v>1</v>
      </c>
      <c r="C184">
        <v>1</v>
      </c>
      <c r="D184">
        <v>0</v>
      </c>
      <c r="E184">
        <v>0</v>
      </c>
      <c r="F184">
        <v>88</v>
      </c>
      <c r="G184">
        <v>0</v>
      </c>
      <c r="H184">
        <v>0</v>
      </c>
      <c r="I184">
        <v>0</v>
      </c>
      <c r="J184">
        <v>0</v>
      </c>
      <c r="K184" s="1">
        <v>4.2400000000000001E-5</v>
      </c>
      <c r="L184">
        <v>0</v>
      </c>
      <c r="M184">
        <v>0</v>
      </c>
      <c r="N184">
        <v>0</v>
      </c>
      <c r="O184" s="1">
        <v>1.36E-5</v>
      </c>
      <c r="P184">
        <v>0</v>
      </c>
      <c r="Q184">
        <v>0</v>
      </c>
      <c r="R184">
        <v>0</v>
      </c>
      <c r="S184" s="1">
        <v>6.1099999999999994E-5</v>
      </c>
      <c r="T184" s="1">
        <v>6.1099999999999994E-5</v>
      </c>
      <c r="U184" s="1">
        <v>6.1099999999999994E-5</v>
      </c>
      <c r="V184" s="1">
        <v>6.7899999999999997E-5</v>
      </c>
      <c r="W184">
        <v>1.2225699999999999E-4</v>
      </c>
      <c r="X184">
        <v>2.21721E-4</v>
      </c>
      <c r="Y184">
        <v>1.28734E-4</v>
      </c>
      <c r="Z184" s="1">
        <v>8.4699999999999999E-5</v>
      </c>
      <c r="AA184" s="1">
        <v>6.9200000000000002E-5</v>
      </c>
      <c r="AB184" s="1">
        <v>9.5999999999999996E-6</v>
      </c>
      <c r="AC184" s="1">
        <v>1.91E-5</v>
      </c>
      <c r="AD184">
        <v>1.4830600000000001E-4</v>
      </c>
      <c r="AE184">
        <v>2.12263E-4</v>
      </c>
      <c r="AF184" s="1">
        <v>3.9499999999999998E-5</v>
      </c>
      <c r="AG184" s="1">
        <v>9.31E-5</v>
      </c>
      <c r="AH184">
        <v>3.4227599999999997E-4</v>
      </c>
      <c r="AI184">
        <v>4.7347099999999999E-4</v>
      </c>
      <c r="AJ184">
        <v>7.4126900000000002E-4</v>
      </c>
      <c r="AK184">
        <v>2.4724399999999998E-3</v>
      </c>
      <c r="AL184">
        <v>2.59815E-3</v>
      </c>
      <c r="AM184">
        <v>5.0051799999999997E-3</v>
      </c>
      <c r="AN184">
        <v>5.8254200000000004E-3</v>
      </c>
      <c r="AO184">
        <v>5.7975099999999996E-3</v>
      </c>
      <c r="AP184">
        <v>1.00026E-2</v>
      </c>
      <c r="AQ184">
        <v>6.8054999999999999E-3</v>
      </c>
      <c r="AR184">
        <v>6.9475800000000001E-3</v>
      </c>
      <c r="AS184">
        <v>5.8350600000000004E-3</v>
      </c>
      <c r="AT184">
        <v>7.1719100000000001E-3</v>
      </c>
      <c r="AU184">
        <v>8.4318199999999996E-3</v>
      </c>
      <c r="AV184">
        <v>8.7275500000000006E-3</v>
      </c>
      <c r="AW184">
        <v>1.1462200000000001E-2</v>
      </c>
      <c r="AX184">
        <v>1.5869100000000001E-2</v>
      </c>
      <c r="AY184">
        <v>1.6379000000000001E-2</v>
      </c>
      <c r="AZ184">
        <v>2.01864E-2</v>
      </c>
      <c r="BA184">
        <v>1.99452E-2</v>
      </c>
      <c r="BB184">
        <v>2.0745300000000001E-2</v>
      </c>
      <c r="BC184">
        <v>1.91156E-2</v>
      </c>
      <c r="BD184">
        <v>1.9268400000000001E-2</v>
      </c>
      <c r="BE184">
        <v>1.8076700000000001E-2</v>
      </c>
      <c r="BF184">
        <v>2.0778399999999999E-2</v>
      </c>
      <c r="BG184">
        <v>1.8900299999999998E-2</v>
      </c>
      <c r="BH184">
        <v>2.73142E-2</v>
      </c>
      <c r="BI184">
        <v>2.00451E-2</v>
      </c>
      <c r="BJ184">
        <v>1.9129699999999999E-2</v>
      </c>
      <c r="BK184">
        <v>1.9001199999999999E-2</v>
      </c>
      <c r="BL184">
        <v>2.0256300000000001E-2</v>
      </c>
      <c r="BM184">
        <v>1.9021300000000001E-2</v>
      </c>
      <c r="BN184">
        <v>1.98406E-2</v>
      </c>
      <c r="BO184">
        <v>1.9891900000000001E-2</v>
      </c>
      <c r="BP184">
        <v>2.2079499999999998E-2</v>
      </c>
      <c r="BQ184">
        <v>1.9348899999999999E-2</v>
      </c>
      <c r="BR184">
        <v>2.2651399999999999E-2</v>
      </c>
      <c r="BS184">
        <v>2.1717500000000001E-2</v>
      </c>
      <c r="BT184">
        <v>1.9444800000000002E-2</v>
      </c>
      <c r="BU184">
        <v>2.45925E-2</v>
      </c>
      <c r="BV184">
        <v>2.26086E-2</v>
      </c>
      <c r="BW184">
        <v>2.1159000000000001E-2</v>
      </c>
      <c r="BX184">
        <v>2.4069299999999998E-2</v>
      </c>
      <c r="BY184">
        <v>2.64193E-2</v>
      </c>
      <c r="BZ184">
        <v>3.1747999999999998E-2</v>
      </c>
      <c r="CA184">
        <v>2.6367399999999999E-2</v>
      </c>
      <c r="CB184">
        <v>2.4589199999999999E-2</v>
      </c>
      <c r="CC184">
        <v>2.50622E-2</v>
      </c>
      <c r="CD184">
        <v>2.30735E-2</v>
      </c>
      <c r="CE184">
        <v>2.1528599999999998E-2</v>
      </c>
      <c r="CF184">
        <v>1.9765399999999999E-2</v>
      </c>
      <c r="CG184">
        <v>1.7905399999999998E-2</v>
      </c>
      <c r="CH184">
        <v>1.6535399999999999E-2</v>
      </c>
      <c r="CI184">
        <v>1.6630200000000001E-2</v>
      </c>
      <c r="CJ184">
        <v>1.30873E-2</v>
      </c>
      <c r="CK184">
        <v>1.1395499999999999E-2</v>
      </c>
      <c r="CL184">
        <v>1.0050999999999999E-2</v>
      </c>
      <c r="CM184">
        <v>8.7766100000000007E-3</v>
      </c>
      <c r="CN184">
        <v>9.5170600000000008E-3</v>
      </c>
      <c r="CO184">
        <v>6.9709999999999998E-3</v>
      </c>
      <c r="CP184">
        <v>6.6921699999999999E-3</v>
      </c>
      <c r="CQ184">
        <v>8.2804300000000001E-3</v>
      </c>
      <c r="CR184">
        <v>5.2567200000000003E-3</v>
      </c>
      <c r="CS184">
        <v>4.9862200000000004E-3</v>
      </c>
      <c r="CT184">
        <v>2.8315300000000001E-3</v>
      </c>
      <c r="CU184">
        <v>3.70069E-3</v>
      </c>
      <c r="CV184">
        <v>3.1899200000000002E-3</v>
      </c>
      <c r="CW184">
        <v>3.1193499999999999E-3</v>
      </c>
      <c r="CX184">
        <v>2.2359200000000002E-3</v>
      </c>
      <c r="CY184">
        <v>1.3577299999999999E-3</v>
      </c>
      <c r="CZ184">
        <v>1.6001500000000001E-3</v>
      </c>
      <c r="DA184">
        <v>8.36011E-4</v>
      </c>
      <c r="DB184">
        <v>1.0722399999999999E-3</v>
      </c>
      <c r="DC184">
        <v>1.1291300000000001E-3</v>
      </c>
      <c r="DD184">
        <v>6.8233699999999998E-4</v>
      </c>
      <c r="DE184">
        <v>3.5659299999999999E-4</v>
      </c>
      <c r="DF184">
        <v>3.64991E-4</v>
      </c>
      <c r="DG184">
        <v>3.67439E-4</v>
      </c>
      <c r="DH184">
        <v>2.6960900000000003E-4</v>
      </c>
      <c r="DI184">
        <v>1.7324699999999999E-4</v>
      </c>
      <c r="DJ184" s="1">
        <v>7.2799999999999994E-5</v>
      </c>
      <c r="DK184">
        <v>2.6929900000000002E-4</v>
      </c>
      <c r="DL184">
        <v>1.1772700000000001E-4</v>
      </c>
      <c r="DM184" s="1">
        <v>1.4399999999999999E-5</v>
      </c>
      <c r="DN184" s="1">
        <v>6.3200000000000005E-5</v>
      </c>
      <c r="DO184">
        <v>0</v>
      </c>
      <c r="DP184">
        <v>0</v>
      </c>
      <c r="DQ184" s="1">
        <v>5.31E-6</v>
      </c>
      <c r="DR184">
        <v>0</v>
      </c>
      <c r="DS184">
        <v>0</v>
      </c>
      <c r="DT184">
        <v>0</v>
      </c>
      <c r="DU184">
        <v>0</v>
      </c>
      <c r="DV184">
        <v>0</v>
      </c>
      <c r="DW184" t="s">
        <v>378</v>
      </c>
    </row>
    <row r="185" spans="1:127" x14ac:dyDescent="0.2">
      <c r="A185">
        <v>1989</v>
      </c>
      <c r="B185">
        <v>1</v>
      </c>
      <c r="C185">
        <v>1</v>
      </c>
      <c r="D185">
        <v>0</v>
      </c>
      <c r="E185">
        <v>0</v>
      </c>
      <c r="F185">
        <v>40</v>
      </c>
      <c r="G185">
        <v>0</v>
      </c>
      <c r="H185">
        <v>0</v>
      </c>
      <c r="I185">
        <v>0</v>
      </c>
      <c r="J185">
        <v>0</v>
      </c>
      <c r="K185">
        <v>0</v>
      </c>
      <c r="L185">
        <v>0</v>
      </c>
      <c r="M185">
        <v>0</v>
      </c>
      <c r="N185">
        <v>0</v>
      </c>
      <c r="O185">
        <v>0</v>
      </c>
      <c r="P185">
        <v>0</v>
      </c>
      <c r="Q185">
        <v>0</v>
      </c>
      <c r="R185">
        <v>0</v>
      </c>
      <c r="S185">
        <v>0</v>
      </c>
      <c r="T185">
        <v>0</v>
      </c>
      <c r="U185">
        <v>0</v>
      </c>
      <c r="V185">
        <v>0</v>
      </c>
      <c r="W185" s="1">
        <v>5.9200000000000002E-5</v>
      </c>
      <c r="X185" s="1">
        <v>7.0500000000000003E-6</v>
      </c>
      <c r="Y185">
        <v>0</v>
      </c>
      <c r="Z185">
        <v>1.27088E-4</v>
      </c>
      <c r="AA185">
        <v>0</v>
      </c>
      <c r="AB185" s="1">
        <v>8.7299999999999994E-6</v>
      </c>
      <c r="AC185">
        <v>0</v>
      </c>
      <c r="AD185">
        <v>0</v>
      </c>
      <c r="AE185">
        <v>0</v>
      </c>
      <c r="AF185">
        <v>0</v>
      </c>
      <c r="AG185" s="1">
        <v>4.6699999999999997E-5</v>
      </c>
      <c r="AH185">
        <v>1.0580499999999999E-4</v>
      </c>
      <c r="AI185">
        <v>7.8023100000000005E-4</v>
      </c>
      <c r="AJ185">
        <v>6.3328099999999997E-4</v>
      </c>
      <c r="AK185">
        <v>1.23394E-3</v>
      </c>
      <c r="AL185">
        <v>1.1587699999999999E-3</v>
      </c>
      <c r="AM185">
        <v>2.1978200000000001E-3</v>
      </c>
      <c r="AN185">
        <v>2.5635599999999999E-3</v>
      </c>
      <c r="AO185">
        <v>3.8003799999999999E-3</v>
      </c>
      <c r="AP185">
        <v>4.2162600000000003E-3</v>
      </c>
      <c r="AQ185">
        <v>4.2184400000000004E-3</v>
      </c>
      <c r="AR185">
        <v>4.6995800000000001E-3</v>
      </c>
      <c r="AS185">
        <v>4.6679199999999999E-3</v>
      </c>
      <c r="AT185">
        <v>3.2058400000000002E-3</v>
      </c>
      <c r="AU185">
        <v>3.62628E-3</v>
      </c>
      <c r="AV185">
        <v>3.8393699999999999E-3</v>
      </c>
      <c r="AW185">
        <v>5.5615700000000001E-3</v>
      </c>
      <c r="AX185">
        <v>7.6025700000000003E-3</v>
      </c>
      <c r="AY185">
        <v>8.8475700000000008E-3</v>
      </c>
      <c r="AZ185">
        <v>1.19106E-2</v>
      </c>
      <c r="BA185">
        <v>1.22553E-2</v>
      </c>
      <c r="BB185">
        <v>1.45846E-2</v>
      </c>
      <c r="BC185">
        <v>1.49575E-2</v>
      </c>
      <c r="BD185">
        <v>1.6616200000000001E-2</v>
      </c>
      <c r="BE185">
        <v>1.6596199999999998E-2</v>
      </c>
      <c r="BF185">
        <v>1.67444E-2</v>
      </c>
      <c r="BG185">
        <v>1.89883E-2</v>
      </c>
      <c r="BH185">
        <v>1.87803E-2</v>
      </c>
      <c r="BI185">
        <v>1.8751500000000001E-2</v>
      </c>
      <c r="BJ185">
        <v>1.7902999999999999E-2</v>
      </c>
      <c r="BK185">
        <v>1.7366099999999999E-2</v>
      </c>
      <c r="BL185">
        <v>1.9974200000000001E-2</v>
      </c>
      <c r="BM185">
        <v>1.7654300000000001E-2</v>
      </c>
      <c r="BN185">
        <v>1.8297899999999999E-2</v>
      </c>
      <c r="BO185">
        <v>2.15295E-2</v>
      </c>
      <c r="BP185">
        <v>2.1090999999999999E-2</v>
      </c>
      <c r="BQ185">
        <v>2.1000600000000001E-2</v>
      </c>
      <c r="BR185">
        <v>2.2875800000000002E-2</v>
      </c>
      <c r="BS185">
        <v>2.4394300000000001E-2</v>
      </c>
      <c r="BT185">
        <v>2.3652200000000002E-2</v>
      </c>
      <c r="BU185">
        <v>2.1274100000000001E-2</v>
      </c>
      <c r="BV185">
        <v>2.3841999999999999E-2</v>
      </c>
      <c r="BW185">
        <v>2.56492E-2</v>
      </c>
      <c r="BX185">
        <v>2.7164899999999999E-2</v>
      </c>
      <c r="BY185">
        <v>2.8963900000000001E-2</v>
      </c>
      <c r="BZ185">
        <v>2.7541900000000001E-2</v>
      </c>
      <c r="CA185">
        <v>2.7402300000000001E-2</v>
      </c>
      <c r="CB185">
        <v>2.8294400000000001E-2</v>
      </c>
      <c r="CC185">
        <v>2.9301600000000001E-2</v>
      </c>
      <c r="CD185">
        <v>2.56124E-2</v>
      </c>
      <c r="CE185">
        <v>2.3645200000000002E-2</v>
      </c>
      <c r="CF185">
        <v>2.3539299999999999E-2</v>
      </c>
      <c r="CG185">
        <v>2.5054E-2</v>
      </c>
      <c r="CH185">
        <v>2.38757E-2</v>
      </c>
      <c r="CI185">
        <v>2.04545E-2</v>
      </c>
      <c r="CJ185">
        <v>2.0213200000000001E-2</v>
      </c>
      <c r="CK185">
        <v>1.8115599999999999E-2</v>
      </c>
      <c r="CL185">
        <v>1.5666900000000001E-2</v>
      </c>
      <c r="CM185">
        <v>1.4443900000000001E-2</v>
      </c>
      <c r="CN185">
        <v>1.22019E-2</v>
      </c>
      <c r="CO185">
        <v>1.20588E-2</v>
      </c>
      <c r="CP185">
        <v>1.0948899999999999E-2</v>
      </c>
      <c r="CQ185">
        <v>9.5863100000000007E-3</v>
      </c>
      <c r="CR185">
        <v>8.4385699999999994E-3</v>
      </c>
      <c r="CS185">
        <v>8.2082100000000005E-3</v>
      </c>
      <c r="CT185">
        <v>4.9201899999999996E-3</v>
      </c>
      <c r="CU185">
        <v>6.0507800000000004E-3</v>
      </c>
      <c r="CV185">
        <v>4.4238300000000001E-3</v>
      </c>
      <c r="CW185">
        <v>4.2326600000000001E-3</v>
      </c>
      <c r="CX185">
        <v>2.6863999999999998E-3</v>
      </c>
      <c r="CY185">
        <v>3.3659800000000002E-3</v>
      </c>
      <c r="CZ185">
        <v>2.7607299999999999E-3</v>
      </c>
      <c r="DA185">
        <v>2.35768E-3</v>
      </c>
      <c r="DB185">
        <v>1.9602700000000001E-3</v>
      </c>
      <c r="DC185">
        <v>1.81043E-3</v>
      </c>
      <c r="DD185">
        <v>1.0466E-3</v>
      </c>
      <c r="DE185">
        <v>6.5080499999999996E-4</v>
      </c>
      <c r="DF185">
        <v>6.5545700000000002E-4</v>
      </c>
      <c r="DG185">
        <v>4.6589E-4</v>
      </c>
      <c r="DH185">
        <v>3.8900600000000001E-4</v>
      </c>
      <c r="DI185">
        <v>2.8410499999999999E-4</v>
      </c>
      <c r="DJ185">
        <v>1.88486E-4</v>
      </c>
      <c r="DK185">
        <v>1.86868E-4</v>
      </c>
      <c r="DL185">
        <v>2.1705800000000001E-4</v>
      </c>
      <c r="DM185">
        <v>1.29362E-4</v>
      </c>
      <c r="DN185" s="1">
        <v>6.9499999999999995E-5</v>
      </c>
      <c r="DO185" s="1">
        <v>6.1099999999999994E-5</v>
      </c>
      <c r="DP185" s="1">
        <v>5.8499999999999999E-6</v>
      </c>
      <c r="DQ185" s="1">
        <v>3.8000000000000002E-5</v>
      </c>
      <c r="DR185">
        <v>0</v>
      </c>
      <c r="DS185" s="1">
        <v>5.1100000000000002E-5</v>
      </c>
      <c r="DT185">
        <v>0</v>
      </c>
      <c r="DU185" s="1">
        <v>2.0699999999999998E-5</v>
      </c>
      <c r="DV185">
        <v>3.41892E-4</v>
      </c>
      <c r="DW185" t="s">
        <v>379</v>
      </c>
    </row>
    <row r="186" spans="1:127" x14ac:dyDescent="0.2">
      <c r="A186">
        <v>1990</v>
      </c>
      <c r="B186">
        <v>1</v>
      </c>
      <c r="C186">
        <v>1</v>
      </c>
      <c r="D186">
        <v>0</v>
      </c>
      <c r="E186">
        <v>0</v>
      </c>
      <c r="F186">
        <v>42</v>
      </c>
      <c r="G186">
        <v>0</v>
      </c>
      <c r="H186">
        <v>0</v>
      </c>
      <c r="I186">
        <v>0</v>
      </c>
      <c r="J186">
        <v>0</v>
      </c>
      <c r="K186">
        <v>0</v>
      </c>
      <c r="L186">
        <v>0</v>
      </c>
      <c r="M186">
        <v>0</v>
      </c>
      <c r="N186">
        <v>0</v>
      </c>
      <c r="O186">
        <v>0</v>
      </c>
      <c r="P186">
        <v>0</v>
      </c>
      <c r="Q186">
        <v>0</v>
      </c>
      <c r="R186">
        <v>0</v>
      </c>
      <c r="S186">
        <v>0</v>
      </c>
      <c r="T186">
        <v>0</v>
      </c>
      <c r="U186">
        <v>0</v>
      </c>
      <c r="V186">
        <v>0</v>
      </c>
      <c r="W186">
        <v>0</v>
      </c>
      <c r="X186" s="1">
        <v>7.7000000000000008E-6</v>
      </c>
      <c r="Y186">
        <v>0</v>
      </c>
      <c r="Z186">
        <v>0</v>
      </c>
      <c r="AA186" s="1">
        <v>1.8300000000000001E-5</v>
      </c>
      <c r="AB186">
        <v>0</v>
      </c>
      <c r="AC186">
        <v>0</v>
      </c>
      <c r="AD186">
        <v>0</v>
      </c>
      <c r="AE186" s="1">
        <v>4.5200000000000001E-5</v>
      </c>
      <c r="AF186">
        <v>3.6727800000000002E-4</v>
      </c>
      <c r="AG186">
        <v>5.7531599999999998E-4</v>
      </c>
      <c r="AH186">
        <v>1.3360100000000001E-3</v>
      </c>
      <c r="AI186">
        <v>2.1361599999999998E-3</v>
      </c>
      <c r="AJ186">
        <v>2.5809499999999998E-3</v>
      </c>
      <c r="AK186">
        <v>3.7665099999999998E-3</v>
      </c>
      <c r="AL186">
        <v>2.7290600000000002E-3</v>
      </c>
      <c r="AM186">
        <v>2.9556299999999999E-3</v>
      </c>
      <c r="AN186">
        <v>2.6668799999999999E-3</v>
      </c>
      <c r="AO186">
        <v>1.8656300000000001E-3</v>
      </c>
      <c r="AP186">
        <v>1.91899E-3</v>
      </c>
      <c r="AQ186">
        <v>1.26424E-3</v>
      </c>
      <c r="AR186">
        <v>7.9148E-4</v>
      </c>
      <c r="AS186">
        <v>9.9231699999999994E-4</v>
      </c>
      <c r="AT186">
        <v>1.22528E-3</v>
      </c>
      <c r="AU186">
        <v>4.26716E-4</v>
      </c>
      <c r="AV186">
        <v>8.5536E-4</v>
      </c>
      <c r="AW186">
        <v>5.6473199999999997E-4</v>
      </c>
      <c r="AX186">
        <v>4.8012599999999999E-4</v>
      </c>
      <c r="AY186">
        <v>5.93276E-4</v>
      </c>
      <c r="AZ186">
        <v>9.6360800000000002E-4</v>
      </c>
      <c r="BA186">
        <v>1.4958599999999999E-3</v>
      </c>
      <c r="BB186">
        <v>1.80882E-3</v>
      </c>
      <c r="BC186">
        <v>2.5481100000000001E-3</v>
      </c>
      <c r="BD186">
        <v>2.2807299999999999E-3</v>
      </c>
      <c r="BE186">
        <v>3.3844600000000002E-3</v>
      </c>
      <c r="BF186">
        <v>4.3657399999999999E-3</v>
      </c>
      <c r="BG186">
        <v>4.0378699999999998E-3</v>
      </c>
      <c r="BH186">
        <v>3.90582E-3</v>
      </c>
      <c r="BI186">
        <v>5.2528999999999996E-3</v>
      </c>
      <c r="BJ186">
        <v>6.6983199999999998E-3</v>
      </c>
      <c r="BK186">
        <v>9.1135399999999998E-3</v>
      </c>
      <c r="BL186">
        <v>1.16907E-2</v>
      </c>
      <c r="BM186">
        <v>1.2521900000000001E-2</v>
      </c>
      <c r="BN186">
        <v>1.49152E-2</v>
      </c>
      <c r="BO186">
        <v>1.7634400000000001E-2</v>
      </c>
      <c r="BP186">
        <v>2.1033400000000001E-2</v>
      </c>
      <c r="BQ186">
        <v>2.2632900000000001E-2</v>
      </c>
      <c r="BR186">
        <v>2.4644599999999999E-2</v>
      </c>
      <c r="BS186">
        <v>2.8151800000000001E-2</v>
      </c>
      <c r="BT186">
        <v>2.7755100000000001E-2</v>
      </c>
      <c r="BU186">
        <v>3.0305599999999999E-2</v>
      </c>
      <c r="BV186">
        <v>3.38713E-2</v>
      </c>
      <c r="BW186">
        <v>3.60872E-2</v>
      </c>
      <c r="BX186">
        <v>3.2573999999999999E-2</v>
      </c>
      <c r="BY186">
        <v>3.3591599999999999E-2</v>
      </c>
      <c r="BZ186">
        <v>3.70862E-2</v>
      </c>
      <c r="CA186">
        <v>3.4188799999999998E-2</v>
      </c>
      <c r="CB186">
        <v>3.5742000000000003E-2</v>
      </c>
      <c r="CC186">
        <v>3.4903099999999999E-2</v>
      </c>
      <c r="CD186">
        <v>3.6635000000000001E-2</v>
      </c>
      <c r="CE186">
        <v>3.1394100000000001E-2</v>
      </c>
      <c r="CF186">
        <v>3.1441400000000001E-2</v>
      </c>
      <c r="CG186">
        <v>2.94852E-2</v>
      </c>
      <c r="CH186">
        <v>2.8358000000000001E-2</v>
      </c>
      <c r="CI186">
        <v>2.7148100000000001E-2</v>
      </c>
      <c r="CJ186">
        <v>2.5451600000000001E-2</v>
      </c>
      <c r="CK186">
        <v>2.3460399999999999E-2</v>
      </c>
      <c r="CL186">
        <v>2.2751E-2</v>
      </c>
      <c r="CM186">
        <v>2.1585400000000001E-2</v>
      </c>
      <c r="CN186">
        <v>1.8271599999999999E-2</v>
      </c>
      <c r="CO186">
        <v>1.56962E-2</v>
      </c>
      <c r="CP186">
        <v>1.6740000000000001E-2</v>
      </c>
      <c r="CQ186">
        <v>1.6484200000000001E-2</v>
      </c>
      <c r="CR186">
        <v>1.1721799999999999E-2</v>
      </c>
      <c r="CS186">
        <v>1.01668E-2</v>
      </c>
      <c r="CT186">
        <v>1.1514399999999999E-2</v>
      </c>
      <c r="CU186">
        <v>1.09471E-2</v>
      </c>
      <c r="CV186">
        <v>9.2911399999999998E-3</v>
      </c>
      <c r="CW186">
        <v>7.0268099999999997E-3</v>
      </c>
      <c r="CX186">
        <v>6.0701699999999997E-3</v>
      </c>
      <c r="CY186">
        <v>5.2576000000000003E-3</v>
      </c>
      <c r="CZ186">
        <v>3.4086699999999999E-3</v>
      </c>
      <c r="DA186">
        <v>3.0551100000000002E-3</v>
      </c>
      <c r="DB186">
        <v>1.5871100000000001E-3</v>
      </c>
      <c r="DC186">
        <v>1.79871E-3</v>
      </c>
      <c r="DD186">
        <v>2.2280400000000001E-3</v>
      </c>
      <c r="DE186">
        <v>1.8672199999999999E-3</v>
      </c>
      <c r="DF186">
        <v>1.0042E-3</v>
      </c>
      <c r="DG186">
        <v>1.04295E-3</v>
      </c>
      <c r="DH186">
        <v>7.2527599999999996E-4</v>
      </c>
      <c r="DI186">
        <v>2.8138799999999998E-4</v>
      </c>
      <c r="DJ186">
        <v>3.2602800000000002E-4</v>
      </c>
      <c r="DK186">
        <v>1.49829E-4</v>
      </c>
      <c r="DL186" s="1">
        <v>4.49E-5</v>
      </c>
      <c r="DM186" s="1">
        <v>2.41E-5</v>
      </c>
      <c r="DN186">
        <v>0</v>
      </c>
      <c r="DO186" s="1">
        <v>8.81E-5</v>
      </c>
      <c r="DP186" s="1">
        <v>6.0099999999999997E-5</v>
      </c>
      <c r="DQ186" s="1">
        <v>3.8500000000000001E-5</v>
      </c>
      <c r="DR186">
        <v>0</v>
      </c>
      <c r="DS186" s="1">
        <v>1.9199999999999999E-5</v>
      </c>
      <c r="DT186">
        <v>0</v>
      </c>
      <c r="DU186" s="1">
        <v>3.8500000000000004E-6</v>
      </c>
      <c r="DV186">
        <v>0</v>
      </c>
      <c r="DW186" t="s">
        <v>380</v>
      </c>
    </row>
    <row r="187" spans="1:127" x14ac:dyDescent="0.2">
      <c r="A187">
        <v>1991</v>
      </c>
      <c r="B187">
        <v>1</v>
      </c>
      <c r="C187">
        <v>1</v>
      </c>
      <c r="D187">
        <v>0</v>
      </c>
      <c r="E187">
        <v>0</v>
      </c>
      <c r="F187">
        <v>341</v>
      </c>
      <c r="G187">
        <v>0</v>
      </c>
      <c r="H187">
        <v>0</v>
      </c>
      <c r="I187">
        <v>0</v>
      </c>
      <c r="J187">
        <v>0</v>
      </c>
      <c r="K187">
        <v>0</v>
      </c>
      <c r="L187">
        <v>0</v>
      </c>
      <c r="M187">
        <v>0</v>
      </c>
      <c r="N187">
        <v>0</v>
      </c>
      <c r="O187">
        <v>0</v>
      </c>
      <c r="P187">
        <v>0</v>
      </c>
      <c r="Q187" s="1">
        <v>1.17E-5</v>
      </c>
      <c r="R187">
        <v>0</v>
      </c>
      <c r="S187" s="1">
        <v>1.1599999999999999E-6</v>
      </c>
      <c r="T187" s="1">
        <v>9.7100000000000011E-7</v>
      </c>
      <c r="U187" s="1">
        <v>2.9000000000000002E-6</v>
      </c>
      <c r="V187" s="1">
        <v>1.77E-5</v>
      </c>
      <c r="W187" s="1">
        <v>1.15E-5</v>
      </c>
      <c r="X187" s="1">
        <v>7.1699999999999997E-7</v>
      </c>
      <c r="Y187" s="1">
        <v>6.4500000000000001E-6</v>
      </c>
      <c r="Z187" s="1">
        <v>1.08E-5</v>
      </c>
      <c r="AA187" s="1">
        <v>1.6500000000000001E-5</v>
      </c>
      <c r="AB187" s="1">
        <v>4.9499999999999997E-5</v>
      </c>
      <c r="AC187" s="1">
        <v>1.0900000000000001E-5</v>
      </c>
      <c r="AD187" s="1">
        <v>1.4399999999999999E-5</v>
      </c>
      <c r="AE187" s="1">
        <v>6.6500000000000004E-5</v>
      </c>
      <c r="AF187">
        <v>1.4629700000000001E-4</v>
      </c>
      <c r="AG187">
        <v>2.0966E-4</v>
      </c>
      <c r="AH187">
        <v>4.3682900000000002E-4</v>
      </c>
      <c r="AI187">
        <v>6.9477500000000001E-4</v>
      </c>
      <c r="AJ187">
        <v>9.7237699999999996E-4</v>
      </c>
      <c r="AK187">
        <v>1.33931E-3</v>
      </c>
      <c r="AL187">
        <v>1.4502899999999999E-3</v>
      </c>
      <c r="AM187">
        <v>1.55237E-3</v>
      </c>
      <c r="AN187">
        <v>1.4532600000000001E-3</v>
      </c>
      <c r="AO187">
        <v>1.36163E-3</v>
      </c>
      <c r="AP187">
        <v>1.5974400000000001E-3</v>
      </c>
      <c r="AQ187">
        <v>1.39478E-3</v>
      </c>
      <c r="AR187">
        <v>1.4392999999999999E-3</v>
      </c>
      <c r="AS187">
        <v>1.7068000000000001E-3</v>
      </c>
      <c r="AT187">
        <v>1.9959000000000001E-3</v>
      </c>
      <c r="AU187">
        <v>1.81094E-3</v>
      </c>
      <c r="AV187">
        <v>4.2149600000000002E-3</v>
      </c>
      <c r="AW187">
        <v>4.4240399999999997E-3</v>
      </c>
      <c r="AX187">
        <v>5.2843899999999999E-3</v>
      </c>
      <c r="AY187">
        <v>9.2487899999999998E-3</v>
      </c>
      <c r="AZ187">
        <v>1.05989E-2</v>
      </c>
      <c r="BA187">
        <v>1.44736E-2</v>
      </c>
      <c r="BB187">
        <v>1.4968800000000001E-2</v>
      </c>
      <c r="BC187">
        <v>1.5602599999999999E-2</v>
      </c>
      <c r="BD187">
        <v>1.6027599999999999E-2</v>
      </c>
      <c r="BE187">
        <v>1.47593E-2</v>
      </c>
      <c r="BF187">
        <v>1.4959500000000001E-2</v>
      </c>
      <c r="BG187">
        <v>1.45498E-2</v>
      </c>
      <c r="BH187">
        <v>1.4563E-2</v>
      </c>
      <c r="BI187">
        <v>1.41453E-2</v>
      </c>
      <c r="BJ187">
        <v>1.50476E-2</v>
      </c>
      <c r="BK187">
        <v>1.74529E-2</v>
      </c>
      <c r="BL187">
        <v>1.5278999999999999E-2</v>
      </c>
      <c r="BM187">
        <v>1.51766E-2</v>
      </c>
      <c r="BN187">
        <v>1.82977E-2</v>
      </c>
      <c r="BO187">
        <v>1.69213E-2</v>
      </c>
      <c r="BP187">
        <v>1.9341799999999999E-2</v>
      </c>
      <c r="BQ187">
        <v>2.3751499999999998E-2</v>
      </c>
      <c r="BR187">
        <v>2.35058E-2</v>
      </c>
      <c r="BS187">
        <v>2.6106899999999999E-2</v>
      </c>
      <c r="BT187">
        <v>2.6810500000000001E-2</v>
      </c>
      <c r="BU187">
        <v>2.7902099999999999E-2</v>
      </c>
      <c r="BV187">
        <v>3.0804700000000001E-2</v>
      </c>
      <c r="BW187">
        <v>3.1953599999999999E-2</v>
      </c>
      <c r="BX187">
        <v>3.1153299999999998E-2</v>
      </c>
      <c r="BY187">
        <v>3.0240699999999999E-2</v>
      </c>
      <c r="BZ187">
        <v>3.2838800000000001E-2</v>
      </c>
      <c r="CA187">
        <v>3.32789E-2</v>
      </c>
      <c r="CB187">
        <v>3.0599000000000001E-2</v>
      </c>
      <c r="CC187">
        <v>3.2398999999999997E-2</v>
      </c>
      <c r="CD187">
        <v>2.7486300000000002E-2</v>
      </c>
      <c r="CE187">
        <v>2.6183499999999998E-2</v>
      </c>
      <c r="CF187">
        <v>2.4116700000000001E-2</v>
      </c>
      <c r="CG187">
        <v>2.2282900000000001E-2</v>
      </c>
      <c r="CH187">
        <v>2.2497900000000001E-2</v>
      </c>
      <c r="CI187">
        <v>1.8944699999999998E-2</v>
      </c>
      <c r="CJ187">
        <v>1.9764299999999999E-2</v>
      </c>
      <c r="CK187">
        <v>1.7462100000000001E-2</v>
      </c>
      <c r="CL187">
        <v>1.6745900000000001E-2</v>
      </c>
      <c r="CM187">
        <v>1.4203500000000001E-2</v>
      </c>
      <c r="CN187">
        <v>1.2156699999999999E-2</v>
      </c>
      <c r="CO187">
        <v>1.1580500000000001E-2</v>
      </c>
      <c r="CP187">
        <v>9.7795E-3</v>
      </c>
      <c r="CQ187">
        <v>8.97622E-3</v>
      </c>
      <c r="CR187">
        <v>7.9128400000000008E-3</v>
      </c>
      <c r="CS187">
        <v>7.2957600000000001E-3</v>
      </c>
      <c r="CT187">
        <v>6.8290399999999998E-3</v>
      </c>
      <c r="CU187">
        <v>6.2757400000000001E-3</v>
      </c>
      <c r="CV187">
        <v>5.91735E-3</v>
      </c>
      <c r="CW187">
        <v>3.7980900000000001E-3</v>
      </c>
      <c r="CX187">
        <v>3.5974100000000001E-3</v>
      </c>
      <c r="CY187">
        <v>3.5815700000000001E-3</v>
      </c>
      <c r="CZ187">
        <v>3.6418100000000001E-3</v>
      </c>
      <c r="DA187">
        <v>2.6715599999999999E-3</v>
      </c>
      <c r="DB187">
        <v>1.9342599999999999E-3</v>
      </c>
      <c r="DC187">
        <v>1.75578E-3</v>
      </c>
      <c r="DD187">
        <v>1.2618600000000001E-3</v>
      </c>
      <c r="DE187">
        <v>9.7436300000000001E-4</v>
      </c>
      <c r="DF187">
        <v>8.6869599999999996E-4</v>
      </c>
      <c r="DG187">
        <v>6.9505999999999995E-4</v>
      </c>
      <c r="DH187">
        <v>5.5871800000000004E-4</v>
      </c>
      <c r="DI187">
        <v>8.9211200000000003E-4</v>
      </c>
      <c r="DJ187">
        <v>2.2755E-4</v>
      </c>
      <c r="DK187">
        <v>1.1120699999999999E-4</v>
      </c>
      <c r="DL187">
        <v>1.63039E-4</v>
      </c>
      <c r="DM187" s="1">
        <v>9.2E-5</v>
      </c>
      <c r="DN187">
        <v>1.9548800000000001E-4</v>
      </c>
      <c r="DO187" s="1">
        <v>3.9700000000000003E-5</v>
      </c>
      <c r="DP187" s="1">
        <v>3.7100000000000001E-5</v>
      </c>
      <c r="DQ187" s="1">
        <v>1.15E-5</v>
      </c>
      <c r="DR187" s="1">
        <v>6.5799999999999997E-6</v>
      </c>
      <c r="DS187">
        <v>0</v>
      </c>
      <c r="DT187" s="1">
        <v>2.1399999999999998E-6</v>
      </c>
      <c r="DU187">
        <v>0</v>
      </c>
      <c r="DV187" s="1">
        <v>4.9899999999999997E-6</v>
      </c>
      <c r="DW187" t="s">
        <v>381</v>
      </c>
    </row>
    <row r="188" spans="1:127" x14ac:dyDescent="0.2">
      <c r="A188">
        <v>1992</v>
      </c>
      <c r="B188">
        <v>1</v>
      </c>
      <c r="C188">
        <v>1</v>
      </c>
      <c r="D188">
        <v>0</v>
      </c>
      <c r="E188">
        <v>0</v>
      </c>
      <c r="F188">
        <v>336</v>
      </c>
      <c r="G188">
        <v>0</v>
      </c>
      <c r="H188">
        <v>0</v>
      </c>
      <c r="I188">
        <v>0</v>
      </c>
      <c r="J188">
        <v>0</v>
      </c>
      <c r="K188">
        <v>0</v>
      </c>
      <c r="L188">
        <v>0</v>
      </c>
      <c r="M188">
        <v>0</v>
      </c>
      <c r="N188">
        <v>0</v>
      </c>
      <c r="O188">
        <v>0</v>
      </c>
      <c r="P188">
        <v>0</v>
      </c>
      <c r="Q188">
        <v>0</v>
      </c>
      <c r="R188" s="1">
        <v>6.7100000000000001E-6</v>
      </c>
      <c r="S188">
        <v>0</v>
      </c>
      <c r="T188" s="1">
        <v>1.34E-5</v>
      </c>
      <c r="U188" s="1">
        <v>6.9299999999999997E-6</v>
      </c>
      <c r="V188" s="1">
        <v>1.95E-5</v>
      </c>
      <c r="W188" s="1">
        <v>6.7100000000000001E-6</v>
      </c>
      <c r="X188" s="1">
        <v>1.7900000000000001E-5</v>
      </c>
      <c r="Y188" s="1">
        <v>1.3599999999999999E-6</v>
      </c>
      <c r="Z188" s="1">
        <v>2.1999999999999999E-5</v>
      </c>
      <c r="AA188" s="1">
        <v>1.19E-5</v>
      </c>
      <c r="AB188" s="1">
        <v>3.5099999999999999E-5</v>
      </c>
      <c r="AC188" s="1">
        <v>3.1300000000000002E-5</v>
      </c>
      <c r="AD188" s="1">
        <v>9.4500000000000007E-5</v>
      </c>
      <c r="AE188" s="1">
        <v>9.6700000000000006E-5</v>
      </c>
      <c r="AF188">
        <v>1.5029099999999999E-4</v>
      </c>
      <c r="AG188">
        <v>1.89932E-4</v>
      </c>
      <c r="AH188">
        <v>2.4877200000000002E-4</v>
      </c>
      <c r="AI188">
        <v>6.8149699999999998E-4</v>
      </c>
      <c r="AJ188">
        <v>9.4660299999999996E-4</v>
      </c>
      <c r="AK188">
        <v>1.0146000000000001E-3</v>
      </c>
      <c r="AL188">
        <v>8.6360300000000001E-4</v>
      </c>
      <c r="AM188">
        <v>2.0802199999999998E-3</v>
      </c>
      <c r="AN188">
        <v>2.1926799999999998E-3</v>
      </c>
      <c r="AO188">
        <v>2.9442499999999998E-3</v>
      </c>
      <c r="AP188">
        <v>3.3256700000000002E-3</v>
      </c>
      <c r="AQ188">
        <v>6.85924E-3</v>
      </c>
      <c r="AR188">
        <v>1.9603800000000001E-2</v>
      </c>
      <c r="AS188">
        <v>2.4521899999999999E-2</v>
      </c>
      <c r="AT188">
        <v>2.1865300000000001E-2</v>
      </c>
      <c r="AU188">
        <v>1.7892999999999999E-2</v>
      </c>
      <c r="AV188">
        <v>1.29696E-2</v>
      </c>
      <c r="AW188">
        <v>1.1558000000000001E-2</v>
      </c>
      <c r="AX188">
        <v>1.32666E-2</v>
      </c>
      <c r="AY188">
        <v>1.4621E-2</v>
      </c>
      <c r="AZ188">
        <v>1.76153E-2</v>
      </c>
      <c r="BA188">
        <v>1.8111499999999999E-2</v>
      </c>
      <c r="BB188">
        <v>1.736E-2</v>
      </c>
      <c r="BC188">
        <v>1.9370999999999999E-2</v>
      </c>
      <c r="BD188">
        <v>1.9703399999999999E-2</v>
      </c>
      <c r="BE188">
        <v>1.9929599999999999E-2</v>
      </c>
      <c r="BF188">
        <v>2.03547E-2</v>
      </c>
      <c r="BG188">
        <v>1.89918E-2</v>
      </c>
      <c r="BH188">
        <v>1.9301700000000001E-2</v>
      </c>
      <c r="BI188">
        <v>1.8188800000000001E-2</v>
      </c>
      <c r="BJ188">
        <v>1.8459300000000001E-2</v>
      </c>
      <c r="BK188">
        <v>1.8382599999999999E-2</v>
      </c>
      <c r="BL188">
        <v>1.7299599999999998E-2</v>
      </c>
      <c r="BM188">
        <v>1.7908500000000001E-2</v>
      </c>
      <c r="BN188">
        <v>1.8846600000000002E-2</v>
      </c>
      <c r="BO188">
        <v>1.91261E-2</v>
      </c>
      <c r="BP188">
        <v>2.0890499999999999E-2</v>
      </c>
      <c r="BQ188">
        <v>2.0615499999999998E-2</v>
      </c>
      <c r="BR188">
        <v>2.28054E-2</v>
      </c>
      <c r="BS188">
        <v>2.4451000000000001E-2</v>
      </c>
      <c r="BT188">
        <v>2.3394000000000002E-2</v>
      </c>
      <c r="BU188">
        <v>2.50446E-2</v>
      </c>
      <c r="BV188">
        <v>2.5676999999999998E-2</v>
      </c>
      <c r="BW188">
        <v>2.4408099999999999E-2</v>
      </c>
      <c r="BX188">
        <v>2.4438999999999999E-2</v>
      </c>
      <c r="BY188">
        <v>2.1069500000000001E-2</v>
      </c>
      <c r="BZ188">
        <v>2.2439000000000001E-2</v>
      </c>
      <c r="CA188">
        <v>2.08145E-2</v>
      </c>
      <c r="CB188">
        <v>2.0987800000000001E-2</v>
      </c>
      <c r="CC188">
        <v>1.98295E-2</v>
      </c>
      <c r="CD188">
        <v>1.8463400000000001E-2</v>
      </c>
      <c r="CE188">
        <v>1.76171E-2</v>
      </c>
      <c r="CF188">
        <v>1.71661E-2</v>
      </c>
      <c r="CG188">
        <v>1.5247999999999999E-2</v>
      </c>
      <c r="CH188">
        <v>1.64253E-2</v>
      </c>
      <c r="CI188">
        <v>1.30524E-2</v>
      </c>
      <c r="CJ188">
        <v>1.2889400000000001E-2</v>
      </c>
      <c r="CK188">
        <v>1.22571E-2</v>
      </c>
      <c r="CL188">
        <v>1.11054E-2</v>
      </c>
      <c r="CM188">
        <v>1.0337600000000001E-2</v>
      </c>
      <c r="CN188">
        <v>8.5752399999999996E-3</v>
      </c>
      <c r="CO188">
        <v>8.4445900000000001E-3</v>
      </c>
      <c r="CP188">
        <v>7.8626200000000007E-3</v>
      </c>
      <c r="CQ188">
        <v>7.3559300000000001E-3</v>
      </c>
      <c r="CR188">
        <v>6.3582300000000003E-3</v>
      </c>
      <c r="CS188">
        <v>5.0682499999999998E-3</v>
      </c>
      <c r="CT188">
        <v>5.2635900000000003E-3</v>
      </c>
      <c r="CU188">
        <v>4.3504900000000003E-3</v>
      </c>
      <c r="CV188">
        <v>4.0848200000000003E-3</v>
      </c>
      <c r="CW188">
        <v>3.81708E-3</v>
      </c>
      <c r="CX188">
        <v>3.3439799999999999E-3</v>
      </c>
      <c r="CY188">
        <v>2.9493399999999999E-3</v>
      </c>
      <c r="CZ188">
        <v>2.2017199999999999E-3</v>
      </c>
      <c r="DA188">
        <v>2.50066E-3</v>
      </c>
      <c r="DB188">
        <v>2.0662699999999998E-3</v>
      </c>
      <c r="DC188">
        <v>1.51885E-3</v>
      </c>
      <c r="DD188">
        <v>1.1393200000000001E-3</v>
      </c>
      <c r="DE188">
        <v>1.03644E-3</v>
      </c>
      <c r="DF188">
        <v>1.0677600000000001E-3</v>
      </c>
      <c r="DG188">
        <v>6.3181100000000003E-4</v>
      </c>
      <c r="DH188">
        <v>5.9404599999999998E-4</v>
      </c>
      <c r="DI188">
        <v>3.7762100000000002E-4</v>
      </c>
      <c r="DJ188">
        <v>2.0913799999999999E-4</v>
      </c>
      <c r="DK188">
        <v>2.6873000000000001E-4</v>
      </c>
      <c r="DL188">
        <v>1.3323799999999999E-4</v>
      </c>
      <c r="DM188">
        <v>1.1647800000000001E-4</v>
      </c>
      <c r="DN188" s="1">
        <v>3.96E-5</v>
      </c>
      <c r="DO188" s="1">
        <v>4.2299999999999998E-5</v>
      </c>
      <c r="DP188" s="1">
        <v>1.5400000000000002E-5</v>
      </c>
      <c r="DQ188" s="1">
        <v>1.9899999999999999E-5</v>
      </c>
      <c r="DR188" s="1">
        <v>5.04E-6</v>
      </c>
      <c r="DS188" s="1">
        <v>1.0499999999999999E-6</v>
      </c>
      <c r="DT188">
        <v>0</v>
      </c>
      <c r="DU188">
        <v>0</v>
      </c>
      <c r="DV188" s="1">
        <v>2.1299999999999999E-6</v>
      </c>
      <c r="DW188" t="s">
        <v>382</v>
      </c>
    </row>
    <row r="189" spans="1:127" x14ac:dyDescent="0.2">
      <c r="A189">
        <v>1993</v>
      </c>
      <c r="B189">
        <v>1</v>
      </c>
      <c r="C189">
        <v>1</v>
      </c>
      <c r="D189">
        <v>0</v>
      </c>
      <c r="E189">
        <v>0</v>
      </c>
      <c r="F189">
        <v>199</v>
      </c>
      <c r="G189">
        <v>0</v>
      </c>
      <c r="H189">
        <v>0</v>
      </c>
      <c r="I189">
        <v>0</v>
      </c>
      <c r="J189">
        <v>0</v>
      </c>
      <c r="K189">
        <v>0</v>
      </c>
      <c r="L189">
        <v>0</v>
      </c>
      <c r="M189">
        <v>0</v>
      </c>
      <c r="N189" s="1">
        <v>9.9300000000000006E-7</v>
      </c>
      <c r="O189">
        <v>0</v>
      </c>
      <c r="P189">
        <v>0</v>
      </c>
      <c r="Q189">
        <v>0</v>
      </c>
      <c r="R189">
        <v>0</v>
      </c>
      <c r="S189">
        <v>0</v>
      </c>
      <c r="T189">
        <v>0</v>
      </c>
      <c r="U189" s="1">
        <v>2.23E-7</v>
      </c>
      <c r="V189" s="1">
        <v>2.4499999999999998E-6</v>
      </c>
      <c r="W189" s="1">
        <v>3.8399999999999997E-6</v>
      </c>
      <c r="X189">
        <v>5.10562E-4</v>
      </c>
      <c r="Y189">
        <v>5.1115000000000004E-4</v>
      </c>
      <c r="Z189">
        <v>5.3221200000000001E-4</v>
      </c>
      <c r="AA189" s="1">
        <v>2.4000000000000001E-5</v>
      </c>
      <c r="AB189" s="1">
        <v>3.5500000000000002E-5</v>
      </c>
      <c r="AC189" s="1">
        <v>3.2199999999999997E-5</v>
      </c>
      <c r="AD189" s="1">
        <v>5.6700000000000003E-5</v>
      </c>
      <c r="AE189" s="1">
        <v>6.7399999999999998E-5</v>
      </c>
      <c r="AF189">
        <v>1.2199400000000001E-3</v>
      </c>
      <c r="AG189">
        <v>1.95863E-4</v>
      </c>
      <c r="AH189">
        <v>2.42088E-4</v>
      </c>
      <c r="AI189">
        <v>1.00409E-3</v>
      </c>
      <c r="AJ189">
        <v>8.0759500000000004E-4</v>
      </c>
      <c r="AK189">
        <v>1.71076E-3</v>
      </c>
      <c r="AL189">
        <v>2.5886799999999999E-3</v>
      </c>
      <c r="AM189">
        <v>2.7829600000000001E-3</v>
      </c>
      <c r="AN189">
        <v>1.65902E-3</v>
      </c>
      <c r="AO189">
        <v>3.2642499999999998E-3</v>
      </c>
      <c r="AP189">
        <v>2.4631800000000001E-3</v>
      </c>
      <c r="AQ189">
        <v>1.7664200000000001E-3</v>
      </c>
      <c r="AR189">
        <v>6.7059199999999998E-3</v>
      </c>
      <c r="AS189">
        <v>1.0671999999999999E-2</v>
      </c>
      <c r="AT189">
        <v>6.9746000000000001E-3</v>
      </c>
      <c r="AU189">
        <v>1.25684E-2</v>
      </c>
      <c r="AV189">
        <v>1.6526099999999998E-2</v>
      </c>
      <c r="AW189">
        <v>1.2228299999999999E-2</v>
      </c>
      <c r="AX189">
        <v>1.52135E-2</v>
      </c>
      <c r="AY189">
        <v>2.0961199999999999E-2</v>
      </c>
      <c r="AZ189">
        <v>2.5318E-2</v>
      </c>
      <c r="BA189">
        <v>2.2088199999999999E-2</v>
      </c>
      <c r="BB189">
        <v>2.4743299999999999E-2</v>
      </c>
      <c r="BC189">
        <v>2.5578300000000002E-2</v>
      </c>
      <c r="BD189">
        <v>4.52177E-2</v>
      </c>
      <c r="BE189">
        <v>2.4203700000000002E-2</v>
      </c>
      <c r="BF189">
        <v>2.5289599999999999E-2</v>
      </c>
      <c r="BG189">
        <v>2.6730899999999998E-2</v>
      </c>
      <c r="BH189">
        <v>3.50303E-2</v>
      </c>
      <c r="BI189">
        <v>3.5944299999999998E-2</v>
      </c>
      <c r="BJ189">
        <v>3.5128800000000002E-2</v>
      </c>
      <c r="BK189">
        <v>2.8275600000000001E-2</v>
      </c>
      <c r="BL189">
        <v>2.65461E-2</v>
      </c>
      <c r="BM189">
        <v>3.62286E-2</v>
      </c>
      <c r="BN189">
        <v>2.6614499999999999E-2</v>
      </c>
      <c r="BO189">
        <v>2.4937999999999998E-2</v>
      </c>
      <c r="BP189">
        <v>3.5317099999999997E-2</v>
      </c>
      <c r="BQ189">
        <v>2.3635400000000001E-2</v>
      </c>
      <c r="BR189">
        <v>2.7034300000000001E-2</v>
      </c>
      <c r="BS189">
        <v>2.5438200000000001E-2</v>
      </c>
      <c r="BT189">
        <v>1.53145E-2</v>
      </c>
      <c r="BU189">
        <v>1.80254E-2</v>
      </c>
      <c r="BV189">
        <v>1.5808099999999999E-2</v>
      </c>
      <c r="BW189">
        <v>1.6125500000000001E-2</v>
      </c>
      <c r="BX189">
        <v>1.2157299999999999E-2</v>
      </c>
      <c r="BY189">
        <v>1.1868800000000001E-2</v>
      </c>
      <c r="BZ189">
        <v>2.26594E-2</v>
      </c>
      <c r="CA189">
        <v>1.1831299999999999E-2</v>
      </c>
      <c r="CB189">
        <v>1.17813E-2</v>
      </c>
      <c r="CC189">
        <v>1.71001E-2</v>
      </c>
      <c r="CD189">
        <v>1.0474900000000001E-2</v>
      </c>
      <c r="CE189">
        <v>1.31419E-2</v>
      </c>
      <c r="CF189">
        <v>8.6759300000000001E-3</v>
      </c>
      <c r="CG189">
        <v>7.95124E-3</v>
      </c>
      <c r="CH189">
        <v>8.7038900000000006E-3</v>
      </c>
      <c r="CI189">
        <v>7.0564E-3</v>
      </c>
      <c r="CJ189">
        <v>7.1872400000000001E-3</v>
      </c>
      <c r="CK189">
        <v>8.6649399999999994E-3</v>
      </c>
      <c r="CL189">
        <v>7.2750100000000002E-3</v>
      </c>
      <c r="CM189">
        <v>7.7606100000000003E-3</v>
      </c>
      <c r="CN189">
        <v>4.9068499999999999E-3</v>
      </c>
      <c r="CO189">
        <v>1.0522E-2</v>
      </c>
      <c r="CP189">
        <v>3.36726E-3</v>
      </c>
      <c r="CQ189">
        <v>4.1337199999999996E-3</v>
      </c>
      <c r="CR189">
        <v>3.04536E-3</v>
      </c>
      <c r="CS189">
        <v>5.0824599999999996E-3</v>
      </c>
      <c r="CT189">
        <v>2.2909499999999999E-3</v>
      </c>
      <c r="CU189">
        <v>1.9829399999999999E-3</v>
      </c>
      <c r="CV189">
        <v>3.3624599999999998E-3</v>
      </c>
      <c r="CW189">
        <v>2.7735699999999999E-3</v>
      </c>
      <c r="CX189">
        <v>3.1530500000000001E-3</v>
      </c>
      <c r="CY189">
        <v>1.26819E-3</v>
      </c>
      <c r="CZ189">
        <v>1.0168099999999999E-3</v>
      </c>
      <c r="DA189">
        <v>9.3114900000000004E-4</v>
      </c>
      <c r="DB189">
        <v>2.5043399999999999E-3</v>
      </c>
      <c r="DC189">
        <v>6.0091500000000004E-4</v>
      </c>
      <c r="DD189">
        <v>1.8868699999999999E-3</v>
      </c>
      <c r="DE189">
        <v>2.1133100000000002E-3</v>
      </c>
      <c r="DF189">
        <v>1.16084E-3</v>
      </c>
      <c r="DG189">
        <v>2.0389799999999999E-4</v>
      </c>
      <c r="DH189">
        <v>1.70667E-4</v>
      </c>
      <c r="DI189" s="1">
        <v>8.5599999999999994E-5</v>
      </c>
      <c r="DJ189" s="1">
        <v>6.6799999999999997E-5</v>
      </c>
      <c r="DK189">
        <v>1.11328E-4</v>
      </c>
      <c r="DL189" s="1">
        <v>3.6900000000000002E-5</v>
      </c>
      <c r="DM189" s="1">
        <v>7.52E-6</v>
      </c>
      <c r="DN189">
        <v>9.6139999999999995E-4</v>
      </c>
      <c r="DO189" s="1">
        <v>1.04E-5</v>
      </c>
      <c r="DP189" s="1">
        <v>6.64E-6</v>
      </c>
      <c r="DQ189" s="1">
        <v>1.2099999999999999E-5</v>
      </c>
      <c r="DR189" s="1">
        <v>2.65E-6</v>
      </c>
      <c r="DS189" s="1">
        <v>1.2099999999999999E-5</v>
      </c>
      <c r="DT189" s="1">
        <v>7.8399999999999995E-6</v>
      </c>
      <c r="DU189">
        <v>0</v>
      </c>
      <c r="DV189" s="1">
        <v>4.3499999999999999E-6</v>
      </c>
      <c r="DW189" t="s">
        <v>383</v>
      </c>
    </row>
    <row r="190" spans="1:127" x14ac:dyDescent="0.2">
      <c r="A190">
        <v>1994</v>
      </c>
      <c r="B190">
        <v>1</v>
      </c>
      <c r="C190">
        <v>1</v>
      </c>
      <c r="D190">
        <v>0</v>
      </c>
      <c r="E190">
        <v>0</v>
      </c>
      <c r="F190">
        <v>313</v>
      </c>
      <c r="G190">
        <v>0</v>
      </c>
      <c r="H190">
        <v>0</v>
      </c>
      <c r="I190">
        <v>0</v>
      </c>
      <c r="J190">
        <v>0</v>
      </c>
      <c r="K190">
        <v>0</v>
      </c>
      <c r="L190">
        <v>0</v>
      </c>
      <c r="M190">
        <v>0</v>
      </c>
      <c r="N190">
        <v>0</v>
      </c>
      <c r="O190">
        <v>0</v>
      </c>
      <c r="P190">
        <v>0</v>
      </c>
      <c r="Q190">
        <v>0</v>
      </c>
      <c r="R190">
        <v>0</v>
      </c>
      <c r="S190" s="1">
        <v>3.5600000000000001E-7</v>
      </c>
      <c r="T190">
        <v>0</v>
      </c>
      <c r="U190" s="1">
        <v>1.1999999999999999E-6</v>
      </c>
      <c r="V190" s="1">
        <v>6.7899999999999998E-7</v>
      </c>
      <c r="W190">
        <v>0</v>
      </c>
      <c r="X190" s="1">
        <v>3.6100000000000002E-6</v>
      </c>
      <c r="Y190" s="1">
        <v>1.3400000000000001E-6</v>
      </c>
      <c r="Z190" s="1">
        <v>1.7799999999999999E-5</v>
      </c>
      <c r="AA190" s="1">
        <v>4.2699999999999998E-6</v>
      </c>
      <c r="AB190" s="1">
        <v>2.1100000000000001E-5</v>
      </c>
      <c r="AC190" s="1">
        <v>9.5000000000000005E-6</v>
      </c>
      <c r="AD190" s="1">
        <v>2.3E-5</v>
      </c>
      <c r="AE190">
        <v>1.0004E-4</v>
      </c>
      <c r="AF190">
        <v>2.1963000000000001E-4</v>
      </c>
      <c r="AG190">
        <v>3.3454200000000001E-4</v>
      </c>
      <c r="AH190">
        <v>8.8932699999999998E-4</v>
      </c>
      <c r="AI190">
        <v>9.6226500000000002E-4</v>
      </c>
      <c r="AJ190">
        <v>1.3473199999999999E-3</v>
      </c>
      <c r="AK190">
        <v>2.1206799999999998E-3</v>
      </c>
      <c r="AL190">
        <v>2.1410600000000002E-3</v>
      </c>
      <c r="AM190">
        <v>2.4120399999999998E-3</v>
      </c>
      <c r="AN190">
        <v>2.4713299999999999E-3</v>
      </c>
      <c r="AO190">
        <v>2.6241699999999999E-3</v>
      </c>
      <c r="AP190">
        <v>3.03127E-3</v>
      </c>
      <c r="AQ190">
        <v>3.0395299999999999E-3</v>
      </c>
      <c r="AR190">
        <v>2.4832299999999999E-3</v>
      </c>
      <c r="AS190">
        <v>2.2116100000000001E-3</v>
      </c>
      <c r="AT190">
        <v>3.6899200000000002E-3</v>
      </c>
      <c r="AU190">
        <v>3.76824E-3</v>
      </c>
      <c r="AV190">
        <v>6.4579099999999999E-3</v>
      </c>
      <c r="AW190">
        <v>9.7263200000000001E-3</v>
      </c>
      <c r="AX190">
        <v>1.34679E-2</v>
      </c>
      <c r="AY190">
        <v>1.93206E-2</v>
      </c>
      <c r="AZ190">
        <v>2.1384400000000001E-2</v>
      </c>
      <c r="BA190">
        <v>2.53847E-2</v>
      </c>
      <c r="BB190">
        <v>2.3720600000000001E-2</v>
      </c>
      <c r="BC190">
        <v>2.2265400000000001E-2</v>
      </c>
      <c r="BD190">
        <v>2.49056E-2</v>
      </c>
      <c r="BE190">
        <v>2.0587299999999999E-2</v>
      </c>
      <c r="BF190">
        <v>2.3683200000000001E-2</v>
      </c>
      <c r="BG190">
        <v>2.3840099999999999E-2</v>
      </c>
      <c r="BH190">
        <v>2.50137E-2</v>
      </c>
      <c r="BI190">
        <v>2.80591E-2</v>
      </c>
      <c r="BJ190">
        <v>2.8946400000000001E-2</v>
      </c>
      <c r="BK190">
        <v>3.0747300000000002E-2</v>
      </c>
      <c r="BL190">
        <v>3.1049299999999998E-2</v>
      </c>
      <c r="BM190">
        <v>3.1293500000000002E-2</v>
      </c>
      <c r="BN190">
        <v>3.6031300000000002E-2</v>
      </c>
      <c r="BO190">
        <v>3.3654299999999998E-2</v>
      </c>
      <c r="BP190">
        <v>3.3497600000000002E-2</v>
      </c>
      <c r="BQ190">
        <v>3.3864999999999999E-2</v>
      </c>
      <c r="BR190">
        <v>3.4313900000000001E-2</v>
      </c>
      <c r="BS190">
        <v>3.3539399999999997E-2</v>
      </c>
      <c r="BT190">
        <v>3.1055200000000002E-2</v>
      </c>
      <c r="BU190">
        <v>3.2435100000000001E-2</v>
      </c>
      <c r="BV190">
        <v>3.0501E-2</v>
      </c>
      <c r="BW190">
        <v>2.7694900000000001E-2</v>
      </c>
      <c r="BX190">
        <v>2.71226E-2</v>
      </c>
      <c r="BY190">
        <v>2.06912E-2</v>
      </c>
      <c r="BZ190">
        <v>1.83474E-2</v>
      </c>
      <c r="CA190">
        <v>1.7183799999999999E-2</v>
      </c>
      <c r="CB190">
        <v>1.5141E-2</v>
      </c>
      <c r="CC190">
        <v>1.45722E-2</v>
      </c>
      <c r="CD190">
        <v>1.12371E-2</v>
      </c>
      <c r="CE190">
        <v>1.08007E-2</v>
      </c>
      <c r="CF190">
        <v>9.19909E-3</v>
      </c>
      <c r="CG190">
        <v>8.3833199999999997E-3</v>
      </c>
      <c r="CH190">
        <v>8.9559600000000007E-3</v>
      </c>
      <c r="CI190">
        <v>7.0900399999999997E-3</v>
      </c>
      <c r="CJ190">
        <v>6.0709099999999997E-3</v>
      </c>
      <c r="CK190">
        <v>5.3010000000000002E-3</v>
      </c>
      <c r="CL190">
        <v>5.9387099999999998E-3</v>
      </c>
      <c r="CM190">
        <v>5.0453199999999998E-3</v>
      </c>
      <c r="CN190">
        <v>4.32381E-3</v>
      </c>
      <c r="CO190">
        <v>3.62401E-3</v>
      </c>
      <c r="CP190">
        <v>3.5484900000000001E-3</v>
      </c>
      <c r="CQ190">
        <v>3.3304799999999998E-3</v>
      </c>
      <c r="CR190">
        <v>3.5956299999999998E-3</v>
      </c>
      <c r="CS190">
        <v>2.7159200000000001E-3</v>
      </c>
      <c r="CT190">
        <v>2.9103200000000001E-3</v>
      </c>
      <c r="CU190">
        <v>1.91793E-3</v>
      </c>
      <c r="CV190">
        <v>1.9493399999999999E-3</v>
      </c>
      <c r="CW190">
        <v>1.64175E-3</v>
      </c>
      <c r="CX190">
        <v>1.3363800000000001E-3</v>
      </c>
      <c r="CY190">
        <v>1.2037300000000001E-3</v>
      </c>
      <c r="CZ190">
        <v>1.0591800000000001E-3</v>
      </c>
      <c r="DA190">
        <v>8.3589799999999996E-4</v>
      </c>
      <c r="DB190">
        <v>1.04141E-3</v>
      </c>
      <c r="DC190">
        <v>7.1269599999999997E-4</v>
      </c>
      <c r="DD190">
        <v>5.1139100000000004E-4</v>
      </c>
      <c r="DE190">
        <v>4.19868E-4</v>
      </c>
      <c r="DF190">
        <v>4.5664499999999999E-4</v>
      </c>
      <c r="DG190">
        <v>3.2510599999999997E-4</v>
      </c>
      <c r="DH190">
        <v>3.0374699999999999E-4</v>
      </c>
      <c r="DI190">
        <v>1.504E-4</v>
      </c>
      <c r="DJ190">
        <v>1.15312E-4</v>
      </c>
      <c r="DK190">
        <v>1.3106899999999999E-4</v>
      </c>
      <c r="DL190">
        <v>1.2443299999999999E-4</v>
      </c>
      <c r="DM190" s="1">
        <v>6.8800000000000005E-5</v>
      </c>
      <c r="DN190" s="1">
        <v>4.2299999999999998E-5</v>
      </c>
      <c r="DO190" s="1">
        <v>2.51E-5</v>
      </c>
      <c r="DP190" s="1">
        <v>1.77E-5</v>
      </c>
      <c r="DQ190" s="1">
        <v>2.6599999999999999E-5</v>
      </c>
      <c r="DR190" s="1">
        <v>2.8799999999999999E-5</v>
      </c>
      <c r="DS190">
        <v>0</v>
      </c>
      <c r="DT190" s="1">
        <v>1.5699999999999999E-5</v>
      </c>
      <c r="DU190" s="1">
        <v>3.8199999999999998E-6</v>
      </c>
      <c r="DV190" s="1">
        <v>3.5500000000000002E-5</v>
      </c>
      <c r="DW190" t="s">
        <v>384</v>
      </c>
    </row>
    <row r="191" spans="1:127" x14ac:dyDescent="0.2">
      <c r="A191">
        <v>1995</v>
      </c>
      <c r="B191">
        <v>1</v>
      </c>
      <c r="C191">
        <v>1</v>
      </c>
      <c r="D191">
        <v>0</v>
      </c>
      <c r="E191">
        <v>0</v>
      </c>
      <c r="F191">
        <v>340</v>
      </c>
      <c r="G191">
        <v>0</v>
      </c>
      <c r="H191">
        <v>0</v>
      </c>
      <c r="I191">
        <v>0</v>
      </c>
      <c r="J191">
        <v>0</v>
      </c>
      <c r="K191">
        <v>0</v>
      </c>
      <c r="L191">
        <v>0</v>
      </c>
      <c r="M191">
        <v>0</v>
      </c>
      <c r="N191">
        <v>0</v>
      </c>
      <c r="O191">
        <v>0</v>
      </c>
      <c r="P191">
        <v>0</v>
      </c>
      <c r="Q191">
        <v>0</v>
      </c>
      <c r="R191">
        <v>0</v>
      </c>
      <c r="S191">
        <v>0</v>
      </c>
      <c r="T191">
        <v>0</v>
      </c>
      <c r="U191">
        <v>0</v>
      </c>
      <c r="V191" s="1">
        <v>1.13E-5</v>
      </c>
      <c r="W191" s="1">
        <v>1.6500000000000001E-5</v>
      </c>
      <c r="X191" s="1">
        <v>2.27E-5</v>
      </c>
      <c r="Y191" s="1">
        <v>2.2200000000000001E-5</v>
      </c>
      <c r="Z191" s="1">
        <v>2.6699999999999998E-5</v>
      </c>
      <c r="AA191" s="1">
        <v>3.6900000000000002E-5</v>
      </c>
      <c r="AB191" s="1">
        <v>3.7400000000000001E-5</v>
      </c>
      <c r="AC191" s="1">
        <v>4.3099999999999997E-5</v>
      </c>
      <c r="AD191" s="1">
        <v>5.3399999999999997E-5</v>
      </c>
      <c r="AE191">
        <v>1.4806300000000001E-4</v>
      </c>
      <c r="AF191">
        <v>1.8452799999999999E-4</v>
      </c>
      <c r="AG191">
        <v>2.0016200000000001E-4</v>
      </c>
      <c r="AH191">
        <v>4.2821800000000001E-4</v>
      </c>
      <c r="AI191">
        <v>9.5025399999999999E-4</v>
      </c>
      <c r="AJ191">
        <v>6.2520700000000002E-4</v>
      </c>
      <c r="AK191">
        <v>8.0037999999999995E-4</v>
      </c>
      <c r="AL191">
        <v>1.3027399999999999E-3</v>
      </c>
      <c r="AM191">
        <v>1.47382E-3</v>
      </c>
      <c r="AN191">
        <v>1.92168E-3</v>
      </c>
      <c r="AO191">
        <v>1.88842E-3</v>
      </c>
      <c r="AP191">
        <v>1.93027E-3</v>
      </c>
      <c r="AQ191">
        <v>1.9819899999999999E-3</v>
      </c>
      <c r="AR191">
        <v>4.0222699999999997E-3</v>
      </c>
      <c r="AS191">
        <v>6.7832400000000003E-3</v>
      </c>
      <c r="AT191">
        <v>1.08117E-2</v>
      </c>
      <c r="AU191">
        <v>1.3746599999999999E-2</v>
      </c>
      <c r="AV191">
        <v>1.68519E-2</v>
      </c>
      <c r="AW191">
        <v>2.34352E-2</v>
      </c>
      <c r="AX191">
        <v>2.4061699999999998E-2</v>
      </c>
      <c r="AY191">
        <v>2.3553299999999999E-2</v>
      </c>
      <c r="AZ191">
        <v>2.28709E-2</v>
      </c>
      <c r="BA191">
        <v>2.1535599999999998E-2</v>
      </c>
      <c r="BB191">
        <v>1.8831199999999999E-2</v>
      </c>
      <c r="BC191">
        <v>1.8318399999999999E-2</v>
      </c>
      <c r="BD191">
        <v>1.8949299999999999E-2</v>
      </c>
      <c r="BE191">
        <v>1.90186E-2</v>
      </c>
      <c r="BF191">
        <v>1.9216799999999999E-2</v>
      </c>
      <c r="BG191">
        <v>2.0941700000000001E-2</v>
      </c>
      <c r="BH191">
        <v>2.3163900000000001E-2</v>
      </c>
      <c r="BI191">
        <v>2.5087100000000001E-2</v>
      </c>
      <c r="BJ191">
        <v>2.6062100000000001E-2</v>
      </c>
      <c r="BK191">
        <v>2.9572600000000001E-2</v>
      </c>
      <c r="BL191">
        <v>2.8278000000000001E-2</v>
      </c>
      <c r="BM191">
        <v>2.9843399999999999E-2</v>
      </c>
      <c r="BN191">
        <v>3.2360300000000002E-2</v>
      </c>
      <c r="BO191">
        <v>3.1855300000000003E-2</v>
      </c>
      <c r="BP191">
        <v>3.2626299999999997E-2</v>
      </c>
      <c r="BQ191">
        <v>3.3341000000000003E-2</v>
      </c>
      <c r="BR191">
        <v>3.1253700000000002E-2</v>
      </c>
      <c r="BS191">
        <v>3.2968299999999999E-2</v>
      </c>
      <c r="BT191">
        <v>3.1209500000000001E-2</v>
      </c>
      <c r="BU191">
        <v>3.2644300000000001E-2</v>
      </c>
      <c r="BV191">
        <v>2.92854E-2</v>
      </c>
      <c r="BW191">
        <v>2.7628099999999999E-2</v>
      </c>
      <c r="BX191">
        <v>2.6569300000000001E-2</v>
      </c>
      <c r="BY191">
        <v>2.2351800000000002E-2</v>
      </c>
      <c r="BZ191">
        <v>2.1543099999999999E-2</v>
      </c>
      <c r="CA191">
        <v>1.84601E-2</v>
      </c>
      <c r="CB191">
        <v>1.6432100000000002E-2</v>
      </c>
      <c r="CC191">
        <v>1.61198E-2</v>
      </c>
      <c r="CD191">
        <v>1.20722E-2</v>
      </c>
      <c r="CE191">
        <v>1.0813400000000001E-2</v>
      </c>
      <c r="CF191">
        <v>9.4425299999999993E-3</v>
      </c>
      <c r="CG191">
        <v>8.6397999999999996E-3</v>
      </c>
      <c r="CH191">
        <v>8.1347199999999998E-3</v>
      </c>
      <c r="CI191">
        <v>6.3703600000000003E-3</v>
      </c>
      <c r="CJ191">
        <v>5.7026799999999999E-3</v>
      </c>
      <c r="CK191">
        <v>5.0978200000000003E-3</v>
      </c>
      <c r="CL191">
        <v>4.3461300000000001E-3</v>
      </c>
      <c r="CM191">
        <v>4.1775400000000004E-3</v>
      </c>
      <c r="CN191">
        <v>3.28013E-3</v>
      </c>
      <c r="CO191">
        <v>3.2732999999999998E-3</v>
      </c>
      <c r="CP191">
        <v>2.73055E-3</v>
      </c>
      <c r="CQ191">
        <v>2.6981800000000001E-3</v>
      </c>
      <c r="CR191">
        <v>2.83907E-3</v>
      </c>
      <c r="CS191">
        <v>2.0137599999999999E-3</v>
      </c>
      <c r="CT191">
        <v>1.9158599999999999E-3</v>
      </c>
      <c r="CU191">
        <v>1.6768200000000001E-3</v>
      </c>
      <c r="CV191">
        <v>1.3118400000000001E-3</v>
      </c>
      <c r="CW191">
        <v>1.25723E-3</v>
      </c>
      <c r="CX191">
        <v>1.10246E-3</v>
      </c>
      <c r="CY191">
        <v>8.5455800000000005E-4</v>
      </c>
      <c r="CZ191">
        <v>8.3532099999999998E-4</v>
      </c>
      <c r="DA191">
        <v>7.6169599999999997E-4</v>
      </c>
      <c r="DB191">
        <v>6.5492800000000004E-4</v>
      </c>
      <c r="DC191">
        <v>4.7436800000000002E-4</v>
      </c>
      <c r="DD191">
        <v>4.8688699999999998E-4</v>
      </c>
      <c r="DE191">
        <v>2.6845999999999999E-4</v>
      </c>
      <c r="DF191">
        <v>2.32088E-4</v>
      </c>
      <c r="DG191">
        <v>2.4105E-4</v>
      </c>
      <c r="DH191">
        <v>1.43583E-4</v>
      </c>
      <c r="DI191">
        <v>1.0214500000000001E-4</v>
      </c>
      <c r="DJ191" s="1">
        <v>6.6299999999999999E-5</v>
      </c>
      <c r="DK191" s="1">
        <v>5.3699999999999997E-5</v>
      </c>
      <c r="DL191" s="1">
        <v>8.5400000000000002E-5</v>
      </c>
      <c r="DM191" s="1">
        <v>2.0000000000000002E-5</v>
      </c>
      <c r="DN191" s="1">
        <v>1.9899999999999999E-5</v>
      </c>
      <c r="DO191" s="1">
        <v>1.0900000000000001E-5</v>
      </c>
      <c r="DP191" s="1">
        <v>1.1600000000000001E-5</v>
      </c>
      <c r="DQ191" s="1">
        <v>3.1199999999999999E-5</v>
      </c>
      <c r="DR191" s="1">
        <v>7.9000000000000006E-6</v>
      </c>
      <c r="DS191" s="1">
        <v>1.3E-7</v>
      </c>
      <c r="DT191" s="1">
        <v>8.8800000000000001E-7</v>
      </c>
      <c r="DU191" s="1">
        <v>1.3E-7</v>
      </c>
      <c r="DV191" s="1">
        <v>3.0700000000000001E-5</v>
      </c>
      <c r="DW191" t="s">
        <v>385</v>
      </c>
    </row>
    <row r="192" spans="1:127" x14ac:dyDescent="0.2">
      <c r="A192">
        <v>1996</v>
      </c>
      <c r="B192">
        <v>1</v>
      </c>
      <c r="C192">
        <v>1</v>
      </c>
      <c r="D192">
        <v>0</v>
      </c>
      <c r="E192">
        <v>0</v>
      </c>
      <c r="F192">
        <v>440</v>
      </c>
      <c r="G192">
        <v>0</v>
      </c>
      <c r="H192">
        <v>0</v>
      </c>
      <c r="I192">
        <v>0</v>
      </c>
      <c r="J192">
        <v>0</v>
      </c>
      <c r="K192">
        <v>0</v>
      </c>
      <c r="L192">
        <v>0</v>
      </c>
      <c r="M192">
        <v>0</v>
      </c>
      <c r="N192">
        <v>0</v>
      </c>
      <c r="O192" s="1">
        <v>1.2699999999999999E-6</v>
      </c>
      <c r="P192">
        <v>0</v>
      </c>
      <c r="Q192">
        <v>0</v>
      </c>
      <c r="R192" s="1">
        <v>3.3900000000000002E-6</v>
      </c>
      <c r="S192" s="1">
        <v>3.2799999999999999E-6</v>
      </c>
      <c r="T192" s="1">
        <v>4.0600000000000001E-6</v>
      </c>
      <c r="U192" s="1">
        <v>6.6699999999999997E-6</v>
      </c>
      <c r="V192" s="1">
        <v>8.1499999999999999E-6</v>
      </c>
      <c r="W192" s="1">
        <v>4.2200000000000003E-6</v>
      </c>
      <c r="X192" s="1">
        <v>1.5800000000000001E-5</v>
      </c>
      <c r="Y192" s="1">
        <v>1.22E-5</v>
      </c>
      <c r="Z192" s="1">
        <v>1.6399999999999999E-5</v>
      </c>
      <c r="AA192" s="1">
        <v>9.3400000000000004E-6</v>
      </c>
      <c r="AB192" s="1">
        <v>1.3699999999999999E-5</v>
      </c>
      <c r="AC192" s="1">
        <v>7.0299999999999996E-6</v>
      </c>
      <c r="AD192" s="1">
        <v>1.36E-5</v>
      </c>
      <c r="AE192" s="1">
        <v>3.1699999999999998E-5</v>
      </c>
      <c r="AF192" s="1">
        <v>9.1399999999999999E-5</v>
      </c>
      <c r="AG192">
        <v>1.19961E-4</v>
      </c>
      <c r="AH192">
        <v>2.7585000000000001E-4</v>
      </c>
      <c r="AI192">
        <v>4.0990800000000001E-4</v>
      </c>
      <c r="AJ192">
        <v>5.7341300000000005E-4</v>
      </c>
      <c r="AK192">
        <v>7.0252900000000002E-4</v>
      </c>
      <c r="AL192">
        <v>9.8420600000000006E-4</v>
      </c>
      <c r="AM192">
        <v>8.7927299999999997E-4</v>
      </c>
      <c r="AN192">
        <v>1.33921E-3</v>
      </c>
      <c r="AO192">
        <v>1.19422E-3</v>
      </c>
      <c r="AP192">
        <v>9.960259999999999E-4</v>
      </c>
      <c r="AQ192">
        <v>1.25172E-3</v>
      </c>
      <c r="AR192">
        <v>1.0072799999999999E-3</v>
      </c>
      <c r="AS192">
        <v>1.17936E-3</v>
      </c>
      <c r="AT192">
        <v>1.3566699999999999E-3</v>
      </c>
      <c r="AU192">
        <v>2.0785700000000001E-3</v>
      </c>
      <c r="AV192">
        <v>3.8541700000000001E-3</v>
      </c>
      <c r="AW192">
        <v>4.2191900000000003E-3</v>
      </c>
      <c r="AX192">
        <v>6.7347400000000003E-3</v>
      </c>
      <c r="AY192">
        <v>8.9764300000000005E-3</v>
      </c>
      <c r="AZ192">
        <v>1.04311E-2</v>
      </c>
      <c r="BA192">
        <v>1.3034799999999999E-2</v>
      </c>
      <c r="BB192">
        <v>1.51764E-2</v>
      </c>
      <c r="BC192">
        <v>1.8326800000000001E-2</v>
      </c>
      <c r="BD192">
        <v>2.17012E-2</v>
      </c>
      <c r="BE192">
        <v>2.4239E-2</v>
      </c>
      <c r="BF192">
        <v>2.5942400000000001E-2</v>
      </c>
      <c r="BG192">
        <v>2.94776E-2</v>
      </c>
      <c r="BH192">
        <v>3.0367499999999999E-2</v>
      </c>
      <c r="BI192">
        <v>3.1304600000000002E-2</v>
      </c>
      <c r="BJ192">
        <v>3.0610399999999999E-2</v>
      </c>
      <c r="BK192">
        <v>3.0766700000000001E-2</v>
      </c>
      <c r="BL192">
        <v>3.1792800000000003E-2</v>
      </c>
      <c r="BM192">
        <v>3.1752599999999999E-2</v>
      </c>
      <c r="BN192">
        <v>3.09725E-2</v>
      </c>
      <c r="BO192">
        <v>3.0592899999999999E-2</v>
      </c>
      <c r="BP192">
        <v>3.1142599999999999E-2</v>
      </c>
      <c r="BQ192">
        <v>3.1050500000000002E-2</v>
      </c>
      <c r="BR192">
        <v>2.99624E-2</v>
      </c>
      <c r="BS192">
        <v>3.1509799999999998E-2</v>
      </c>
      <c r="BT192">
        <v>2.9708499999999999E-2</v>
      </c>
      <c r="BU192">
        <v>2.9579500000000002E-2</v>
      </c>
      <c r="BV192">
        <v>2.81327E-2</v>
      </c>
      <c r="BW192">
        <v>2.78944E-2</v>
      </c>
      <c r="BX192">
        <v>2.8316399999999999E-2</v>
      </c>
      <c r="BY192">
        <v>2.45737E-2</v>
      </c>
      <c r="BZ192">
        <v>2.4460699999999998E-2</v>
      </c>
      <c r="CA192">
        <v>2.2873299999999999E-2</v>
      </c>
      <c r="CB192">
        <v>2.1141500000000001E-2</v>
      </c>
      <c r="CC192">
        <v>2.0417000000000001E-2</v>
      </c>
      <c r="CD192">
        <v>1.8087099999999998E-2</v>
      </c>
      <c r="CE192">
        <v>1.6587399999999999E-2</v>
      </c>
      <c r="CF192">
        <v>1.54667E-2</v>
      </c>
      <c r="CG192">
        <v>1.3813799999999999E-2</v>
      </c>
      <c r="CH192">
        <v>1.2546399999999999E-2</v>
      </c>
      <c r="CI192">
        <v>1.08939E-2</v>
      </c>
      <c r="CJ192">
        <v>9.8109600000000005E-3</v>
      </c>
      <c r="CK192">
        <v>9.0089200000000001E-3</v>
      </c>
      <c r="CL192">
        <v>7.8721899999999994E-3</v>
      </c>
      <c r="CM192">
        <v>7.5050200000000003E-3</v>
      </c>
      <c r="CN192">
        <v>6.21574E-3</v>
      </c>
      <c r="CO192">
        <v>5.6886200000000001E-3</v>
      </c>
      <c r="CP192">
        <v>5.0313299999999997E-3</v>
      </c>
      <c r="CQ192">
        <v>4.7913499999999998E-3</v>
      </c>
      <c r="CR192">
        <v>4.3019E-3</v>
      </c>
      <c r="CS192">
        <v>3.3500399999999999E-3</v>
      </c>
      <c r="CT192">
        <v>3.1244900000000002E-3</v>
      </c>
      <c r="CU192">
        <v>2.8474500000000001E-3</v>
      </c>
      <c r="CV192">
        <v>2.5474600000000001E-3</v>
      </c>
      <c r="CW192">
        <v>2.3489000000000001E-3</v>
      </c>
      <c r="CX192">
        <v>1.9124299999999999E-3</v>
      </c>
      <c r="CY192">
        <v>1.6961000000000001E-3</v>
      </c>
      <c r="CZ192">
        <v>1.59553E-3</v>
      </c>
      <c r="DA192">
        <v>1.61305E-3</v>
      </c>
      <c r="DB192">
        <v>1.23796E-3</v>
      </c>
      <c r="DC192">
        <v>8.94107E-4</v>
      </c>
      <c r="DD192">
        <v>7.6006200000000004E-4</v>
      </c>
      <c r="DE192">
        <v>7.1916700000000005E-4</v>
      </c>
      <c r="DF192">
        <v>4.4422500000000002E-4</v>
      </c>
      <c r="DG192">
        <v>3.6917500000000002E-4</v>
      </c>
      <c r="DH192">
        <v>2.6541200000000003E-4</v>
      </c>
      <c r="DI192">
        <v>2.6813199999999997E-4</v>
      </c>
      <c r="DJ192">
        <v>1.82688E-4</v>
      </c>
      <c r="DK192">
        <v>1.2851299999999999E-4</v>
      </c>
      <c r="DL192">
        <v>1.40128E-4</v>
      </c>
      <c r="DM192" s="1">
        <v>7.1299999999999998E-5</v>
      </c>
      <c r="DN192" s="1">
        <v>5.6400000000000002E-5</v>
      </c>
      <c r="DO192" s="1">
        <v>2.8500000000000002E-5</v>
      </c>
      <c r="DP192" s="1">
        <v>3.2700000000000002E-5</v>
      </c>
      <c r="DQ192" s="1">
        <v>3.5099999999999999E-5</v>
      </c>
      <c r="DR192" s="1">
        <v>9.4199999999999996E-6</v>
      </c>
      <c r="DS192" s="1">
        <v>7.4900000000000005E-7</v>
      </c>
      <c r="DT192" s="1">
        <v>8.2600000000000005E-6</v>
      </c>
      <c r="DU192" s="1">
        <v>6.9800000000000001E-6</v>
      </c>
      <c r="DV192" s="1">
        <v>5.6799999999999998E-5</v>
      </c>
      <c r="DW192" t="s">
        <v>386</v>
      </c>
    </row>
    <row r="193" spans="1:127" x14ac:dyDescent="0.2">
      <c r="A193">
        <v>1997</v>
      </c>
      <c r="B193">
        <v>1</v>
      </c>
      <c r="C193">
        <v>1</v>
      </c>
      <c r="D193">
        <v>0</v>
      </c>
      <c r="E193">
        <v>0</v>
      </c>
      <c r="F193">
        <v>467</v>
      </c>
      <c r="G193">
        <v>0</v>
      </c>
      <c r="H193">
        <v>0</v>
      </c>
      <c r="I193">
        <v>0</v>
      </c>
      <c r="J193">
        <v>0</v>
      </c>
      <c r="K193" s="1">
        <v>1.3200000000000001E-6</v>
      </c>
      <c r="L193" s="1">
        <v>3.32E-6</v>
      </c>
      <c r="M193">
        <v>0</v>
      </c>
      <c r="N193" s="1">
        <v>2.7399999999999999E-5</v>
      </c>
      <c r="O193">
        <v>0</v>
      </c>
      <c r="P193" s="1">
        <v>1.6700000000000001E-6</v>
      </c>
      <c r="Q193">
        <v>0</v>
      </c>
      <c r="R193" s="1">
        <v>1.8300000000000001E-6</v>
      </c>
      <c r="S193" s="1">
        <v>8.9900000000000003E-6</v>
      </c>
      <c r="T193">
        <v>0</v>
      </c>
      <c r="U193" s="1">
        <v>2.5600000000000001E-6</v>
      </c>
      <c r="V193" s="1">
        <v>9.6199999999999994E-6</v>
      </c>
      <c r="W193" s="1">
        <v>1.9700000000000001E-5</v>
      </c>
      <c r="X193" s="1">
        <v>5.41E-5</v>
      </c>
      <c r="Y193">
        <v>1.0831199999999999E-3</v>
      </c>
      <c r="Z193">
        <v>7.3876900000000001E-4</v>
      </c>
      <c r="AA193" s="1">
        <v>7.1000000000000005E-5</v>
      </c>
      <c r="AB193" s="1">
        <v>7.4300000000000004E-5</v>
      </c>
      <c r="AC193">
        <v>6.1131200000000003E-4</v>
      </c>
      <c r="AD193" s="1">
        <v>3.8000000000000002E-5</v>
      </c>
      <c r="AE193" s="1">
        <v>9.1299999999999997E-5</v>
      </c>
      <c r="AF193">
        <v>1.08312E-4</v>
      </c>
      <c r="AG193">
        <v>9.30134E-4</v>
      </c>
      <c r="AH193">
        <v>3.4539500000000002E-4</v>
      </c>
      <c r="AI193">
        <v>5.1665999999999995E-4</v>
      </c>
      <c r="AJ193">
        <v>8.4285399999999998E-4</v>
      </c>
      <c r="AK193">
        <v>1.3272799999999999E-3</v>
      </c>
      <c r="AL193">
        <v>1.74661E-3</v>
      </c>
      <c r="AM193">
        <v>2.3711399999999999E-3</v>
      </c>
      <c r="AN193">
        <v>2.2832299999999998E-3</v>
      </c>
      <c r="AO193">
        <v>2.73077E-3</v>
      </c>
      <c r="AP193">
        <v>3.0745799999999999E-3</v>
      </c>
      <c r="AQ193">
        <v>3.14022E-3</v>
      </c>
      <c r="AR193">
        <v>2.7467500000000001E-3</v>
      </c>
      <c r="AS193">
        <v>2.4899800000000001E-3</v>
      </c>
      <c r="AT193">
        <v>2.4160100000000001E-3</v>
      </c>
      <c r="AU193">
        <v>2.6316199999999999E-3</v>
      </c>
      <c r="AV193">
        <v>3.0706800000000001E-3</v>
      </c>
      <c r="AW193">
        <v>4.7147100000000004E-3</v>
      </c>
      <c r="AX193">
        <v>5.59969E-3</v>
      </c>
      <c r="AY193">
        <v>8.2263700000000002E-3</v>
      </c>
      <c r="AZ193">
        <v>8.8217499999999997E-3</v>
      </c>
      <c r="BA193">
        <v>1.04002E-2</v>
      </c>
      <c r="BB193">
        <v>1.2677799999999999E-2</v>
      </c>
      <c r="BC193">
        <v>1.26661E-2</v>
      </c>
      <c r="BD193">
        <v>1.4055E-2</v>
      </c>
      <c r="BE193">
        <v>1.5889E-2</v>
      </c>
      <c r="BF193">
        <v>1.5769700000000001E-2</v>
      </c>
      <c r="BG193">
        <v>1.71346E-2</v>
      </c>
      <c r="BH193">
        <v>1.9762200000000001E-2</v>
      </c>
      <c r="BI193">
        <v>2.2057199999999999E-2</v>
      </c>
      <c r="BJ193">
        <v>2.3921999999999999E-2</v>
      </c>
      <c r="BK193">
        <v>2.6221100000000001E-2</v>
      </c>
      <c r="BL193">
        <v>2.87058E-2</v>
      </c>
      <c r="BM193">
        <v>3.2675700000000002E-2</v>
      </c>
      <c r="BN193">
        <v>3.4849999999999999E-2</v>
      </c>
      <c r="BO193">
        <v>3.6484900000000001E-2</v>
      </c>
      <c r="BP193">
        <v>3.8357200000000001E-2</v>
      </c>
      <c r="BQ193">
        <v>3.8406500000000003E-2</v>
      </c>
      <c r="BR193">
        <v>4.0754899999999997E-2</v>
      </c>
      <c r="BS193">
        <v>3.9308299999999997E-2</v>
      </c>
      <c r="BT193">
        <v>3.7481500000000001E-2</v>
      </c>
      <c r="BU193">
        <v>3.7356899999999998E-2</v>
      </c>
      <c r="BV193">
        <v>3.7417300000000001E-2</v>
      </c>
      <c r="BW193">
        <v>3.4031699999999998E-2</v>
      </c>
      <c r="BX193">
        <v>3.3238799999999999E-2</v>
      </c>
      <c r="BY193">
        <v>2.7049900000000002E-2</v>
      </c>
      <c r="BZ193">
        <v>2.7349600000000002E-2</v>
      </c>
      <c r="CA193">
        <v>2.5079899999999999E-2</v>
      </c>
      <c r="CB193">
        <v>2.35602E-2</v>
      </c>
      <c r="CC193">
        <v>2.01666E-2</v>
      </c>
      <c r="CD193">
        <v>1.9772100000000001E-2</v>
      </c>
      <c r="CE193">
        <v>1.5930099999999999E-2</v>
      </c>
      <c r="CF193">
        <v>1.4038699999999999E-2</v>
      </c>
      <c r="CG193">
        <v>1.4462900000000001E-2</v>
      </c>
      <c r="CH193">
        <v>1.01423E-2</v>
      </c>
      <c r="CI193">
        <v>8.6557100000000005E-3</v>
      </c>
      <c r="CJ193">
        <v>7.8769500000000006E-3</v>
      </c>
      <c r="CK193">
        <v>7.9881399999999995E-3</v>
      </c>
      <c r="CL193">
        <v>7.6874100000000004E-3</v>
      </c>
      <c r="CM193">
        <v>6.6013199999999999E-3</v>
      </c>
      <c r="CN193">
        <v>5.2919600000000001E-3</v>
      </c>
      <c r="CO193">
        <v>4.5529100000000003E-3</v>
      </c>
      <c r="CP193">
        <v>4.3188799999999998E-3</v>
      </c>
      <c r="CQ193">
        <v>4.1918299999999997E-3</v>
      </c>
      <c r="CR193">
        <v>3.7718399999999998E-3</v>
      </c>
      <c r="CS193">
        <v>2.9475500000000002E-3</v>
      </c>
      <c r="CT193">
        <v>2.5643300000000001E-3</v>
      </c>
      <c r="CU193">
        <v>2.0484800000000001E-3</v>
      </c>
      <c r="CV193">
        <v>1.6528000000000001E-3</v>
      </c>
      <c r="CW193">
        <v>1.5877300000000001E-3</v>
      </c>
      <c r="CX193">
        <v>1.4028199999999999E-3</v>
      </c>
      <c r="CY193">
        <v>1.1383599999999999E-3</v>
      </c>
      <c r="CZ193">
        <v>9.1136099999999996E-4</v>
      </c>
      <c r="DA193">
        <v>7.4374200000000004E-4</v>
      </c>
      <c r="DB193">
        <v>7.7966600000000004E-4</v>
      </c>
      <c r="DC193">
        <v>6.1156000000000003E-4</v>
      </c>
      <c r="DD193">
        <v>5.6891500000000002E-4</v>
      </c>
      <c r="DE193">
        <v>3.9319600000000001E-4</v>
      </c>
      <c r="DF193">
        <v>3.4708599999999998E-4</v>
      </c>
      <c r="DG193">
        <v>2.84171E-4</v>
      </c>
      <c r="DH193">
        <v>2.0275100000000001E-4</v>
      </c>
      <c r="DI193">
        <v>1.7247000000000001E-4</v>
      </c>
      <c r="DJ193">
        <v>1.21202E-4</v>
      </c>
      <c r="DK193">
        <v>1.03731E-4</v>
      </c>
      <c r="DL193" s="1">
        <v>8.42E-5</v>
      </c>
      <c r="DM193" s="1">
        <v>5.9200000000000002E-5</v>
      </c>
      <c r="DN193">
        <v>1.00889E-4</v>
      </c>
      <c r="DO193" s="1">
        <v>1.13E-5</v>
      </c>
      <c r="DP193" s="1">
        <v>3.3299999999999999E-6</v>
      </c>
      <c r="DQ193" s="1">
        <v>5.1799999999999999E-5</v>
      </c>
      <c r="DR193" s="1">
        <v>5.5400000000000003E-6</v>
      </c>
      <c r="DS193" s="1">
        <v>6.1500000000000004E-6</v>
      </c>
      <c r="DT193" s="1">
        <v>9.2299999999999999E-7</v>
      </c>
      <c r="DU193" s="1">
        <v>6.4899999999999995E-7</v>
      </c>
      <c r="DV193" s="1">
        <v>7.0299999999999996E-6</v>
      </c>
      <c r="DW193" t="s">
        <v>387</v>
      </c>
    </row>
    <row r="194" spans="1:127" x14ac:dyDescent="0.2">
      <c r="A194">
        <v>1998</v>
      </c>
      <c r="B194">
        <v>1</v>
      </c>
      <c r="C194">
        <v>1</v>
      </c>
      <c r="D194">
        <v>0</v>
      </c>
      <c r="E194">
        <v>0</v>
      </c>
      <c r="F194">
        <v>446</v>
      </c>
      <c r="G194">
        <v>0</v>
      </c>
      <c r="H194">
        <v>0</v>
      </c>
      <c r="I194">
        <v>0</v>
      </c>
      <c r="J194">
        <v>0</v>
      </c>
      <c r="K194">
        <v>0</v>
      </c>
      <c r="L194">
        <v>0</v>
      </c>
      <c r="M194">
        <v>0</v>
      </c>
      <c r="N194">
        <v>0</v>
      </c>
      <c r="O194" s="1">
        <v>2.6399999999999998E-7</v>
      </c>
      <c r="P194">
        <v>0</v>
      </c>
      <c r="Q194">
        <v>0</v>
      </c>
      <c r="R194">
        <v>0</v>
      </c>
      <c r="S194" s="1">
        <v>1.9400000000000001E-6</v>
      </c>
      <c r="T194">
        <v>0</v>
      </c>
      <c r="U194" s="1">
        <v>5.9599999999999997E-6</v>
      </c>
      <c r="V194" s="1">
        <v>4.9100000000000004E-6</v>
      </c>
      <c r="W194" s="1">
        <v>7.8900000000000007E-6</v>
      </c>
      <c r="X194" s="1">
        <v>6.6499999999999999E-6</v>
      </c>
      <c r="Y194" s="1">
        <v>1.39E-6</v>
      </c>
      <c r="Z194" s="1">
        <v>3.8999999999999999E-6</v>
      </c>
      <c r="AA194" s="1">
        <v>2.4199999999999999E-5</v>
      </c>
      <c r="AB194" s="1">
        <v>7.0400000000000004E-6</v>
      </c>
      <c r="AC194" s="1">
        <v>9.4599999999999992E-6</v>
      </c>
      <c r="AD194" s="1">
        <v>7.4100000000000002E-6</v>
      </c>
      <c r="AE194" s="1">
        <v>8.7000000000000001E-5</v>
      </c>
      <c r="AF194">
        <v>1.60975E-4</v>
      </c>
      <c r="AG194">
        <v>2.9950300000000001E-4</v>
      </c>
      <c r="AH194">
        <v>5.43105E-4</v>
      </c>
      <c r="AI194">
        <v>1.036E-3</v>
      </c>
      <c r="AJ194">
        <v>9.9463000000000004E-4</v>
      </c>
      <c r="AK194">
        <v>1.1649399999999999E-3</v>
      </c>
      <c r="AL194">
        <v>1.2539300000000001E-3</v>
      </c>
      <c r="AM194">
        <v>1.2139200000000001E-3</v>
      </c>
      <c r="AN194">
        <v>1.21688E-3</v>
      </c>
      <c r="AO194">
        <v>1.66669E-3</v>
      </c>
      <c r="AP194">
        <v>1.1195700000000001E-3</v>
      </c>
      <c r="AQ194">
        <v>1.3245799999999999E-3</v>
      </c>
      <c r="AR194">
        <v>1.3547399999999999E-3</v>
      </c>
      <c r="AS194">
        <v>2.02045E-3</v>
      </c>
      <c r="AT194">
        <v>2.6767700000000002E-3</v>
      </c>
      <c r="AU194">
        <v>3.6883599999999999E-3</v>
      </c>
      <c r="AV194">
        <v>4.1924800000000002E-3</v>
      </c>
      <c r="AW194">
        <v>6.0867200000000003E-3</v>
      </c>
      <c r="AX194">
        <v>8.0216599999999999E-3</v>
      </c>
      <c r="AY194">
        <v>8.7613199999999995E-3</v>
      </c>
      <c r="AZ194">
        <v>1.1374799999999999E-2</v>
      </c>
      <c r="BA194">
        <v>1.05512E-2</v>
      </c>
      <c r="BB194">
        <v>1.2278600000000001E-2</v>
      </c>
      <c r="BC194">
        <v>1.5159199999999999E-2</v>
      </c>
      <c r="BD194">
        <v>1.4536800000000001E-2</v>
      </c>
      <c r="BE194">
        <v>1.5416600000000001E-2</v>
      </c>
      <c r="BF194">
        <v>1.9232300000000001E-2</v>
      </c>
      <c r="BG194">
        <v>1.71025E-2</v>
      </c>
      <c r="BH194">
        <v>2.0036600000000002E-2</v>
      </c>
      <c r="BI194">
        <v>2.145E-2</v>
      </c>
      <c r="BJ194">
        <v>2.3263200000000001E-2</v>
      </c>
      <c r="BK194">
        <v>2.38505E-2</v>
      </c>
      <c r="BL194">
        <v>2.76344E-2</v>
      </c>
      <c r="BM194">
        <v>2.7028199999999999E-2</v>
      </c>
      <c r="BN194">
        <v>2.8852599999999999E-2</v>
      </c>
      <c r="BO194">
        <v>3.0734399999999999E-2</v>
      </c>
      <c r="BP194">
        <v>3.2805899999999999E-2</v>
      </c>
      <c r="BQ194">
        <v>3.4833200000000002E-2</v>
      </c>
      <c r="BR194">
        <v>3.5751699999999997E-2</v>
      </c>
      <c r="BS194">
        <v>3.7267300000000003E-2</v>
      </c>
      <c r="BT194">
        <v>3.5101300000000002E-2</v>
      </c>
      <c r="BU194">
        <v>3.65095E-2</v>
      </c>
      <c r="BV194">
        <v>3.8538999999999997E-2</v>
      </c>
      <c r="BW194">
        <v>3.5623799999999997E-2</v>
      </c>
      <c r="BX194">
        <v>3.5371800000000002E-2</v>
      </c>
      <c r="BY194">
        <v>3.1469700000000003E-2</v>
      </c>
      <c r="BZ194">
        <v>3.0918000000000001E-2</v>
      </c>
      <c r="CA194">
        <v>2.9336399999999999E-2</v>
      </c>
      <c r="CB194">
        <v>2.6350999999999999E-2</v>
      </c>
      <c r="CC194">
        <v>2.3018299999999998E-2</v>
      </c>
      <c r="CD194">
        <v>2.0686199999999998E-2</v>
      </c>
      <c r="CE194">
        <v>1.82101E-2</v>
      </c>
      <c r="CF194">
        <v>1.6697799999999999E-2</v>
      </c>
      <c r="CG194">
        <v>1.46383E-2</v>
      </c>
      <c r="CH194">
        <v>1.3192799999999999E-2</v>
      </c>
      <c r="CI194">
        <v>9.6803400000000008E-3</v>
      </c>
      <c r="CJ194">
        <v>1.03249E-2</v>
      </c>
      <c r="CK194">
        <v>9.3298200000000008E-3</v>
      </c>
      <c r="CL194">
        <v>6.9074200000000001E-3</v>
      </c>
      <c r="CM194">
        <v>5.6750899999999998E-3</v>
      </c>
      <c r="CN194">
        <v>6.1986200000000002E-3</v>
      </c>
      <c r="CO194">
        <v>5.2150900000000004E-3</v>
      </c>
      <c r="CP194">
        <v>4.1786200000000001E-3</v>
      </c>
      <c r="CQ194">
        <v>3.1911499999999998E-3</v>
      </c>
      <c r="CR194">
        <v>3.1970700000000002E-3</v>
      </c>
      <c r="CS194">
        <v>2.5542300000000002E-3</v>
      </c>
      <c r="CT194">
        <v>2.6920500000000001E-3</v>
      </c>
      <c r="CU194">
        <v>2.2191799999999999E-3</v>
      </c>
      <c r="CV194">
        <v>2.5432599999999999E-3</v>
      </c>
      <c r="CW194">
        <v>1.77791E-3</v>
      </c>
      <c r="CX194">
        <v>1.6236499999999999E-3</v>
      </c>
      <c r="CY194">
        <v>1.3071000000000001E-3</v>
      </c>
      <c r="CZ194">
        <v>1.52593E-3</v>
      </c>
      <c r="DA194">
        <v>9.1246899999999995E-4</v>
      </c>
      <c r="DB194">
        <v>1.1998099999999999E-3</v>
      </c>
      <c r="DC194">
        <v>9.3337400000000005E-4</v>
      </c>
      <c r="DD194">
        <v>5.2327199999999997E-4</v>
      </c>
      <c r="DE194">
        <v>4.6667099999999999E-4</v>
      </c>
      <c r="DF194">
        <v>5.1917399999999996E-4</v>
      </c>
      <c r="DG194">
        <v>3.0568300000000001E-4</v>
      </c>
      <c r="DH194">
        <v>1.6376800000000001E-4</v>
      </c>
      <c r="DI194">
        <v>1.78615E-4</v>
      </c>
      <c r="DJ194">
        <v>1.17485E-4</v>
      </c>
      <c r="DK194" s="1">
        <v>7.7600000000000002E-5</v>
      </c>
      <c r="DL194" s="1">
        <v>8.7399999999999997E-5</v>
      </c>
      <c r="DM194" s="1">
        <v>2.4600000000000002E-5</v>
      </c>
      <c r="DN194" s="1">
        <v>5.94E-5</v>
      </c>
      <c r="DO194">
        <v>4.2040900000000001E-4</v>
      </c>
      <c r="DP194" s="1">
        <v>3.4199999999999998E-5</v>
      </c>
      <c r="DQ194" s="1">
        <v>5.31E-6</v>
      </c>
      <c r="DR194" s="1">
        <v>6.5100000000000004E-6</v>
      </c>
      <c r="DS194" s="1">
        <v>1.13E-5</v>
      </c>
      <c r="DT194" s="1">
        <v>6.1299999999999998E-6</v>
      </c>
      <c r="DU194" s="1">
        <v>1.5400000000000001E-6</v>
      </c>
      <c r="DV194" s="1">
        <v>1.49E-5</v>
      </c>
      <c r="DW194" t="s">
        <v>388</v>
      </c>
    </row>
    <row r="195" spans="1:127" x14ac:dyDescent="0.2">
      <c r="A195">
        <v>1999</v>
      </c>
      <c r="B195">
        <v>1</v>
      </c>
      <c r="C195">
        <v>1</v>
      </c>
      <c r="D195">
        <v>0</v>
      </c>
      <c r="E195">
        <v>0</v>
      </c>
      <c r="F195">
        <v>593</v>
      </c>
      <c r="G195">
        <v>0</v>
      </c>
      <c r="H195">
        <v>0</v>
      </c>
      <c r="I195">
        <v>0</v>
      </c>
      <c r="J195">
        <v>0</v>
      </c>
      <c r="K195" s="1">
        <v>8.4300000000000002E-7</v>
      </c>
      <c r="L195" s="1">
        <v>2.2099999999999998E-5</v>
      </c>
      <c r="M195" s="1">
        <v>7.5299999999999999E-6</v>
      </c>
      <c r="N195" s="1">
        <v>3.6199999999999999E-5</v>
      </c>
      <c r="O195" s="1">
        <v>1.9999999999999999E-6</v>
      </c>
      <c r="P195" s="1">
        <v>2.6100000000000001E-5</v>
      </c>
      <c r="Q195" s="1">
        <v>2.7900000000000001E-5</v>
      </c>
      <c r="R195">
        <v>0</v>
      </c>
      <c r="S195">
        <v>0</v>
      </c>
      <c r="T195">
        <v>0</v>
      </c>
      <c r="U195">
        <v>0</v>
      </c>
      <c r="V195" s="1">
        <v>6.7100000000000001E-6</v>
      </c>
      <c r="W195">
        <v>0</v>
      </c>
      <c r="X195" s="1">
        <v>4.2899999999999996E-6</v>
      </c>
      <c r="Y195" s="1">
        <v>5.0899999999999997E-5</v>
      </c>
      <c r="Z195" s="1">
        <v>1.84E-5</v>
      </c>
      <c r="AA195" s="1">
        <v>3.4E-5</v>
      </c>
      <c r="AB195">
        <v>0</v>
      </c>
      <c r="AC195" s="1">
        <v>3.3800000000000002E-5</v>
      </c>
      <c r="AD195" s="1">
        <v>8.0400000000000003E-5</v>
      </c>
      <c r="AE195" s="1">
        <v>3.29E-5</v>
      </c>
      <c r="AF195" s="1">
        <v>2.9799999999999999E-5</v>
      </c>
      <c r="AG195">
        <v>2.4812800000000002E-4</v>
      </c>
      <c r="AH195">
        <v>3.6028900000000002E-4</v>
      </c>
      <c r="AI195">
        <v>7.53855E-4</v>
      </c>
      <c r="AJ195">
        <v>1.6129899999999999E-3</v>
      </c>
      <c r="AK195">
        <v>1.8757299999999999E-3</v>
      </c>
      <c r="AL195">
        <v>2.0492700000000002E-3</v>
      </c>
      <c r="AM195">
        <v>1.6237700000000001E-3</v>
      </c>
      <c r="AN195">
        <v>1.6288800000000001E-3</v>
      </c>
      <c r="AO195">
        <v>2.06821E-3</v>
      </c>
      <c r="AP195">
        <v>1.25051E-3</v>
      </c>
      <c r="AQ195">
        <v>1.7038800000000001E-3</v>
      </c>
      <c r="AR195">
        <v>2.2617900000000001E-3</v>
      </c>
      <c r="AS195">
        <v>3.4402399999999998E-3</v>
      </c>
      <c r="AT195">
        <v>6.1656300000000001E-3</v>
      </c>
      <c r="AU195">
        <v>9.2116300000000002E-3</v>
      </c>
      <c r="AV195">
        <v>1.3243700000000001E-2</v>
      </c>
      <c r="AW195">
        <v>1.6332200000000002E-2</v>
      </c>
      <c r="AX195">
        <v>1.8192199999999999E-2</v>
      </c>
      <c r="AY195">
        <v>2.1980599999999999E-2</v>
      </c>
      <c r="AZ195">
        <v>2.2482700000000001E-2</v>
      </c>
      <c r="BA195">
        <v>2.18269E-2</v>
      </c>
      <c r="BB195">
        <v>2.2079399999999999E-2</v>
      </c>
      <c r="BC195">
        <v>2.26803E-2</v>
      </c>
      <c r="BD195">
        <v>2.1565600000000001E-2</v>
      </c>
      <c r="BE195">
        <v>2.1514399999999999E-2</v>
      </c>
      <c r="BF195">
        <v>2.2222200000000001E-2</v>
      </c>
      <c r="BG195">
        <v>2.19636E-2</v>
      </c>
      <c r="BH195">
        <v>2.1448999999999999E-2</v>
      </c>
      <c r="BI195">
        <v>2.3692299999999999E-2</v>
      </c>
      <c r="BJ195">
        <v>2.3019499999999998E-2</v>
      </c>
      <c r="BK195">
        <v>2.1900599999999999E-2</v>
      </c>
      <c r="BL195">
        <v>2.2862199999999999E-2</v>
      </c>
      <c r="BM195">
        <v>2.34848E-2</v>
      </c>
      <c r="BN195">
        <v>2.5569600000000001E-2</v>
      </c>
      <c r="BO195">
        <v>2.48594E-2</v>
      </c>
      <c r="BP195">
        <v>2.6957499999999999E-2</v>
      </c>
      <c r="BQ195">
        <v>2.79206E-2</v>
      </c>
      <c r="BR195">
        <v>2.8121400000000001E-2</v>
      </c>
      <c r="BS195">
        <v>2.80871E-2</v>
      </c>
      <c r="BT195">
        <v>2.8435599999999998E-2</v>
      </c>
      <c r="BU195">
        <v>2.80234E-2</v>
      </c>
      <c r="BV195">
        <v>2.82864E-2</v>
      </c>
      <c r="BW195">
        <v>2.6870499999999999E-2</v>
      </c>
      <c r="BX195">
        <v>2.7992300000000001E-2</v>
      </c>
      <c r="BY195">
        <v>2.4721E-2</v>
      </c>
      <c r="BZ195">
        <v>2.6949600000000001E-2</v>
      </c>
      <c r="CA195">
        <v>2.32249E-2</v>
      </c>
      <c r="CB195">
        <v>2.21464E-2</v>
      </c>
      <c r="CC195">
        <v>2.0242E-2</v>
      </c>
      <c r="CD195">
        <v>1.9487000000000001E-2</v>
      </c>
      <c r="CE195">
        <v>1.6175599999999998E-2</v>
      </c>
      <c r="CF195">
        <v>1.5897700000000001E-2</v>
      </c>
      <c r="CG195">
        <v>1.30157E-2</v>
      </c>
      <c r="CH195">
        <v>1.3214500000000001E-2</v>
      </c>
      <c r="CI195">
        <v>1.09432E-2</v>
      </c>
      <c r="CJ195">
        <v>1.0302E-2</v>
      </c>
      <c r="CK195">
        <v>8.8365800000000001E-3</v>
      </c>
      <c r="CL195">
        <v>7.6484500000000002E-3</v>
      </c>
      <c r="CM195">
        <v>6.7011600000000003E-3</v>
      </c>
      <c r="CN195">
        <v>5.3308000000000001E-3</v>
      </c>
      <c r="CO195">
        <v>4.7825000000000003E-3</v>
      </c>
      <c r="CP195">
        <v>4.7075900000000002E-3</v>
      </c>
      <c r="CQ195">
        <v>3.5812700000000001E-3</v>
      </c>
      <c r="CR195">
        <v>3.2992899999999999E-3</v>
      </c>
      <c r="CS195">
        <v>2.7370300000000001E-3</v>
      </c>
      <c r="CT195">
        <v>2.4397300000000002E-3</v>
      </c>
      <c r="CU195">
        <v>2.3953500000000001E-3</v>
      </c>
      <c r="CV195">
        <v>1.7158399999999999E-3</v>
      </c>
      <c r="CW195">
        <v>1.37404E-3</v>
      </c>
      <c r="CX195">
        <v>1.2343600000000001E-3</v>
      </c>
      <c r="CY195">
        <v>9.4658700000000004E-4</v>
      </c>
      <c r="CZ195">
        <v>9.3964700000000005E-4</v>
      </c>
      <c r="DA195">
        <v>8.2263400000000004E-4</v>
      </c>
      <c r="DB195">
        <v>8.9617600000000005E-4</v>
      </c>
      <c r="DC195">
        <v>4.8536199999999998E-4</v>
      </c>
      <c r="DD195">
        <v>4.3844700000000001E-4</v>
      </c>
      <c r="DE195">
        <v>3.18549E-4</v>
      </c>
      <c r="DF195">
        <v>3.81586E-4</v>
      </c>
      <c r="DG195">
        <v>2.4732699999999999E-4</v>
      </c>
      <c r="DH195">
        <v>3.0164800000000001E-4</v>
      </c>
      <c r="DI195">
        <v>1.97009E-4</v>
      </c>
      <c r="DJ195">
        <v>1.09203E-4</v>
      </c>
      <c r="DK195">
        <v>1.2575299999999999E-4</v>
      </c>
      <c r="DL195">
        <v>1.4794799999999999E-4</v>
      </c>
      <c r="DM195" s="1">
        <v>5.8E-5</v>
      </c>
      <c r="DN195" s="1">
        <v>5.5000000000000002E-5</v>
      </c>
      <c r="DO195" s="1">
        <v>1.7499999999999998E-5</v>
      </c>
      <c r="DP195" s="1">
        <v>1.6799999999999998E-5</v>
      </c>
      <c r="DQ195" s="1">
        <v>2.3499999999999999E-5</v>
      </c>
      <c r="DR195" s="1">
        <v>6.37E-6</v>
      </c>
      <c r="DS195" s="1">
        <v>9.0699999999999996E-6</v>
      </c>
      <c r="DT195" s="1">
        <v>1.75E-6</v>
      </c>
      <c r="DU195" s="1">
        <v>5.4399999999999996E-6</v>
      </c>
      <c r="DV195" s="1">
        <v>6.0000000000000002E-5</v>
      </c>
      <c r="DW195" t="s">
        <v>389</v>
      </c>
    </row>
    <row r="196" spans="1:127" x14ac:dyDescent="0.2">
      <c r="A196">
        <v>2000</v>
      </c>
      <c r="B196">
        <v>1</v>
      </c>
      <c r="C196">
        <v>1</v>
      </c>
      <c r="D196">
        <v>0</v>
      </c>
      <c r="E196">
        <v>0</v>
      </c>
      <c r="F196">
        <v>645</v>
      </c>
      <c r="G196">
        <v>0</v>
      </c>
      <c r="H196">
        <v>0</v>
      </c>
      <c r="I196">
        <v>0</v>
      </c>
      <c r="J196">
        <v>0</v>
      </c>
      <c r="K196" s="1">
        <v>4.8400000000000002E-6</v>
      </c>
      <c r="L196" s="1">
        <v>8.9299999999999992E-6</v>
      </c>
      <c r="M196" s="1">
        <v>6.6900000000000003E-6</v>
      </c>
      <c r="N196" s="1">
        <v>5.3900000000000001E-6</v>
      </c>
      <c r="O196" s="1">
        <v>3.3100000000000001E-6</v>
      </c>
      <c r="P196">
        <v>0</v>
      </c>
      <c r="Q196" s="1">
        <v>2.1699999999999999E-5</v>
      </c>
      <c r="R196">
        <v>0</v>
      </c>
      <c r="S196" s="1">
        <v>1.29E-5</v>
      </c>
      <c r="T196">
        <v>0</v>
      </c>
      <c r="U196">
        <v>0</v>
      </c>
      <c r="V196">
        <v>0</v>
      </c>
      <c r="W196">
        <v>0</v>
      </c>
      <c r="X196">
        <v>5.9968499999999998E-4</v>
      </c>
      <c r="Y196">
        <v>0</v>
      </c>
      <c r="Z196" s="1">
        <v>9.38E-6</v>
      </c>
      <c r="AA196" s="1">
        <v>1.4399999999999999E-5</v>
      </c>
      <c r="AB196" s="1">
        <v>2.2900000000000001E-6</v>
      </c>
      <c r="AC196">
        <v>0</v>
      </c>
      <c r="AD196" s="1">
        <v>5.9900000000000002E-6</v>
      </c>
      <c r="AE196" s="1">
        <v>1.9000000000000001E-5</v>
      </c>
      <c r="AF196">
        <v>1.1901899999999999E-4</v>
      </c>
      <c r="AG196">
        <v>1.5242700000000001E-4</v>
      </c>
      <c r="AH196">
        <v>3.7856700000000001E-4</v>
      </c>
      <c r="AI196">
        <v>5.4990900000000001E-4</v>
      </c>
      <c r="AJ196">
        <v>6.8884100000000004E-4</v>
      </c>
      <c r="AK196">
        <v>7.3758000000000005E-4</v>
      </c>
      <c r="AL196">
        <v>1.4242199999999999E-3</v>
      </c>
      <c r="AM196">
        <v>1.0254699999999999E-3</v>
      </c>
      <c r="AN196">
        <v>7.8820500000000005E-4</v>
      </c>
      <c r="AO196">
        <v>9.3225299999999997E-4</v>
      </c>
      <c r="AP196">
        <v>9.924790000000001E-4</v>
      </c>
      <c r="AQ196">
        <v>1.83012E-3</v>
      </c>
      <c r="AR196">
        <v>1.74511E-3</v>
      </c>
      <c r="AS196">
        <v>3.6695899999999999E-3</v>
      </c>
      <c r="AT196">
        <v>4.8022100000000003E-3</v>
      </c>
      <c r="AU196">
        <v>6.1727800000000001E-3</v>
      </c>
      <c r="AV196">
        <v>7.1874499999999997E-3</v>
      </c>
      <c r="AW196">
        <v>1.05402E-2</v>
      </c>
      <c r="AX196">
        <v>9.9655999999999998E-3</v>
      </c>
      <c r="AY196">
        <v>1.32966E-2</v>
      </c>
      <c r="AZ196">
        <v>1.70785E-2</v>
      </c>
      <c r="BA196">
        <v>1.90724E-2</v>
      </c>
      <c r="BB196">
        <v>2.2178699999999999E-2</v>
      </c>
      <c r="BC196">
        <v>2.16913E-2</v>
      </c>
      <c r="BD196">
        <v>2.91481E-2</v>
      </c>
      <c r="BE196">
        <v>2.89155E-2</v>
      </c>
      <c r="BF196">
        <v>4.2424099999999999E-2</v>
      </c>
      <c r="BG196">
        <v>4.3214500000000003E-2</v>
      </c>
      <c r="BH196">
        <v>3.3116600000000003E-2</v>
      </c>
      <c r="BI196">
        <v>4.6187400000000003E-2</v>
      </c>
      <c r="BJ196">
        <v>3.6049999999999999E-2</v>
      </c>
      <c r="BK196">
        <v>3.4163499999999999E-2</v>
      </c>
      <c r="BL196">
        <v>3.10053E-2</v>
      </c>
      <c r="BM196">
        <v>4.6032400000000001E-2</v>
      </c>
      <c r="BN196">
        <v>2.9861599999999999E-2</v>
      </c>
      <c r="BO196">
        <v>2.92492E-2</v>
      </c>
      <c r="BP196">
        <v>3.2184999999999998E-2</v>
      </c>
      <c r="BQ196">
        <v>2.7571399999999999E-2</v>
      </c>
      <c r="BR196">
        <v>2.7211699999999998E-2</v>
      </c>
      <c r="BS196">
        <v>2.52264E-2</v>
      </c>
      <c r="BT196">
        <v>2.4083E-2</v>
      </c>
      <c r="BU196">
        <v>2.6492499999999999E-2</v>
      </c>
      <c r="BV196">
        <v>2.3510300000000001E-2</v>
      </c>
      <c r="BW196">
        <v>2.07327E-2</v>
      </c>
      <c r="BX196">
        <v>2.1159000000000001E-2</v>
      </c>
      <c r="BY196">
        <v>1.70154E-2</v>
      </c>
      <c r="BZ196">
        <v>1.7303700000000002E-2</v>
      </c>
      <c r="CA196">
        <v>1.5337399999999999E-2</v>
      </c>
      <c r="CB196">
        <v>1.50849E-2</v>
      </c>
      <c r="CC196">
        <v>1.38364E-2</v>
      </c>
      <c r="CD196">
        <v>1.1855299999999999E-2</v>
      </c>
      <c r="CE196">
        <v>1.1970400000000001E-2</v>
      </c>
      <c r="CF196">
        <v>1.0383099999999999E-2</v>
      </c>
      <c r="CG196">
        <v>8.9035999999999994E-3</v>
      </c>
      <c r="CH196">
        <v>8.7214300000000005E-3</v>
      </c>
      <c r="CI196">
        <v>7.7240399999999997E-3</v>
      </c>
      <c r="CJ196">
        <v>6.5853600000000002E-3</v>
      </c>
      <c r="CK196">
        <v>6.1547599999999996E-3</v>
      </c>
      <c r="CL196">
        <v>5.2792400000000001E-3</v>
      </c>
      <c r="CM196">
        <v>5.1642499999999996E-3</v>
      </c>
      <c r="CN196">
        <v>3.9780199999999996E-3</v>
      </c>
      <c r="CO196">
        <v>3.8155799999999998E-3</v>
      </c>
      <c r="CP196">
        <v>3.3959400000000001E-3</v>
      </c>
      <c r="CQ196">
        <v>2.8644899999999999E-3</v>
      </c>
      <c r="CR196">
        <v>2.6427299999999998E-3</v>
      </c>
      <c r="CS196">
        <v>2.0669600000000001E-3</v>
      </c>
      <c r="CT196">
        <v>1.8859E-3</v>
      </c>
      <c r="CU196">
        <v>3.49037E-3</v>
      </c>
      <c r="CV196">
        <v>1.41664E-3</v>
      </c>
      <c r="CW196">
        <v>1.32668E-3</v>
      </c>
      <c r="CX196">
        <v>1.1266399999999999E-3</v>
      </c>
      <c r="CY196">
        <v>8.2342699999999995E-4</v>
      </c>
      <c r="CZ196">
        <v>8.6354300000000004E-4</v>
      </c>
      <c r="DA196">
        <v>5.9855100000000001E-4</v>
      </c>
      <c r="DB196">
        <v>6.5443900000000004E-4</v>
      </c>
      <c r="DC196">
        <v>4.0158400000000002E-4</v>
      </c>
      <c r="DD196">
        <v>5.0625500000000005E-4</v>
      </c>
      <c r="DE196">
        <v>2.72992E-4</v>
      </c>
      <c r="DF196">
        <v>2.38464E-4</v>
      </c>
      <c r="DG196">
        <v>2.35293E-4</v>
      </c>
      <c r="DH196">
        <v>1.13173E-4</v>
      </c>
      <c r="DI196" s="1">
        <v>9.0799999999999998E-5</v>
      </c>
      <c r="DJ196">
        <v>1.26964E-4</v>
      </c>
      <c r="DK196" s="1">
        <v>7.4400000000000006E-5</v>
      </c>
      <c r="DL196">
        <v>1.0388200000000001E-4</v>
      </c>
      <c r="DM196" s="1">
        <v>6.8399999999999996E-5</v>
      </c>
      <c r="DN196" s="1">
        <v>5.9299999999999998E-5</v>
      </c>
      <c r="DO196" s="1">
        <v>3.04E-5</v>
      </c>
      <c r="DP196" s="1">
        <v>4.6900000000000002E-5</v>
      </c>
      <c r="DQ196" s="1">
        <v>1.45E-5</v>
      </c>
      <c r="DR196" s="1">
        <v>1.59E-6</v>
      </c>
      <c r="DS196" s="1">
        <v>3.19E-6</v>
      </c>
      <c r="DT196">
        <v>0</v>
      </c>
      <c r="DU196" s="1">
        <v>6.2400000000000004E-6</v>
      </c>
      <c r="DV196" s="1">
        <v>6.2299999999999996E-5</v>
      </c>
      <c r="DW196" t="s">
        <v>390</v>
      </c>
    </row>
    <row r="197" spans="1:127" x14ac:dyDescent="0.2">
      <c r="A197">
        <v>2001</v>
      </c>
      <c r="B197">
        <v>1</v>
      </c>
      <c r="C197">
        <v>1</v>
      </c>
      <c r="D197">
        <v>0</v>
      </c>
      <c r="E197">
        <v>0</v>
      </c>
      <c r="F197">
        <v>684</v>
      </c>
      <c r="G197">
        <v>0</v>
      </c>
      <c r="H197">
        <v>0</v>
      </c>
      <c r="I197">
        <v>0</v>
      </c>
      <c r="J197">
        <v>0</v>
      </c>
      <c r="K197" s="1">
        <v>2.1399999999999998E-6</v>
      </c>
      <c r="L197" s="1">
        <v>1.38E-5</v>
      </c>
      <c r="M197">
        <v>0</v>
      </c>
      <c r="N197" s="1">
        <v>3.4400000000000001E-6</v>
      </c>
      <c r="O197">
        <v>0</v>
      </c>
      <c r="P197">
        <v>0</v>
      </c>
      <c r="Q197">
        <v>0</v>
      </c>
      <c r="R197">
        <v>0</v>
      </c>
      <c r="S197">
        <v>0</v>
      </c>
      <c r="T197">
        <v>0</v>
      </c>
      <c r="U197">
        <v>0</v>
      </c>
      <c r="V197" s="1">
        <v>3.0000000000000001E-5</v>
      </c>
      <c r="W197" s="1">
        <v>5.4299999999999998E-5</v>
      </c>
      <c r="X197" s="1">
        <v>3.6199999999999999E-5</v>
      </c>
      <c r="Y197" s="1">
        <v>7.6699999999999994E-5</v>
      </c>
      <c r="Z197" s="1">
        <v>5.2099999999999999E-5</v>
      </c>
      <c r="AA197">
        <v>4.0339500000000002E-4</v>
      </c>
      <c r="AB197" s="1">
        <v>6.3E-5</v>
      </c>
      <c r="AC197" s="1">
        <v>7.6899999999999992E-6</v>
      </c>
      <c r="AD197" s="1">
        <v>4.99E-5</v>
      </c>
      <c r="AE197">
        <v>4.4302000000000002E-4</v>
      </c>
      <c r="AF197" s="1">
        <v>3.9100000000000002E-5</v>
      </c>
      <c r="AG197">
        <v>7.5988800000000001E-4</v>
      </c>
      <c r="AH197" s="1">
        <v>9.3399999999999993E-5</v>
      </c>
      <c r="AI197">
        <v>3.5917300000000001E-4</v>
      </c>
      <c r="AJ197">
        <v>1.8564300000000001E-4</v>
      </c>
      <c r="AK197">
        <v>4.8798199999999998E-4</v>
      </c>
      <c r="AL197">
        <v>3.3386800000000002E-4</v>
      </c>
      <c r="AM197">
        <v>1.65514E-3</v>
      </c>
      <c r="AN197">
        <v>1.7545600000000001E-3</v>
      </c>
      <c r="AO197">
        <v>1.0578E-3</v>
      </c>
      <c r="AP197">
        <v>1.1700300000000001E-3</v>
      </c>
      <c r="AQ197">
        <v>1.59797E-3</v>
      </c>
      <c r="AR197">
        <v>2.7120600000000001E-3</v>
      </c>
      <c r="AS197">
        <v>2.24326E-3</v>
      </c>
      <c r="AT197">
        <v>2.82219E-3</v>
      </c>
      <c r="AU197">
        <v>4.1151099999999999E-3</v>
      </c>
      <c r="AV197">
        <v>4.6878700000000002E-3</v>
      </c>
      <c r="AW197">
        <v>4.9350599999999998E-3</v>
      </c>
      <c r="AX197">
        <v>6.42006E-3</v>
      </c>
      <c r="AY197">
        <v>8.1399000000000003E-3</v>
      </c>
      <c r="AZ197">
        <v>9.6496199999999994E-3</v>
      </c>
      <c r="BA197">
        <v>1.17547E-2</v>
      </c>
      <c r="BB197">
        <v>1.30735E-2</v>
      </c>
      <c r="BC197">
        <v>1.5944199999999999E-2</v>
      </c>
      <c r="BD197">
        <v>1.8108099999999999E-2</v>
      </c>
      <c r="BE197">
        <v>1.9482699999999999E-2</v>
      </c>
      <c r="BF197">
        <v>2.2199199999999999E-2</v>
      </c>
      <c r="BG197">
        <v>2.5459499999999999E-2</v>
      </c>
      <c r="BH197">
        <v>2.7662900000000001E-2</v>
      </c>
      <c r="BI197">
        <v>3.0161E-2</v>
      </c>
      <c r="BJ197">
        <v>3.1451199999999999E-2</v>
      </c>
      <c r="BK197">
        <v>3.3931700000000002E-2</v>
      </c>
      <c r="BL197">
        <v>3.6193799999999998E-2</v>
      </c>
      <c r="BM197">
        <v>3.7609900000000002E-2</v>
      </c>
      <c r="BN197">
        <v>3.9763100000000003E-2</v>
      </c>
      <c r="BO197">
        <v>4.1084500000000003E-2</v>
      </c>
      <c r="BP197">
        <v>4.1030400000000002E-2</v>
      </c>
      <c r="BQ197">
        <v>4.20658E-2</v>
      </c>
      <c r="BR197">
        <v>4.1346899999999999E-2</v>
      </c>
      <c r="BS197">
        <v>4.0507099999999997E-2</v>
      </c>
      <c r="BT197">
        <v>3.8351799999999998E-2</v>
      </c>
      <c r="BU197">
        <v>3.5664599999999998E-2</v>
      </c>
      <c r="BV197">
        <v>3.3379699999999998E-2</v>
      </c>
      <c r="BW197">
        <v>3.1835700000000001E-2</v>
      </c>
      <c r="BX197">
        <v>3.12985E-2</v>
      </c>
      <c r="BY197">
        <v>2.5009400000000001E-2</v>
      </c>
      <c r="BZ197">
        <v>2.1860899999999999E-2</v>
      </c>
      <c r="CA197">
        <v>1.9568499999999999E-2</v>
      </c>
      <c r="CB197">
        <v>1.6606900000000001E-2</v>
      </c>
      <c r="CC197">
        <v>1.56969E-2</v>
      </c>
      <c r="CD197">
        <v>1.2647E-2</v>
      </c>
      <c r="CE197">
        <v>1.0748300000000001E-2</v>
      </c>
      <c r="CF197">
        <v>9.3146800000000005E-3</v>
      </c>
      <c r="CG197">
        <v>8.7150700000000001E-3</v>
      </c>
      <c r="CH197">
        <v>8.0107800000000003E-3</v>
      </c>
      <c r="CI197">
        <v>7.2264900000000003E-3</v>
      </c>
      <c r="CJ197">
        <v>5.7368599999999999E-3</v>
      </c>
      <c r="CK197">
        <v>4.8393899999999998E-3</v>
      </c>
      <c r="CL197">
        <v>5.4119499999999996E-3</v>
      </c>
      <c r="CM197">
        <v>4.2973899999999999E-3</v>
      </c>
      <c r="CN197">
        <v>3.8225099999999999E-3</v>
      </c>
      <c r="CO197">
        <v>3.1378600000000001E-3</v>
      </c>
      <c r="CP197">
        <v>2.4363100000000001E-3</v>
      </c>
      <c r="CQ197">
        <v>2.2772700000000001E-3</v>
      </c>
      <c r="CR197">
        <v>2.69739E-3</v>
      </c>
      <c r="CS197">
        <v>1.70601E-3</v>
      </c>
      <c r="CT197">
        <v>1.6542200000000001E-3</v>
      </c>
      <c r="CU197">
        <v>1.6094900000000001E-3</v>
      </c>
      <c r="CV197">
        <v>1.5102200000000001E-3</v>
      </c>
      <c r="CW197">
        <v>1.3829000000000001E-3</v>
      </c>
      <c r="CX197">
        <v>1.00489E-3</v>
      </c>
      <c r="CY197">
        <v>9.2689599999999997E-4</v>
      </c>
      <c r="CZ197">
        <v>7.0507899999999995E-4</v>
      </c>
      <c r="DA197">
        <v>5.0076199999999997E-4</v>
      </c>
      <c r="DB197">
        <v>5.0421799999999996E-4</v>
      </c>
      <c r="DC197">
        <v>5.8991100000000004E-4</v>
      </c>
      <c r="DD197">
        <v>4.5489400000000001E-4</v>
      </c>
      <c r="DE197">
        <v>5.5904999999999995E-4</v>
      </c>
      <c r="DF197">
        <v>2.6421099999999998E-4</v>
      </c>
      <c r="DG197">
        <v>1.7325000000000001E-4</v>
      </c>
      <c r="DH197">
        <v>1.3313800000000001E-4</v>
      </c>
      <c r="DI197">
        <v>1.1554500000000001E-4</v>
      </c>
      <c r="DJ197">
        <v>1.0101499999999999E-4</v>
      </c>
      <c r="DK197" s="1">
        <v>6.05E-5</v>
      </c>
      <c r="DL197" s="1">
        <v>5.94E-5</v>
      </c>
      <c r="DM197" s="1">
        <v>1.3699999999999999E-5</v>
      </c>
      <c r="DN197" s="1">
        <v>1.5699999999999999E-5</v>
      </c>
      <c r="DO197" s="1">
        <v>2.1999999999999999E-5</v>
      </c>
      <c r="DP197" s="1">
        <v>2.1999999999999999E-5</v>
      </c>
      <c r="DQ197" s="1">
        <v>6.2600000000000002E-6</v>
      </c>
      <c r="DR197" s="1">
        <v>7.5900000000000002E-6</v>
      </c>
      <c r="DS197" s="1">
        <v>1.9000000000000001E-5</v>
      </c>
      <c r="DT197">
        <v>0</v>
      </c>
      <c r="DU197" s="1">
        <v>2.3900000000000001E-7</v>
      </c>
      <c r="DV197">
        <v>0</v>
      </c>
      <c r="DW197" t="s">
        <v>391</v>
      </c>
    </row>
    <row r="198" spans="1:127" x14ac:dyDescent="0.2">
      <c r="A198">
        <v>2002</v>
      </c>
      <c r="B198">
        <v>1</v>
      </c>
      <c r="C198">
        <v>1</v>
      </c>
      <c r="D198">
        <v>0</v>
      </c>
      <c r="E198">
        <v>0</v>
      </c>
      <c r="F198">
        <v>751</v>
      </c>
      <c r="G198">
        <v>0</v>
      </c>
      <c r="H198">
        <v>0</v>
      </c>
      <c r="I198">
        <v>0</v>
      </c>
      <c r="J198">
        <v>0</v>
      </c>
      <c r="K198" s="1">
        <v>5.8200000000000002E-6</v>
      </c>
      <c r="L198" s="1">
        <v>1.63E-5</v>
      </c>
      <c r="M198" s="1">
        <v>7.7100000000000007E-6</v>
      </c>
      <c r="N198">
        <v>0</v>
      </c>
      <c r="O198" s="1">
        <v>6.8700000000000003E-6</v>
      </c>
      <c r="P198">
        <v>0</v>
      </c>
      <c r="Q198">
        <v>0</v>
      </c>
      <c r="R198">
        <v>0</v>
      </c>
      <c r="S198">
        <v>0</v>
      </c>
      <c r="T198" s="1">
        <v>6.46E-6</v>
      </c>
      <c r="U198" s="1">
        <v>7.2699999999999999E-6</v>
      </c>
      <c r="V198">
        <v>0</v>
      </c>
      <c r="W198" s="1">
        <v>5.8699999999999997E-6</v>
      </c>
      <c r="X198" s="1">
        <v>2.34E-5</v>
      </c>
      <c r="Y198" s="1">
        <v>6.3399999999999996E-5</v>
      </c>
      <c r="Z198">
        <v>1.05902E-4</v>
      </c>
      <c r="AA198" s="1">
        <v>9.6100000000000005E-5</v>
      </c>
      <c r="AB198" s="1">
        <v>4.4199999999999997E-5</v>
      </c>
      <c r="AC198">
        <v>1.1716400000000001E-4</v>
      </c>
      <c r="AD198">
        <v>1.7349800000000001E-4</v>
      </c>
      <c r="AE198" s="1">
        <v>7.2100000000000004E-5</v>
      </c>
      <c r="AF198">
        <v>2.4809799999999998E-4</v>
      </c>
      <c r="AG198">
        <v>2.3430599999999999E-4</v>
      </c>
      <c r="AH198">
        <v>4.8774700000000002E-4</v>
      </c>
      <c r="AI198">
        <v>1.4109000000000001E-3</v>
      </c>
      <c r="AJ198">
        <v>1.23832E-3</v>
      </c>
      <c r="AK198">
        <v>2.22164E-3</v>
      </c>
      <c r="AL198">
        <v>3.9606499999999996E-3</v>
      </c>
      <c r="AM198">
        <v>4.6968599999999998E-3</v>
      </c>
      <c r="AN198">
        <v>5.2610599999999997E-3</v>
      </c>
      <c r="AO198">
        <v>4.7948299999999999E-3</v>
      </c>
      <c r="AP198">
        <v>5.4357299999999997E-3</v>
      </c>
      <c r="AQ198">
        <v>5.3001200000000002E-3</v>
      </c>
      <c r="AR198">
        <v>5.5873700000000004E-3</v>
      </c>
      <c r="AS198">
        <v>7.0010599999999999E-3</v>
      </c>
      <c r="AT198">
        <v>6.9794000000000002E-3</v>
      </c>
      <c r="AU198">
        <v>9.0361E-3</v>
      </c>
      <c r="AV198">
        <v>9.2934899999999997E-3</v>
      </c>
      <c r="AW198">
        <v>1.174E-2</v>
      </c>
      <c r="AX198">
        <v>1.2731299999999999E-2</v>
      </c>
      <c r="AY198">
        <v>1.4314500000000001E-2</v>
      </c>
      <c r="AZ198">
        <v>1.5395300000000001E-2</v>
      </c>
      <c r="BA198">
        <v>1.8819599999999999E-2</v>
      </c>
      <c r="BB198">
        <v>1.7328300000000001E-2</v>
      </c>
      <c r="BC198">
        <v>1.9323300000000002E-2</v>
      </c>
      <c r="BD198">
        <v>2.0896700000000001E-2</v>
      </c>
      <c r="BE198">
        <v>2.11141E-2</v>
      </c>
      <c r="BF198">
        <v>2.4195399999999999E-2</v>
      </c>
      <c r="BG198">
        <v>2.3862100000000001E-2</v>
      </c>
      <c r="BH198">
        <v>2.66127E-2</v>
      </c>
      <c r="BI198">
        <v>2.49727E-2</v>
      </c>
      <c r="BJ198">
        <v>2.94173E-2</v>
      </c>
      <c r="BK198">
        <v>2.8334600000000001E-2</v>
      </c>
      <c r="BL198">
        <v>3.1777E-2</v>
      </c>
      <c r="BM198">
        <v>3.2455299999999999E-2</v>
      </c>
      <c r="BN198">
        <v>3.2846399999999998E-2</v>
      </c>
      <c r="BO198">
        <v>3.3834500000000003E-2</v>
      </c>
      <c r="BP198">
        <v>3.5316500000000001E-2</v>
      </c>
      <c r="BQ198">
        <v>3.6484999999999997E-2</v>
      </c>
      <c r="BR198">
        <v>3.5770299999999998E-2</v>
      </c>
      <c r="BS198">
        <v>3.4221599999999998E-2</v>
      </c>
      <c r="BT198">
        <v>3.3804099999999997E-2</v>
      </c>
      <c r="BU198">
        <v>3.3539800000000002E-2</v>
      </c>
      <c r="BV198">
        <v>3.2298599999999997E-2</v>
      </c>
      <c r="BW198">
        <v>2.9311E-2</v>
      </c>
      <c r="BX198">
        <v>2.8099900000000001E-2</v>
      </c>
      <c r="BY198">
        <v>2.4352800000000001E-2</v>
      </c>
      <c r="BZ198">
        <v>2.26973E-2</v>
      </c>
      <c r="CA198">
        <v>1.9072700000000001E-2</v>
      </c>
      <c r="CB198">
        <v>1.7983300000000001E-2</v>
      </c>
      <c r="CC198">
        <v>1.4844400000000001E-2</v>
      </c>
      <c r="CD198">
        <v>1.2344300000000001E-2</v>
      </c>
      <c r="CE198">
        <v>1.1056399999999999E-2</v>
      </c>
      <c r="CF198">
        <v>9.7223299999999995E-3</v>
      </c>
      <c r="CG198">
        <v>7.8855399999999999E-3</v>
      </c>
      <c r="CH198">
        <v>6.9165900000000002E-3</v>
      </c>
      <c r="CI198">
        <v>5.9113100000000003E-3</v>
      </c>
      <c r="CJ198">
        <v>5.0935599999999996E-3</v>
      </c>
      <c r="CK198">
        <v>4.2824899999999999E-3</v>
      </c>
      <c r="CL198">
        <v>3.5723600000000001E-3</v>
      </c>
      <c r="CM198">
        <v>2.9809200000000002E-3</v>
      </c>
      <c r="CN198">
        <v>2.7434500000000001E-3</v>
      </c>
      <c r="CO198">
        <v>2.39032E-3</v>
      </c>
      <c r="CP198">
        <v>1.80404E-3</v>
      </c>
      <c r="CQ198">
        <v>1.4606700000000001E-3</v>
      </c>
      <c r="CR198">
        <v>1.65368E-3</v>
      </c>
      <c r="CS198">
        <v>1.1141300000000001E-3</v>
      </c>
      <c r="CT198">
        <v>9.6213400000000001E-4</v>
      </c>
      <c r="CU198">
        <v>9.839619999999999E-4</v>
      </c>
      <c r="CV198">
        <v>9.1273799999999996E-4</v>
      </c>
      <c r="CW198">
        <v>8.0457399999999996E-4</v>
      </c>
      <c r="CX198">
        <v>5.6037299999999997E-4</v>
      </c>
      <c r="CY198">
        <v>5.3899199999999997E-4</v>
      </c>
      <c r="CZ198">
        <v>5.3392900000000004E-4</v>
      </c>
      <c r="DA198">
        <v>3.2275700000000001E-4</v>
      </c>
      <c r="DB198">
        <v>2.4927499999999997E-4</v>
      </c>
      <c r="DC198">
        <v>3.8020300000000002E-4</v>
      </c>
      <c r="DD198">
        <v>1.93387E-4</v>
      </c>
      <c r="DE198">
        <v>1.6486499999999999E-4</v>
      </c>
      <c r="DF198">
        <v>1.83213E-4</v>
      </c>
      <c r="DG198" s="1">
        <v>8.9699999999999998E-5</v>
      </c>
      <c r="DH198">
        <v>1.7522499999999999E-4</v>
      </c>
      <c r="DI198" s="1">
        <v>8.9599999999999996E-5</v>
      </c>
      <c r="DJ198" s="1">
        <v>2.8E-5</v>
      </c>
      <c r="DK198" s="1">
        <v>6.1199999999999999E-6</v>
      </c>
      <c r="DL198" s="1">
        <v>8.0400000000000003E-5</v>
      </c>
      <c r="DM198" s="1">
        <v>1.1600000000000001E-5</v>
      </c>
      <c r="DN198" s="1">
        <v>3.2399999999999999E-6</v>
      </c>
      <c r="DO198" s="1">
        <v>2.6100000000000001E-5</v>
      </c>
      <c r="DP198" s="1">
        <v>4.4900000000000002E-6</v>
      </c>
      <c r="DQ198" s="1">
        <v>2.3600000000000001E-5</v>
      </c>
      <c r="DR198" s="1">
        <v>1.66E-6</v>
      </c>
      <c r="DS198" s="1">
        <v>1.5299999999999999E-5</v>
      </c>
      <c r="DT198" s="1">
        <v>4.8999999999999997E-6</v>
      </c>
      <c r="DU198">
        <v>0</v>
      </c>
      <c r="DV198" s="1">
        <v>9.1600000000000004E-6</v>
      </c>
      <c r="DW198" t="s">
        <v>392</v>
      </c>
    </row>
    <row r="199" spans="1:127" x14ac:dyDescent="0.2">
      <c r="A199">
        <v>2003</v>
      </c>
      <c r="B199">
        <v>1</v>
      </c>
      <c r="C199">
        <v>1</v>
      </c>
      <c r="D199">
        <v>0</v>
      </c>
      <c r="E199">
        <v>0</v>
      </c>
      <c r="F199">
        <v>936</v>
      </c>
      <c r="G199">
        <v>0</v>
      </c>
      <c r="H199">
        <v>0</v>
      </c>
      <c r="I199">
        <v>0</v>
      </c>
      <c r="J199">
        <v>0</v>
      </c>
      <c r="K199" s="1">
        <v>7.7999999999999999E-6</v>
      </c>
      <c r="L199" s="1">
        <v>1.2099999999999999E-5</v>
      </c>
      <c r="M199" s="1">
        <v>2.05E-5</v>
      </c>
      <c r="N199">
        <v>0</v>
      </c>
      <c r="O199">
        <v>0</v>
      </c>
      <c r="P199" s="1">
        <v>1.95E-6</v>
      </c>
      <c r="Q199">
        <v>0</v>
      </c>
      <c r="R199">
        <v>0</v>
      </c>
      <c r="S199">
        <v>0</v>
      </c>
      <c r="T199" s="1">
        <v>1.0200000000000001E-5</v>
      </c>
      <c r="U199" s="1">
        <v>1.6200000000000001E-5</v>
      </c>
      <c r="V199" s="1">
        <v>1.0499999999999999E-5</v>
      </c>
      <c r="W199">
        <v>0</v>
      </c>
      <c r="X199" s="1">
        <v>1.5099999999999999E-5</v>
      </c>
      <c r="Y199" s="1">
        <v>8.8799999999999997E-6</v>
      </c>
      <c r="Z199" s="1">
        <v>2.1100000000000001E-5</v>
      </c>
      <c r="AA199" s="1">
        <v>3.7499999999999997E-5</v>
      </c>
      <c r="AB199" s="1">
        <v>7.7400000000000004E-6</v>
      </c>
      <c r="AC199" s="1">
        <v>4.7999999999999998E-6</v>
      </c>
      <c r="AD199" s="1">
        <v>1.43E-5</v>
      </c>
      <c r="AE199" s="1">
        <v>1.9400000000000001E-6</v>
      </c>
      <c r="AF199" s="1">
        <v>2.5999999999999998E-5</v>
      </c>
      <c r="AG199" s="1">
        <v>3.3000000000000003E-5</v>
      </c>
      <c r="AH199" s="1">
        <v>4.3699999999999998E-5</v>
      </c>
      <c r="AI199">
        <v>1.23452E-4</v>
      </c>
      <c r="AJ199">
        <v>1.45957E-4</v>
      </c>
      <c r="AK199">
        <v>5.0707499999999995E-4</v>
      </c>
      <c r="AL199">
        <v>6.2795600000000004E-4</v>
      </c>
      <c r="AM199">
        <v>1.14127E-3</v>
      </c>
      <c r="AN199">
        <v>1.4015099999999999E-3</v>
      </c>
      <c r="AO199">
        <v>1.68742E-3</v>
      </c>
      <c r="AP199">
        <v>2.2550500000000002E-3</v>
      </c>
      <c r="AQ199">
        <v>2.4827500000000001E-3</v>
      </c>
      <c r="AR199">
        <v>2.48672E-3</v>
      </c>
      <c r="AS199">
        <v>3.3727599999999998E-3</v>
      </c>
      <c r="AT199">
        <v>4.2256200000000002E-3</v>
      </c>
      <c r="AU199">
        <v>5.46022E-3</v>
      </c>
      <c r="AV199">
        <v>6.9366300000000001E-3</v>
      </c>
      <c r="AW199">
        <v>9.2711600000000005E-3</v>
      </c>
      <c r="AX199">
        <v>1.1021E-2</v>
      </c>
      <c r="AY199">
        <v>1.3563800000000001E-2</v>
      </c>
      <c r="AZ199">
        <v>1.4747100000000001E-2</v>
      </c>
      <c r="BA199">
        <v>1.7071099999999999E-2</v>
      </c>
      <c r="BB199">
        <v>1.93235E-2</v>
      </c>
      <c r="BC199">
        <v>2.0349699999999998E-2</v>
      </c>
      <c r="BD199">
        <v>2.27599E-2</v>
      </c>
      <c r="BE199">
        <v>2.4310100000000001E-2</v>
      </c>
      <c r="BF199">
        <v>2.8668599999999999E-2</v>
      </c>
      <c r="BG199">
        <v>2.8842799999999998E-2</v>
      </c>
      <c r="BH199">
        <v>3.0478600000000002E-2</v>
      </c>
      <c r="BI199">
        <v>3.0777700000000002E-2</v>
      </c>
      <c r="BJ199">
        <v>3.2259099999999999E-2</v>
      </c>
      <c r="BK199">
        <v>3.2367399999999998E-2</v>
      </c>
      <c r="BL199">
        <v>3.0673300000000001E-2</v>
      </c>
      <c r="BM199">
        <v>3.0494E-2</v>
      </c>
      <c r="BN199">
        <v>3.1859800000000001E-2</v>
      </c>
      <c r="BO199">
        <v>3.1280000000000002E-2</v>
      </c>
      <c r="BP199">
        <v>3.06973E-2</v>
      </c>
      <c r="BQ199">
        <v>3.24312E-2</v>
      </c>
      <c r="BR199">
        <v>3.0836499999999999E-2</v>
      </c>
      <c r="BS199">
        <v>3.1033100000000001E-2</v>
      </c>
      <c r="BT199">
        <v>3.03007E-2</v>
      </c>
      <c r="BU199">
        <v>3.04262E-2</v>
      </c>
      <c r="BV199">
        <v>2.9623699999999999E-2</v>
      </c>
      <c r="BW199">
        <v>2.76356E-2</v>
      </c>
      <c r="BX199">
        <v>2.96885E-2</v>
      </c>
      <c r="BY199">
        <v>2.5670700000000001E-2</v>
      </c>
      <c r="BZ199">
        <v>2.2976699999999999E-2</v>
      </c>
      <c r="CA199">
        <v>2.1320200000000001E-2</v>
      </c>
      <c r="CB199">
        <v>2.0636100000000001E-2</v>
      </c>
      <c r="CC199">
        <v>1.8065299999999999E-2</v>
      </c>
      <c r="CD199">
        <v>1.6726100000000001E-2</v>
      </c>
      <c r="CE199">
        <v>1.4395099999999999E-2</v>
      </c>
      <c r="CF199">
        <v>1.28693E-2</v>
      </c>
      <c r="CG199">
        <v>1.1196299999999999E-2</v>
      </c>
      <c r="CH199">
        <v>1.07425E-2</v>
      </c>
      <c r="CI199">
        <v>8.6589500000000003E-3</v>
      </c>
      <c r="CJ199">
        <v>7.9756400000000009E-3</v>
      </c>
      <c r="CK199">
        <v>6.73407E-3</v>
      </c>
      <c r="CL199">
        <v>5.6459600000000002E-3</v>
      </c>
      <c r="CM199">
        <v>5.14811E-3</v>
      </c>
      <c r="CN199">
        <v>3.82929E-3</v>
      </c>
      <c r="CO199">
        <v>3.4402E-3</v>
      </c>
      <c r="CP199">
        <v>3.1366699999999998E-3</v>
      </c>
      <c r="CQ199">
        <v>2.39492E-3</v>
      </c>
      <c r="CR199">
        <v>2.29568E-3</v>
      </c>
      <c r="CS199">
        <v>1.83917E-3</v>
      </c>
      <c r="CT199">
        <v>1.39204E-3</v>
      </c>
      <c r="CU199">
        <v>1.2205300000000001E-3</v>
      </c>
      <c r="CV199">
        <v>9.3766800000000001E-4</v>
      </c>
      <c r="CW199">
        <v>1.1449699999999999E-3</v>
      </c>
      <c r="CX199">
        <v>6.6542399999999996E-4</v>
      </c>
      <c r="CY199">
        <v>5.8908500000000004E-4</v>
      </c>
      <c r="CZ199">
        <v>3.78969E-4</v>
      </c>
      <c r="DA199">
        <v>4.62499E-4</v>
      </c>
      <c r="DB199">
        <v>3.2077599999999999E-4</v>
      </c>
      <c r="DC199">
        <v>3.0665199999999998E-4</v>
      </c>
      <c r="DD199">
        <v>2.27533E-4</v>
      </c>
      <c r="DE199">
        <v>1.4269E-4</v>
      </c>
      <c r="DF199">
        <v>1.47971E-4</v>
      </c>
      <c r="DG199">
        <v>1.35959E-4</v>
      </c>
      <c r="DH199" s="1">
        <v>9.0600000000000007E-5</v>
      </c>
      <c r="DI199" s="1">
        <v>7.1500000000000003E-5</v>
      </c>
      <c r="DJ199" s="1">
        <v>6.7600000000000003E-5</v>
      </c>
      <c r="DK199" s="1">
        <v>6.5699999999999998E-6</v>
      </c>
      <c r="DL199" s="1">
        <v>2.62E-5</v>
      </c>
      <c r="DM199" s="1">
        <v>7.1600000000000001E-6</v>
      </c>
      <c r="DN199" s="1">
        <v>6.4999999999999996E-6</v>
      </c>
      <c r="DO199">
        <v>0</v>
      </c>
      <c r="DP199" s="1">
        <v>2.4399999999999999E-6</v>
      </c>
      <c r="DQ199" s="1">
        <v>3.7100000000000001E-6</v>
      </c>
      <c r="DR199" s="1">
        <v>2.2500000000000001E-6</v>
      </c>
      <c r="DS199" s="1">
        <v>9.0800000000000003E-7</v>
      </c>
      <c r="DT199">
        <v>0</v>
      </c>
      <c r="DU199" s="1">
        <v>3.63E-6</v>
      </c>
      <c r="DV199" s="1">
        <v>2.04E-6</v>
      </c>
      <c r="DW199" t="s">
        <v>393</v>
      </c>
    </row>
    <row r="200" spans="1:127" x14ac:dyDescent="0.2">
      <c r="A200">
        <v>2004</v>
      </c>
      <c r="B200">
        <v>1</v>
      </c>
      <c r="C200">
        <v>1</v>
      </c>
      <c r="D200">
        <v>0</v>
      </c>
      <c r="E200">
        <v>0</v>
      </c>
      <c r="F200">
        <v>785</v>
      </c>
      <c r="G200">
        <v>0</v>
      </c>
      <c r="H200">
        <v>0</v>
      </c>
      <c r="I200">
        <v>0</v>
      </c>
      <c r="J200">
        <v>0</v>
      </c>
      <c r="K200">
        <v>0</v>
      </c>
      <c r="L200" s="1">
        <v>5.0300000000000001E-6</v>
      </c>
      <c r="M200" s="1">
        <v>4.7100000000000002E-7</v>
      </c>
      <c r="N200" s="1">
        <v>2.2199999999999999E-6</v>
      </c>
      <c r="O200" s="1">
        <v>1.13E-6</v>
      </c>
      <c r="P200">
        <v>0</v>
      </c>
      <c r="Q200">
        <v>0</v>
      </c>
      <c r="R200">
        <v>0</v>
      </c>
      <c r="S200">
        <v>0</v>
      </c>
      <c r="T200" s="1">
        <v>2.2799999999999999E-5</v>
      </c>
      <c r="U200" s="1">
        <v>2.44E-5</v>
      </c>
      <c r="V200" s="1">
        <v>1.29E-5</v>
      </c>
      <c r="W200" s="1">
        <v>2.6699999999999998E-5</v>
      </c>
      <c r="X200">
        <v>0</v>
      </c>
      <c r="Y200" s="1">
        <v>8.5900000000000001E-5</v>
      </c>
      <c r="Z200" s="1">
        <v>8.7899999999999995E-5</v>
      </c>
      <c r="AA200">
        <v>0</v>
      </c>
      <c r="AB200" s="1">
        <v>2.3499999999999999E-5</v>
      </c>
      <c r="AC200" s="1">
        <v>2.6800000000000001E-5</v>
      </c>
      <c r="AD200" s="1">
        <v>6.0999999999999999E-5</v>
      </c>
      <c r="AE200" s="1">
        <v>1.7900000000000001E-5</v>
      </c>
      <c r="AF200">
        <v>2.8667599999999998E-4</v>
      </c>
      <c r="AG200">
        <v>2.7336100000000001E-4</v>
      </c>
      <c r="AH200">
        <v>3.9112899999999999E-4</v>
      </c>
      <c r="AI200">
        <v>4.8189100000000003E-4</v>
      </c>
      <c r="AJ200">
        <v>1.44125E-3</v>
      </c>
      <c r="AK200">
        <v>1.5650600000000001E-3</v>
      </c>
      <c r="AL200">
        <v>1.3707599999999999E-3</v>
      </c>
      <c r="AM200">
        <v>1.68819E-3</v>
      </c>
      <c r="AN200">
        <v>2.56726E-3</v>
      </c>
      <c r="AO200">
        <v>2.4127900000000002E-3</v>
      </c>
      <c r="AP200">
        <v>3.4207E-3</v>
      </c>
      <c r="AQ200">
        <v>2.6445000000000001E-3</v>
      </c>
      <c r="AR200">
        <v>3.0033199999999999E-3</v>
      </c>
      <c r="AS200">
        <v>2.6922299999999999E-3</v>
      </c>
      <c r="AT200">
        <v>3.3354299999999999E-3</v>
      </c>
      <c r="AU200">
        <v>3.2880100000000001E-3</v>
      </c>
      <c r="AV200">
        <v>4.06691E-3</v>
      </c>
      <c r="AW200">
        <v>4.5479400000000003E-3</v>
      </c>
      <c r="AX200">
        <v>5.4681599999999997E-3</v>
      </c>
      <c r="AY200">
        <v>7.5443999999999997E-3</v>
      </c>
      <c r="AZ200">
        <v>9.6069999999999992E-3</v>
      </c>
      <c r="BA200">
        <v>1.17302E-2</v>
      </c>
      <c r="BB200">
        <v>1.3837199999999999E-2</v>
      </c>
      <c r="BC200">
        <v>1.6714300000000001E-2</v>
      </c>
      <c r="BD200">
        <v>2.0331200000000001E-2</v>
      </c>
      <c r="BE200">
        <v>2.1271000000000002E-2</v>
      </c>
      <c r="BF200">
        <v>2.36086E-2</v>
      </c>
      <c r="BG200">
        <v>2.59869E-2</v>
      </c>
      <c r="BH200">
        <v>2.76321E-2</v>
      </c>
      <c r="BI200">
        <v>3.1105799999999999E-2</v>
      </c>
      <c r="BJ200">
        <v>3.3794400000000002E-2</v>
      </c>
      <c r="BK200">
        <v>3.5524399999999998E-2</v>
      </c>
      <c r="BL200">
        <v>3.4380500000000001E-2</v>
      </c>
      <c r="BM200">
        <v>3.7905800000000003E-2</v>
      </c>
      <c r="BN200">
        <v>3.9774299999999999E-2</v>
      </c>
      <c r="BO200">
        <v>3.9607099999999999E-2</v>
      </c>
      <c r="BP200">
        <v>3.9148599999999999E-2</v>
      </c>
      <c r="BQ200">
        <v>3.99143E-2</v>
      </c>
      <c r="BR200">
        <v>3.8239299999999997E-2</v>
      </c>
      <c r="BS200">
        <v>3.6753099999999997E-2</v>
      </c>
      <c r="BT200">
        <v>3.4781199999999998E-2</v>
      </c>
      <c r="BU200">
        <v>3.1433999999999997E-2</v>
      </c>
      <c r="BV200">
        <v>3.1273099999999998E-2</v>
      </c>
      <c r="BW200">
        <v>2.82426E-2</v>
      </c>
      <c r="BX200">
        <v>2.7522700000000001E-2</v>
      </c>
      <c r="BY200">
        <v>2.3352600000000001E-2</v>
      </c>
      <c r="BZ200">
        <v>2.02559E-2</v>
      </c>
      <c r="CA200">
        <v>1.8673700000000001E-2</v>
      </c>
      <c r="CB200">
        <v>1.62378E-2</v>
      </c>
      <c r="CC200">
        <v>1.4894299999999999E-2</v>
      </c>
      <c r="CD200">
        <v>1.3339200000000001E-2</v>
      </c>
      <c r="CE200">
        <v>1.1837500000000001E-2</v>
      </c>
      <c r="CF200">
        <v>1.1214699999999999E-2</v>
      </c>
      <c r="CG200">
        <v>9.6608800000000002E-3</v>
      </c>
      <c r="CH200">
        <v>9.3033600000000001E-3</v>
      </c>
      <c r="CI200">
        <v>8.1897800000000007E-3</v>
      </c>
      <c r="CJ200">
        <v>7.2034300000000002E-3</v>
      </c>
      <c r="CK200">
        <v>6.2588599999999998E-3</v>
      </c>
      <c r="CL200">
        <v>6.0888100000000001E-3</v>
      </c>
      <c r="CM200">
        <v>5.2686299999999998E-3</v>
      </c>
      <c r="CN200">
        <v>5.0031700000000004E-3</v>
      </c>
      <c r="CO200">
        <v>4.2815600000000002E-3</v>
      </c>
      <c r="CP200">
        <v>3.4682300000000001E-3</v>
      </c>
      <c r="CQ200">
        <v>3.1495500000000001E-3</v>
      </c>
      <c r="CR200">
        <v>2.8123200000000001E-3</v>
      </c>
      <c r="CS200">
        <v>2.37367E-3</v>
      </c>
      <c r="CT200">
        <v>2.0169799999999998E-3</v>
      </c>
      <c r="CU200">
        <v>1.8790899999999999E-3</v>
      </c>
      <c r="CV200">
        <v>1.6652500000000001E-3</v>
      </c>
      <c r="CW200">
        <v>1.5395599999999999E-3</v>
      </c>
      <c r="CX200">
        <v>1.3719800000000001E-3</v>
      </c>
      <c r="CY200">
        <v>1.09286E-3</v>
      </c>
      <c r="CZ200">
        <v>7.4713799999999995E-4</v>
      </c>
      <c r="DA200">
        <v>8.2064499999999995E-4</v>
      </c>
      <c r="DB200">
        <v>6.3550800000000001E-4</v>
      </c>
      <c r="DC200">
        <v>6.40589E-4</v>
      </c>
      <c r="DD200">
        <v>3.86747E-4</v>
      </c>
      <c r="DE200">
        <v>4.0476500000000002E-4</v>
      </c>
      <c r="DF200">
        <v>1.8370600000000001E-4</v>
      </c>
      <c r="DG200">
        <v>1.80707E-4</v>
      </c>
      <c r="DH200">
        <v>1.02295E-4</v>
      </c>
      <c r="DI200">
        <v>1.2410200000000001E-4</v>
      </c>
      <c r="DJ200" s="1">
        <v>6.4399999999999993E-5</v>
      </c>
      <c r="DK200" s="1">
        <v>5.6900000000000001E-5</v>
      </c>
      <c r="DL200" s="1">
        <v>8.4300000000000003E-5</v>
      </c>
      <c r="DM200" s="1">
        <v>5.3300000000000001E-5</v>
      </c>
      <c r="DN200" s="1">
        <v>2.8900000000000001E-5</v>
      </c>
      <c r="DO200" s="1">
        <v>5.5199999999999997E-6</v>
      </c>
      <c r="DP200" s="1">
        <v>3.5300000000000001E-6</v>
      </c>
      <c r="DQ200" s="1">
        <v>2.7499999999999999E-6</v>
      </c>
      <c r="DR200">
        <v>0</v>
      </c>
      <c r="DS200" s="1">
        <v>1.8700000000000001E-6</v>
      </c>
      <c r="DT200" s="1">
        <v>5.5199999999999997E-6</v>
      </c>
      <c r="DU200">
        <v>0</v>
      </c>
      <c r="DV200" s="1">
        <v>2.4899999999999999E-5</v>
      </c>
      <c r="DW200" t="s">
        <v>394</v>
      </c>
    </row>
    <row r="201" spans="1:127" x14ac:dyDescent="0.2">
      <c r="A201">
        <v>2005</v>
      </c>
      <c r="B201">
        <v>1</v>
      </c>
      <c r="C201">
        <v>1</v>
      </c>
      <c r="D201">
        <v>0</v>
      </c>
      <c r="E201">
        <v>0</v>
      </c>
      <c r="F201">
        <v>753</v>
      </c>
      <c r="G201">
        <v>0</v>
      </c>
      <c r="H201">
        <v>0</v>
      </c>
      <c r="I201">
        <v>0</v>
      </c>
      <c r="J201">
        <v>0</v>
      </c>
      <c r="K201" s="1">
        <v>3.7100000000000001E-6</v>
      </c>
      <c r="L201" s="1">
        <v>1.42E-6</v>
      </c>
      <c r="M201" s="1">
        <v>1.36E-5</v>
      </c>
      <c r="N201">
        <v>0</v>
      </c>
      <c r="O201" s="1">
        <v>5.5599999999999995E-7</v>
      </c>
      <c r="P201">
        <v>0</v>
      </c>
      <c r="Q201">
        <v>0</v>
      </c>
      <c r="R201">
        <v>0</v>
      </c>
      <c r="S201">
        <v>0</v>
      </c>
      <c r="T201">
        <v>0</v>
      </c>
      <c r="U201">
        <v>0</v>
      </c>
      <c r="V201" s="1">
        <v>5.5799999999999999E-6</v>
      </c>
      <c r="W201" s="1">
        <v>5.5799999999999999E-6</v>
      </c>
      <c r="X201" s="1">
        <v>2.0400000000000001E-5</v>
      </c>
      <c r="Y201" s="1">
        <v>7.0899999999999999E-6</v>
      </c>
      <c r="Z201">
        <v>0</v>
      </c>
      <c r="AA201" s="1">
        <v>7.36E-5</v>
      </c>
      <c r="AB201" s="1">
        <v>2.73E-5</v>
      </c>
      <c r="AC201">
        <v>1.2960399999999999E-4</v>
      </c>
      <c r="AD201">
        <v>1.2977900000000001E-4</v>
      </c>
      <c r="AE201" s="1">
        <v>5.5000000000000002E-5</v>
      </c>
      <c r="AF201" s="1">
        <v>6.3700000000000003E-5</v>
      </c>
      <c r="AG201">
        <v>1.9120699999999999E-4</v>
      </c>
      <c r="AH201" s="1">
        <v>7.1199999999999996E-5</v>
      </c>
      <c r="AI201">
        <v>1.3061299999999999E-4</v>
      </c>
      <c r="AJ201">
        <v>6.7008699999999998E-4</v>
      </c>
      <c r="AK201">
        <v>9.0524599999999996E-4</v>
      </c>
      <c r="AL201">
        <v>1.22839E-3</v>
      </c>
      <c r="AM201">
        <v>1.11586E-3</v>
      </c>
      <c r="AN201">
        <v>2.0627100000000002E-3</v>
      </c>
      <c r="AO201">
        <v>2.5147699999999999E-3</v>
      </c>
      <c r="AP201">
        <v>2.4884500000000001E-3</v>
      </c>
      <c r="AQ201">
        <v>2.77319E-3</v>
      </c>
      <c r="AR201">
        <v>3.0631E-3</v>
      </c>
      <c r="AS201">
        <v>2.9761200000000001E-3</v>
      </c>
      <c r="AT201">
        <v>3.2471499999999999E-3</v>
      </c>
      <c r="AU201">
        <v>3.6659399999999999E-3</v>
      </c>
      <c r="AV201">
        <v>4.5534399999999997E-3</v>
      </c>
      <c r="AW201">
        <v>5.3045399999999999E-3</v>
      </c>
      <c r="AX201">
        <v>6.32674E-3</v>
      </c>
      <c r="AY201">
        <v>8.2859400000000003E-3</v>
      </c>
      <c r="AZ201">
        <v>9.4082899999999997E-3</v>
      </c>
      <c r="BA201">
        <v>1.10908E-2</v>
      </c>
      <c r="BB201">
        <v>1.21566E-2</v>
      </c>
      <c r="BC201">
        <v>1.4256100000000001E-2</v>
      </c>
      <c r="BD201">
        <v>1.5355499999999999E-2</v>
      </c>
      <c r="BE201">
        <v>1.6126999999999999E-2</v>
      </c>
      <c r="BF201">
        <v>1.86845E-2</v>
      </c>
      <c r="BG201">
        <v>2.0002700000000002E-2</v>
      </c>
      <c r="BH201">
        <v>2.163E-2</v>
      </c>
      <c r="BI201">
        <v>2.3573500000000001E-2</v>
      </c>
      <c r="BJ201">
        <v>2.4913899999999999E-2</v>
      </c>
      <c r="BK201">
        <v>2.6979E-2</v>
      </c>
      <c r="BL201">
        <v>2.7351500000000001E-2</v>
      </c>
      <c r="BM201">
        <v>2.8367400000000001E-2</v>
      </c>
      <c r="BN201">
        <v>3.2066799999999999E-2</v>
      </c>
      <c r="BO201">
        <v>3.1392400000000001E-2</v>
      </c>
      <c r="BP201">
        <v>3.3041500000000001E-2</v>
      </c>
      <c r="BQ201">
        <v>3.5791299999999998E-2</v>
      </c>
      <c r="BR201">
        <v>3.6684300000000003E-2</v>
      </c>
      <c r="BS201">
        <v>3.7297200000000003E-2</v>
      </c>
      <c r="BT201">
        <v>3.6214299999999998E-2</v>
      </c>
      <c r="BU201">
        <v>3.7477900000000001E-2</v>
      </c>
      <c r="BV201">
        <v>3.6762299999999998E-2</v>
      </c>
      <c r="BW201">
        <v>3.4096899999999999E-2</v>
      </c>
      <c r="BX201">
        <v>3.6548900000000002E-2</v>
      </c>
      <c r="BY201">
        <v>3.0478399999999999E-2</v>
      </c>
      <c r="BZ201">
        <v>2.8388099999999999E-2</v>
      </c>
      <c r="CA201">
        <v>2.5478799999999999E-2</v>
      </c>
      <c r="CB201">
        <v>2.2778400000000001E-2</v>
      </c>
      <c r="CC201">
        <v>2.1213699999999999E-2</v>
      </c>
      <c r="CD201">
        <v>1.9034499999999999E-2</v>
      </c>
      <c r="CE201">
        <v>1.55443E-2</v>
      </c>
      <c r="CF201">
        <v>1.5299500000000001E-2</v>
      </c>
      <c r="CG201">
        <v>1.23398E-2</v>
      </c>
      <c r="CH201">
        <v>1.29418E-2</v>
      </c>
      <c r="CI201">
        <v>1.10548E-2</v>
      </c>
      <c r="CJ201">
        <v>9.5173299999999992E-3</v>
      </c>
      <c r="CK201">
        <v>8.1852399999999999E-3</v>
      </c>
      <c r="CL201">
        <v>7.5486599999999996E-3</v>
      </c>
      <c r="CM201">
        <v>6.5994399999999998E-3</v>
      </c>
      <c r="CN201">
        <v>6.0664600000000001E-3</v>
      </c>
      <c r="CO201">
        <v>5.1879400000000003E-3</v>
      </c>
      <c r="CP201">
        <v>4.8997900000000002E-3</v>
      </c>
      <c r="CQ201">
        <v>4.0672900000000003E-3</v>
      </c>
      <c r="CR201">
        <v>4.3651000000000002E-3</v>
      </c>
      <c r="CS201">
        <v>3.1184199999999998E-3</v>
      </c>
      <c r="CT201">
        <v>2.9215399999999998E-3</v>
      </c>
      <c r="CU201">
        <v>2.09633E-3</v>
      </c>
      <c r="CV201">
        <v>2.2265900000000001E-3</v>
      </c>
      <c r="CW201">
        <v>1.8075999999999999E-3</v>
      </c>
      <c r="CX201">
        <v>1.48325E-3</v>
      </c>
      <c r="CY201">
        <v>1.21189E-3</v>
      </c>
      <c r="CZ201">
        <v>1.18655E-3</v>
      </c>
      <c r="DA201">
        <v>7.9354700000000002E-4</v>
      </c>
      <c r="DB201">
        <v>6.8443200000000001E-4</v>
      </c>
      <c r="DC201">
        <v>4.6112900000000001E-4</v>
      </c>
      <c r="DD201">
        <v>4.4652199999999998E-4</v>
      </c>
      <c r="DE201">
        <v>3.1999900000000001E-4</v>
      </c>
      <c r="DF201">
        <v>2.8576399999999998E-4</v>
      </c>
      <c r="DG201">
        <v>1.4404700000000001E-4</v>
      </c>
      <c r="DH201">
        <v>1.3656599999999999E-4</v>
      </c>
      <c r="DI201" s="1">
        <v>9.0099999999999995E-5</v>
      </c>
      <c r="DJ201" s="1">
        <v>5.2099999999999999E-5</v>
      </c>
      <c r="DK201" s="1">
        <v>6.3100000000000002E-5</v>
      </c>
      <c r="DL201" s="1">
        <v>4.5300000000000003E-5</v>
      </c>
      <c r="DM201" s="1">
        <v>1.15E-5</v>
      </c>
      <c r="DN201" s="1">
        <v>4.34E-6</v>
      </c>
      <c r="DO201" s="1">
        <v>9.3899999999999999E-6</v>
      </c>
      <c r="DP201" s="1">
        <v>1.6300000000000001E-6</v>
      </c>
      <c r="DQ201" s="1">
        <v>5.2800000000000003E-6</v>
      </c>
      <c r="DR201">
        <v>0</v>
      </c>
      <c r="DS201" s="1">
        <v>3.76E-6</v>
      </c>
      <c r="DT201" s="1">
        <v>8.4600000000000003E-6</v>
      </c>
      <c r="DU201">
        <v>0</v>
      </c>
      <c r="DV201" s="1">
        <v>9.1300000000000007E-6</v>
      </c>
      <c r="DW201" t="s">
        <v>395</v>
      </c>
    </row>
    <row r="202" spans="1:127" x14ac:dyDescent="0.2">
      <c r="A202">
        <v>2006</v>
      </c>
      <c r="B202">
        <v>1</v>
      </c>
      <c r="C202">
        <v>1</v>
      </c>
      <c r="D202">
        <v>0</v>
      </c>
      <c r="E202">
        <v>0</v>
      </c>
      <c r="F202">
        <v>587</v>
      </c>
      <c r="G202">
        <v>0</v>
      </c>
      <c r="H202">
        <v>0</v>
      </c>
      <c r="I202">
        <v>0</v>
      </c>
      <c r="J202">
        <v>0</v>
      </c>
      <c r="K202">
        <v>0</v>
      </c>
      <c r="L202" s="1">
        <v>8.3999999999999992E-6</v>
      </c>
      <c r="M202" s="1">
        <v>1.27E-5</v>
      </c>
      <c r="N202" s="1">
        <v>1.99E-6</v>
      </c>
      <c r="O202">
        <v>0</v>
      </c>
      <c r="P202">
        <v>0</v>
      </c>
      <c r="Q202">
        <v>0</v>
      </c>
      <c r="R202">
        <v>0</v>
      </c>
      <c r="S202">
        <v>0</v>
      </c>
      <c r="T202">
        <v>0</v>
      </c>
      <c r="U202">
        <v>0</v>
      </c>
      <c r="V202" s="1">
        <v>5.4199999999999998E-6</v>
      </c>
      <c r="W202">
        <v>0</v>
      </c>
      <c r="X202" s="1">
        <v>1.2099999999999999E-5</v>
      </c>
      <c r="Y202">
        <v>0</v>
      </c>
      <c r="Z202" s="1">
        <v>1.6099999999999998E-5</v>
      </c>
      <c r="AA202" s="1">
        <v>2.4199999999999999E-5</v>
      </c>
      <c r="AB202" s="1">
        <v>2.5599999999999999E-5</v>
      </c>
      <c r="AC202" s="1">
        <v>2.1100000000000001E-5</v>
      </c>
      <c r="AD202" s="1">
        <v>5.2399999999999998E-6</v>
      </c>
      <c r="AE202" s="1">
        <v>3.4199999999999998E-5</v>
      </c>
      <c r="AF202">
        <v>0</v>
      </c>
      <c r="AG202">
        <v>0</v>
      </c>
      <c r="AH202">
        <v>2.0458999999999999E-4</v>
      </c>
      <c r="AI202" s="1">
        <v>4.9499999999999997E-5</v>
      </c>
      <c r="AJ202" s="1">
        <v>8.3900000000000006E-5</v>
      </c>
      <c r="AK202">
        <v>6.51083E-4</v>
      </c>
      <c r="AL202">
        <v>7.5830500000000003E-4</v>
      </c>
      <c r="AM202">
        <v>1.13148E-3</v>
      </c>
      <c r="AN202">
        <v>1.8758900000000001E-3</v>
      </c>
      <c r="AO202">
        <v>1.3589100000000001E-3</v>
      </c>
      <c r="AP202">
        <v>2.4947099999999998E-3</v>
      </c>
      <c r="AQ202">
        <v>3.2981099999999999E-3</v>
      </c>
      <c r="AR202">
        <v>3.58261E-3</v>
      </c>
      <c r="AS202">
        <v>3.6175999999999999E-3</v>
      </c>
      <c r="AT202">
        <v>3.9680499999999999E-3</v>
      </c>
      <c r="AU202">
        <v>4.13643E-3</v>
      </c>
      <c r="AV202">
        <v>4.7942100000000001E-3</v>
      </c>
      <c r="AW202">
        <v>4.36017E-3</v>
      </c>
      <c r="AX202">
        <v>4.4471500000000004E-3</v>
      </c>
      <c r="AY202">
        <v>6.1680600000000004E-3</v>
      </c>
      <c r="AZ202">
        <v>9.0878999999999995E-3</v>
      </c>
      <c r="BA202">
        <v>1.0357699999999999E-2</v>
      </c>
      <c r="BB202">
        <v>1.2455600000000001E-2</v>
      </c>
      <c r="BC202">
        <v>1.49225E-2</v>
      </c>
      <c r="BD202">
        <v>1.7169400000000001E-2</v>
      </c>
      <c r="BE202">
        <v>1.9191199999999999E-2</v>
      </c>
      <c r="BF202">
        <v>2.1201600000000001E-2</v>
      </c>
      <c r="BG202">
        <v>2.3168000000000001E-2</v>
      </c>
      <c r="BH202">
        <v>2.5216599999999999E-2</v>
      </c>
      <c r="BI202">
        <v>2.70362E-2</v>
      </c>
      <c r="BJ202">
        <v>2.7948799999999999E-2</v>
      </c>
      <c r="BK202">
        <v>2.87741E-2</v>
      </c>
      <c r="BL202">
        <v>2.8766E-2</v>
      </c>
      <c r="BM202">
        <v>2.8228199999999998E-2</v>
      </c>
      <c r="BN202">
        <v>2.9182199999999998E-2</v>
      </c>
      <c r="BO202">
        <v>2.7826300000000002E-2</v>
      </c>
      <c r="BP202">
        <v>3.02749E-2</v>
      </c>
      <c r="BQ202">
        <v>2.8527899999999998E-2</v>
      </c>
      <c r="BR202">
        <v>2.94004E-2</v>
      </c>
      <c r="BS202">
        <v>2.8828599999999999E-2</v>
      </c>
      <c r="BT202">
        <v>2.9262400000000001E-2</v>
      </c>
      <c r="BU202">
        <v>2.9300400000000001E-2</v>
      </c>
      <c r="BV202">
        <v>3.0193899999999999E-2</v>
      </c>
      <c r="BW202">
        <v>2.6534100000000001E-2</v>
      </c>
      <c r="BX202">
        <v>2.9770100000000001E-2</v>
      </c>
      <c r="BY202">
        <v>2.48653E-2</v>
      </c>
      <c r="BZ202">
        <v>2.51504E-2</v>
      </c>
      <c r="CA202">
        <v>2.51007E-2</v>
      </c>
      <c r="CB202">
        <v>2.4189100000000002E-2</v>
      </c>
      <c r="CC202">
        <v>2.2937699999999998E-2</v>
      </c>
      <c r="CD202">
        <v>2.0786599999999999E-2</v>
      </c>
      <c r="CE202">
        <v>1.8668199999999999E-2</v>
      </c>
      <c r="CF202">
        <v>1.78017E-2</v>
      </c>
      <c r="CG202">
        <v>1.6088600000000002E-2</v>
      </c>
      <c r="CH202">
        <v>1.6264600000000001E-2</v>
      </c>
      <c r="CI202">
        <v>1.38476E-2</v>
      </c>
      <c r="CJ202">
        <v>1.3225900000000001E-2</v>
      </c>
      <c r="CK202">
        <v>1.27388E-2</v>
      </c>
      <c r="CL202">
        <v>1.10759E-2</v>
      </c>
      <c r="CM202">
        <v>9.6807500000000001E-3</v>
      </c>
      <c r="CN202">
        <v>9.1482200000000003E-3</v>
      </c>
      <c r="CO202">
        <v>8.7170400000000006E-3</v>
      </c>
      <c r="CP202">
        <v>7.2158600000000002E-3</v>
      </c>
      <c r="CQ202">
        <v>6.2320099999999996E-3</v>
      </c>
      <c r="CR202">
        <v>5.8866099999999996E-3</v>
      </c>
      <c r="CS202">
        <v>4.2786899999999999E-3</v>
      </c>
      <c r="CT202">
        <v>4.20259E-3</v>
      </c>
      <c r="CU202">
        <v>3.65489E-3</v>
      </c>
      <c r="CV202">
        <v>2.9971799999999999E-3</v>
      </c>
      <c r="CW202">
        <v>2.5710099999999999E-3</v>
      </c>
      <c r="CX202">
        <v>2.2763499999999999E-3</v>
      </c>
      <c r="CY202">
        <v>1.8566500000000001E-3</v>
      </c>
      <c r="CZ202">
        <v>1.9476999999999999E-3</v>
      </c>
      <c r="DA202">
        <v>1.4383E-3</v>
      </c>
      <c r="DB202">
        <v>1.15825E-3</v>
      </c>
      <c r="DC202">
        <v>8.4183900000000004E-4</v>
      </c>
      <c r="DD202">
        <v>6.9373500000000001E-4</v>
      </c>
      <c r="DE202">
        <v>4.9175900000000003E-4</v>
      </c>
      <c r="DF202">
        <v>5.5924800000000004E-4</v>
      </c>
      <c r="DG202">
        <v>4.5419900000000002E-4</v>
      </c>
      <c r="DH202">
        <v>3.1496900000000001E-4</v>
      </c>
      <c r="DI202">
        <v>2.7077399999999999E-4</v>
      </c>
      <c r="DJ202">
        <v>1.3029900000000001E-4</v>
      </c>
      <c r="DK202" s="1">
        <v>9.7700000000000003E-5</v>
      </c>
      <c r="DL202">
        <v>1.3961999999999999E-4</v>
      </c>
      <c r="DM202" s="1">
        <v>5.8499999999999999E-5</v>
      </c>
      <c r="DN202" s="1">
        <v>3.7100000000000001E-5</v>
      </c>
      <c r="DO202" s="1">
        <v>3.4400000000000003E-5</v>
      </c>
      <c r="DP202" s="1">
        <v>1.8899999999999999E-5</v>
      </c>
      <c r="DQ202" s="1">
        <v>3.7700000000000002E-5</v>
      </c>
      <c r="DR202" s="1">
        <v>8.2300000000000008E-6</v>
      </c>
      <c r="DS202" s="1">
        <v>2.2399999999999999E-5</v>
      </c>
      <c r="DT202" s="1">
        <v>7.6000000000000001E-6</v>
      </c>
      <c r="DU202">
        <v>0</v>
      </c>
      <c r="DV202" s="1">
        <v>5.2700000000000004E-6</v>
      </c>
      <c r="DW202" t="s">
        <v>396</v>
      </c>
    </row>
    <row r="203" spans="1:127" x14ac:dyDescent="0.2">
      <c r="A203">
        <v>2007</v>
      </c>
      <c r="B203">
        <v>1</v>
      </c>
      <c r="C203">
        <v>1</v>
      </c>
      <c r="D203">
        <v>0</v>
      </c>
      <c r="E203">
        <v>0</v>
      </c>
      <c r="F203">
        <v>460</v>
      </c>
      <c r="G203">
        <v>0</v>
      </c>
      <c r="H203">
        <v>0</v>
      </c>
      <c r="I203">
        <v>0</v>
      </c>
      <c r="J203">
        <v>0</v>
      </c>
      <c r="K203">
        <v>0</v>
      </c>
      <c r="L203" s="1">
        <v>5.0799999999999996E-6</v>
      </c>
      <c r="M203" s="1">
        <v>2.3099999999999999E-6</v>
      </c>
      <c r="N203" s="1">
        <v>1.47E-5</v>
      </c>
      <c r="O203" s="1">
        <v>5.3399999999999997E-6</v>
      </c>
      <c r="P203">
        <v>0</v>
      </c>
      <c r="Q203">
        <v>0</v>
      </c>
      <c r="R203">
        <v>0</v>
      </c>
      <c r="S203">
        <v>0</v>
      </c>
      <c r="T203" s="1">
        <v>4.4700000000000002E-5</v>
      </c>
      <c r="U203" s="1">
        <v>8.7499999999999999E-5</v>
      </c>
      <c r="V203" s="1">
        <v>8.5099999999999998E-6</v>
      </c>
      <c r="W203">
        <v>0</v>
      </c>
      <c r="X203">
        <v>1.1567599999999999E-4</v>
      </c>
      <c r="Y203">
        <v>1.1021700000000001E-4</v>
      </c>
      <c r="Z203" s="1">
        <v>4.7599999999999998E-5</v>
      </c>
      <c r="AA203">
        <v>1.34657E-4</v>
      </c>
      <c r="AB203" s="1">
        <v>1.7099999999999999E-5</v>
      </c>
      <c r="AC203">
        <v>1.34108E-4</v>
      </c>
      <c r="AD203">
        <v>1.4391E-4</v>
      </c>
      <c r="AE203">
        <v>1.2294199999999999E-3</v>
      </c>
      <c r="AF203">
        <v>5.1321600000000004E-4</v>
      </c>
      <c r="AG203">
        <v>1.8054599999999999E-4</v>
      </c>
      <c r="AH203">
        <v>4.5273600000000002E-4</v>
      </c>
      <c r="AI203">
        <v>5.2185000000000003E-4</v>
      </c>
      <c r="AJ203">
        <v>1.24884E-3</v>
      </c>
      <c r="AK203">
        <v>1.7959600000000001E-3</v>
      </c>
      <c r="AL203">
        <v>1.58724E-3</v>
      </c>
      <c r="AM203">
        <v>2.20907E-3</v>
      </c>
      <c r="AN203">
        <v>3.6874099999999999E-3</v>
      </c>
      <c r="AO203">
        <v>5.1767799999999997E-3</v>
      </c>
      <c r="AP203">
        <v>4.06399E-3</v>
      </c>
      <c r="AQ203">
        <v>3.75597E-3</v>
      </c>
      <c r="AR203">
        <v>6.9696799999999998E-3</v>
      </c>
      <c r="AS203">
        <v>1.06652E-2</v>
      </c>
      <c r="AT203">
        <v>5.8261900000000002E-3</v>
      </c>
      <c r="AU203">
        <v>5.8815100000000004E-3</v>
      </c>
      <c r="AV203">
        <v>6.7515500000000003E-3</v>
      </c>
      <c r="AW203">
        <v>8.0101600000000005E-3</v>
      </c>
      <c r="AX203">
        <v>6.1787500000000002E-3</v>
      </c>
      <c r="AY203">
        <v>9.9114400000000005E-3</v>
      </c>
      <c r="AZ203">
        <v>8.3643599999999995E-3</v>
      </c>
      <c r="BA203">
        <v>1.0122600000000001E-2</v>
      </c>
      <c r="BB203">
        <v>1.24551E-2</v>
      </c>
      <c r="BC203">
        <v>1.3828699999999999E-2</v>
      </c>
      <c r="BD203">
        <v>1.42179E-2</v>
      </c>
      <c r="BE203">
        <v>1.5507E-2</v>
      </c>
      <c r="BF203">
        <v>1.86804E-2</v>
      </c>
      <c r="BG203">
        <v>2.0826600000000001E-2</v>
      </c>
      <c r="BH203">
        <v>2.1090500000000002E-2</v>
      </c>
      <c r="BI203">
        <v>2.56475E-2</v>
      </c>
      <c r="BJ203">
        <v>2.6587699999999999E-2</v>
      </c>
      <c r="BK203">
        <v>2.7097400000000001E-2</v>
      </c>
      <c r="BL203">
        <v>2.9209599999999999E-2</v>
      </c>
      <c r="BM203">
        <v>3.1242099999999998E-2</v>
      </c>
      <c r="BN203">
        <v>3.5762799999999997E-2</v>
      </c>
      <c r="BO203">
        <v>3.4066899999999997E-2</v>
      </c>
      <c r="BP203">
        <v>3.34442E-2</v>
      </c>
      <c r="BQ203">
        <v>3.3732699999999997E-2</v>
      </c>
      <c r="BR203">
        <v>3.3078400000000001E-2</v>
      </c>
      <c r="BS203">
        <v>3.2323400000000002E-2</v>
      </c>
      <c r="BT203">
        <v>3.0810500000000001E-2</v>
      </c>
      <c r="BU203">
        <v>2.9611499999999999E-2</v>
      </c>
      <c r="BV203">
        <v>2.7851500000000001E-2</v>
      </c>
      <c r="BW203">
        <v>2.5213699999999999E-2</v>
      </c>
      <c r="BX203">
        <v>2.78033E-2</v>
      </c>
      <c r="BY203">
        <v>2.2271200000000001E-2</v>
      </c>
      <c r="BZ203">
        <v>2.0975400000000002E-2</v>
      </c>
      <c r="CA203">
        <v>1.9024699999999999E-2</v>
      </c>
      <c r="CB203">
        <v>1.80016E-2</v>
      </c>
      <c r="CC203">
        <v>1.8262799999999999E-2</v>
      </c>
      <c r="CD203">
        <v>1.5279600000000001E-2</v>
      </c>
      <c r="CE203">
        <v>1.5344099999999999E-2</v>
      </c>
      <c r="CF203">
        <v>1.45582E-2</v>
      </c>
      <c r="CG203">
        <v>1.25957E-2</v>
      </c>
      <c r="CH203">
        <v>1.3237499999999999E-2</v>
      </c>
      <c r="CI203">
        <v>1.18756E-2</v>
      </c>
      <c r="CJ203">
        <v>1.1046500000000001E-2</v>
      </c>
      <c r="CK203">
        <v>1.09135E-2</v>
      </c>
      <c r="CL203">
        <v>9.6887699999999993E-3</v>
      </c>
      <c r="CM203">
        <v>9.2960300000000003E-3</v>
      </c>
      <c r="CN203">
        <v>7.7097700000000003E-3</v>
      </c>
      <c r="CO203">
        <v>7.5431300000000003E-3</v>
      </c>
      <c r="CP203">
        <v>7.4800500000000002E-3</v>
      </c>
      <c r="CQ203">
        <v>6.6728899999999999E-3</v>
      </c>
      <c r="CR203">
        <v>6.23881E-3</v>
      </c>
      <c r="CS203">
        <v>5.0463900000000004E-3</v>
      </c>
      <c r="CT203">
        <v>4.45393E-3</v>
      </c>
      <c r="CU203">
        <v>4.1906900000000004E-3</v>
      </c>
      <c r="CV203">
        <v>3.54711E-3</v>
      </c>
      <c r="CW203">
        <v>3.2332300000000001E-3</v>
      </c>
      <c r="CX203">
        <v>2.6492099999999999E-3</v>
      </c>
      <c r="CY203">
        <v>2.15409E-3</v>
      </c>
      <c r="CZ203">
        <v>2.3550099999999998E-3</v>
      </c>
      <c r="DA203">
        <v>1.7748900000000001E-3</v>
      </c>
      <c r="DB203">
        <v>1.34559E-3</v>
      </c>
      <c r="DC203">
        <v>1.1725100000000001E-3</v>
      </c>
      <c r="DD203">
        <v>8.3946599999999998E-4</v>
      </c>
      <c r="DE203">
        <v>6.5001900000000005E-4</v>
      </c>
      <c r="DF203">
        <v>6.2674599999999997E-4</v>
      </c>
      <c r="DG203">
        <v>4.2455200000000002E-4</v>
      </c>
      <c r="DH203">
        <v>1.9941199999999999E-4</v>
      </c>
      <c r="DI203">
        <v>2.23005E-4</v>
      </c>
      <c r="DJ203">
        <v>6.0271800000000003E-4</v>
      </c>
      <c r="DK203">
        <v>1.02328E-4</v>
      </c>
      <c r="DL203">
        <v>1.28057E-4</v>
      </c>
      <c r="DM203" s="1">
        <v>2.1500000000000001E-5</v>
      </c>
      <c r="DN203" s="1">
        <v>6.58E-5</v>
      </c>
      <c r="DO203" s="1">
        <v>1.59E-5</v>
      </c>
      <c r="DP203" s="1">
        <v>3.4199999999999998E-5</v>
      </c>
      <c r="DQ203" s="1">
        <v>1.7799999999999999E-5</v>
      </c>
      <c r="DR203" s="1">
        <v>7.17E-6</v>
      </c>
      <c r="DS203" s="1">
        <v>1.0000000000000001E-5</v>
      </c>
      <c r="DT203">
        <v>0</v>
      </c>
      <c r="DU203" s="1">
        <v>1.1000000000000001E-6</v>
      </c>
      <c r="DV203" s="1">
        <v>2.6299999999999999E-5</v>
      </c>
      <c r="DW203" t="s">
        <v>397</v>
      </c>
    </row>
    <row r="204" spans="1:127" x14ac:dyDescent="0.2">
      <c r="A204">
        <v>2008</v>
      </c>
      <c r="B204">
        <v>1</v>
      </c>
      <c r="C204">
        <v>1</v>
      </c>
      <c r="D204">
        <v>0</v>
      </c>
      <c r="E204">
        <v>0</v>
      </c>
      <c r="F204">
        <v>545</v>
      </c>
      <c r="G204">
        <v>0</v>
      </c>
      <c r="H204">
        <v>0</v>
      </c>
      <c r="I204">
        <v>0</v>
      </c>
      <c r="J204">
        <v>0</v>
      </c>
      <c r="K204" s="1">
        <v>1.0699999999999999E-5</v>
      </c>
      <c r="L204">
        <v>0</v>
      </c>
      <c r="M204">
        <v>0</v>
      </c>
      <c r="N204">
        <v>0</v>
      </c>
      <c r="O204">
        <v>3.02818E-4</v>
      </c>
      <c r="P204">
        <v>0</v>
      </c>
      <c r="Q204" s="1">
        <v>3.4199999999999999E-6</v>
      </c>
      <c r="R204">
        <v>0</v>
      </c>
      <c r="S204">
        <v>0</v>
      </c>
      <c r="T204">
        <v>0</v>
      </c>
      <c r="U204">
        <v>0</v>
      </c>
      <c r="V204" s="1">
        <v>3.3599999999999997E-5</v>
      </c>
      <c r="W204">
        <v>6.2512099999999997E-4</v>
      </c>
      <c r="X204">
        <v>0</v>
      </c>
      <c r="Y204" s="1">
        <v>6.4599999999999998E-5</v>
      </c>
      <c r="Z204" s="1">
        <v>6.3499999999999999E-5</v>
      </c>
      <c r="AA204" s="1">
        <v>4.5900000000000001E-6</v>
      </c>
      <c r="AB204" s="1">
        <v>2.7800000000000001E-5</v>
      </c>
      <c r="AC204" s="1">
        <v>3.4100000000000002E-5</v>
      </c>
      <c r="AD204">
        <v>1.0219599999999999E-3</v>
      </c>
      <c r="AE204">
        <v>4.9264899999999995E-4</v>
      </c>
      <c r="AF204">
        <v>3.8094399999999999E-3</v>
      </c>
      <c r="AG204">
        <v>2.1998299999999998E-3</v>
      </c>
      <c r="AH204">
        <v>1.9694399999999998E-3</v>
      </c>
      <c r="AI204">
        <v>3.7006399999999998E-3</v>
      </c>
      <c r="AJ204">
        <v>2.0317099999999999E-3</v>
      </c>
      <c r="AK204">
        <v>6.0721899999999999E-3</v>
      </c>
      <c r="AL204">
        <v>3.1030200000000002E-3</v>
      </c>
      <c r="AM204">
        <v>4.9956499999999999E-3</v>
      </c>
      <c r="AN204">
        <v>9.6982400000000003E-3</v>
      </c>
      <c r="AO204">
        <v>9.3774800000000005E-3</v>
      </c>
      <c r="AP204">
        <v>1.2716099999999999E-2</v>
      </c>
      <c r="AQ204">
        <v>1.46423E-2</v>
      </c>
      <c r="AR204">
        <v>1.651E-2</v>
      </c>
      <c r="AS204">
        <v>1.5952999999999998E-2</v>
      </c>
      <c r="AT204">
        <v>1.5895800000000002E-2</v>
      </c>
      <c r="AU204">
        <v>1.1857599999999999E-2</v>
      </c>
      <c r="AV204">
        <v>1.0711999999999999E-2</v>
      </c>
      <c r="AW204">
        <v>9.5597500000000005E-3</v>
      </c>
      <c r="AX204">
        <v>8.3380299999999997E-3</v>
      </c>
      <c r="AY204">
        <v>9.7376000000000008E-3</v>
      </c>
      <c r="AZ204">
        <v>9.7438799999999999E-3</v>
      </c>
      <c r="BA204">
        <v>1.1486700000000001E-2</v>
      </c>
      <c r="BB204">
        <v>1.22541E-2</v>
      </c>
      <c r="BC204">
        <v>1.33364E-2</v>
      </c>
      <c r="BD204">
        <v>1.5552399999999999E-2</v>
      </c>
      <c r="BE204">
        <v>1.3908800000000001E-2</v>
      </c>
      <c r="BF204">
        <v>1.9936099999999998E-2</v>
      </c>
      <c r="BG204">
        <v>2.06842E-2</v>
      </c>
      <c r="BH204">
        <v>2.0550499999999999E-2</v>
      </c>
      <c r="BI204">
        <v>2.8321699999999998E-2</v>
      </c>
      <c r="BJ204">
        <v>2.4075099999999999E-2</v>
      </c>
      <c r="BK204">
        <v>2.5582000000000001E-2</v>
      </c>
      <c r="BL204">
        <v>2.6138600000000001E-2</v>
      </c>
      <c r="BM204">
        <v>2.8092700000000002E-2</v>
      </c>
      <c r="BN204">
        <v>2.97919E-2</v>
      </c>
      <c r="BO204">
        <v>2.7122E-2</v>
      </c>
      <c r="BP204">
        <v>3.0387999999999998E-2</v>
      </c>
      <c r="BQ204">
        <v>2.9309000000000002E-2</v>
      </c>
      <c r="BR204">
        <v>2.9319899999999999E-2</v>
      </c>
      <c r="BS204">
        <v>3.0409700000000001E-2</v>
      </c>
      <c r="BT204">
        <v>3.14503E-2</v>
      </c>
      <c r="BU204">
        <v>3.0056099999999999E-2</v>
      </c>
      <c r="BV204">
        <v>2.7848899999999999E-2</v>
      </c>
      <c r="BW204">
        <v>2.6774800000000001E-2</v>
      </c>
      <c r="BX204">
        <v>2.6587800000000002E-2</v>
      </c>
      <c r="BY204">
        <v>2.2915100000000001E-2</v>
      </c>
      <c r="BZ204">
        <v>2.13069E-2</v>
      </c>
      <c r="CA204">
        <v>1.8632800000000001E-2</v>
      </c>
      <c r="CB204">
        <v>1.6563899999999999E-2</v>
      </c>
      <c r="CC204">
        <v>1.4810800000000001E-2</v>
      </c>
      <c r="CD204">
        <v>1.3442000000000001E-2</v>
      </c>
      <c r="CE204">
        <v>1.08684E-2</v>
      </c>
      <c r="CF204">
        <v>1.04019E-2</v>
      </c>
      <c r="CG204">
        <v>1.0504299999999999E-2</v>
      </c>
      <c r="CH204">
        <v>9.8919200000000002E-3</v>
      </c>
      <c r="CI204">
        <v>8.0141399999999995E-3</v>
      </c>
      <c r="CJ204">
        <v>7.6669199999999998E-3</v>
      </c>
      <c r="CK204">
        <v>6.0251799999999998E-3</v>
      </c>
      <c r="CL204">
        <v>5.6754199999999996E-3</v>
      </c>
      <c r="CM204">
        <v>5.5359900000000002E-3</v>
      </c>
      <c r="CN204">
        <v>4.3224200000000004E-3</v>
      </c>
      <c r="CO204">
        <v>4.4853799999999997E-3</v>
      </c>
      <c r="CP204">
        <v>4.1736799999999999E-3</v>
      </c>
      <c r="CQ204">
        <v>4.6736E-3</v>
      </c>
      <c r="CR204">
        <v>5.8051999999999999E-3</v>
      </c>
      <c r="CS204">
        <v>4.8071499999999996E-3</v>
      </c>
      <c r="CT204">
        <v>3.7149499999999998E-3</v>
      </c>
      <c r="CU204">
        <v>2.7153799999999999E-3</v>
      </c>
      <c r="CV204">
        <v>2.59808E-3</v>
      </c>
      <c r="CW204">
        <v>2.3596200000000002E-3</v>
      </c>
      <c r="CX204">
        <v>1.7925599999999999E-3</v>
      </c>
      <c r="CY204">
        <v>1.7061000000000001E-3</v>
      </c>
      <c r="CZ204">
        <v>1.8251400000000001E-3</v>
      </c>
      <c r="DA204">
        <v>2.2300499999999999E-3</v>
      </c>
      <c r="DB204">
        <v>1.4830100000000001E-3</v>
      </c>
      <c r="DC204">
        <v>9.7809299999999997E-4</v>
      </c>
      <c r="DD204">
        <v>9.7528899999999995E-4</v>
      </c>
      <c r="DE204">
        <v>8.2566699999999998E-4</v>
      </c>
      <c r="DF204">
        <v>4.55733E-4</v>
      </c>
      <c r="DG204">
        <v>5.8547700000000005E-4</v>
      </c>
      <c r="DH204">
        <v>1.7801500000000001E-4</v>
      </c>
      <c r="DI204">
        <v>3.0001700000000002E-4</v>
      </c>
      <c r="DJ204" s="1">
        <v>9.6799999999999995E-5</v>
      </c>
      <c r="DK204" s="1">
        <v>8.2200000000000006E-5</v>
      </c>
      <c r="DL204" s="1">
        <v>6.7600000000000003E-5</v>
      </c>
      <c r="DM204" s="1">
        <v>3.6600000000000002E-5</v>
      </c>
      <c r="DN204" s="1">
        <v>6.3899999999999995E-5</v>
      </c>
      <c r="DO204" s="1">
        <v>5.8199999999999998E-5</v>
      </c>
      <c r="DP204" s="1">
        <v>9.9999999999999995E-7</v>
      </c>
      <c r="DQ204" s="1">
        <v>8.0600000000000008E-6</v>
      </c>
      <c r="DR204">
        <v>0</v>
      </c>
      <c r="DS204">
        <v>0</v>
      </c>
      <c r="DT204" s="1">
        <v>5.1399999999999999E-6</v>
      </c>
      <c r="DU204" s="1">
        <v>2.4499999999999998E-6</v>
      </c>
      <c r="DV204" s="1">
        <v>4.5300000000000003E-5</v>
      </c>
      <c r="DW204" t="s">
        <v>398</v>
      </c>
    </row>
    <row r="205" spans="1:127" x14ac:dyDescent="0.2">
      <c r="A205">
        <v>2009</v>
      </c>
      <c r="B205">
        <v>1</v>
      </c>
      <c r="C205">
        <v>1</v>
      </c>
      <c r="D205">
        <v>0</v>
      </c>
      <c r="E205">
        <v>0</v>
      </c>
      <c r="F205">
        <v>483</v>
      </c>
      <c r="G205">
        <v>0</v>
      </c>
      <c r="H205">
        <v>0</v>
      </c>
      <c r="I205">
        <v>0</v>
      </c>
      <c r="J205">
        <v>0</v>
      </c>
      <c r="K205">
        <v>0</v>
      </c>
      <c r="L205">
        <v>0</v>
      </c>
      <c r="M205">
        <v>0</v>
      </c>
      <c r="N205">
        <v>0</v>
      </c>
      <c r="O205">
        <v>0</v>
      </c>
      <c r="P205">
        <v>0</v>
      </c>
      <c r="Q205">
        <v>0</v>
      </c>
      <c r="R205">
        <v>0</v>
      </c>
      <c r="S205">
        <v>0</v>
      </c>
      <c r="T205">
        <v>0</v>
      </c>
      <c r="U205">
        <v>0</v>
      </c>
      <c r="V205" s="1">
        <v>6.0999999999999999E-5</v>
      </c>
      <c r="W205">
        <v>0</v>
      </c>
      <c r="X205" s="1">
        <v>1.9700000000000001E-5</v>
      </c>
      <c r="Y205" s="1">
        <v>1.9700000000000001E-5</v>
      </c>
      <c r="Z205" s="1">
        <v>4.5599999999999997E-5</v>
      </c>
      <c r="AA205">
        <v>0</v>
      </c>
      <c r="AB205" s="1">
        <v>1.9099999999999999E-6</v>
      </c>
      <c r="AC205" s="1">
        <v>1.73E-6</v>
      </c>
      <c r="AD205" s="1">
        <v>5.7799999999999997E-6</v>
      </c>
      <c r="AE205">
        <v>2.0744900000000001E-4</v>
      </c>
      <c r="AF205" s="1">
        <v>7.2100000000000004E-5</v>
      </c>
      <c r="AG205">
        <v>1.45811E-4</v>
      </c>
      <c r="AH205">
        <v>1.3823000000000001E-4</v>
      </c>
      <c r="AI205">
        <v>4.9588099999999999E-4</v>
      </c>
      <c r="AJ205">
        <v>1.56032E-3</v>
      </c>
      <c r="AK205">
        <v>1.52768E-3</v>
      </c>
      <c r="AL205">
        <v>2.42093E-3</v>
      </c>
      <c r="AM205">
        <v>9.0900300000000002E-4</v>
      </c>
      <c r="AN205">
        <v>2.2472299999999998E-3</v>
      </c>
      <c r="AO205">
        <v>2.3439300000000001E-3</v>
      </c>
      <c r="AP205">
        <v>2.9860500000000001E-3</v>
      </c>
      <c r="AQ205">
        <v>2.5881300000000001E-3</v>
      </c>
      <c r="AR205">
        <v>5.00908E-3</v>
      </c>
      <c r="AS205">
        <v>6.3730899999999997E-3</v>
      </c>
      <c r="AT205">
        <v>8.4569099999999998E-3</v>
      </c>
      <c r="AU205">
        <v>1.05124E-2</v>
      </c>
      <c r="AV205">
        <v>1.8530499999999998E-2</v>
      </c>
      <c r="AW205">
        <v>1.9297499999999999E-2</v>
      </c>
      <c r="AX205">
        <v>2.1604700000000001E-2</v>
      </c>
      <c r="AY205">
        <v>2.4112499999999999E-2</v>
      </c>
      <c r="AZ205">
        <v>2.8021399999999998E-2</v>
      </c>
      <c r="BA205">
        <v>3.03393E-2</v>
      </c>
      <c r="BB205">
        <v>3.5472099999999999E-2</v>
      </c>
      <c r="BC205">
        <v>3.6715100000000001E-2</v>
      </c>
      <c r="BD205">
        <v>3.7027900000000002E-2</v>
      </c>
      <c r="BE205">
        <v>3.8492699999999998E-2</v>
      </c>
      <c r="BF205">
        <v>3.6479400000000002E-2</v>
      </c>
      <c r="BG205">
        <v>3.8633000000000001E-2</v>
      </c>
      <c r="BH205">
        <v>3.2887300000000001E-2</v>
      </c>
      <c r="BI205">
        <v>2.9296900000000001E-2</v>
      </c>
      <c r="BJ205">
        <v>2.6823E-2</v>
      </c>
      <c r="BK205">
        <v>2.6091900000000001E-2</v>
      </c>
      <c r="BL205">
        <v>2.3780200000000001E-2</v>
      </c>
      <c r="BM205">
        <v>2.0700400000000001E-2</v>
      </c>
      <c r="BN205">
        <v>2.1796599999999999E-2</v>
      </c>
      <c r="BO205">
        <v>2.3290600000000002E-2</v>
      </c>
      <c r="BP205">
        <v>2.3442899999999999E-2</v>
      </c>
      <c r="BQ205">
        <v>2.3921899999999999E-2</v>
      </c>
      <c r="BR205">
        <v>2.3895799999999998E-2</v>
      </c>
      <c r="BS205">
        <v>2.4980700000000002E-2</v>
      </c>
      <c r="BT205">
        <v>2.2760099999999998E-2</v>
      </c>
      <c r="BU205">
        <v>2.3596099999999998E-2</v>
      </c>
      <c r="BV205">
        <v>2.40748E-2</v>
      </c>
      <c r="BW205">
        <v>2.2172899999999999E-2</v>
      </c>
      <c r="BX205">
        <v>2.31903E-2</v>
      </c>
      <c r="BY205">
        <v>2.0010799999999999E-2</v>
      </c>
      <c r="BZ205">
        <v>1.8449299999999998E-2</v>
      </c>
      <c r="CA205">
        <v>1.5971300000000001E-2</v>
      </c>
      <c r="CB205">
        <v>1.49488E-2</v>
      </c>
      <c r="CC205">
        <v>1.2603899999999999E-2</v>
      </c>
      <c r="CD205">
        <v>1.1110200000000001E-2</v>
      </c>
      <c r="CE205">
        <v>9.1282399999999993E-3</v>
      </c>
      <c r="CF205">
        <v>8.9269799999999993E-3</v>
      </c>
      <c r="CG205">
        <v>7.4731199999999998E-3</v>
      </c>
      <c r="CH205">
        <v>5.8812200000000004E-3</v>
      </c>
      <c r="CI205">
        <v>6.1818999999999997E-3</v>
      </c>
      <c r="CJ205">
        <v>5.2626900000000004E-3</v>
      </c>
      <c r="CK205">
        <v>3.6837599999999999E-3</v>
      </c>
      <c r="CL205">
        <v>3.6692500000000002E-3</v>
      </c>
      <c r="CM205">
        <v>2.7460800000000001E-3</v>
      </c>
      <c r="CN205">
        <v>2.8781000000000002E-3</v>
      </c>
      <c r="CO205">
        <v>2.2956999999999999E-3</v>
      </c>
      <c r="CP205">
        <v>2.36907E-3</v>
      </c>
      <c r="CQ205">
        <v>2.0825599999999998E-3</v>
      </c>
      <c r="CR205">
        <v>1.87812E-3</v>
      </c>
      <c r="CS205">
        <v>1.4881199999999999E-3</v>
      </c>
      <c r="CT205">
        <v>1.6032100000000001E-3</v>
      </c>
      <c r="CU205">
        <v>1.15847E-3</v>
      </c>
      <c r="CV205">
        <v>1.30744E-3</v>
      </c>
      <c r="CW205">
        <v>1.04703E-3</v>
      </c>
      <c r="CX205">
        <v>9.0132400000000001E-4</v>
      </c>
      <c r="CY205">
        <v>9.6998199999999998E-4</v>
      </c>
      <c r="CZ205">
        <v>7.3018300000000003E-4</v>
      </c>
      <c r="DA205">
        <v>7.0817299999999998E-4</v>
      </c>
      <c r="DB205">
        <v>5.35517E-4</v>
      </c>
      <c r="DC205">
        <v>6.3149899999999999E-4</v>
      </c>
      <c r="DD205">
        <v>5.0150699999999999E-4</v>
      </c>
      <c r="DE205">
        <v>2.0174599999999999E-4</v>
      </c>
      <c r="DF205">
        <v>2.63727E-4</v>
      </c>
      <c r="DG205">
        <v>2.05921E-4</v>
      </c>
      <c r="DH205">
        <v>1.8007799999999999E-4</v>
      </c>
      <c r="DI205" s="1">
        <v>5.6799999999999998E-5</v>
      </c>
      <c r="DJ205">
        <v>1.2421200000000001E-4</v>
      </c>
      <c r="DK205" s="1">
        <v>8.4499999999999994E-5</v>
      </c>
      <c r="DL205" s="1">
        <v>4.6600000000000001E-5</v>
      </c>
      <c r="DM205" s="1">
        <v>2.1299999999999999E-5</v>
      </c>
      <c r="DN205" s="1">
        <v>3.1300000000000002E-5</v>
      </c>
      <c r="DO205">
        <v>0</v>
      </c>
      <c r="DP205" s="1">
        <v>6.9099999999999999E-5</v>
      </c>
      <c r="DQ205">
        <v>0</v>
      </c>
      <c r="DR205">
        <v>0</v>
      </c>
      <c r="DS205" s="1">
        <v>3.0900000000000001E-6</v>
      </c>
      <c r="DT205">
        <v>0</v>
      </c>
      <c r="DU205">
        <v>0</v>
      </c>
      <c r="DV205">
        <v>0</v>
      </c>
      <c r="DW205" t="s">
        <v>399</v>
      </c>
    </row>
    <row r="206" spans="1:127" x14ac:dyDescent="0.2">
      <c r="A206">
        <v>2010</v>
      </c>
      <c r="B206">
        <v>1</v>
      </c>
      <c r="C206">
        <v>1</v>
      </c>
      <c r="D206">
        <v>0</v>
      </c>
      <c r="E206">
        <v>0</v>
      </c>
      <c r="F206">
        <v>430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s="1">
        <v>7.6000000000000004E-5</v>
      </c>
      <c r="AB206" s="1">
        <v>1.7099999999999999E-5</v>
      </c>
      <c r="AC206" s="1">
        <v>3.01E-5</v>
      </c>
      <c r="AD206" s="1">
        <v>3.8999999999999999E-5</v>
      </c>
      <c r="AE206">
        <v>1.64533E-3</v>
      </c>
      <c r="AF206">
        <v>4.3650299999999998E-3</v>
      </c>
      <c r="AG206">
        <v>6.2377999999999999E-3</v>
      </c>
      <c r="AH206">
        <v>5.4043099999999998E-3</v>
      </c>
      <c r="AI206">
        <v>2.0692900000000001E-3</v>
      </c>
      <c r="AJ206">
        <v>4.8727500000000003E-3</v>
      </c>
      <c r="AK206">
        <v>1.1244600000000001E-3</v>
      </c>
      <c r="AL206">
        <v>1.10056E-3</v>
      </c>
      <c r="AM206">
        <v>3.3214199999999998E-3</v>
      </c>
      <c r="AN206">
        <v>3.81511E-3</v>
      </c>
      <c r="AO206">
        <v>2.9130900000000001E-3</v>
      </c>
      <c r="AP206">
        <v>4.1403400000000002E-3</v>
      </c>
      <c r="AQ206">
        <v>8.0083700000000008E-3</v>
      </c>
      <c r="AR206">
        <v>8.6009699999999994E-3</v>
      </c>
      <c r="AS206">
        <v>1.03079E-2</v>
      </c>
      <c r="AT206">
        <v>1.2592900000000001E-2</v>
      </c>
      <c r="AU206">
        <v>1.1304399999999999E-2</v>
      </c>
      <c r="AV206">
        <v>1.22063E-2</v>
      </c>
      <c r="AW206">
        <v>1.21905E-2</v>
      </c>
      <c r="AX206">
        <v>1.12082E-2</v>
      </c>
      <c r="AY206">
        <v>1.09461E-2</v>
      </c>
      <c r="AZ206">
        <v>1.1094100000000001E-2</v>
      </c>
      <c r="BA206">
        <v>1.56142E-2</v>
      </c>
      <c r="BB206">
        <v>1.8849299999999999E-2</v>
      </c>
      <c r="BC206">
        <v>1.9159499999999999E-2</v>
      </c>
      <c r="BD206">
        <v>2.2598099999999999E-2</v>
      </c>
      <c r="BE206">
        <v>2.5418400000000001E-2</v>
      </c>
      <c r="BF206">
        <v>2.69672E-2</v>
      </c>
      <c r="BG206">
        <v>3.3727E-2</v>
      </c>
      <c r="BH206">
        <v>3.23583E-2</v>
      </c>
      <c r="BI206">
        <v>3.65013E-2</v>
      </c>
      <c r="BJ206">
        <v>3.5893099999999997E-2</v>
      </c>
      <c r="BK206">
        <v>3.6825999999999998E-2</v>
      </c>
      <c r="BL206">
        <v>3.8414400000000001E-2</v>
      </c>
      <c r="BM206">
        <v>3.8755400000000002E-2</v>
      </c>
      <c r="BN206">
        <v>3.8120800000000003E-2</v>
      </c>
      <c r="BO206">
        <v>3.6882900000000003E-2</v>
      </c>
      <c r="BP206">
        <v>3.7626899999999998E-2</v>
      </c>
      <c r="BQ206">
        <v>3.60614E-2</v>
      </c>
      <c r="BR206">
        <v>3.4748000000000001E-2</v>
      </c>
      <c r="BS206">
        <v>3.2532899999999997E-2</v>
      </c>
      <c r="BT206">
        <v>2.8988E-2</v>
      </c>
      <c r="BU206">
        <v>2.5309399999999999E-2</v>
      </c>
      <c r="BV206">
        <v>2.4285899999999999E-2</v>
      </c>
      <c r="BW206">
        <v>2.08331E-2</v>
      </c>
      <c r="BX206">
        <v>2.0046600000000001E-2</v>
      </c>
      <c r="BY206">
        <v>1.6478400000000001E-2</v>
      </c>
      <c r="BZ206">
        <v>1.5500999999999999E-2</v>
      </c>
      <c r="CA206">
        <v>1.33828E-2</v>
      </c>
      <c r="CB206">
        <v>1.17898E-2</v>
      </c>
      <c r="CC206">
        <v>1.0886099999999999E-2</v>
      </c>
      <c r="CD206">
        <v>9.2748599999999994E-3</v>
      </c>
      <c r="CE206">
        <v>7.9840499999999995E-3</v>
      </c>
      <c r="CF206">
        <v>6.64995E-3</v>
      </c>
      <c r="CG206">
        <v>5.9736600000000004E-3</v>
      </c>
      <c r="CH206">
        <v>5.3793399999999998E-3</v>
      </c>
      <c r="CI206">
        <v>4.3882299999999999E-3</v>
      </c>
      <c r="CJ206">
        <v>3.4894499999999998E-3</v>
      </c>
      <c r="CK206">
        <v>3.1616600000000002E-3</v>
      </c>
      <c r="CL206">
        <v>4.1382900000000002E-3</v>
      </c>
      <c r="CM206">
        <v>2.30438E-3</v>
      </c>
      <c r="CN206">
        <v>1.96291E-3</v>
      </c>
      <c r="CO206">
        <v>1.5818500000000001E-3</v>
      </c>
      <c r="CP206">
        <v>1.4166000000000001E-3</v>
      </c>
      <c r="CQ206">
        <v>1.1998099999999999E-3</v>
      </c>
      <c r="CR206">
        <v>9.8267899999999997E-4</v>
      </c>
      <c r="CS206">
        <v>7.1377500000000004E-4</v>
      </c>
      <c r="CT206">
        <v>7.3263500000000004E-4</v>
      </c>
      <c r="CU206">
        <v>4.7255000000000002E-4</v>
      </c>
      <c r="CV206">
        <v>6.23312E-4</v>
      </c>
      <c r="CW206">
        <v>3.8726400000000001E-4</v>
      </c>
      <c r="CX206">
        <v>4.7539199999999999E-4</v>
      </c>
      <c r="CY206">
        <v>3.8816399999999998E-4</v>
      </c>
      <c r="CZ206">
        <v>2.7273899999999998E-4</v>
      </c>
      <c r="DA206">
        <v>3.1709300000000001E-4</v>
      </c>
      <c r="DB206">
        <v>1.9426E-4</v>
      </c>
      <c r="DC206">
        <v>2.24291E-4</v>
      </c>
      <c r="DD206">
        <v>1.7684299999999999E-4</v>
      </c>
      <c r="DE206">
        <v>1.3511999999999999E-4</v>
      </c>
      <c r="DF206">
        <v>3.3496099999999999E-4</v>
      </c>
      <c r="DG206" s="1">
        <v>8.1199999999999995E-5</v>
      </c>
      <c r="DH206" s="1">
        <v>3.8800000000000001E-5</v>
      </c>
      <c r="DI206">
        <v>1.03485E-4</v>
      </c>
      <c r="DJ206" s="1">
        <v>2.4899999999999999E-5</v>
      </c>
      <c r="DK206" s="1">
        <v>4.0800000000000002E-5</v>
      </c>
      <c r="DL206">
        <v>1.1099600000000001E-4</v>
      </c>
      <c r="DM206" s="1">
        <v>4.5700000000000003E-6</v>
      </c>
      <c r="DN206" s="1">
        <v>2.43E-6</v>
      </c>
      <c r="DO206" s="1">
        <v>5.3700000000000003E-6</v>
      </c>
      <c r="DP206" s="1">
        <v>4.9599999999999999E-5</v>
      </c>
      <c r="DQ206" s="1">
        <v>2.5100000000000001E-6</v>
      </c>
      <c r="DR206">
        <v>0</v>
      </c>
      <c r="DS206">
        <v>0</v>
      </c>
      <c r="DT206">
        <v>0</v>
      </c>
      <c r="DU206" s="1">
        <v>7.8499999999999994E-6</v>
      </c>
      <c r="DV206" s="1">
        <v>3.8199999999999998E-6</v>
      </c>
      <c r="DW206" t="s">
        <v>400</v>
      </c>
    </row>
    <row r="207" spans="1:127" x14ac:dyDescent="0.2">
      <c r="A207">
        <v>2011</v>
      </c>
      <c r="B207">
        <v>1</v>
      </c>
      <c r="C207">
        <v>1</v>
      </c>
      <c r="D207">
        <v>0</v>
      </c>
      <c r="E207">
        <v>0</v>
      </c>
      <c r="F207">
        <v>565</v>
      </c>
      <c r="G207">
        <v>0</v>
      </c>
      <c r="H207">
        <v>0</v>
      </c>
      <c r="I207">
        <v>0</v>
      </c>
      <c r="J207" s="1">
        <v>1.7799999999999999E-6</v>
      </c>
      <c r="K207" s="1">
        <v>1.7799999999999999E-6</v>
      </c>
      <c r="L207">
        <v>0</v>
      </c>
      <c r="M207">
        <v>0</v>
      </c>
      <c r="N207">
        <v>0</v>
      </c>
      <c r="O207">
        <v>0</v>
      </c>
      <c r="P207">
        <v>0</v>
      </c>
      <c r="Q207">
        <v>0</v>
      </c>
      <c r="R207">
        <v>0</v>
      </c>
      <c r="S207">
        <v>0</v>
      </c>
      <c r="T207">
        <v>0</v>
      </c>
      <c r="U207">
        <v>0</v>
      </c>
      <c r="V207">
        <v>0</v>
      </c>
      <c r="W207">
        <v>0</v>
      </c>
      <c r="X207">
        <v>0</v>
      </c>
      <c r="Y207">
        <v>0</v>
      </c>
      <c r="Z207">
        <v>0</v>
      </c>
      <c r="AA207">
        <v>0</v>
      </c>
      <c r="AB207" s="1">
        <v>1.3900000000000001E-5</v>
      </c>
      <c r="AC207" s="1">
        <v>3.5899999999999999E-6</v>
      </c>
      <c r="AD207" s="1">
        <v>5.3900000000000002E-5</v>
      </c>
      <c r="AE207">
        <v>1.8617500000000001E-4</v>
      </c>
      <c r="AF207">
        <v>4.8379899999999998E-4</v>
      </c>
      <c r="AG207" s="1">
        <v>9.2699999999999993E-6</v>
      </c>
      <c r="AH207" s="1">
        <v>7.4999999999999993E-5</v>
      </c>
      <c r="AI207">
        <v>2.3891799999999999E-3</v>
      </c>
      <c r="AJ207">
        <v>4.8999999999999998E-4</v>
      </c>
      <c r="AK207">
        <v>4.2391599999999998E-4</v>
      </c>
      <c r="AL207">
        <v>2.4074999999999999E-3</v>
      </c>
      <c r="AM207">
        <v>5.8211199999999997E-4</v>
      </c>
      <c r="AN207">
        <v>1.4114900000000001E-3</v>
      </c>
      <c r="AO207">
        <v>8.4206099999999996E-4</v>
      </c>
      <c r="AP207">
        <v>8.9504999999999999E-4</v>
      </c>
      <c r="AQ207">
        <v>3.31854E-3</v>
      </c>
      <c r="AR207">
        <v>3.1158900000000001E-3</v>
      </c>
      <c r="AS207">
        <v>6.10649E-3</v>
      </c>
      <c r="AT207">
        <v>6.8762199999999997E-3</v>
      </c>
      <c r="AU207">
        <v>1.00418E-2</v>
      </c>
      <c r="AV207">
        <v>1.33507E-2</v>
      </c>
      <c r="AW207">
        <v>1.4830400000000001E-2</v>
      </c>
      <c r="AX207">
        <v>1.76329E-2</v>
      </c>
      <c r="AY207">
        <v>2.38225E-2</v>
      </c>
      <c r="AZ207">
        <v>2.8212000000000001E-2</v>
      </c>
      <c r="BA207">
        <v>3.2287400000000001E-2</v>
      </c>
      <c r="BB207">
        <v>3.3578700000000003E-2</v>
      </c>
      <c r="BC207">
        <v>3.4379199999999999E-2</v>
      </c>
      <c r="BD207">
        <v>3.4905100000000001E-2</v>
      </c>
      <c r="BE207">
        <v>3.1591300000000003E-2</v>
      </c>
      <c r="BF207">
        <v>2.87455E-2</v>
      </c>
      <c r="BG207">
        <v>2.5576600000000001E-2</v>
      </c>
      <c r="BH207">
        <v>2.4949599999999999E-2</v>
      </c>
      <c r="BI207">
        <v>2.4435399999999999E-2</v>
      </c>
      <c r="BJ207">
        <v>2.4604899999999999E-2</v>
      </c>
      <c r="BK207">
        <v>2.4473600000000002E-2</v>
      </c>
      <c r="BL207">
        <v>2.7049699999999999E-2</v>
      </c>
      <c r="BM207">
        <v>2.9296099999999999E-2</v>
      </c>
      <c r="BN207">
        <v>3.1682799999999997E-2</v>
      </c>
      <c r="BO207">
        <v>3.40284E-2</v>
      </c>
      <c r="BP207">
        <v>3.3404400000000001E-2</v>
      </c>
      <c r="BQ207">
        <v>3.8728499999999999E-2</v>
      </c>
      <c r="BR207">
        <v>3.7110600000000001E-2</v>
      </c>
      <c r="BS207">
        <v>3.6960699999999999E-2</v>
      </c>
      <c r="BT207">
        <v>3.3407399999999997E-2</v>
      </c>
      <c r="BU207">
        <v>3.2517699999999997E-2</v>
      </c>
      <c r="BV207">
        <v>3.0655000000000002E-2</v>
      </c>
      <c r="BW207">
        <v>2.6651399999999999E-2</v>
      </c>
      <c r="BX207">
        <v>2.4289999999999999E-2</v>
      </c>
      <c r="BY207">
        <v>1.8930499999999999E-2</v>
      </c>
      <c r="BZ207">
        <v>1.62151E-2</v>
      </c>
      <c r="CA207">
        <v>1.3586300000000001E-2</v>
      </c>
      <c r="CB207">
        <v>1.26775E-2</v>
      </c>
      <c r="CC207">
        <v>9.80462E-3</v>
      </c>
      <c r="CD207">
        <v>8.0623699999999993E-3</v>
      </c>
      <c r="CE207">
        <v>6.6195500000000001E-3</v>
      </c>
      <c r="CF207">
        <v>5.7476000000000003E-3</v>
      </c>
      <c r="CG207">
        <v>5.2350299999999999E-3</v>
      </c>
      <c r="CH207">
        <v>4.8878999999999997E-3</v>
      </c>
      <c r="CI207">
        <v>4.1266499999999999E-3</v>
      </c>
      <c r="CJ207">
        <v>3.0703100000000001E-3</v>
      </c>
      <c r="CK207">
        <v>2.5703100000000001E-3</v>
      </c>
      <c r="CL207">
        <v>2.5245799999999998E-3</v>
      </c>
      <c r="CM207">
        <v>2.0326699999999999E-3</v>
      </c>
      <c r="CN207">
        <v>1.4843300000000001E-3</v>
      </c>
      <c r="CO207">
        <v>1.67917E-3</v>
      </c>
      <c r="CP207">
        <v>1.1949199999999999E-3</v>
      </c>
      <c r="CQ207">
        <v>1.09172E-3</v>
      </c>
      <c r="CR207">
        <v>9.2857400000000004E-4</v>
      </c>
      <c r="CS207">
        <v>6.9867900000000001E-4</v>
      </c>
      <c r="CT207">
        <v>7.32433E-4</v>
      </c>
      <c r="CU207">
        <v>4.7533500000000002E-4</v>
      </c>
      <c r="CV207">
        <v>4.8515500000000003E-4</v>
      </c>
      <c r="CW207">
        <v>4.3414000000000001E-4</v>
      </c>
      <c r="CX207">
        <v>2.73615E-4</v>
      </c>
      <c r="CY207">
        <v>2.4792400000000001E-4</v>
      </c>
      <c r="CZ207">
        <v>3.34724E-4</v>
      </c>
      <c r="DA207">
        <v>1.49658E-4</v>
      </c>
      <c r="DB207">
        <v>2.23883E-4</v>
      </c>
      <c r="DC207" s="1">
        <v>9.1000000000000003E-5</v>
      </c>
      <c r="DD207">
        <v>1.06778E-4</v>
      </c>
      <c r="DE207" s="1">
        <v>9.6299999999999996E-5</v>
      </c>
      <c r="DF207" s="1">
        <v>5.3199999999999999E-5</v>
      </c>
      <c r="DG207" s="1">
        <v>7.7000000000000001E-5</v>
      </c>
      <c r="DH207" s="1">
        <v>3.9900000000000001E-5</v>
      </c>
      <c r="DI207" s="1">
        <v>3.1999999999999999E-5</v>
      </c>
      <c r="DJ207" s="1">
        <v>2.5000000000000001E-5</v>
      </c>
      <c r="DK207" s="1">
        <v>9.8600000000000005E-6</v>
      </c>
      <c r="DL207" s="1">
        <v>7.8599999999999993E-6</v>
      </c>
      <c r="DM207" s="1">
        <v>1.2500000000000001E-5</v>
      </c>
      <c r="DN207" s="1">
        <v>2.48E-5</v>
      </c>
      <c r="DO207" s="1">
        <v>7.1300000000000003E-6</v>
      </c>
      <c r="DP207">
        <v>0</v>
      </c>
      <c r="DQ207">
        <v>0</v>
      </c>
      <c r="DR207">
        <v>0</v>
      </c>
      <c r="DS207">
        <v>0</v>
      </c>
      <c r="DT207">
        <v>0</v>
      </c>
      <c r="DU207">
        <v>0</v>
      </c>
      <c r="DV207" s="1">
        <v>3.8299999999999998E-6</v>
      </c>
      <c r="DW207" t="s">
        <v>401</v>
      </c>
    </row>
    <row r="208" spans="1:127" x14ac:dyDescent="0.2">
      <c r="A208">
        <v>2012</v>
      </c>
      <c r="B208">
        <v>1</v>
      </c>
      <c r="C208">
        <v>1</v>
      </c>
      <c r="D208">
        <v>0</v>
      </c>
      <c r="E208">
        <v>0</v>
      </c>
      <c r="F208">
        <v>604</v>
      </c>
      <c r="G208">
        <v>0</v>
      </c>
      <c r="H208">
        <v>0</v>
      </c>
      <c r="I208">
        <v>0</v>
      </c>
      <c r="J208">
        <v>0</v>
      </c>
      <c r="K208">
        <v>0</v>
      </c>
      <c r="L208">
        <v>0</v>
      </c>
      <c r="M208">
        <v>0</v>
      </c>
      <c r="N208">
        <v>0</v>
      </c>
      <c r="O208">
        <v>0</v>
      </c>
      <c r="P208">
        <v>0</v>
      </c>
      <c r="Q208">
        <v>0</v>
      </c>
      <c r="R208">
        <v>0</v>
      </c>
      <c r="S208">
        <v>0</v>
      </c>
      <c r="T208">
        <v>0</v>
      </c>
      <c r="U208">
        <v>0</v>
      </c>
      <c r="V208">
        <v>0</v>
      </c>
      <c r="W208">
        <v>0</v>
      </c>
      <c r="X208">
        <v>0</v>
      </c>
      <c r="Y208">
        <v>0</v>
      </c>
      <c r="Z208" s="1">
        <v>9.4299999999999995E-6</v>
      </c>
      <c r="AA208">
        <v>0</v>
      </c>
      <c r="AB208" s="1">
        <v>5.2299999999999999E-6</v>
      </c>
      <c r="AC208" s="1">
        <v>2.2099999999999998E-5</v>
      </c>
      <c r="AD208">
        <v>0</v>
      </c>
      <c r="AE208" s="1">
        <v>5.49E-6</v>
      </c>
      <c r="AF208">
        <v>1.22581E-4</v>
      </c>
      <c r="AG208">
        <v>5.9745100000000004E-4</v>
      </c>
      <c r="AH208">
        <v>6.5796699999999997E-4</v>
      </c>
      <c r="AI208">
        <v>9.1455200000000001E-4</v>
      </c>
      <c r="AJ208">
        <v>7.0950099999999997E-4</v>
      </c>
      <c r="AK208">
        <v>1.7884400000000001E-3</v>
      </c>
      <c r="AL208">
        <v>1.8058499999999999E-3</v>
      </c>
      <c r="AM208">
        <v>1.9024599999999999E-3</v>
      </c>
      <c r="AN208">
        <v>2.4518999999999999E-3</v>
      </c>
      <c r="AO208">
        <v>2.1914299999999999E-3</v>
      </c>
      <c r="AP208">
        <v>4.0424900000000001E-3</v>
      </c>
      <c r="AQ208">
        <v>7.4120599999999998E-3</v>
      </c>
      <c r="AR208">
        <v>4.1678399999999999E-3</v>
      </c>
      <c r="AS208">
        <v>7.8104100000000003E-3</v>
      </c>
      <c r="AT208">
        <v>8.0410199999999994E-3</v>
      </c>
      <c r="AU208">
        <v>5.2817799999999998E-3</v>
      </c>
      <c r="AV208">
        <v>6.1598800000000004E-3</v>
      </c>
      <c r="AW208">
        <v>7.8148499999999999E-3</v>
      </c>
      <c r="AX208">
        <v>6.9221700000000001E-3</v>
      </c>
      <c r="AY208">
        <v>8.4162500000000001E-3</v>
      </c>
      <c r="AZ208">
        <v>1.06029E-2</v>
      </c>
      <c r="BA208">
        <v>1.1639099999999999E-2</v>
      </c>
      <c r="BB208">
        <v>1.3991999999999999E-2</v>
      </c>
      <c r="BC208">
        <v>1.9673300000000001E-2</v>
      </c>
      <c r="BD208">
        <v>2.4428700000000001E-2</v>
      </c>
      <c r="BE208">
        <v>2.9793199999999999E-2</v>
      </c>
      <c r="BF208">
        <v>3.6138099999999999E-2</v>
      </c>
      <c r="BG208">
        <v>3.9309700000000003E-2</v>
      </c>
      <c r="BH208">
        <v>4.2305500000000003E-2</v>
      </c>
      <c r="BI208">
        <v>4.2868999999999997E-2</v>
      </c>
      <c r="BJ208">
        <v>4.2602599999999997E-2</v>
      </c>
      <c r="BK208">
        <v>3.9621499999999997E-2</v>
      </c>
      <c r="BL208">
        <v>3.8385200000000001E-2</v>
      </c>
      <c r="BM208">
        <v>3.8403100000000003E-2</v>
      </c>
      <c r="BN208">
        <v>3.8697299999999997E-2</v>
      </c>
      <c r="BO208">
        <v>3.5796799999999997E-2</v>
      </c>
      <c r="BP208">
        <v>3.4428899999999998E-2</v>
      </c>
      <c r="BQ208">
        <v>3.4663399999999997E-2</v>
      </c>
      <c r="BR208">
        <v>3.2689599999999999E-2</v>
      </c>
      <c r="BS208">
        <v>3.2054300000000001E-2</v>
      </c>
      <c r="BT208">
        <v>3.0518099999999999E-2</v>
      </c>
      <c r="BU208">
        <v>2.9565299999999999E-2</v>
      </c>
      <c r="BV208">
        <v>2.6981399999999999E-2</v>
      </c>
      <c r="BW208">
        <v>2.64958E-2</v>
      </c>
      <c r="BX208">
        <v>2.66067E-2</v>
      </c>
      <c r="BY208">
        <v>2.18818E-2</v>
      </c>
      <c r="BZ208">
        <v>1.84578E-2</v>
      </c>
      <c r="CA208">
        <v>1.6478900000000001E-2</v>
      </c>
      <c r="CB208">
        <v>1.4297900000000001E-2</v>
      </c>
      <c r="CC208">
        <v>1.3124800000000001E-2</v>
      </c>
      <c r="CD208">
        <v>9.8952699999999994E-3</v>
      </c>
      <c r="CE208">
        <v>7.8492800000000001E-3</v>
      </c>
      <c r="CF208">
        <v>7.0330499999999999E-3</v>
      </c>
      <c r="CG208">
        <v>5.5790299999999996E-3</v>
      </c>
      <c r="CH208">
        <v>4.96949E-3</v>
      </c>
      <c r="CI208">
        <v>3.8861400000000002E-3</v>
      </c>
      <c r="CJ208">
        <v>3.2274199999999999E-3</v>
      </c>
      <c r="CK208">
        <v>2.71704E-3</v>
      </c>
      <c r="CL208">
        <v>2.5360299999999999E-3</v>
      </c>
      <c r="CM208">
        <v>1.8455399999999999E-3</v>
      </c>
      <c r="CN208">
        <v>1.49475E-3</v>
      </c>
      <c r="CO208">
        <v>1.01381E-3</v>
      </c>
      <c r="CP208">
        <v>1.08708E-3</v>
      </c>
      <c r="CQ208">
        <v>1.0930200000000001E-3</v>
      </c>
      <c r="CR208">
        <v>7.8748000000000002E-4</v>
      </c>
      <c r="CS208">
        <v>4.8625099999999999E-4</v>
      </c>
      <c r="CT208">
        <v>4.6637300000000002E-4</v>
      </c>
      <c r="CU208">
        <v>4.4249300000000002E-4</v>
      </c>
      <c r="CV208">
        <v>2.96862E-4</v>
      </c>
      <c r="CW208">
        <v>2.4011700000000001E-4</v>
      </c>
      <c r="CX208">
        <v>1.4726E-4</v>
      </c>
      <c r="CY208">
        <v>3.3632900000000001E-4</v>
      </c>
      <c r="CZ208">
        <v>1.2221700000000001E-4</v>
      </c>
      <c r="DA208">
        <v>1.2816800000000001E-4</v>
      </c>
      <c r="DB208">
        <v>1.03002E-4</v>
      </c>
      <c r="DC208" s="1">
        <v>7.2899999999999997E-5</v>
      </c>
      <c r="DD208" s="1">
        <v>5.5600000000000003E-5</v>
      </c>
      <c r="DE208" s="1">
        <v>3.7299999999999999E-5</v>
      </c>
      <c r="DF208" s="1">
        <v>4.99E-5</v>
      </c>
      <c r="DG208" s="1">
        <v>8.8499999999999996E-5</v>
      </c>
      <c r="DH208" s="1">
        <v>1.8499999999999999E-5</v>
      </c>
      <c r="DI208" s="1">
        <v>5.7299999999999997E-5</v>
      </c>
      <c r="DJ208" s="1">
        <v>4.1499999999999999E-5</v>
      </c>
      <c r="DK208" s="1">
        <v>2.4300000000000001E-5</v>
      </c>
      <c r="DL208" s="1">
        <v>4.6700000000000002E-6</v>
      </c>
      <c r="DM208" s="1">
        <v>3.14E-6</v>
      </c>
      <c r="DN208" s="1">
        <v>2.9400000000000001E-7</v>
      </c>
      <c r="DO208" s="1">
        <v>6.4699999999999999E-6</v>
      </c>
      <c r="DP208">
        <v>0</v>
      </c>
      <c r="DQ208">
        <v>0</v>
      </c>
      <c r="DR208">
        <v>0</v>
      </c>
      <c r="DS208">
        <v>0</v>
      </c>
      <c r="DT208">
        <v>0</v>
      </c>
      <c r="DU208">
        <v>0</v>
      </c>
      <c r="DV208">
        <v>0</v>
      </c>
      <c r="DW208" t="s">
        <v>402</v>
      </c>
    </row>
    <row r="209" spans="1:127" x14ac:dyDescent="0.2">
      <c r="A209">
        <v>2013</v>
      </c>
      <c r="B209">
        <v>1</v>
      </c>
      <c r="C209">
        <v>1</v>
      </c>
      <c r="D209">
        <v>0</v>
      </c>
      <c r="E209">
        <v>0</v>
      </c>
      <c r="F209">
        <v>718</v>
      </c>
      <c r="G209">
        <v>0</v>
      </c>
      <c r="H209">
        <v>0</v>
      </c>
      <c r="I209">
        <v>0</v>
      </c>
      <c r="J209">
        <v>0</v>
      </c>
      <c r="K209" s="1">
        <v>8.2199999999999992E-6</v>
      </c>
      <c r="L209">
        <v>0</v>
      </c>
      <c r="M209">
        <v>0</v>
      </c>
      <c r="N209" s="1">
        <v>1.6699999999999999E-5</v>
      </c>
      <c r="O209">
        <v>0</v>
      </c>
      <c r="P209">
        <v>0</v>
      </c>
      <c r="Q209">
        <v>0</v>
      </c>
      <c r="R209">
        <v>0</v>
      </c>
      <c r="S209">
        <v>0</v>
      </c>
      <c r="T209">
        <v>0</v>
      </c>
      <c r="U209">
        <v>0</v>
      </c>
      <c r="V209">
        <v>0</v>
      </c>
      <c r="W209">
        <v>0</v>
      </c>
      <c r="X209">
        <v>0</v>
      </c>
      <c r="Y209" s="1">
        <v>5.2200000000000002E-5</v>
      </c>
      <c r="Z209">
        <v>0</v>
      </c>
      <c r="AA209">
        <v>0</v>
      </c>
      <c r="AB209">
        <v>0</v>
      </c>
      <c r="AC209" s="1">
        <v>1.6700000000000001E-6</v>
      </c>
      <c r="AD209">
        <v>7.9342599999999996E-4</v>
      </c>
      <c r="AE209">
        <v>6.8488299999999995E-4</v>
      </c>
      <c r="AF209">
        <v>2.7924500000000001E-4</v>
      </c>
      <c r="AG209">
        <v>1.42544E-3</v>
      </c>
      <c r="AH209">
        <v>1.3453199999999999E-3</v>
      </c>
      <c r="AI209">
        <v>2.1849E-3</v>
      </c>
      <c r="AJ209">
        <v>5.5875600000000001E-3</v>
      </c>
      <c r="AK209">
        <v>3.4594500000000002E-3</v>
      </c>
      <c r="AL209">
        <v>5.7608499999999997E-3</v>
      </c>
      <c r="AM209">
        <v>4.3903099999999997E-3</v>
      </c>
      <c r="AN209">
        <v>4.6901199999999999E-3</v>
      </c>
      <c r="AO209">
        <v>5.4391600000000002E-3</v>
      </c>
      <c r="AP209">
        <v>4.7011500000000003E-3</v>
      </c>
      <c r="AQ209">
        <v>5.8659899999999997E-3</v>
      </c>
      <c r="AR209">
        <v>6.0416999999999997E-3</v>
      </c>
      <c r="AS209">
        <v>6.5463700000000001E-3</v>
      </c>
      <c r="AT209">
        <v>6.7871900000000002E-3</v>
      </c>
      <c r="AU209">
        <v>8.5707500000000002E-3</v>
      </c>
      <c r="AV209">
        <v>9.4635099999999996E-3</v>
      </c>
      <c r="AW209">
        <v>1.0827399999999999E-2</v>
      </c>
      <c r="AX209">
        <v>1.0650400000000001E-2</v>
      </c>
      <c r="AY209">
        <v>1.2956000000000001E-2</v>
      </c>
      <c r="AZ209">
        <v>1.3621899999999999E-2</v>
      </c>
      <c r="BA209">
        <v>1.6794199999999999E-2</v>
      </c>
      <c r="BB209">
        <v>1.80529E-2</v>
      </c>
      <c r="BC209">
        <v>1.6515499999999999E-2</v>
      </c>
      <c r="BD209">
        <v>1.9866399999999999E-2</v>
      </c>
      <c r="BE209">
        <v>2.2011900000000001E-2</v>
      </c>
      <c r="BF209">
        <v>2.4696099999999999E-2</v>
      </c>
      <c r="BG209">
        <v>2.46234E-2</v>
      </c>
      <c r="BH209">
        <v>2.53344E-2</v>
      </c>
      <c r="BI209">
        <v>2.7939200000000001E-2</v>
      </c>
      <c r="BJ209">
        <v>2.9994799999999999E-2</v>
      </c>
      <c r="BK209">
        <v>2.9990900000000001E-2</v>
      </c>
      <c r="BL209">
        <v>3.1423100000000002E-2</v>
      </c>
      <c r="BM209">
        <v>3.43498E-2</v>
      </c>
      <c r="BN209">
        <v>3.8049899999999998E-2</v>
      </c>
      <c r="BO209">
        <v>3.92121E-2</v>
      </c>
      <c r="BP209">
        <v>4.00627E-2</v>
      </c>
      <c r="BQ209">
        <v>4.0700600000000003E-2</v>
      </c>
      <c r="BR209">
        <v>4.2369299999999999E-2</v>
      </c>
      <c r="BS209">
        <v>4.1375299999999997E-2</v>
      </c>
      <c r="BT209">
        <v>3.90065E-2</v>
      </c>
      <c r="BU209">
        <v>3.48556E-2</v>
      </c>
      <c r="BV209">
        <v>3.2014500000000001E-2</v>
      </c>
      <c r="BW209">
        <v>2.86112E-2</v>
      </c>
      <c r="BX209">
        <v>2.7264199999999999E-2</v>
      </c>
      <c r="BY209">
        <v>2.2048499999999999E-2</v>
      </c>
      <c r="BZ209">
        <v>2.0495300000000001E-2</v>
      </c>
      <c r="CA209">
        <v>1.6655300000000001E-2</v>
      </c>
      <c r="CB209">
        <v>1.45895E-2</v>
      </c>
      <c r="CC209">
        <v>1.2767000000000001E-2</v>
      </c>
      <c r="CD209">
        <v>1.01876E-2</v>
      </c>
      <c r="CE209">
        <v>8.1747199999999999E-3</v>
      </c>
      <c r="CF209">
        <v>7.4436600000000004E-3</v>
      </c>
      <c r="CG209">
        <v>5.7000699999999998E-3</v>
      </c>
      <c r="CH209">
        <v>4.67258E-3</v>
      </c>
      <c r="CI209">
        <v>3.7467300000000002E-3</v>
      </c>
      <c r="CJ209">
        <v>3.3949900000000001E-3</v>
      </c>
      <c r="CK209">
        <v>2.3733600000000001E-3</v>
      </c>
      <c r="CL209">
        <v>1.82069E-3</v>
      </c>
      <c r="CM209">
        <v>1.64813E-3</v>
      </c>
      <c r="CN209">
        <v>1.2734000000000001E-3</v>
      </c>
      <c r="CO209">
        <v>1.10435E-3</v>
      </c>
      <c r="CP209">
        <v>7.8407300000000004E-4</v>
      </c>
      <c r="CQ209">
        <v>6.3665800000000002E-4</v>
      </c>
      <c r="CR209">
        <v>5.7217599999999998E-4</v>
      </c>
      <c r="CS209">
        <v>3.7315800000000001E-4</v>
      </c>
      <c r="CT209">
        <v>4.1170399999999999E-4</v>
      </c>
      <c r="CU209">
        <v>3.4343299999999998E-4</v>
      </c>
      <c r="CV209">
        <v>3.6524099999999998E-4</v>
      </c>
      <c r="CW209">
        <v>2.1794300000000001E-4</v>
      </c>
      <c r="CX209">
        <v>1.60414E-4</v>
      </c>
      <c r="CY209">
        <v>1.23633E-4</v>
      </c>
      <c r="CZ209">
        <v>1.2515700000000001E-4</v>
      </c>
      <c r="DA209" s="1">
        <v>7.4999999999999993E-5</v>
      </c>
      <c r="DB209">
        <v>1.3237500000000001E-4</v>
      </c>
      <c r="DC209" s="1">
        <v>7.8800000000000004E-5</v>
      </c>
      <c r="DD209" s="1">
        <v>4.6199999999999998E-5</v>
      </c>
      <c r="DE209" s="1">
        <v>3.6900000000000002E-5</v>
      </c>
      <c r="DF209" s="1">
        <v>2.09E-5</v>
      </c>
      <c r="DG209" s="1">
        <v>1.84E-5</v>
      </c>
      <c r="DH209" s="1">
        <v>1.8499999999999999E-5</v>
      </c>
      <c r="DI209" s="1">
        <v>1.0499999999999999E-5</v>
      </c>
      <c r="DJ209" s="1">
        <v>4.9499999999999997E-5</v>
      </c>
      <c r="DK209" s="1">
        <v>1.49E-5</v>
      </c>
      <c r="DL209">
        <v>0</v>
      </c>
      <c r="DM209">
        <v>0</v>
      </c>
      <c r="DN209" s="1">
        <v>1.3400000000000001E-6</v>
      </c>
      <c r="DO209" s="1">
        <v>1.49E-5</v>
      </c>
      <c r="DP209" s="1">
        <v>8.2200000000000003E-7</v>
      </c>
      <c r="DQ209" s="1">
        <v>2.3700000000000002E-6</v>
      </c>
      <c r="DR209">
        <v>0</v>
      </c>
      <c r="DS209" s="1">
        <v>7.7899999999999997E-7</v>
      </c>
      <c r="DT209">
        <v>0</v>
      </c>
      <c r="DU209">
        <v>0</v>
      </c>
      <c r="DV209" s="1">
        <v>2.6599999999999999E-6</v>
      </c>
      <c r="DW209" t="s">
        <v>403</v>
      </c>
    </row>
    <row r="210" spans="1:127" x14ac:dyDescent="0.2">
      <c r="A210">
        <v>2014</v>
      </c>
      <c r="B210">
        <v>1</v>
      </c>
      <c r="C210">
        <v>1</v>
      </c>
      <c r="D210">
        <v>0</v>
      </c>
      <c r="E210">
        <v>0</v>
      </c>
      <c r="F210">
        <v>784</v>
      </c>
      <c r="G210">
        <v>0</v>
      </c>
      <c r="H210">
        <v>0</v>
      </c>
      <c r="I210">
        <v>0</v>
      </c>
      <c r="J210">
        <v>0</v>
      </c>
      <c r="K210">
        <v>0</v>
      </c>
      <c r="L210">
        <v>0</v>
      </c>
      <c r="M210">
        <v>0</v>
      </c>
      <c r="N210">
        <v>0</v>
      </c>
      <c r="O210">
        <v>0</v>
      </c>
      <c r="P210">
        <v>0</v>
      </c>
      <c r="Q210">
        <v>0</v>
      </c>
      <c r="R210">
        <v>0</v>
      </c>
      <c r="S210">
        <v>0</v>
      </c>
      <c r="T210" s="1">
        <v>1.2500000000000001E-5</v>
      </c>
      <c r="U210">
        <v>0</v>
      </c>
      <c r="V210" s="1">
        <v>4.71E-5</v>
      </c>
      <c r="W210" s="1">
        <v>1.66E-5</v>
      </c>
      <c r="X210">
        <v>1.4438299999999999E-4</v>
      </c>
      <c r="Y210" s="1">
        <v>7.8399999999999995E-5</v>
      </c>
      <c r="Z210" s="1">
        <v>2.48E-5</v>
      </c>
      <c r="AA210">
        <v>0</v>
      </c>
      <c r="AB210" s="1">
        <v>2.8500000000000002E-5</v>
      </c>
      <c r="AC210">
        <v>0</v>
      </c>
      <c r="AD210" s="1">
        <v>1.13E-6</v>
      </c>
      <c r="AE210" s="1">
        <v>2.96E-6</v>
      </c>
      <c r="AF210" s="1">
        <v>7.7299999999999995E-5</v>
      </c>
      <c r="AG210">
        <v>2.18567E-4</v>
      </c>
      <c r="AH210">
        <v>4.5152099999999998E-4</v>
      </c>
      <c r="AI210">
        <v>9.6570900000000003E-4</v>
      </c>
      <c r="AJ210">
        <v>1.11225E-3</v>
      </c>
      <c r="AK210">
        <v>1.5497200000000001E-3</v>
      </c>
      <c r="AL210">
        <v>2.4142199999999999E-3</v>
      </c>
      <c r="AM210">
        <v>2.71652E-3</v>
      </c>
      <c r="AN210">
        <v>3.2119000000000002E-3</v>
      </c>
      <c r="AO210">
        <v>2.8596799999999999E-3</v>
      </c>
      <c r="AP210">
        <v>1.81431E-3</v>
      </c>
      <c r="AQ210">
        <v>2.8044300000000001E-3</v>
      </c>
      <c r="AR210">
        <v>3.8470599999999998E-3</v>
      </c>
      <c r="AS210">
        <v>4.72589E-3</v>
      </c>
      <c r="AT210">
        <v>7.7685599999999999E-3</v>
      </c>
      <c r="AU210">
        <v>1.1564400000000001E-2</v>
      </c>
      <c r="AV210">
        <v>1.4985399999999999E-2</v>
      </c>
      <c r="AW210">
        <v>1.6955600000000001E-2</v>
      </c>
      <c r="AX210">
        <v>2.1044E-2</v>
      </c>
      <c r="AY210">
        <v>1.7935799999999998E-2</v>
      </c>
      <c r="AZ210">
        <v>1.8591199999999999E-2</v>
      </c>
      <c r="BA210">
        <v>1.7954500000000002E-2</v>
      </c>
      <c r="BB210">
        <v>1.9702299999999999E-2</v>
      </c>
      <c r="BC210">
        <v>2.0537699999999999E-2</v>
      </c>
      <c r="BD210">
        <v>2.3040499999999998E-2</v>
      </c>
      <c r="BE210">
        <v>2.2159999999999999E-2</v>
      </c>
      <c r="BF210">
        <v>2.3430900000000001E-2</v>
      </c>
      <c r="BG210">
        <v>2.36489E-2</v>
      </c>
      <c r="BH210">
        <v>2.4517899999999999E-2</v>
      </c>
      <c r="BI210">
        <v>2.62819E-2</v>
      </c>
      <c r="BJ210">
        <v>2.59566E-2</v>
      </c>
      <c r="BK210">
        <v>2.8429099999999999E-2</v>
      </c>
      <c r="BL210">
        <v>2.91814E-2</v>
      </c>
      <c r="BM210">
        <v>3.0339600000000001E-2</v>
      </c>
      <c r="BN210">
        <v>3.3613999999999998E-2</v>
      </c>
      <c r="BO210">
        <v>3.2210200000000001E-2</v>
      </c>
      <c r="BP210">
        <v>3.1475400000000001E-2</v>
      </c>
      <c r="BQ210">
        <v>3.4756299999999997E-2</v>
      </c>
      <c r="BR210">
        <v>3.3440699999999997E-2</v>
      </c>
      <c r="BS210">
        <v>3.1858499999999998E-2</v>
      </c>
      <c r="BT210">
        <v>3.1314599999999998E-2</v>
      </c>
      <c r="BU210">
        <v>3.1726799999999999E-2</v>
      </c>
      <c r="BV210">
        <v>3.15661E-2</v>
      </c>
      <c r="BW210">
        <v>3.1708699999999999E-2</v>
      </c>
      <c r="BX210">
        <v>3.0837300000000002E-2</v>
      </c>
      <c r="BY210">
        <v>2.6846999999999999E-2</v>
      </c>
      <c r="BZ210">
        <v>2.3886600000000001E-2</v>
      </c>
      <c r="CA210">
        <v>2.2305800000000001E-2</v>
      </c>
      <c r="CB210">
        <v>2.0663000000000001E-2</v>
      </c>
      <c r="CC210">
        <v>1.8194800000000001E-2</v>
      </c>
      <c r="CD210">
        <v>1.45772E-2</v>
      </c>
      <c r="CE210">
        <v>1.14874E-2</v>
      </c>
      <c r="CF210">
        <v>9.9369599999999999E-3</v>
      </c>
      <c r="CG210">
        <v>8.3854399999999992E-3</v>
      </c>
      <c r="CH210">
        <v>7.1425799999999999E-3</v>
      </c>
      <c r="CI210">
        <v>5.9697500000000002E-3</v>
      </c>
      <c r="CJ210">
        <v>4.2945600000000002E-3</v>
      </c>
      <c r="CK210">
        <v>3.7599700000000001E-3</v>
      </c>
      <c r="CL210">
        <v>2.8691799999999998E-3</v>
      </c>
      <c r="CM210">
        <v>2.3456800000000002E-3</v>
      </c>
      <c r="CN210">
        <v>1.60446E-3</v>
      </c>
      <c r="CO210">
        <v>1.3674799999999999E-3</v>
      </c>
      <c r="CP210">
        <v>1.19995E-3</v>
      </c>
      <c r="CQ210">
        <v>9.9543000000000006E-4</v>
      </c>
      <c r="CR210">
        <v>9.0904799999999997E-4</v>
      </c>
      <c r="CS210">
        <v>5.8241900000000004E-4</v>
      </c>
      <c r="CT210">
        <v>6.1148099999999998E-4</v>
      </c>
      <c r="CU210">
        <v>4.6636300000000002E-4</v>
      </c>
      <c r="CV210">
        <v>3.2951299999999997E-4</v>
      </c>
      <c r="CW210">
        <v>2.7990699999999997E-4</v>
      </c>
      <c r="CX210">
        <v>2.9519700000000003E-4</v>
      </c>
      <c r="CY210">
        <v>2.08097E-4</v>
      </c>
      <c r="CZ210">
        <v>1.7991599999999999E-4</v>
      </c>
      <c r="DA210">
        <v>1.8153000000000001E-4</v>
      </c>
      <c r="DB210">
        <v>1.2626099999999999E-4</v>
      </c>
      <c r="DC210" s="1">
        <v>8.7399999999999997E-5</v>
      </c>
      <c r="DD210" s="1">
        <v>5.9299999999999998E-5</v>
      </c>
      <c r="DE210" s="1">
        <v>4.9799999999999998E-5</v>
      </c>
      <c r="DF210" s="1">
        <v>3.82E-5</v>
      </c>
      <c r="DG210" s="1">
        <v>3.6999999999999998E-5</v>
      </c>
      <c r="DH210" s="1">
        <v>1.29E-5</v>
      </c>
      <c r="DI210" s="1">
        <v>1.04E-5</v>
      </c>
      <c r="DJ210" s="1">
        <v>1.1199999999999999E-5</v>
      </c>
      <c r="DK210" s="1">
        <v>1.01E-5</v>
      </c>
      <c r="DL210" s="1">
        <v>3.5899999999999999E-6</v>
      </c>
      <c r="DM210" s="1">
        <v>1.2500000000000001E-6</v>
      </c>
      <c r="DN210">
        <v>0</v>
      </c>
      <c r="DO210">
        <v>0</v>
      </c>
      <c r="DP210">
        <v>0</v>
      </c>
      <c r="DQ210" s="1">
        <v>3.49E-6</v>
      </c>
      <c r="DR210">
        <v>0</v>
      </c>
      <c r="DS210">
        <v>0</v>
      </c>
      <c r="DT210">
        <v>0</v>
      </c>
      <c r="DU210">
        <v>0</v>
      </c>
      <c r="DV210" s="1">
        <v>1.2300000000000001E-5</v>
      </c>
      <c r="DW210" t="s">
        <v>404</v>
      </c>
    </row>
    <row r="211" spans="1:127" x14ac:dyDescent="0.2">
      <c r="A211">
        <v>2015</v>
      </c>
      <c r="B211">
        <v>1</v>
      </c>
      <c r="C211">
        <v>1</v>
      </c>
      <c r="D211">
        <v>0</v>
      </c>
      <c r="E211">
        <v>0</v>
      </c>
      <c r="F211">
        <v>724</v>
      </c>
      <c r="G211">
        <v>0</v>
      </c>
      <c r="H211">
        <v>0</v>
      </c>
      <c r="I211">
        <v>0</v>
      </c>
      <c r="J211">
        <v>0</v>
      </c>
      <c r="K211">
        <v>0</v>
      </c>
      <c r="L211">
        <v>0</v>
      </c>
      <c r="M211" s="1">
        <v>6.2400000000000004E-6</v>
      </c>
      <c r="N211">
        <v>0</v>
      </c>
      <c r="O211">
        <v>0</v>
      </c>
      <c r="P211" s="1">
        <v>1.3499999999999999E-5</v>
      </c>
      <c r="Q211">
        <v>0</v>
      </c>
      <c r="R211">
        <v>0</v>
      </c>
      <c r="S211">
        <v>0</v>
      </c>
      <c r="T211">
        <v>0</v>
      </c>
      <c r="U211">
        <v>0</v>
      </c>
      <c r="V211">
        <v>0</v>
      </c>
      <c r="W211">
        <v>0</v>
      </c>
      <c r="X211">
        <v>0</v>
      </c>
      <c r="Y211">
        <v>0</v>
      </c>
      <c r="Z211">
        <v>0</v>
      </c>
      <c r="AA211">
        <v>0</v>
      </c>
      <c r="AB211" s="1">
        <v>2.8799999999999999E-5</v>
      </c>
      <c r="AC211" s="1">
        <v>7.5799999999999999E-5</v>
      </c>
      <c r="AD211">
        <v>1.4668999999999999E-4</v>
      </c>
      <c r="AE211" s="1">
        <v>1.31E-5</v>
      </c>
      <c r="AF211" s="1">
        <v>4.99E-5</v>
      </c>
      <c r="AG211" s="1">
        <v>1.7099999999999999E-5</v>
      </c>
      <c r="AH211" s="1">
        <v>8.1600000000000005E-5</v>
      </c>
      <c r="AI211">
        <v>3.3860800000000001E-4</v>
      </c>
      <c r="AJ211">
        <v>4.5977700000000003E-4</v>
      </c>
      <c r="AK211">
        <v>8.8681299999999997E-4</v>
      </c>
      <c r="AL211">
        <v>1.47054E-3</v>
      </c>
      <c r="AM211">
        <v>1.7366E-3</v>
      </c>
      <c r="AN211">
        <v>2.4186099999999999E-3</v>
      </c>
      <c r="AO211">
        <v>2.4951499999999998E-3</v>
      </c>
      <c r="AP211">
        <v>2.35024E-3</v>
      </c>
      <c r="AQ211">
        <v>2.6543600000000001E-3</v>
      </c>
      <c r="AR211">
        <v>3.4368599999999999E-3</v>
      </c>
      <c r="AS211">
        <v>3.08786E-3</v>
      </c>
      <c r="AT211">
        <v>2.6866799999999999E-3</v>
      </c>
      <c r="AU211">
        <v>2.5243100000000001E-3</v>
      </c>
      <c r="AV211">
        <v>3.4742200000000001E-3</v>
      </c>
      <c r="AW211">
        <v>5.1885899999999999E-3</v>
      </c>
      <c r="AX211">
        <v>6.7282599999999998E-3</v>
      </c>
      <c r="AY211">
        <v>8.7715799999999993E-3</v>
      </c>
      <c r="AZ211">
        <v>1.0154399999999999E-2</v>
      </c>
      <c r="BA211">
        <v>1.21832E-2</v>
      </c>
      <c r="BB211">
        <v>1.45291E-2</v>
      </c>
      <c r="BC211">
        <v>1.4939600000000001E-2</v>
      </c>
      <c r="BD211">
        <v>1.65585E-2</v>
      </c>
      <c r="BE211">
        <v>1.9312200000000002E-2</v>
      </c>
      <c r="BF211">
        <v>2.40193E-2</v>
      </c>
      <c r="BG211">
        <v>2.8126499999999999E-2</v>
      </c>
      <c r="BH211">
        <v>3.2027199999999999E-2</v>
      </c>
      <c r="BI211">
        <v>3.5557699999999998E-2</v>
      </c>
      <c r="BJ211">
        <v>3.7838900000000002E-2</v>
      </c>
      <c r="BK211">
        <v>4.0701899999999999E-2</v>
      </c>
      <c r="BL211">
        <v>4.0223099999999998E-2</v>
      </c>
      <c r="BM211">
        <v>3.9741199999999997E-2</v>
      </c>
      <c r="BN211">
        <v>4.1207100000000003E-2</v>
      </c>
      <c r="BO211">
        <v>3.9128999999999997E-2</v>
      </c>
      <c r="BP211">
        <v>3.8011900000000001E-2</v>
      </c>
      <c r="BQ211">
        <v>3.8044000000000001E-2</v>
      </c>
      <c r="BR211">
        <v>3.6184099999999997E-2</v>
      </c>
      <c r="BS211">
        <v>3.6761000000000002E-2</v>
      </c>
      <c r="BT211">
        <v>3.45829E-2</v>
      </c>
      <c r="BU211">
        <v>3.3519199999999999E-2</v>
      </c>
      <c r="BV211">
        <v>3.29787E-2</v>
      </c>
      <c r="BW211">
        <v>2.9257499999999999E-2</v>
      </c>
      <c r="BX211">
        <v>2.9172400000000001E-2</v>
      </c>
      <c r="BY211">
        <v>2.3891599999999999E-2</v>
      </c>
      <c r="BZ211">
        <v>2.2010200000000001E-2</v>
      </c>
      <c r="CA211">
        <v>2.0896600000000001E-2</v>
      </c>
      <c r="CB211">
        <v>1.80769E-2</v>
      </c>
      <c r="CC211">
        <v>1.5553600000000001E-2</v>
      </c>
      <c r="CD211">
        <v>1.40558E-2</v>
      </c>
      <c r="CE211">
        <v>1.1900000000000001E-2</v>
      </c>
      <c r="CF211">
        <v>1.00982E-2</v>
      </c>
      <c r="CG211">
        <v>9.7660899999999998E-3</v>
      </c>
      <c r="CH211">
        <v>8.1568200000000004E-3</v>
      </c>
      <c r="CI211">
        <v>6.4350800000000001E-3</v>
      </c>
      <c r="CJ211">
        <v>5.9581599999999997E-3</v>
      </c>
      <c r="CK211">
        <v>4.7395099999999997E-3</v>
      </c>
      <c r="CL211">
        <v>4.17615E-3</v>
      </c>
      <c r="CM211">
        <v>3.5338399999999999E-3</v>
      </c>
      <c r="CN211">
        <v>2.8835599999999999E-3</v>
      </c>
      <c r="CO211">
        <v>2.6475299999999999E-3</v>
      </c>
      <c r="CP211">
        <v>1.9468199999999999E-3</v>
      </c>
      <c r="CQ211">
        <v>1.71715E-3</v>
      </c>
      <c r="CR211">
        <v>1.2712999999999999E-3</v>
      </c>
      <c r="CS211">
        <v>1.0043999999999999E-3</v>
      </c>
      <c r="CT211">
        <v>6.1371500000000003E-4</v>
      </c>
      <c r="CU211">
        <v>5.5730500000000002E-4</v>
      </c>
      <c r="CV211">
        <v>5.0172300000000003E-4</v>
      </c>
      <c r="CW211">
        <v>3.44185E-4</v>
      </c>
      <c r="CX211">
        <v>2.8890300000000002E-4</v>
      </c>
      <c r="CY211">
        <v>2.1416E-4</v>
      </c>
      <c r="CZ211">
        <v>1.9813E-4</v>
      </c>
      <c r="DA211">
        <v>1.5043399999999999E-4</v>
      </c>
      <c r="DB211">
        <v>1.7538499999999999E-4</v>
      </c>
      <c r="DC211">
        <v>1.05E-4</v>
      </c>
      <c r="DD211" s="1">
        <v>6.1799999999999998E-5</v>
      </c>
      <c r="DE211" s="1">
        <v>6.7799999999999995E-5</v>
      </c>
      <c r="DF211" s="1">
        <v>2.4499999999999999E-5</v>
      </c>
      <c r="DG211" s="1">
        <v>2.5500000000000001E-6</v>
      </c>
      <c r="DH211" s="1">
        <v>1.9300000000000002E-5</v>
      </c>
      <c r="DI211" s="1">
        <v>2.5400000000000001E-5</v>
      </c>
      <c r="DJ211" s="1">
        <v>1.0699999999999999E-5</v>
      </c>
      <c r="DK211">
        <v>0</v>
      </c>
      <c r="DL211" s="1">
        <v>2.0999999999999998E-6</v>
      </c>
      <c r="DM211" s="1">
        <v>1.24E-6</v>
      </c>
      <c r="DN211">
        <v>0</v>
      </c>
      <c r="DO211" s="1">
        <v>1.68E-6</v>
      </c>
      <c r="DP211" s="1">
        <v>5.7800000000000001E-7</v>
      </c>
      <c r="DQ211">
        <v>0</v>
      </c>
      <c r="DR211">
        <v>0</v>
      </c>
      <c r="DS211">
        <v>0</v>
      </c>
      <c r="DT211">
        <v>0</v>
      </c>
      <c r="DU211">
        <v>0</v>
      </c>
      <c r="DV211" s="1">
        <v>1.2099999999999999E-5</v>
      </c>
      <c r="DW211" t="s">
        <v>405</v>
      </c>
    </row>
    <row r="212" spans="1:127" x14ac:dyDescent="0.2">
      <c r="A212">
        <v>2016</v>
      </c>
      <c r="B212">
        <v>1</v>
      </c>
      <c r="C212">
        <v>1</v>
      </c>
      <c r="D212">
        <v>0</v>
      </c>
      <c r="E212">
        <v>0</v>
      </c>
      <c r="F212">
        <v>614</v>
      </c>
      <c r="G212">
        <v>0</v>
      </c>
      <c r="H212">
        <v>0</v>
      </c>
      <c r="I212">
        <v>0</v>
      </c>
      <c r="J212">
        <v>0</v>
      </c>
      <c r="K212">
        <v>0</v>
      </c>
      <c r="L212">
        <v>0</v>
      </c>
      <c r="M212">
        <v>0</v>
      </c>
      <c r="N212">
        <v>0</v>
      </c>
      <c r="O212">
        <v>0</v>
      </c>
      <c r="P212">
        <v>0</v>
      </c>
      <c r="Q212">
        <v>0</v>
      </c>
      <c r="R212">
        <v>0</v>
      </c>
      <c r="S212">
        <v>0</v>
      </c>
      <c r="T212">
        <v>0</v>
      </c>
      <c r="U212">
        <v>0</v>
      </c>
      <c r="V212">
        <v>0</v>
      </c>
      <c r="W212">
        <v>0</v>
      </c>
      <c r="X212" s="1">
        <v>2.41E-5</v>
      </c>
      <c r="Y212">
        <v>0</v>
      </c>
      <c r="Z212">
        <v>0</v>
      </c>
      <c r="AA212">
        <v>0</v>
      </c>
      <c r="AB212">
        <v>0</v>
      </c>
      <c r="AC212">
        <v>0</v>
      </c>
      <c r="AD212" s="1">
        <v>5.1100000000000002E-5</v>
      </c>
      <c r="AE212" s="1">
        <v>5.7299999999999996E-7</v>
      </c>
      <c r="AF212">
        <v>0</v>
      </c>
      <c r="AG212">
        <v>0</v>
      </c>
      <c r="AH212" s="1">
        <v>7.47E-5</v>
      </c>
      <c r="AI212" s="1">
        <v>4.88E-5</v>
      </c>
      <c r="AJ212" s="1">
        <v>3.7400000000000001E-5</v>
      </c>
      <c r="AK212" s="1">
        <v>2.0100000000000001E-5</v>
      </c>
      <c r="AL212">
        <v>2.6339100000000003E-4</v>
      </c>
      <c r="AM212">
        <v>5.3229600000000003E-4</v>
      </c>
      <c r="AN212">
        <v>2.8647299999999998E-4</v>
      </c>
      <c r="AO212">
        <v>6.2760099999999998E-4</v>
      </c>
      <c r="AP212">
        <v>4.3370399999999998E-4</v>
      </c>
      <c r="AQ212">
        <v>1.24697E-3</v>
      </c>
      <c r="AR212">
        <v>8.7618500000000003E-4</v>
      </c>
      <c r="AS212">
        <v>1.9674499999999999E-3</v>
      </c>
      <c r="AT212">
        <v>2.6842699999999999E-3</v>
      </c>
      <c r="AU212">
        <v>3.4696499999999999E-3</v>
      </c>
      <c r="AV212">
        <v>4.3056800000000001E-3</v>
      </c>
      <c r="AW212">
        <v>6.31228E-3</v>
      </c>
      <c r="AX212">
        <v>8.0136099999999991E-3</v>
      </c>
      <c r="AY212">
        <v>1.04253E-2</v>
      </c>
      <c r="AZ212">
        <v>1.35882E-2</v>
      </c>
      <c r="BA212">
        <v>1.5503400000000001E-2</v>
      </c>
      <c r="BB212">
        <v>1.73695E-2</v>
      </c>
      <c r="BC212">
        <v>1.7162799999999999E-2</v>
      </c>
      <c r="BD212">
        <v>1.7457400000000001E-2</v>
      </c>
      <c r="BE212">
        <v>2.0224599999999999E-2</v>
      </c>
      <c r="BF212">
        <v>1.9031599999999999E-2</v>
      </c>
      <c r="BG212">
        <v>2.16101E-2</v>
      </c>
      <c r="BH212">
        <v>2.2166999999999999E-2</v>
      </c>
      <c r="BI212">
        <v>2.3900600000000001E-2</v>
      </c>
      <c r="BJ212">
        <v>2.5852900000000002E-2</v>
      </c>
      <c r="BK212">
        <v>2.97954E-2</v>
      </c>
      <c r="BL212">
        <v>3.1878999999999998E-2</v>
      </c>
      <c r="BM212">
        <v>3.3022500000000003E-2</v>
      </c>
      <c r="BN212">
        <v>3.5325599999999999E-2</v>
      </c>
      <c r="BO212">
        <v>3.7318799999999999E-2</v>
      </c>
      <c r="BP212">
        <v>4.0746699999999997E-2</v>
      </c>
      <c r="BQ212">
        <v>4.23334E-2</v>
      </c>
      <c r="BR212">
        <v>4.4186099999999999E-2</v>
      </c>
      <c r="BS212">
        <v>4.4277400000000001E-2</v>
      </c>
      <c r="BT212">
        <v>4.2865300000000002E-2</v>
      </c>
      <c r="BU212">
        <v>4.10376E-2</v>
      </c>
      <c r="BV212">
        <v>3.9642299999999998E-2</v>
      </c>
      <c r="BW212">
        <v>3.7256299999999999E-2</v>
      </c>
      <c r="BX212">
        <v>3.5316199999999999E-2</v>
      </c>
      <c r="BY212">
        <v>2.7754500000000001E-2</v>
      </c>
      <c r="BZ212">
        <v>2.55897E-2</v>
      </c>
      <c r="CA212">
        <v>2.1563700000000002E-2</v>
      </c>
      <c r="CB212">
        <v>2.08436E-2</v>
      </c>
      <c r="CC212">
        <v>1.72613E-2</v>
      </c>
      <c r="CD212">
        <v>1.49298E-2</v>
      </c>
      <c r="CE212">
        <v>1.32806E-2</v>
      </c>
      <c r="CF212">
        <v>1.1210700000000001E-2</v>
      </c>
      <c r="CG212">
        <v>8.9243099999999995E-3</v>
      </c>
      <c r="CH212">
        <v>8.1840599999999999E-3</v>
      </c>
      <c r="CI212">
        <v>6.7076499999999999E-3</v>
      </c>
      <c r="CJ212">
        <v>6.0064100000000002E-3</v>
      </c>
      <c r="CK212">
        <v>4.4917300000000002E-3</v>
      </c>
      <c r="CL212">
        <v>3.9205300000000002E-3</v>
      </c>
      <c r="CM212">
        <v>3.0720500000000002E-3</v>
      </c>
      <c r="CN212">
        <v>2.6831799999999999E-3</v>
      </c>
      <c r="CO212">
        <v>2.2021900000000001E-3</v>
      </c>
      <c r="CP212">
        <v>2.0998200000000001E-3</v>
      </c>
      <c r="CQ212">
        <v>1.44819E-3</v>
      </c>
      <c r="CR212">
        <v>1.4994299999999999E-3</v>
      </c>
      <c r="CS212">
        <v>1.0081199999999999E-3</v>
      </c>
      <c r="CT212">
        <v>7.20431E-4</v>
      </c>
      <c r="CU212">
        <v>6.8666699999999996E-4</v>
      </c>
      <c r="CV212">
        <v>9.0032000000000003E-4</v>
      </c>
      <c r="CW212">
        <v>5.0227799999999999E-4</v>
      </c>
      <c r="CX212">
        <v>2.7052499999999998E-4</v>
      </c>
      <c r="CY212">
        <v>3.8089999999999999E-4</v>
      </c>
      <c r="CZ212">
        <v>2.8668299999999998E-4</v>
      </c>
      <c r="DA212">
        <v>1.18397E-4</v>
      </c>
      <c r="DB212">
        <v>1.2218900000000001E-4</v>
      </c>
      <c r="DC212">
        <v>3.1521799999999998E-4</v>
      </c>
      <c r="DD212">
        <v>1.3809400000000001E-4</v>
      </c>
      <c r="DE212" s="1">
        <v>8.6100000000000006E-5</v>
      </c>
      <c r="DF212" s="1">
        <v>7.0599999999999995E-5</v>
      </c>
      <c r="DG212" s="1">
        <v>4.1199999999999999E-5</v>
      </c>
      <c r="DH212" s="1">
        <v>8.1100000000000003E-6</v>
      </c>
      <c r="DI212" s="1">
        <v>1.8E-5</v>
      </c>
      <c r="DJ212" s="1">
        <v>4.8699999999999998E-5</v>
      </c>
      <c r="DK212" s="1">
        <v>1.8099999999999999E-5</v>
      </c>
      <c r="DL212" s="1">
        <v>5.2700000000000004E-6</v>
      </c>
      <c r="DM212">
        <v>0</v>
      </c>
      <c r="DN212">
        <v>0</v>
      </c>
      <c r="DO212">
        <v>0</v>
      </c>
      <c r="DP212">
        <v>0</v>
      </c>
      <c r="DQ212">
        <v>0</v>
      </c>
      <c r="DR212" s="1">
        <v>8.5099999999999998E-6</v>
      </c>
      <c r="DS212">
        <v>0</v>
      </c>
      <c r="DT212">
        <v>0</v>
      </c>
      <c r="DU212">
        <v>0</v>
      </c>
      <c r="DV212">
        <v>0</v>
      </c>
      <c r="DW212" t="s">
        <v>406</v>
      </c>
    </row>
    <row r="213" spans="1:127" x14ac:dyDescent="0.2">
      <c r="A213">
        <v>2017</v>
      </c>
      <c r="B213">
        <v>1</v>
      </c>
      <c r="C213">
        <v>1</v>
      </c>
      <c r="D213">
        <v>0</v>
      </c>
      <c r="E213">
        <v>0</v>
      </c>
      <c r="F213">
        <v>538</v>
      </c>
      <c r="G213">
        <v>0</v>
      </c>
      <c r="H213">
        <v>0</v>
      </c>
      <c r="I213">
        <v>0</v>
      </c>
      <c r="J213">
        <v>0</v>
      </c>
      <c r="K213">
        <v>0</v>
      </c>
      <c r="L213">
        <v>0</v>
      </c>
      <c r="M213" s="1">
        <v>1.2E-5</v>
      </c>
      <c r="N213">
        <v>0</v>
      </c>
      <c r="O213">
        <v>0</v>
      </c>
      <c r="P213" s="1">
        <v>2.61E-6</v>
      </c>
      <c r="Q213">
        <v>0</v>
      </c>
      <c r="R213">
        <v>0</v>
      </c>
      <c r="S213" s="1">
        <v>1.88E-6</v>
      </c>
      <c r="T213">
        <v>0</v>
      </c>
      <c r="U213">
        <v>0</v>
      </c>
      <c r="V213">
        <v>0</v>
      </c>
      <c r="W213">
        <v>0</v>
      </c>
      <c r="X213">
        <v>0</v>
      </c>
      <c r="Y213" s="1">
        <v>1.8899999999999999E-6</v>
      </c>
      <c r="Z213" s="1">
        <v>1.3900000000000001E-5</v>
      </c>
      <c r="AA213">
        <v>0</v>
      </c>
      <c r="AB213">
        <v>1.03131E-4</v>
      </c>
      <c r="AC213" s="1">
        <v>5.3300000000000001E-5</v>
      </c>
      <c r="AD213">
        <v>1.2945E-4</v>
      </c>
      <c r="AE213" s="1">
        <v>3.5200000000000002E-5</v>
      </c>
      <c r="AF213">
        <v>0</v>
      </c>
      <c r="AG213">
        <v>0</v>
      </c>
      <c r="AH213">
        <v>0</v>
      </c>
      <c r="AI213" s="1">
        <v>5.4999999999999999E-6</v>
      </c>
      <c r="AJ213">
        <v>0</v>
      </c>
      <c r="AK213" s="1">
        <v>2.1800000000000001E-5</v>
      </c>
      <c r="AL213" s="1">
        <v>1.4E-5</v>
      </c>
      <c r="AM213" s="1">
        <v>3.96E-5</v>
      </c>
      <c r="AN213" s="1">
        <v>3.6300000000000001E-5</v>
      </c>
      <c r="AO213">
        <v>5.2833700000000003E-4</v>
      </c>
      <c r="AP213">
        <v>1.16718E-4</v>
      </c>
      <c r="AQ213">
        <v>7.6426900000000004E-4</v>
      </c>
      <c r="AR213">
        <v>6.2589199999999996E-4</v>
      </c>
      <c r="AS213">
        <v>3.9816299999999999E-4</v>
      </c>
      <c r="AT213">
        <v>8.2041600000000003E-4</v>
      </c>
      <c r="AU213">
        <v>9.4629499999999999E-4</v>
      </c>
      <c r="AV213">
        <v>1.0879500000000001E-3</v>
      </c>
      <c r="AW213">
        <v>1.82646E-3</v>
      </c>
      <c r="AX213">
        <v>2.0286700000000002E-3</v>
      </c>
      <c r="AY213">
        <v>3.33279E-3</v>
      </c>
      <c r="AZ213">
        <v>4.3073399999999998E-3</v>
      </c>
      <c r="BA213">
        <v>4.8373499999999998E-3</v>
      </c>
      <c r="BB213">
        <v>7.2700799999999999E-3</v>
      </c>
      <c r="BC213">
        <v>9.8345800000000008E-3</v>
      </c>
      <c r="BD213">
        <v>1.3549E-2</v>
      </c>
      <c r="BE213">
        <v>1.80739E-2</v>
      </c>
      <c r="BF213">
        <v>2.1430600000000001E-2</v>
      </c>
      <c r="BG213">
        <v>2.69901E-2</v>
      </c>
      <c r="BH213">
        <v>3.0484500000000001E-2</v>
      </c>
      <c r="BI213">
        <v>3.4758400000000002E-2</v>
      </c>
      <c r="BJ213">
        <v>3.6795899999999999E-2</v>
      </c>
      <c r="BK213">
        <v>3.84631E-2</v>
      </c>
      <c r="BL213">
        <v>4.2097799999999998E-2</v>
      </c>
      <c r="BM213">
        <v>3.7803799999999999E-2</v>
      </c>
      <c r="BN213">
        <v>4.2532199999999999E-2</v>
      </c>
      <c r="BO213">
        <v>3.8423300000000001E-2</v>
      </c>
      <c r="BP213">
        <v>3.9975299999999998E-2</v>
      </c>
      <c r="BQ213">
        <v>3.93207E-2</v>
      </c>
      <c r="BR213">
        <v>3.9482099999999999E-2</v>
      </c>
      <c r="BS213">
        <v>3.8543300000000003E-2</v>
      </c>
      <c r="BT213">
        <v>3.6781599999999998E-2</v>
      </c>
      <c r="BU213">
        <v>3.4694700000000002E-2</v>
      </c>
      <c r="BV213">
        <v>3.4424799999999998E-2</v>
      </c>
      <c r="BW213">
        <v>3.4827400000000001E-2</v>
      </c>
      <c r="BX213">
        <v>3.5564800000000001E-2</v>
      </c>
      <c r="BY213">
        <v>2.9285200000000001E-2</v>
      </c>
      <c r="BZ213">
        <v>2.65636E-2</v>
      </c>
      <c r="CA213">
        <v>2.5875800000000001E-2</v>
      </c>
      <c r="CB213">
        <v>2.3979500000000001E-2</v>
      </c>
      <c r="CC213">
        <v>2.2038700000000001E-2</v>
      </c>
      <c r="CD213">
        <v>1.9123600000000001E-2</v>
      </c>
      <c r="CE213">
        <v>1.6011999999999998E-2</v>
      </c>
      <c r="CF213">
        <v>1.4953599999999999E-2</v>
      </c>
      <c r="CG213">
        <v>1.1258900000000001E-2</v>
      </c>
      <c r="CH213">
        <v>1.07607E-2</v>
      </c>
      <c r="CI213">
        <v>7.59459E-3</v>
      </c>
      <c r="CJ213">
        <v>6.1413600000000002E-3</v>
      </c>
      <c r="CK213">
        <v>5.3285800000000003E-3</v>
      </c>
      <c r="CL213">
        <v>5.1798199999999999E-3</v>
      </c>
      <c r="CM213">
        <v>3.6842200000000002E-3</v>
      </c>
      <c r="CN213">
        <v>3.0346499999999998E-3</v>
      </c>
      <c r="CO213">
        <v>2.6443E-3</v>
      </c>
      <c r="CP213">
        <v>2.2603699999999998E-3</v>
      </c>
      <c r="CQ213">
        <v>2.85995E-3</v>
      </c>
      <c r="CR213">
        <v>1.4598499999999999E-3</v>
      </c>
      <c r="CS213">
        <v>1.02177E-3</v>
      </c>
      <c r="CT213">
        <v>6.7586399999999998E-4</v>
      </c>
      <c r="CU213">
        <v>6.5595400000000004E-4</v>
      </c>
      <c r="CV213">
        <v>8.5840000000000005E-4</v>
      </c>
      <c r="CW213">
        <v>4.81738E-4</v>
      </c>
      <c r="CX213">
        <v>4.8751900000000001E-4</v>
      </c>
      <c r="CY213">
        <v>3.61758E-4</v>
      </c>
      <c r="CZ213">
        <v>2.0939299999999999E-4</v>
      </c>
      <c r="DA213">
        <v>3.2080599999999998E-4</v>
      </c>
      <c r="DB213" s="1">
        <v>9.6100000000000005E-5</v>
      </c>
      <c r="DC213" s="1">
        <v>8.9800000000000001E-5</v>
      </c>
      <c r="DD213">
        <v>1.5399399999999999E-4</v>
      </c>
      <c r="DE213" s="1">
        <v>9.6700000000000006E-5</v>
      </c>
      <c r="DF213" s="1">
        <v>2.62E-5</v>
      </c>
      <c r="DG213" s="1">
        <v>4.0599999999999998E-5</v>
      </c>
      <c r="DH213" s="1">
        <v>5.1999999999999997E-5</v>
      </c>
      <c r="DI213" s="1">
        <v>5.91E-5</v>
      </c>
      <c r="DJ213" s="1">
        <v>4.0899999999999998E-5</v>
      </c>
      <c r="DK213">
        <v>0</v>
      </c>
      <c r="DL213">
        <v>0</v>
      </c>
      <c r="DM213">
        <v>0</v>
      </c>
      <c r="DN213" s="1">
        <v>1.8700000000000001E-5</v>
      </c>
      <c r="DO213">
        <v>0</v>
      </c>
      <c r="DP213">
        <v>0</v>
      </c>
      <c r="DQ213">
        <v>0</v>
      </c>
      <c r="DR213">
        <v>0</v>
      </c>
      <c r="DS213">
        <v>0</v>
      </c>
      <c r="DT213">
        <v>0</v>
      </c>
      <c r="DU213">
        <v>0</v>
      </c>
      <c r="DV213">
        <v>0</v>
      </c>
      <c r="DW213" t="s">
        <v>407</v>
      </c>
    </row>
    <row r="214" spans="1:127" x14ac:dyDescent="0.2">
      <c r="A214">
        <v>2018</v>
      </c>
      <c r="B214">
        <v>1</v>
      </c>
      <c r="C214">
        <v>1</v>
      </c>
      <c r="D214">
        <v>0</v>
      </c>
      <c r="E214">
        <v>0</v>
      </c>
      <c r="F214">
        <v>413</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s="1">
        <v>6.9400000000000006E-5</v>
      </c>
      <c r="AE214">
        <v>0</v>
      </c>
      <c r="AF214">
        <v>0</v>
      </c>
      <c r="AG214">
        <v>0</v>
      </c>
      <c r="AH214">
        <v>0</v>
      </c>
      <c r="AI214">
        <v>0</v>
      </c>
      <c r="AJ214">
        <v>0</v>
      </c>
      <c r="AK214" s="1">
        <v>2.8099999999999999E-5</v>
      </c>
      <c r="AL214">
        <v>1.9794600000000001E-4</v>
      </c>
      <c r="AM214">
        <v>1.22323E-4</v>
      </c>
      <c r="AN214">
        <v>1.00726E-4</v>
      </c>
      <c r="AO214">
        <v>2.44646E-4</v>
      </c>
      <c r="AP214">
        <v>1.5777099999999999E-4</v>
      </c>
      <c r="AQ214">
        <v>8.22707E-4</v>
      </c>
      <c r="AR214">
        <v>2.1586399999999999E-3</v>
      </c>
      <c r="AS214">
        <v>6.1852000000000001E-4</v>
      </c>
      <c r="AT214">
        <v>5.2258199999999999E-3</v>
      </c>
      <c r="AU214">
        <v>2.74114E-3</v>
      </c>
      <c r="AV214">
        <v>4.3963099999999996E-3</v>
      </c>
      <c r="AW214">
        <v>2.66366E-3</v>
      </c>
      <c r="AX214">
        <v>5.3354700000000001E-3</v>
      </c>
      <c r="AY214">
        <v>3.9720299999999997E-3</v>
      </c>
      <c r="AZ214">
        <v>7.1325900000000003E-3</v>
      </c>
      <c r="BA214">
        <v>4.5834300000000003E-3</v>
      </c>
      <c r="BB214">
        <v>5.8499800000000003E-3</v>
      </c>
      <c r="BC214">
        <v>7.5046000000000002E-3</v>
      </c>
      <c r="BD214">
        <v>7.8350699999999995E-3</v>
      </c>
      <c r="BE214">
        <v>9.4774100000000003E-3</v>
      </c>
      <c r="BF214">
        <v>1.0374899999999999E-2</v>
      </c>
      <c r="BG214">
        <v>1.43321E-2</v>
      </c>
      <c r="BH214">
        <v>1.6916E-2</v>
      </c>
      <c r="BI214">
        <v>1.8310199999999999E-2</v>
      </c>
      <c r="BJ214">
        <v>2.05376E-2</v>
      </c>
      <c r="BK214">
        <v>2.36584E-2</v>
      </c>
      <c r="BL214">
        <v>2.7833699999999999E-2</v>
      </c>
      <c r="BM214">
        <v>3.2260200000000003E-2</v>
      </c>
      <c r="BN214">
        <v>3.8197700000000001E-2</v>
      </c>
      <c r="BO214">
        <v>3.9259500000000003E-2</v>
      </c>
      <c r="BP214">
        <v>4.26903E-2</v>
      </c>
      <c r="BQ214">
        <v>4.7286500000000002E-2</v>
      </c>
      <c r="BR214">
        <v>4.7468799999999998E-2</v>
      </c>
      <c r="BS214">
        <v>5.1325099999999999E-2</v>
      </c>
      <c r="BT214">
        <v>4.7702300000000003E-2</v>
      </c>
      <c r="BU214">
        <v>4.65601E-2</v>
      </c>
      <c r="BV214">
        <v>4.59462E-2</v>
      </c>
      <c r="BW214">
        <v>4.0398799999999999E-2</v>
      </c>
      <c r="BX214">
        <v>3.7872799999999998E-2</v>
      </c>
      <c r="BY214">
        <v>3.2027600000000003E-2</v>
      </c>
      <c r="BZ214">
        <v>2.9946500000000001E-2</v>
      </c>
      <c r="CA214">
        <v>3.1374100000000002E-2</v>
      </c>
      <c r="CB214">
        <v>2.4021600000000001E-2</v>
      </c>
      <c r="CC214">
        <v>2.2061999999999998E-2</v>
      </c>
      <c r="CD214">
        <v>2.02145E-2</v>
      </c>
      <c r="CE214">
        <v>1.5660199999999999E-2</v>
      </c>
      <c r="CF214">
        <v>1.54307E-2</v>
      </c>
      <c r="CG214">
        <v>1.4669700000000001E-2</v>
      </c>
      <c r="CH214">
        <v>1.2393299999999999E-2</v>
      </c>
      <c r="CI214">
        <v>9.7216400000000001E-3</v>
      </c>
      <c r="CJ214">
        <v>7.9931299999999993E-3</v>
      </c>
      <c r="CK214">
        <v>7.8109700000000004E-3</v>
      </c>
      <c r="CL214">
        <v>7.37917E-3</v>
      </c>
      <c r="CM214">
        <v>4.80519E-3</v>
      </c>
      <c r="CN214">
        <v>4.2451399999999997E-3</v>
      </c>
      <c r="CO214">
        <v>4.08327E-3</v>
      </c>
      <c r="CP214">
        <v>2.4136000000000001E-3</v>
      </c>
      <c r="CQ214">
        <v>2.5519599999999998E-3</v>
      </c>
      <c r="CR214">
        <v>2.2482700000000001E-3</v>
      </c>
      <c r="CS214">
        <v>1.39831E-3</v>
      </c>
      <c r="CT214">
        <v>1.0435900000000001E-3</v>
      </c>
      <c r="CU214">
        <v>8.2649700000000004E-4</v>
      </c>
      <c r="CV214">
        <v>1.3743799999999999E-3</v>
      </c>
      <c r="CW214">
        <v>6.3572200000000002E-4</v>
      </c>
      <c r="CX214">
        <v>1.2142800000000001E-3</v>
      </c>
      <c r="CY214">
        <v>5.1302699999999999E-4</v>
      </c>
      <c r="CZ214">
        <v>5.4393699999999998E-4</v>
      </c>
      <c r="DA214">
        <v>2.3055300000000001E-4</v>
      </c>
      <c r="DB214">
        <v>2.3941199999999999E-4</v>
      </c>
      <c r="DC214">
        <v>2.9497099999999999E-4</v>
      </c>
      <c r="DD214" s="1">
        <v>7.5900000000000002E-5</v>
      </c>
      <c r="DE214">
        <v>1.0019299999999999E-4</v>
      </c>
      <c r="DF214">
        <v>1.2994999999999999E-4</v>
      </c>
      <c r="DG214" s="1">
        <v>5.91E-5</v>
      </c>
      <c r="DH214" s="1">
        <v>6.8499999999999998E-5</v>
      </c>
      <c r="DI214" s="1">
        <v>9.4800000000000007E-6</v>
      </c>
      <c r="DJ214" s="1">
        <v>4.9799999999999998E-6</v>
      </c>
      <c r="DK214">
        <v>0</v>
      </c>
      <c r="DL214" s="1">
        <v>2.9000000000000002E-6</v>
      </c>
      <c r="DM214" s="1">
        <v>1.1400000000000001E-6</v>
      </c>
      <c r="DN214">
        <v>0</v>
      </c>
      <c r="DO214">
        <v>0</v>
      </c>
      <c r="DP214">
        <v>0</v>
      </c>
      <c r="DQ214" s="1">
        <v>1.11E-5</v>
      </c>
      <c r="DR214">
        <v>0</v>
      </c>
      <c r="DS214">
        <v>0</v>
      </c>
      <c r="DT214">
        <v>0</v>
      </c>
      <c r="DU214">
        <v>0</v>
      </c>
      <c r="DV214">
        <v>0</v>
      </c>
      <c r="DW214" t="s">
        <v>408</v>
      </c>
    </row>
    <row r="215" spans="1:127" x14ac:dyDescent="0.2">
      <c r="A215">
        <v>2019</v>
      </c>
      <c r="B215">
        <v>1</v>
      </c>
      <c r="C215">
        <v>1</v>
      </c>
      <c r="D215">
        <v>0</v>
      </c>
      <c r="E215">
        <v>0</v>
      </c>
      <c r="F215">
        <v>298</v>
      </c>
      <c r="G215">
        <v>0</v>
      </c>
      <c r="H215">
        <v>0</v>
      </c>
      <c r="I215">
        <v>0</v>
      </c>
      <c r="J215">
        <v>0</v>
      </c>
      <c r="K215">
        <v>0</v>
      </c>
      <c r="L215" s="1">
        <v>1.0699999999999999E-5</v>
      </c>
      <c r="M215">
        <v>0</v>
      </c>
      <c r="N215">
        <v>0</v>
      </c>
      <c r="O215">
        <v>0</v>
      </c>
      <c r="P215" s="1">
        <v>8.3900000000000004E-7</v>
      </c>
      <c r="Q215">
        <v>0</v>
      </c>
      <c r="R215">
        <v>0</v>
      </c>
      <c r="S215">
        <v>0</v>
      </c>
      <c r="T215">
        <v>0</v>
      </c>
      <c r="U215">
        <v>0</v>
      </c>
      <c r="V215">
        <v>0</v>
      </c>
      <c r="W215">
        <v>0</v>
      </c>
      <c r="X215" s="1">
        <v>3.3899999999999997E-5</v>
      </c>
      <c r="Y215">
        <v>0</v>
      </c>
      <c r="Z215">
        <v>0</v>
      </c>
      <c r="AA215">
        <v>0</v>
      </c>
      <c r="AB215">
        <v>0</v>
      </c>
      <c r="AC215" s="1">
        <v>1.2300000000000001E-5</v>
      </c>
      <c r="AD215" s="1">
        <v>6.0599999999999996E-6</v>
      </c>
      <c r="AE215">
        <v>0</v>
      </c>
      <c r="AF215">
        <v>0</v>
      </c>
      <c r="AG215" s="1">
        <v>6.0599999999999996E-6</v>
      </c>
      <c r="AH215" s="1">
        <v>3.19E-6</v>
      </c>
      <c r="AI215">
        <v>0</v>
      </c>
      <c r="AJ215" s="1">
        <v>5.1900000000000001E-5</v>
      </c>
      <c r="AK215">
        <v>2.5840800000000001E-4</v>
      </c>
      <c r="AL215">
        <v>2.95323E-4</v>
      </c>
      <c r="AM215">
        <v>2.9854299999999999E-3</v>
      </c>
      <c r="AN215">
        <v>6.1972899999999996E-4</v>
      </c>
      <c r="AO215">
        <v>3.6303799999999999E-3</v>
      </c>
      <c r="AP215">
        <v>2.5296699999999999E-4</v>
      </c>
      <c r="AQ215">
        <v>2.80146E-3</v>
      </c>
      <c r="AR215">
        <v>2.0606299999999999E-3</v>
      </c>
      <c r="AS215">
        <v>5.8265699999999999E-4</v>
      </c>
      <c r="AT215">
        <v>6.7744799999999998E-4</v>
      </c>
      <c r="AU215">
        <v>1.3198000000000001E-3</v>
      </c>
      <c r="AV215">
        <v>8.1638499999999998E-4</v>
      </c>
      <c r="AW215">
        <v>2.7837000000000001E-3</v>
      </c>
      <c r="AX215">
        <v>1.06117E-3</v>
      </c>
      <c r="AY215">
        <v>8.0123399999999997E-3</v>
      </c>
      <c r="AZ215">
        <v>2.8323200000000001E-3</v>
      </c>
      <c r="BA215">
        <v>2.9767000000000001E-3</v>
      </c>
      <c r="BB215">
        <v>6.6091500000000003E-3</v>
      </c>
      <c r="BC215">
        <v>6.9961700000000003E-3</v>
      </c>
      <c r="BD215">
        <v>9.2608299999999994E-3</v>
      </c>
      <c r="BE215">
        <v>1.04323E-2</v>
      </c>
      <c r="BF215">
        <v>1.21107E-2</v>
      </c>
      <c r="BG215">
        <v>1.4604000000000001E-2</v>
      </c>
      <c r="BH215">
        <v>1.60275E-2</v>
      </c>
      <c r="BI215">
        <v>1.9612899999999999E-2</v>
      </c>
      <c r="BJ215">
        <v>1.71135E-2</v>
      </c>
      <c r="BK215">
        <v>2.18783E-2</v>
      </c>
      <c r="BL215">
        <v>2.1782099999999999E-2</v>
      </c>
      <c r="BM215">
        <v>2.3255100000000001E-2</v>
      </c>
      <c r="BN215">
        <v>2.6263499999999999E-2</v>
      </c>
      <c r="BO215">
        <v>2.8993399999999999E-2</v>
      </c>
      <c r="BP215">
        <v>3.2413400000000002E-2</v>
      </c>
      <c r="BQ215">
        <v>3.4764999999999997E-2</v>
      </c>
      <c r="BR215">
        <v>3.5711899999999998E-2</v>
      </c>
      <c r="BS215">
        <v>3.5587199999999999E-2</v>
      </c>
      <c r="BT215">
        <v>3.9696000000000002E-2</v>
      </c>
      <c r="BU215">
        <v>4.2771099999999999E-2</v>
      </c>
      <c r="BV215">
        <v>3.93359E-2</v>
      </c>
      <c r="BW215">
        <v>4.3079699999999999E-2</v>
      </c>
      <c r="BX215">
        <v>4.5752000000000001E-2</v>
      </c>
      <c r="BY215">
        <v>4.0396599999999998E-2</v>
      </c>
      <c r="BZ215">
        <v>3.8270899999999997E-2</v>
      </c>
      <c r="CA215">
        <v>3.9057399999999999E-2</v>
      </c>
      <c r="CB215">
        <v>3.5696400000000003E-2</v>
      </c>
      <c r="CC215">
        <v>3.5698899999999999E-2</v>
      </c>
      <c r="CD215">
        <v>2.7666799999999998E-2</v>
      </c>
      <c r="CE215">
        <v>2.2978200000000001E-2</v>
      </c>
      <c r="CF215">
        <v>2.2039900000000001E-2</v>
      </c>
      <c r="CG215">
        <v>1.8155999999999999E-2</v>
      </c>
      <c r="CH215">
        <v>1.7718399999999999E-2</v>
      </c>
      <c r="CI215">
        <v>1.31538E-2</v>
      </c>
      <c r="CJ215">
        <v>1.19303E-2</v>
      </c>
      <c r="CK215">
        <v>9.0838800000000008E-3</v>
      </c>
      <c r="CL215">
        <v>7.6289900000000004E-3</v>
      </c>
      <c r="CM215">
        <v>6.0416899999999997E-3</v>
      </c>
      <c r="CN215">
        <v>6.4520999999999997E-3</v>
      </c>
      <c r="CO215">
        <v>4.76283E-3</v>
      </c>
      <c r="CP215">
        <v>3.2957099999999999E-3</v>
      </c>
      <c r="CQ215">
        <v>4.0419999999999996E-3</v>
      </c>
      <c r="CR215">
        <v>3.52696E-3</v>
      </c>
      <c r="CS215">
        <v>2.1813399999999999E-3</v>
      </c>
      <c r="CT215">
        <v>2.0221499999999999E-3</v>
      </c>
      <c r="CU215">
        <v>1.8658699999999999E-3</v>
      </c>
      <c r="CV215">
        <v>1.72999E-3</v>
      </c>
      <c r="CW215">
        <v>9.4562699999999999E-4</v>
      </c>
      <c r="CX215">
        <v>1.2206299999999999E-3</v>
      </c>
      <c r="CY215">
        <v>1.0544199999999999E-3</v>
      </c>
      <c r="CZ215">
        <v>7.5511999999999997E-4</v>
      </c>
      <c r="DA215">
        <v>5.6852599999999997E-4</v>
      </c>
      <c r="DB215">
        <v>4.9408899999999996E-4</v>
      </c>
      <c r="DC215">
        <v>2.8516799999999998E-4</v>
      </c>
      <c r="DD215">
        <v>4.23056E-4</v>
      </c>
      <c r="DE215">
        <v>1.5118299999999999E-4</v>
      </c>
      <c r="DF215" s="1">
        <v>4.6699999999999997E-5</v>
      </c>
      <c r="DG215">
        <v>1.3584799999999999E-4</v>
      </c>
      <c r="DH215" s="1">
        <v>6.9300000000000004E-5</v>
      </c>
      <c r="DI215" s="1">
        <v>1.8300000000000001E-5</v>
      </c>
      <c r="DJ215">
        <v>1.18581E-4</v>
      </c>
      <c r="DK215" s="1">
        <v>2.83E-6</v>
      </c>
      <c r="DL215">
        <v>1.65847E-4</v>
      </c>
      <c r="DM215">
        <v>0</v>
      </c>
      <c r="DN215">
        <v>0</v>
      </c>
      <c r="DO215">
        <v>0</v>
      </c>
      <c r="DP215" s="1">
        <v>4.0799999999999999E-6</v>
      </c>
      <c r="DQ215">
        <v>0</v>
      </c>
      <c r="DR215">
        <v>0</v>
      </c>
      <c r="DS215">
        <v>0</v>
      </c>
      <c r="DT215">
        <v>0</v>
      </c>
      <c r="DU215">
        <v>0</v>
      </c>
      <c r="DV215">
        <v>0</v>
      </c>
      <c r="DW215" t="s">
        <v>409</v>
      </c>
    </row>
    <row r="216" spans="1:127" x14ac:dyDescent="0.2">
      <c r="A216">
        <v>2020</v>
      </c>
      <c r="B216">
        <v>1</v>
      </c>
      <c r="C216">
        <v>1</v>
      </c>
      <c r="D216">
        <v>0</v>
      </c>
      <c r="E216">
        <v>0</v>
      </c>
      <c r="F216">
        <v>228</v>
      </c>
      <c r="G216">
        <v>0</v>
      </c>
      <c r="H216">
        <v>0</v>
      </c>
      <c r="I216">
        <v>0</v>
      </c>
      <c r="J216">
        <v>0</v>
      </c>
      <c r="K216">
        <v>0</v>
      </c>
      <c r="L216">
        <v>0</v>
      </c>
      <c r="M216">
        <v>0</v>
      </c>
      <c r="N216">
        <v>0</v>
      </c>
      <c r="O216">
        <v>0</v>
      </c>
      <c r="P216">
        <v>0</v>
      </c>
      <c r="Q216">
        <v>0</v>
      </c>
      <c r="R216">
        <v>0</v>
      </c>
      <c r="S216">
        <v>0</v>
      </c>
      <c r="T216">
        <v>0</v>
      </c>
      <c r="U216">
        <v>0</v>
      </c>
      <c r="V216">
        <v>0</v>
      </c>
      <c r="W216" s="1">
        <v>6.02E-6</v>
      </c>
      <c r="X216">
        <v>0</v>
      </c>
      <c r="Y216">
        <v>1.1858800000000001E-3</v>
      </c>
      <c r="Z216" s="1">
        <v>1.0000000000000001E-5</v>
      </c>
      <c r="AA216">
        <v>1.4080500000000001E-3</v>
      </c>
      <c r="AB216">
        <v>1.62711E-3</v>
      </c>
      <c r="AC216" s="1">
        <v>8.9199999999999993E-6</v>
      </c>
      <c r="AD216">
        <v>9.6165499999999995E-4</v>
      </c>
      <c r="AE216">
        <v>7.2454300000000002E-4</v>
      </c>
      <c r="AF216">
        <v>0</v>
      </c>
      <c r="AG216">
        <v>3.03286E-4</v>
      </c>
      <c r="AH216">
        <v>1.0097699999999999E-2</v>
      </c>
      <c r="AI216">
        <v>1.03946E-2</v>
      </c>
      <c r="AJ216">
        <v>8.6871699999999993E-3</v>
      </c>
      <c r="AK216">
        <v>1.43625E-3</v>
      </c>
      <c r="AL216">
        <v>8.7653999999999998E-4</v>
      </c>
      <c r="AM216">
        <v>5.0215600000000004E-3</v>
      </c>
      <c r="AN216">
        <v>4.0368299999999999E-3</v>
      </c>
      <c r="AO216">
        <v>6.1291999999999996E-3</v>
      </c>
      <c r="AP216">
        <v>8.2988100000000002E-3</v>
      </c>
      <c r="AQ216">
        <v>7.0830700000000003E-3</v>
      </c>
      <c r="AR216">
        <v>5.2827899999999999E-3</v>
      </c>
      <c r="AS216">
        <v>1.23362E-2</v>
      </c>
      <c r="AT216">
        <v>6.5144900000000004E-3</v>
      </c>
      <c r="AU216">
        <v>1.1629E-2</v>
      </c>
      <c r="AV216">
        <v>3.6700499999999998E-3</v>
      </c>
      <c r="AW216">
        <v>6.2484799999999998E-3</v>
      </c>
      <c r="AX216">
        <v>1.9200599999999999E-3</v>
      </c>
      <c r="AY216">
        <v>3.76275E-3</v>
      </c>
      <c r="AZ216">
        <v>4.8275799999999997E-3</v>
      </c>
      <c r="BA216">
        <v>8.5888000000000006E-3</v>
      </c>
      <c r="BB216">
        <v>5.5333099999999996E-3</v>
      </c>
      <c r="BC216">
        <v>5.3456700000000003E-3</v>
      </c>
      <c r="BD216">
        <v>6.8661800000000004E-3</v>
      </c>
      <c r="BE216">
        <v>6.1342200000000001E-3</v>
      </c>
      <c r="BF216">
        <v>7.9801400000000002E-3</v>
      </c>
      <c r="BG216">
        <v>9.4470400000000003E-3</v>
      </c>
      <c r="BH216">
        <v>1.2993599999999999E-2</v>
      </c>
      <c r="BI216">
        <v>1.33461E-2</v>
      </c>
      <c r="BJ216">
        <v>1.80932E-2</v>
      </c>
      <c r="BK216">
        <v>1.6916299999999999E-2</v>
      </c>
      <c r="BL216">
        <v>2.03745E-2</v>
      </c>
      <c r="BM216">
        <v>2.3025400000000001E-2</v>
      </c>
      <c r="BN216">
        <v>2.5152600000000001E-2</v>
      </c>
      <c r="BO216">
        <v>2.6145499999999999E-2</v>
      </c>
      <c r="BP216">
        <v>2.7677500000000001E-2</v>
      </c>
      <c r="BQ216">
        <v>3.40735E-2</v>
      </c>
      <c r="BR216">
        <v>2.9430100000000001E-2</v>
      </c>
      <c r="BS216">
        <v>3.2501500000000003E-2</v>
      </c>
      <c r="BT216">
        <v>2.9177600000000001E-2</v>
      </c>
      <c r="BU216">
        <v>3.11145E-2</v>
      </c>
      <c r="BV216">
        <v>2.9035600000000002E-2</v>
      </c>
      <c r="BW216">
        <v>3.04304E-2</v>
      </c>
      <c r="BX216">
        <v>3.0687300000000001E-2</v>
      </c>
      <c r="BY216">
        <v>2.96241E-2</v>
      </c>
      <c r="BZ216">
        <v>2.7856599999999999E-2</v>
      </c>
      <c r="CA216">
        <v>2.6936499999999999E-2</v>
      </c>
      <c r="CB216">
        <v>2.54957E-2</v>
      </c>
      <c r="CC216">
        <v>2.7263300000000001E-2</v>
      </c>
      <c r="CD216">
        <v>2.56925E-2</v>
      </c>
      <c r="CE216">
        <v>2.3607699999999999E-2</v>
      </c>
      <c r="CF216">
        <v>2.4544E-2</v>
      </c>
      <c r="CG216">
        <v>2.2081199999999999E-2</v>
      </c>
      <c r="CH216">
        <v>2.1865200000000001E-2</v>
      </c>
      <c r="CI216">
        <v>1.78508E-2</v>
      </c>
      <c r="CJ216">
        <v>1.6144599999999999E-2</v>
      </c>
      <c r="CK216">
        <v>1.5799799999999999E-2</v>
      </c>
      <c r="CL216">
        <v>1.3653999999999999E-2</v>
      </c>
      <c r="CM216">
        <v>1.08561E-2</v>
      </c>
      <c r="CN216">
        <v>1.0701E-2</v>
      </c>
      <c r="CO216">
        <v>8.1698699999999992E-3</v>
      </c>
      <c r="CP216">
        <v>8.1968900000000001E-3</v>
      </c>
      <c r="CQ216">
        <v>6.4550099999999997E-3</v>
      </c>
      <c r="CR216">
        <v>6.45905E-3</v>
      </c>
      <c r="CS216">
        <v>4.2049000000000001E-3</v>
      </c>
      <c r="CT216">
        <v>3.4570899999999999E-3</v>
      </c>
      <c r="CU216">
        <v>3.3101599999999999E-3</v>
      </c>
      <c r="CV216">
        <v>2.6607200000000001E-3</v>
      </c>
      <c r="CW216">
        <v>1.83943E-3</v>
      </c>
      <c r="CX216">
        <v>2.2526299999999998E-3</v>
      </c>
      <c r="CY216">
        <v>1.2348000000000001E-3</v>
      </c>
      <c r="CZ216">
        <v>1.53808E-3</v>
      </c>
      <c r="DA216">
        <v>1.0225500000000001E-3</v>
      </c>
      <c r="DB216">
        <v>1.21587E-3</v>
      </c>
      <c r="DC216">
        <v>7.0943799999999995E-4</v>
      </c>
      <c r="DD216">
        <v>1.1242400000000001E-3</v>
      </c>
      <c r="DE216">
        <v>5.7869200000000001E-4</v>
      </c>
      <c r="DF216">
        <v>2.13747E-4</v>
      </c>
      <c r="DG216">
        <v>1.8024800000000001E-4</v>
      </c>
      <c r="DH216" s="1">
        <v>9.4400000000000004E-5</v>
      </c>
      <c r="DI216" s="1">
        <v>4.6999999999999997E-5</v>
      </c>
      <c r="DJ216" s="1">
        <v>6.2299999999999996E-5</v>
      </c>
      <c r="DK216" s="1">
        <v>7.64E-5</v>
      </c>
      <c r="DL216">
        <v>0</v>
      </c>
      <c r="DM216" s="1">
        <v>9.8300000000000008E-6</v>
      </c>
      <c r="DN216">
        <v>1.9081100000000001E-4</v>
      </c>
      <c r="DO216">
        <v>0</v>
      </c>
      <c r="DP216">
        <v>0</v>
      </c>
      <c r="DQ216">
        <v>0</v>
      </c>
      <c r="DR216">
        <v>0</v>
      </c>
      <c r="DS216">
        <v>0</v>
      </c>
      <c r="DT216">
        <v>0</v>
      </c>
      <c r="DU216">
        <v>0</v>
      </c>
      <c r="DV216">
        <v>1.6341899999999999E-4</v>
      </c>
      <c r="DW216" t="s">
        <v>410</v>
      </c>
    </row>
    <row r="217" spans="1:127" x14ac:dyDescent="0.2">
      <c r="A217">
        <v>2021</v>
      </c>
      <c r="B217">
        <v>1</v>
      </c>
      <c r="C217">
        <v>1</v>
      </c>
      <c r="D217">
        <v>0</v>
      </c>
      <c r="E217">
        <v>0</v>
      </c>
      <c r="F217">
        <v>187</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s="1">
        <v>1.0900000000000001E-5</v>
      </c>
      <c r="AB217">
        <v>0</v>
      </c>
      <c r="AC217" s="1">
        <v>8.8700000000000001E-5</v>
      </c>
      <c r="AD217">
        <v>0</v>
      </c>
      <c r="AE217">
        <v>0</v>
      </c>
      <c r="AF217">
        <v>0</v>
      </c>
      <c r="AG217">
        <v>0</v>
      </c>
      <c r="AH217" s="1">
        <v>1.1600000000000001E-5</v>
      </c>
      <c r="AI217">
        <v>1.3700600000000001E-4</v>
      </c>
      <c r="AJ217">
        <v>1.33759E-4</v>
      </c>
      <c r="AK217">
        <v>4.1742199999999998E-4</v>
      </c>
      <c r="AL217">
        <v>2.9543199999999999E-4</v>
      </c>
      <c r="AM217">
        <v>2.7937799999999999E-4</v>
      </c>
      <c r="AN217">
        <v>3.7771099999999998E-4</v>
      </c>
      <c r="AO217">
        <v>1.09658E-3</v>
      </c>
      <c r="AP217">
        <v>5.06431E-4</v>
      </c>
      <c r="AQ217">
        <v>2.1613800000000001E-3</v>
      </c>
      <c r="AR217">
        <v>1.2143E-3</v>
      </c>
      <c r="AS217">
        <v>2.0483200000000002E-3</v>
      </c>
      <c r="AT217">
        <v>2.6688300000000001E-3</v>
      </c>
      <c r="AU217">
        <v>3.3787700000000001E-3</v>
      </c>
      <c r="AV217">
        <v>4.6579999999999998E-3</v>
      </c>
      <c r="AW217">
        <v>7.3033899999999999E-3</v>
      </c>
      <c r="AX217">
        <v>7.1166099999999998E-3</v>
      </c>
      <c r="AY217">
        <v>9.0957299999999998E-3</v>
      </c>
      <c r="AZ217">
        <v>1.0681899999999999E-2</v>
      </c>
      <c r="BA217">
        <v>1.41805E-2</v>
      </c>
      <c r="BB217">
        <v>1.16516E-2</v>
      </c>
      <c r="BC217">
        <v>1.2934299999999999E-2</v>
      </c>
      <c r="BD217">
        <v>1.5936599999999999E-2</v>
      </c>
      <c r="BE217">
        <v>1.5377699999999999E-2</v>
      </c>
      <c r="BF217">
        <v>1.48322E-2</v>
      </c>
      <c r="BG217">
        <v>1.6631400000000001E-2</v>
      </c>
      <c r="BH217">
        <v>1.49246E-2</v>
      </c>
      <c r="BI217">
        <v>1.5676099999999998E-2</v>
      </c>
      <c r="BJ217">
        <v>1.9350699999999998E-2</v>
      </c>
      <c r="BK217">
        <v>2.00352E-2</v>
      </c>
      <c r="BL217">
        <v>1.99253E-2</v>
      </c>
      <c r="BM217">
        <v>1.8563799999999998E-2</v>
      </c>
      <c r="BN217">
        <v>1.8629300000000001E-2</v>
      </c>
      <c r="BO217">
        <v>2.3225699999999998E-2</v>
      </c>
      <c r="BP217">
        <v>2.3537499999999999E-2</v>
      </c>
      <c r="BQ217">
        <v>2.6414099999999999E-2</v>
      </c>
      <c r="BR217">
        <v>2.4587299999999999E-2</v>
      </c>
      <c r="BS217">
        <v>2.68323E-2</v>
      </c>
      <c r="BT217">
        <v>2.9085300000000001E-2</v>
      </c>
      <c r="BU217">
        <v>3.0984000000000001E-2</v>
      </c>
      <c r="BV217">
        <v>3.1624800000000002E-2</v>
      </c>
      <c r="BW217">
        <v>2.60711E-2</v>
      </c>
      <c r="BX217">
        <v>3.3115699999999998E-2</v>
      </c>
      <c r="BY217">
        <v>2.7141999999999999E-2</v>
      </c>
      <c r="BZ217">
        <v>2.9690899999999999E-2</v>
      </c>
      <c r="CA217">
        <v>2.8351100000000001E-2</v>
      </c>
      <c r="CB217">
        <v>2.7809400000000001E-2</v>
      </c>
      <c r="CC217">
        <v>3.12377E-2</v>
      </c>
      <c r="CD217">
        <v>2.36612E-2</v>
      </c>
      <c r="CE217">
        <v>2.3750400000000001E-2</v>
      </c>
      <c r="CF217">
        <v>2.60647E-2</v>
      </c>
      <c r="CG217">
        <v>2.10183E-2</v>
      </c>
      <c r="CH217">
        <v>2.50317E-2</v>
      </c>
      <c r="CI217">
        <v>1.9910000000000001E-2</v>
      </c>
      <c r="CJ217">
        <v>1.8785699999999999E-2</v>
      </c>
      <c r="CK217">
        <v>1.7106E-2</v>
      </c>
      <c r="CL217">
        <v>1.7167600000000002E-2</v>
      </c>
      <c r="CM217">
        <v>1.4001400000000001E-2</v>
      </c>
      <c r="CN217">
        <v>1.3428300000000001E-2</v>
      </c>
      <c r="CO217">
        <v>1.07895E-2</v>
      </c>
      <c r="CP217">
        <v>1.0603599999999999E-2</v>
      </c>
      <c r="CQ217">
        <v>7.4805499999999999E-3</v>
      </c>
      <c r="CR217">
        <v>7.9697499999999994E-3</v>
      </c>
      <c r="CS217">
        <v>6.3854699999999999E-3</v>
      </c>
      <c r="CT217">
        <v>5.7311000000000003E-3</v>
      </c>
      <c r="CU217">
        <v>3.9757500000000001E-3</v>
      </c>
      <c r="CV217">
        <v>3.5612199999999999E-3</v>
      </c>
      <c r="CW217">
        <v>4.0130499999999998E-3</v>
      </c>
      <c r="CX217">
        <v>3.0637699999999999E-3</v>
      </c>
      <c r="CY217">
        <v>2.0906399999999999E-3</v>
      </c>
      <c r="CZ217">
        <v>2.99987E-3</v>
      </c>
      <c r="DA217">
        <v>1.62755E-3</v>
      </c>
      <c r="DB217">
        <v>1.4300000000000001E-3</v>
      </c>
      <c r="DC217">
        <v>1.21871E-3</v>
      </c>
      <c r="DD217">
        <v>1.11911E-3</v>
      </c>
      <c r="DE217">
        <v>6.4207499999999998E-4</v>
      </c>
      <c r="DF217">
        <v>5.4085600000000004E-4</v>
      </c>
      <c r="DG217">
        <v>5.9294000000000003E-4</v>
      </c>
      <c r="DH217">
        <v>3.2726199999999998E-4</v>
      </c>
      <c r="DI217">
        <v>2.1908400000000001E-4</v>
      </c>
      <c r="DJ217">
        <v>2.2817099999999999E-4</v>
      </c>
      <c r="DK217" s="1">
        <v>9.9699999999999998E-5</v>
      </c>
      <c r="DL217">
        <v>3.4392E-4</v>
      </c>
      <c r="DM217">
        <v>1.76539E-4</v>
      </c>
      <c r="DN217">
        <v>1.62552E-4</v>
      </c>
      <c r="DO217">
        <v>1.13723E-4</v>
      </c>
      <c r="DP217" s="1">
        <v>8.2999999999999998E-5</v>
      </c>
      <c r="DQ217">
        <v>0</v>
      </c>
      <c r="DR217">
        <v>1.1113299999999999E-4</v>
      </c>
      <c r="DS217">
        <v>0</v>
      </c>
      <c r="DT217">
        <v>1.1113299999999999E-4</v>
      </c>
      <c r="DU217">
        <v>1.1113299999999999E-4</v>
      </c>
      <c r="DV217">
        <v>1.1113299999999999E-4</v>
      </c>
      <c r="DW217" t="s">
        <v>411</v>
      </c>
    </row>
    <row r="218" spans="1:127" x14ac:dyDescent="0.2">
      <c r="A218">
        <v>2022</v>
      </c>
      <c r="B218">
        <v>1</v>
      </c>
      <c r="C218">
        <v>1</v>
      </c>
      <c r="D218">
        <v>0</v>
      </c>
      <c r="E218">
        <v>0</v>
      </c>
      <c r="F218">
        <v>252</v>
      </c>
      <c r="G218">
        <v>0</v>
      </c>
      <c r="H218">
        <v>0</v>
      </c>
      <c r="I218">
        <v>0</v>
      </c>
      <c r="J218">
        <v>0</v>
      </c>
      <c r="K218">
        <v>0</v>
      </c>
      <c r="L218">
        <v>0</v>
      </c>
      <c r="M218">
        <v>0</v>
      </c>
      <c r="N218" s="1">
        <v>6.3899999999999998E-6</v>
      </c>
      <c r="O218">
        <v>0</v>
      </c>
      <c r="P218" s="1">
        <v>1.5400000000000002E-5</v>
      </c>
      <c r="Q218">
        <v>0</v>
      </c>
      <c r="R218">
        <v>1.20018E-4</v>
      </c>
      <c r="S218">
        <v>2.11547E-4</v>
      </c>
      <c r="T218">
        <v>0</v>
      </c>
      <c r="U218">
        <v>1.0668299999999999E-4</v>
      </c>
      <c r="V218">
        <v>1.04864E-4</v>
      </c>
      <c r="W218">
        <v>0</v>
      </c>
      <c r="X218">
        <v>0</v>
      </c>
      <c r="Y218" s="1">
        <v>4.6E-5</v>
      </c>
      <c r="Z218" s="1">
        <v>3.8399999999999997E-6</v>
      </c>
      <c r="AA218">
        <v>0</v>
      </c>
      <c r="AB218">
        <v>0</v>
      </c>
      <c r="AC218" s="1">
        <v>2.8700000000000001E-6</v>
      </c>
      <c r="AD218" s="1">
        <v>5.8E-5</v>
      </c>
      <c r="AE218" s="1">
        <v>6.5300000000000002E-5</v>
      </c>
      <c r="AF218" s="1">
        <v>2.2399999999999999E-5</v>
      </c>
      <c r="AG218" s="1">
        <v>5.3000000000000001E-5</v>
      </c>
      <c r="AH218" s="1">
        <v>3.01E-5</v>
      </c>
      <c r="AI218" s="1">
        <v>3.7299999999999999E-6</v>
      </c>
      <c r="AJ218">
        <v>2.3583799999999999E-4</v>
      </c>
      <c r="AK218" s="1">
        <v>9.9199999999999999E-5</v>
      </c>
      <c r="AL218">
        <v>4.60447E-4</v>
      </c>
      <c r="AM218">
        <v>7.3972600000000001E-4</v>
      </c>
      <c r="AN218">
        <v>9.2848500000000005E-4</v>
      </c>
      <c r="AO218">
        <v>1.4012899999999999E-3</v>
      </c>
      <c r="AP218">
        <v>9.0047599999999999E-4</v>
      </c>
      <c r="AQ218">
        <v>7.87555E-4</v>
      </c>
      <c r="AR218">
        <v>9.7371299999999997E-4</v>
      </c>
      <c r="AS218">
        <v>1.28382E-3</v>
      </c>
      <c r="AT218">
        <v>1.86937E-3</v>
      </c>
      <c r="AU218">
        <v>2.2211499999999999E-3</v>
      </c>
      <c r="AV218">
        <v>2.60852E-3</v>
      </c>
      <c r="AW218">
        <v>3.3613800000000002E-3</v>
      </c>
      <c r="AX218">
        <v>6.2002400000000001E-3</v>
      </c>
      <c r="AY218">
        <v>4.1198700000000003E-3</v>
      </c>
      <c r="AZ218">
        <v>5.3660899999999996E-3</v>
      </c>
      <c r="BA218">
        <v>8.3622100000000001E-3</v>
      </c>
      <c r="BB218">
        <v>1.15272E-2</v>
      </c>
      <c r="BC218">
        <v>1.9923E-2</v>
      </c>
      <c r="BD218">
        <v>2.1380400000000001E-2</v>
      </c>
      <c r="BE218">
        <v>2.3736699999999999E-2</v>
      </c>
      <c r="BF218">
        <v>2.4483000000000001E-2</v>
      </c>
      <c r="BG218">
        <v>2.70035E-2</v>
      </c>
      <c r="BH218">
        <v>2.5884999999999998E-2</v>
      </c>
      <c r="BI218">
        <v>3.2006399999999997E-2</v>
      </c>
      <c r="BJ218">
        <v>3.0212300000000001E-2</v>
      </c>
      <c r="BK218">
        <v>3.0361200000000001E-2</v>
      </c>
      <c r="BL218">
        <v>3.3558299999999999E-2</v>
      </c>
      <c r="BM218">
        <v>3.4849100000000001E-2</v>
      </c>
      <c r="BN218">
        <v>3.2652800000000003E-2</v>
      </c>
      <c r="BO218">
        <v>3.1508700000000001E-2</v>
      </c>
      <c r="BP218">
        <v>3.07149E-2</v>
      </c>
      <c r="BQ218">
        <v>3.0769000000000001E-2</v>
      </c>
      <c r="BR218">
        <v>3.0429299999999999E-2</v>
      </c>
      <c r="BS218">
        <v>2.6870499999999999E-2</v>
      </c>
      <c r="BT218">
        <v>2.4515200000000001E-2</v>
      </c>
      <c r="BU218">
        <v>2.2896799999999998E-2</v>
      </c>
      <c r="BV218">
        <v>2.25869E-2</v>
      </c>
      <c r="BW218">
        <v>2.37723E-2</v>
      </c>
      <c r="BX218">
        <v>2.26237E-2</v>
      </c>
      <c r="BY218">
        <v>1.9529700000000001E-2</v>
      </c>
      <c r="BZ218">
        <v>1.9370100000000001E-2</v>
      </c>
      <c r="CA218">
        <v>1.81546E-2</v>
      </c>
      <c r="CB218">
        <v>1.73128E-2</v>
      </c>
      <c r="CC218">
        <v>2.0959200000000001E-2</v>
      </c>
      <c r="CD218">
        <v>1.5307100000000001E-2</v>
      </c>
      <c r="CE218">
        <v>1.8761099999999999E-2</v>
      </c>
      <c r="CF218">
        <v>1.61158E-2</v>
      </c>
      <c r="CG218">
        <v>1.5767400000000001E-2</v>
      </c>
      <c r="CH218">
        <v>1.50242E-2</v>
      </c>
      <c r="CI218">
        <v>1.41078E-2</v>
      </c>
      <c r="CJ218">
        <v>1.4735E-2</v>
      </c>
      <c r="CK218">
        <v>1.40527E-2</v>
      </c>
      <c r="CL218">
        <v>1.2095E-2</v>
      </c>
      <c r="CM218">
        <v>1.1823999999999999E-2</v>
      </c>
      <c r="CN218">
        <v>1.03927E-2</v>
      </c>
      <c r="CO218">
        <v>1.09062E-2</v>
      </c>
      <c r="CP218">
        <v>9.8894499999999993E-3</v>
      </c>
      <c r="CQ218">
        <v>8.6468199999999995E-3</v>
      </c>
      <c r="CR218">
        <v>8.4486700000000001E-3</v>
      </c>
      <c r="CS218">
        <v>7.7392700000000004E-3</v>
      </c>
      <c r="CT218">
        <v>6.3416999999999996E-3</v>
      </c>
      <c r="CU218">
        <v>5.0919499999999996E-3</v>
      </c>
      <c r="CV218">
        <v>5.5500499999999999E-3</v>
      </c>
      <c r="CW218">
        <v>3.9725000000000003E-3</v>
      </c>
      <c r="CX218">
        <v>7.8135700000000006E-3</v>
      </c>
      <c r="CY218">
        <v>2.4141599999999998E-3</v>
      </c>
      <c r="CZ218">
        <v>2.6836999999999998E-3</v>
      </c>
      <c r="DA218">
        <v>2.10224E-3</v>
      </c>
      <c r="DB218">
        <v>1.8587199999999999E-3</v>
      </c>
      <c r="DC218">
        <v>1.5048800000000001E-3</v>
      </c>
      <c r="DD218">
        <v>1.1962400000000001E-3</v>
      </c>
      <c r="DE218">
        <v>1.23923E-3</v>
      </c>
      <c r="DF218">
        <v>5.1472099999999999E-4</v>
      </c>
      <c r="DG218">
        <v>3.6599499999999998E-4</v>
      </c>
      <c r="DH218">
        <v>6.1398900000000001E-4</v>
      </c>
      <c r="DI218">
        <v>2.2654000000000001E-4</v>
      </c>
      <c r="DJ218">
        <v>1.07111E-4</v>
      </c>
      <c r="DK218">
        <v>1.5954200000000001E-4</v>
      </c>
      <c r="DL218" s="1">
        <v>5.4400000000000001E-5</v>
      </c>
      <c r="DM218" s="1">
        <v>1.81E-6</v>
      </c>
      <c r="DN218" s="1">
        <v>1.19E-5</v>
      </c>
      <c r="DO218">
        <v>0</v>
      </c>
      <c r="DP218">
        <v>0</v>
      </c>
      <c r="DQ218">
        <v>0</v>
      </c>
      <c r="DR218">
        <v>0</v>
      </c>
      <c r="DS218">
        <v>0</v>
      </c>
      <c r="DT218">
        <v>0</v>
      </c>
      <c r="DU218">
        <v>0</v>
      </c>
      <c r="DV218">
        <v>0</v>
      </c>
      <c r="DW218" t="s">
        <v>412</v>
      </c>
    </row>
    <row r="219" spans="1:127" x14ac:dyDescent="0.2">
      <c r="A219">
        <v>2023</v>
      </c>
      <c r="B219">
        <v>1</v>
      </c>
      <c r="C219">
        <v>1</v>
      </c>
      <c r="D219">
        <v>0</v>
      </c>
      <c r="E219">
        <v>0</v>
      </c>
      <c r="F219">
        <v>245</v>
      </c>
      <c r="G219">
        <v>0</v>
      </c>
      <c r="H219">
        <v>0</v>
      </c>
      <c r="I219">
        <v>0</v>
      </c>
      <c r="J219">
        <v>0</v>
      </c>
      <c r="K219">
        <v>0</v>
      </c>
      <c r="L219">
        <v>0</v>
      </c>
      <c r="M219">
        <v>0</v>
      </c>
      <c r="N219">
        <v>0</v>
      </c>
      <c r="O219">
        <v>0</v>
      </c>
      <c r="P219">
        <v>0</v>
      </c>
      <c r="Q219">
        <v>0</v>
      </c>
      <c r="R219">
        <v>0</v>
      </c>
      <c r="S219">
        <v>0</v>
      </c>
      <c r="T219">
        <v>0</v>
      </c>
      <c r="U219">
        <v>0</v>
      </c>
      <c r="V219">
        <v>0</v>
      </c>
      <c r="W219">
        <v>0</v>
      </c>
      <c r="X219">
        <v>0</v>
      </c>
      <c r="Y219">
        <v>0</v>
      </c>
      <c r="Z219" s="1">
        <v>3.1300000000000002E-5</v>
      </c>
      <c r="AA219" s="1">
        <v>9.6399999999999999E-5</v>
      </c>
      <c r="AB219" s="1">
        <v>9.6399999999999999E-5</v>
      </c>
      <c r="AC219">
        <v>2.01573E-4</v>
      </c>
      <c r="AD219" s="1">
        <v>9.9099999999999996E-5</v>
      </c>
      <c r="AE219">
        <v>0</v>
      </c>
      <c r="AF219">
        <v>0</v>
      </c>
      <c r="AG219">
        <v>0</v>
      </c>
      <c r="AH219">
        <v>1.8518199999999999E-4</v>
      </c>
      <c r="AI219" s="1">
        <v>2.9300000000000001E-5</v>
      </c>
      <c r="AJ219">
        <v>6.0652600000000003E-4</v>
      </c>
      <c r="AK219">
        <v>4.6935899999999998E-4</v>
      </c>
      <c r="AL219">
        <v>1.5348E-3</v>
      </c>
      <c r="AM219">
        <v>1.9485500000000001E-3</v>
      </c>
      <c r="AN219">
        <v>2.8487899999999999E-3</v>
      </c>
      <c r="AO219">
        <v>4.5610599999999996E-3</v>
      </c>
      <c r="AP219">
        <v>4.0578699999999999E-3</v>
      </c>
      <c r="AQ219">
        <v>3.8215599999999999E-3</v>
      </c>
      <c r="AR219">
        <v>5.2874999999999997E-3</v>
      </c>
      <c r="AS219">
        <v>2.9920699999999999E-3</v>
      </c>
      <c r="AT219">
        <v>2.7637899999999999E-3</v>
      </c>
      <c r="AU219">
        <v>2.71777E-3</v>
      </c>
      <c r="AV219">
        <v>2.8595500000000002E-3</v>
      </c>
      <c r="AW219">
        <v>3.7208599999999999E-3</v>
      </c>
      <c r="AX219">
        <v>4.3902500000000001E-3</v>
      </c>
      <c r="AY219">
        <v>5.9138000000000003E-3</v>
      </c>
      <c r="AZ219">
        <v>7.3090300000000002E-3</v>
      </c>
      <c r="BA219">
        <v>1.0154099999999999E-2</v>
      </c>
      <c r="BB219">
        <v>1.3067499999999999E-2</v>
      </c>
      <c r="BC219">
        <v>1.38107E-2</v>
      </c>
      <c r="BD219">
        <v>1.52178E-2</v>
      </c>
      <c r="BE219">
        <v>1.9045300000000001E-2</v>
      </c>
      <c r="BF219">
        <v>2.0034900000000001E-2</v>
      </c>
      <c r="BG219">
        <v>2.0762300000000001E-2</v>
      </c>
      <c r="BH219">
        <v>2.3595600000000001E-2</v>
      </c>
      <c r="BI219">
        <v>2.3769200000000001E-2</v>
      </c>
      <c r="BJ219">
        <v>2.7030599999999998E-2</v>
      </c>
      <c r="BK219">
        <v>2.9809700000000001E-2</v>
      </c>
      <c r="BL219">
        <v>2.97054E-2</v>
      </c>
      <c r="BM219">
        <v>3.19358E-2</v>
      </c>
      <c r="BN219">
        <v>3.4915399999999999E-2</v>
      </c>
      <c r="BO219">
        <v>3.5426300000000001E-2</v>
      </c>
      <c r="BP219">
        <v>3.5756999999999997E-2</v>
      </c>
      <c r="BQ219">
        <v>3.9589600000000003E-2</v>
      </c>
      <c r="BR219">
        <v>3.6533599999999999E-2</v>
      </c>
      <c r="BS219">
        <v>3.5167200000000003E-2</v>
      </c>
      <c r="BT219">
        <v>3.4195200000000002E-2</v>
      </c>
      <c r="BU219">
        <v>3.3510400000000003E-2</v>
      </c>
      <c r="BV219">
        <v>3.1126500000000001E-2</v>
      </c>
      <c r="BW219">
        <v>2.9427399999999999E-2</v>
      </c>
      <c r="BX219">
        <v>2.7497600000000001E-2</v>
      </c>
      <c r="BY219">
        <v>2.1746399999999999E-2</v>
      </c>
      <c r="BZ219">
        <v>1.9538099999999999E-2</v>
      </c>
      <c r="CA219">
        <v>1.99919E-2</v>
      </c>
      <c r="CB219">
        <v>1.8918500000000001E-2</v>
      </c>
      <c r="CC219">
        <v>1.6043600000000002E-2</v>
      </c>
      <c r="CD219">
        <v>1.35721E-2</v>
      </c>
      <c r="CE219">
        <v>1.2064200000000001E-2</v>
      </c>
      <c r="CF219">
        <v>1.25335E-2</v>
      </c>
      <c r="CG219">
        <v>1.20822E-2</v>
      </c>
      <c r="CH219">
        <v>1.1136200000000001E-2</v>
      </c>
      <c r="CI219">
        <v>1.04043E-2</v>
      </c>
      <c r="CJ219">
        <v>9.3460699999999997E-3</v>
      </c>
      <c r="CK219">
        <v>9.0150000000000004E-3</v>
      </c>
      <c r="CL219">
        <v>8.7910200000000001E-3</v>
      </c>
      <c r="CM219">
        <v>8.1238000000000005E-3</v>
      </c>
      <c r="CN219">
        <v>8.0799800000000005E-3</v>
      </c>
      <c r="CO219">
        <v>7.5966599999999999E-3</v>
      </c>
      <c r="CP219">
        <v>6.6340699999999997E-3</v>
      </c>
      <c r="CQ219">
        <v>6.3675399999999997E-3</v>
      </c>
      <c r="CR219">
        <v>7.6557500000000002E-3</v>
      </c>
      <c r="CS219">
        <v>6.6296200000000001E-3</v>
      </c>
      <c r="CT219">
        <v>6.5521499999999996E-3</v>
      </c>
      <c r="CU219">
        <v>6.4357900000000003E-3</v>
      </c>
      <c r="CV219">
        <v>5.8357499999999998E-3</v>
      </c>
      <c r="CW219">
        <v>3.9280000000000001E-3</v>
      </c>
      <c r="CX219">
        <v>3.5446800000000001E-3</v>
      </c>
      <c r="CY219">
        <v>3.9861899999999997E-3</v>
      </c>
      <c r="CZ219">
        <v>3.24859E-3</v>
      </c>
      <c r="DA219">
        <v>2.5057500000000002E-3</v>
      </c>
      <c r="DB219">
        <v>1.94572E-3</v>
      </c>
      <c r="DC219">
        <v>1.68183E-3</v>
      </c>
      <c r="DD219">
        <v>1.17179E-3</v>
      </c>
      <c r="DE219">
        <v>8.8849399999999998E-4</v>
      </c>
      <c r="DF219">
        <v>6.4995000000000005E-4</v>
      </c>
      <c r="DG219">
        <v>3.5544899999999998E-4</v>
      </c>
      <c r="DH219">
        <v>4.10517E-4</v>
      </c>
      <c r="DI219">
        <v>2.8713799999999999E-4</v>
      </c>
      <c r="DJ219">
        <v>1.5342399999999999E-4</v>
      </c>
      <c r="DK219">
        <v>1.42805E-4</v>
      </c>
      <c r="DL219">
        <v>1.7365600000000001E-4</v>
      </c>
      <c r="DM219" s="1">
        <v>4.4400000000000002E-5</v>
      </c>
      <c r="DN219" s="1">
        <v>1.4399999999999999E-5</v>
      </c>
      <c r="DO219" s="1">
        <v>1.5800000000000001E-5</v>
      </c>
      <c r="DP219" s="1">
        <v>2.5400000000000001E-5</v>
      </c>
      <c r="DQ219" s="1">
        <v>1.4E-5</v>
      </c>
      <c r="DR219" s="1">
        <v>5.8000000000000004E-6</v>
      </c>
      <c r="DS219" s="1">
        <v>8.9400000000000008E-6</v>
      </c>
      <c r="DT219">
        <v>0</v>
      </c>
      <c r="DU219" s="1">
        <v>1.2099999999999999E-5</v>
      </c>
      <c r="DV219" s="1">
        <v>6.3600000000000001E-5</v>
      </c>
      <c r="DW219" t="s">
        <v>413</v>
      </c>
    </row>
    <row r="220" spans="1:127" x14ac:dyDescent="0.2">
      <c r="A220">
        <v>2024</v>
      </c>
      <c r="B220">
        <v>1</v>
      </c>
      <c r="C220">
        <v>1</v>
      </c>
      <c r="D220">
        <v>0</v>
      </c>
      <c r="E220">
        <v>0</v>
      </c>
      <c r="F220">
        <v>201</v>
      </c>
      <c r="G220">
        <v>0</v>
      </c>
      <c r="H220">
        <v>0</v>
      </c>
      <c r="I220">
        <v>0</v>
      </c>
      <c r="J220">
        <v>0</v>
      </c>
      <c r="K220">
        <v>0</v>
      </c>
      <c r="L220">
        <v>0</v>
      </c>
      <c r="M220">
        <v>0</v>
      </c>
      <c r="N220">
        <v>0</v>
      </c>
      <c r="O220" s="1">
        <v>1.9700000000000001E-5</v>
      </c>
      <c r="P220">
        <v>0</v>
      </c>
      <c r="Q220">
        <v>0</v>
      </c>
      <c r="R220">
        <v>0</v>
      </c>
      <c r="S220">
        <v>0</v>
      </c>
      <c r="T220" s="1">
        <v>6.8600000000000004E-6</v>
      </c>
      <c r="U220">
        <v>0</v>
      </c>
      <c r="V220">
        <v>0</v>
      </c>
      <c r="W220" s="1">
        <v>6.0800000000000001E-5</v>
      </c>
      <c r="X220">
        <v>0</v>
      </c>
      <c r="Y220" s="1">
        <v>7.3799999999999996E-6</v>
      </c>
      <c r="Z220" s="1">
        <v>1.3900000000000001E-5</v>
      </c>
      <c r="AA220" s="1">
        <v>4.57E-5</v>
      </c>
      <c r="AB220">
        <v>0</v>
      </c>
      <c r="AC220">
        <v>1.1349399999999999E-4</v>
      </c>
      <c r="AD220">
        <v>0</v>
      </c>
      <c r="AE220">
        <v>1.07446E-4</v>
      </c>
      <c r="AF220" s="1">
        <v>4.4199999999999997E-5</v>
      </c>
      <c r="AG220" s="1">
        <v>9.6899999999999997E-5</v>
      </c>
      <c r="AH220" s="1">
        <v>3.3399999999999999E-5</v>
      </c>
      <c r="AI220">
        <v>2.68285E-4</v>
      </c>
      <c r="AJ220">
        <v>2.0849700000000001E-4</v>
      </c>
      <c r="AK220">
        <v>5.4383399999999998E-4</v>
      </c>
      <c r="AL220">
        <v>6.4992499999999998E-4</v>
      </c>
      <c r="AM220">
        <v>6.3570300000000005E-4</v>
      </c>
      <c r="AN220">
        <v>3.0030999999999998E-4</v>
      </c>
      <c r="AO220">
        <v>1.0127000000000001E-3</v>
      </c>
      <c r="AP220">
        <v>5.1733900000000001E-4</v>
      </c>
      <c r="AQ220">
        <v>1.3269E-3</v>
      </c>
      <c r="AR220">
        <v>9.2824599999999998E-4</v>
      </c>
      <c r="AS220">
        <v>1.22266E-3</v>
      </c>
      <c r="AT220">
        <v>1.7025199999999999E-3</v>
      </c>
      <c r="AU220">
        <v>1.72141E-3</v>
      </c>
      <c r="AV220">
        <v>2.5826E-3</v>
      </c>
      <c r="AW220">
        <v>4.1861399999999997E-3</v>
      </c>
      <c r="AX220">
        <v>5.2909999999999997E-3</v>
      </c>
      <c r="AY220">
        <v>6.8681999999999997E-3</v>
      </c>
      <c r="AZ220">
        <v>9.8770100000000003E-3</v>
      </c>
      <c r="BA220">
        <v>1.3231E-2</v>
      </c>
      <c r="BB220">
        <v>1.4632600000000001E-2</v>
      </c>
      <c r="BC220">
        <v>1.6480499999999999E-2</v>
      </c>
      <c r="BD220">
        <v>1.7195200000000001E-2</v>
      </c>
      <c r="BE220">
        <v>1.5921899999999999E-2</v>
      </c>
      <c r="BF220">
        <v>2.01876E-2</v>
      </c>
      <c r="BG220">
        <v>2.0715799999999999E-2</v>
      </c>
      <c r="BH220">
        <v>2.31665E-2</v>
      </c>
      <c r="BI220">
        <v>2.3821100000000001E-2</v>
      </c>
      <c r="BJ220">
        <v>2.54554E-2</v>
      </c>
      <c r="BK220">
        <v>2.70958E-2</v>
      </c>
      <c r="BL220">
        <v>3.00956E-2</v>
      </c>
      <c r="BM220">
        <v>3.1324699999999997E-2</v>
      </c>
      <c r="BN220">
        <v>3.47441E-2</v>
      </c>
      <c r="BO220">
        <v>3.3135900000000003E-2</v>
      </c>
      <c r="BP220">
        <v>3.4716200000000003E-2</v>
      </c>
      <c r="BQ220">
        <v>3.6734000000000003E-2</v>
      </c>
      <c r="BR220">
        <v>3.7747999999999997E-2</v>
      </c>
      <c r="BS220">
        <v>3.6871300000000003E-2</v>
      </c>
      <c r="BT220">
        <v>3.5956500000000002E-2</v>
      </c>
      <c r="BU220">
        <v>3.5977200000000001E-2</v>
      </c>
      <c r="BV220">
        <v>3.2786700000000002E-2</v>
      </c>
      <c r="BW220">
        <v>3.0020700000000001E-2</v>
      </c>
      <c r="BX220">
        <v>3.0305800000000001E-2</v>
      </c>
      <c r="BY220">
        <v>2.1799099999999998E-2</v>
      </c>
      <c r="BZ220">
        <v>2.8718E-2</v>
      </c>
      <c r="CA220">
        <v>2.61313E-2</v>
      </c>
      <c r="CB220">
        <v>2.0790200000000002E-2</v>
      </c>
      <c r="CC220">
        <v>2.34275E-2</v>
      </c>
      <c r="CD220">
        <v>1.8858699999999999E-2</v>
      </c>
      <c r="CE220">
        <v>1.8212800000000001E-2</v>
      </c>
      <c r="CF220">
        <v>1.41805E-2</v>
      </c>
      <c r="CG220">
        <v>1.38773E-2</v>
      </c>
      <c r="CH220">
        <v>1.09601E-2</v>
      </c>
      <c r="CI220">
        <v>1.0291700000000001E-2</v>
      </c>
      <c r="CJ220">
        <v>8.5205999999999997E-3</v>
      </c>
      <c r="CK220">
        <v>8.2250199999999996E-3</v>
      </c>
      <c r="CL220">
        <v>7.0358800000000004E-3</v>
      </c>
      <c r="CM220">
        <v>6.4899299999999997E-3</v>
      </c>
      <c r="CN220">
        <v>4.8006999999999998E-3</v>
      </c>
      <c r="CO220">
        <v>6.2384299999999997E-3</v>
      </c>
      <c r="CP220">
        <v>5.9421700000000001E-3</v>
      </c>
      <c r="CQ220">
        <v>4.3338999999999999E-3</v>
      </c>
      <c r="CR220">
        <v>4.3813599999999999E-3</v>
      </c>
      <c r="CS220">
        <v>4.8453400000000001E-3</v>
      </c>
      <c r="CT220">
        <v>4.1328099999999998E-3</v>
      </c>
      <c r="CU220">
        <v>3.5336999999999999E-3</v>
      </c>
      <c r="CV220">
        <v>4.2525899999999997E-3</v>
      </c>
      <c r="CW220">
        <v>3.1747500000000001E-3</v>
      </c>
      <c r="CX220">
        <v>2.2647800000000001E-3</v>
      </c>
      <c r="CY220">
        <v>3.2875299999999999E-3</v>
      </c>
      <c r="CZ220">
        <v>2.2376599999999998E-3</v>
      </c>
      <c r="DA220">
        <v>1.9884199999999999E-3</v>
      </c>
      <c r="DB220">
        <v>2.96496E-3</v>
      </c>
      <c r="DC220">
        <v>1.4203600000000001E-3</v>
      </c>
      <c r="DD220">
        <v>1.0311299999999999E-3</v>
      </c>
      <c r="DE220">
        <v>6.0161000000000004E-4</v>
      </c>
      <c r="DF220">
        <v>6.4453299999999998E-4</v>
      </c>
      <c r="DG220">
        <v>5.6024299999999998E-4</v>
      </c>
      <c r="DH220">
        <v>3.80529E-4</v>
      </c>
      <c r="DI220">
        <v>3.9366100000000001E-4</v>
      </c>
      <c r="DJ220">
        <v>1.63346E-4</v>
      </c>
      <c r="DK220" s="1">
        <v>4.2700000000000001E-5</v>
      </c>
      <c r="DL220" s="1">
        <v>3.9499999999999998E-5</v>
      </c>
      <c r="DM220" s="1">
        <v>4.4499999999999997E-5</v>
      </c>
      <c r="DN220" s="1">
        <v>8.7299999999999994E-6</v>
      </c>
      <c r="DO220">
        <v>0</v>
      </c>
      <c r="DP220" s="1">
        <v>3.0599999999999998E-5</v>
      </c>
      <c r="DQ220">
        <v>0</v>
      </c>
      <c r="DR220">
        <v>0</v>
      </c>
      <c r="DS220">
        <v>0</v>
      </c>
      <c r="DT220">
        <v>0</v>
      </c>
      <c r="DU220">
        <v>0</v>
      </c>
      <c r="DV220" s="1">
        <v>2.8099999999999999E-5</v>
      </c>
      <c r="DW220" t="s">
        <v>414</v>
      </c>
    </row>
    <row r="221" spans="1:127" x14ac:dyDescent="0.2">
      <c r="A221">
        <v>1982</v>
      </c>
      <c r="B221">
        <v>7</v>
      </c>
      <c r="C221">
        <v>2</v>
      </c>
      <c r="D221">
        <v>0</v>
      </c>
      <c r="E221">
        <v>0</v>
      </c>
      <c r="F221">
        <v>2415</v>
      </c>
      <c r="G221">
        <v>0</v>
      </c>
      <c r="H221">
        <v>0</v>
      </c>
      <c r="I221">
        <v>0</v>
      </c>
      <c r="J221">
        <v>0</v>
      </c>
      <c r="K221">
        <v>0</v>
      </c>
      <c r="L221">
        <v>0</v>
      </c>
      <c r="M221">
        <v>0</v>
      </c>
      <c r="N221">
        <v>0</v>
      </c>
      <c r="O221" s="1">
        <v>6.05E-5</v>
      </c>
      <c r="P221">
        <v>7.4451400000000005E-4</v>
      </c>
      <c r="Q221">
        <v>8.5966700000000005E-4</v>
      </c>
      <c r="R221">
        <v>1.8155599999999999E-3</v>
      </c>
      <c r="S221">
        <v>2.4727600000000001E-3</v>
      </c>
      <c r="T221">
        <v>4.9548099999999996E-3</v>
      </c>
      <c r="U221">
        <v>5.6266700000000003E-3</v>
      </c>
      <c r="V221">
        <v>1.03692E-2</v>
      </c>
      <c r="W221">
        <v>6.3006800000000003E-3</v>
      </c>
      <c r="X221">
        <v>4.8054200000000004E-3</v>
      </c>
      <c r="Y221">
        <v>4.9204299999999999E-3</v>
      </c>
      <c r="Z221">
        <v>4.3576099999999996E-3</v>
      </c>
      <c r="AA221">
        <v>1.84935E-3</v>
      </c>
      <c r="AB221">
        <v>8.0406399999999995E-4</v>
      </c>
      <c r="AC221">
        <v>8.3144600000000001E-4</v>
      </c>
      <c r="AD221">
        <v>1.9343E-4</v>
      </c>
      <c r="AE221">
        <v>7.5966800000000002E-4</v>
      </c>
      <c r="AF221">
        <v>1.6944499999999999E-3</v>
      </c>
      <c r="AG221">
        <v>2.3449600000000001E-3</v>
      </c>
      <c r="AH221">
        <v>3.7474000000000001E-3</v>
      </c>
      <c r="AI221">
        <v>6.3500500000000003E-3</v>
      </c>
      <c r="AJ221">
        <v>8.1890599999999997E-3</v>
      </c>
      <c r="AK221">
        <v>1.1648499999999999E-2</v>
      </c>
      <c r="AL221">
        <v>1.8289799999999998E-2</v>
      </c>
      <c r="AM221">
        <v>2.0935200000000001E-2</v>
      </c>
      <c r="AN221">
        <v>2.27598E-2</v>
      </c>
      <c r="AO221">
        <v>2.89564E-2</v>
      </c>
      <c r="AP221">
        <v>3.00536E-2</v>
      </c>
      <c r="AQ221">
        <v>2.24666E-2</v>
      </c>
      <c r="AR221">
        <v>1.86336E-2</v>
      </c>
      <c r="AS221">
        <v>1.3643300000000001E-2</v>
      </c>
      <c r="AT221">
        <v>1.3812400000000001E-2</v>
      </c>
      <c r="AU221">
        <v>1.19296E-2</v>
      </c>
      <c r="AV221">
        <v>1.3006999999999999E-2</v>
      </c>
      <c r="AW221">
        <v>1.70914E-2</v>
      </c>
      <c r="AX221">
        <v>1.9203999999999999E-2</v>
      </c>
      <c r="AY221">
        <v>2.6708699999999998E-2</v>
      </c>
      <c r="AZ221">
        <v>2.8671100000000001E-2</v>
      </c>
      <c r="BA221">
        <v>2.5773799999999999E-2</v>
      </c>
      <c r="BB221">
        <v>3.11092E-2</v>
      </c>
      <c r="BC221">
        <v>3.1139900000000002E-2</v>
      </c>
      <c r="BD221">
        <v>2.6555499999999999E-2</v>
      </c>
      <c r="BE221">
        <v>2.6978700000000001E-2</v>
      </c>
      <c r="BF221">
        <v>2.56124E-2</v>
      </c>
      <c r="BG221">
        <v>2.4131699999999999E-2</v>
      </c>
      <c r="BH221">
        <v>2.2674099999999999E-2</v>
      </c>
      <c r="BI221">
        <v>2.6398999999999999E-2</v>
      </c>
      <c r="BJ221">
        <v>2.4500600000000001E-2</v>
      </c>
      <c r="BK221">
        <v>2.53729E-2</v>
      </c>
      <c r="BL221">
        <v>2.1314900000000001E-2</v>
      </c>
      <c r="BM221">
        <v>2.4701299999999999E-2</v>
      </c>
      <c r="BN221">
        <v>2.50838E-2</v>
      </c>
      <c r="BO221">
        <v>2.4770500000000001E-2</v>
      </c>
      <c r="BP221">
        <v>2.12987E-2</v>
      </c>
      <c r="BQ221">
        <v>2.1535700000000001E-2</v>
      </c>
      <c r="BR221">
        <v>1.9163099999999999E-2</v>
      </c>
      <c r="BS221">
        <v>1.8301399999999999E-2</v>
      </c>
      <c r="BT221">
        <v>1.7955800000000001E-2</v>
      </c>
      <c r="BU221">
        <v>1.8745700000000001E-2</v>
      </c>
      <c r="BV221">
        <v>1.15563E-2</v>
      </c>
      <c r="BW221">
        <v>1.63156E-2</v>
      </c>
      <c r="BX221">
        <v>1.17886E-2</v>
      </c>
      <c r="BY221">
        <v>1.24866E-2</v>
      </c>
      <c r="BZ221">
        <v>6.9193800000000001E-3</v>
      </c>
      <c r="CA221">
        <v>6.8588E-3</v>
      </c>
      <c r="CB221">
        <v>6.8075399999999999E-3</v>
      </c>
      <c r="CC221">
        <v>6.1080600000000002E-3</v>
      </c>
      <c r="CD221">
        <v>4.2111400000000004E-3</v>
      </c>
      <c r="CE221">
        <v>3.2429199999999998E-3</v>
      </c>
      <c r="CF221">
        <v>3.4792899999999999E-3</v>
      </c>
      <c r="CG221">
        <v>2.8043399999999998E-3</v>
      </c>
      <c r="CH221">
        <v>1.8783000000000001E-3</v>
      </c>
      <c r="CI221">
        <v>2.5158300000000001E-3</v>
      </c>
      <c r="CJ221">
        <v>2.2568800000000002E-3</v>
      </c>
      <c r="CK221">
        <v>1.1623499999999999E-3</v>
      </c>
      <c r="CL221">
        <v>7.1325100000000003E-4</v>
      </c>
      <c r="CM221">
        <v>6.1483000000000002E-4</v>
      </c>
      <c r="CN221">
        <v>8.5481700000000001E-4</v>
      </c>
      <c r="CO221">
        <v>2.5350399999999999E-4</v>
      </c>
      <c r="CP221">
        <v>5.8369499999999996E-4</v>
      </c>
      <c r="CQ221">
        <v>3.9431299999999998E-4</v>
      </c>
      <c r="CR221" s="1">
        <v>5.6400000000000002E-5</v>
      </c>
      <c r="CS221">
        <v>2.3421600000000001E-4</v>
      </c>
      <c r="CT221">
        <v>3.2843899999999998E-4</v>
      </c>
      <c r="CU221">
        <v>0</v>
      </c>
      <c r="CV221">
        <v>2.3421600000000001E-4</v>
      </c>
      <c r="CW221">
        <v>0</v>
      </c>
      <c r="CX221" s="1">
        <v>9.87E-5</v>
      </c>
      <c r="CY221">
        <v>1.9976E-4</v>
      </c>
      <c r="CZ221" s="1">
        <v>6.0600000000000003E-5</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t="s">
        <v>415</v>
      </c>
    </row>
    <row r="222" spans="1:127" x14ac:dyDescent="0.2">
      <c r="A222">
        <v>1983</v>
      </c>
      <c r="B222">
        <v>7</v>
      </c>
      <c r="C222">
        <v>2</v>
      </c>
      <c r="D222">
        <v>0</v>
      </c>
      <c r="E222">
        <v>0</v>
      </c>
      <c r="F222">
        <v>1153</v>
      </c>
      <c r="G222">
        <v>0</v>
      </c>
      <c r="H222">
        <v>0</v>
      </c>
      <c r="I222">
        <v>0</v>
      </c>
      <c r="J222">
        <v>0</v>
      </c>
      <c r="K222">
        <v>0</v>
      </c>
      <c r="L222">
        <v>0</v>
      </c>
      <c r="M222">
        <v>0</v>
      </c>
      <c r="N222">
        <v>0</v>
      </c>
      <c r="O222">
        <v>5.4465299999999998E-4</v>
      </c>
      <c r="P222">
        <v>7.3001000000000003E-3</v>
      </c>
      <c r="Q222">
        <v>2.21435E-2</v>
      </c>
      <c r="R222">
        <v>3.4666599999999999E-2</v>
      </c>
      <c r="S222">
        <v>3.4898999999999999E-2</v>
      </c>
      <c r="T222">
        <v>3.68799E-2</v>
      </c>
      <c r="U222">
        <v>3.5181900000000002E-2</v>
      </c>
      <c r="V222">
        <v>3.3039399999999997E-2</v>
      </c>
      <c r="W222">
        <v>3.0036500000000001E-2</v>
      </c>
      <c r="X222">
        <v>1.9213299999999999E-2</v>
      </c>
      <c r="Y222">
        <v>1.9014699999999999E-2</v>
      </c>
      <c r="Z222">
        <v>9.1231999999999997E-3</v>
      </c>
      <c r="AA222">
        <v>5.6355600000000004E-3</v>
      </c>
      <c r="AB222">
        <v>3.36893E-3</v>
      </c>
      <c r="AC222">
        <v>2.1719E-3</v>
      </c>
      <c r="AD222">
        <v>6.6287699999999998E-4</v>
      </c>
      <c r="AE222">
        <v>3.8990699999999999E-4</v>
      </c>
      <c r="AF222">
        <v>1.3707599999999999E-3</v>
      </c>
      <c r="AG222">
        <v>2.57764E-3</v>
      </c>
      <c r="AH222">
        <v>3.4886399999999999E-3</v>
      </c>
      <c r="AI222">
        <v>4.2462899999999998E-3</v>
      </c>
      <c r="AJ222">
        <v>7.6643299999999996E-3</v>
      </c>
      <c r="AK222">
        <v>9.5500099999999994E-3</v>
      </c>
      <c r="AL222">
        <v>1.11132E-2</v>
      </c>
      <c r="AM222">
        <v>1.3239000000000001E-2</v>
      </c>
      <c r="AN222">
        <v>1.2623199999999999E-2</v>
      </c>
      <c r="AO222">
        <v>1.62471E-2</v>
      </c>
      <c r="AP222">
        <v>1.1081300000000001E-2</v>
      </c>
      <c r="AQ222">
        <v>9.6843599999999995E-3</v>
      </c>
      <c r="AR222">
        <v>8.1731300000000007E-3</v>
      </c>
      <c r="AS222">
        <v>4.62643E-3</v>
      </c>
      <c r="AT222">
        <v>4.7169999999999998E-3</v>
      </c>
      <c r="AU222">
        <v>6.5506200000000001E-3</v>
      </c>
      <c r="AV222">
        <v>7.1481699999999997E-3</v>
      </c>
      <c r="AW222">
        <v>1.07986E-2</v>
      </c>
      <c r="AX222">
        <v>1.1911100000000001E-2</v>
      </c>
      <c r="AY222">
        <v>1.6112100000000001E-2</v>
      </c>
      <c r="AZ222">
        <v>2.0464300000000001E-2</v>
      </c>
      <c r="BA222">
        <v>2.2852899999999999E-2</v>
      </c>
      <c r="BB222">
        <v>2.1848200000000002E-2</v>
      </c>
      <c r="BC222">
        <v>2.2682299999999999E-2</v>
      </c>
      <c r="BD222">
        <v>2.3997500000000001E-2</v>
      </c>
      <c r="BE222">
        <v>1.92663E-2</v>
      </c>
      <c r="BF222">
        <v>1.8833800000000001E-2</v>
      </c>
      <c r="BG222">
        <v>1.8696600000000001E-2</v>
      </c>
      <c r="BH222">
        <v>1.7072500000000001E-2</v>
      </c>
      <c r="BI222">
        <v>2.2664900000000002E-2</v>
      </c>
      <c r="BJ222">
        <v>2.1005699999999999E-2</v>
      </c>
      <c r="BK222">
        <v>1.9567899999999999E-2</v>
      </c>
      <c r="BL222">
        <v>1.9931000000000001E-2</v>
      </c>
      <c r="BM222">
        <v>1.8639300000000001E-2</v>
      </c>
      <c r="BN222">
        <v>1.99066E-2</v>
      </c>
      <c r="BO222">
        <v>1.8620100000000001E-2</v>
      </c>
      <c r="BP222">
        <v>1.5236700000000001E-2</v>
      </c>
      <c r="BQ222">
        <v>1.70048E-2</v>
      </c>
      <c r="BR222">
        <v>1.4846099999999999E-2</v>
      </c>
      <c r="BS222">
        <v>1.52166E-2</v>
      </c>
      <c r="BT222">
        <v>1.44972E-2</v>
      </c>
      <c r="BU222">
        <v>1.25919E-2</v>
      </c>
      <c r="BV222">
        <v>1.43023E-2</v>
      </c>
      <c r="BW222">
        <v>1.3378599999999999E-2</v>
      </c>
      <c r="BX222">
        <v>1.0994500000000001E-2</v>
      </c>
      <c r="BY222">
        <v>1.37182E-2</v>
      </c>
      <c r="BZ222">
        <v>9.5433099999999993E-3</v>
      </c>
      <c r="CA222">
        <v>9.2425000000000007E-3</v>
      </c>
      <c r="CB222">
        <v>5.9067199999999999E-3</v>
      </c>
      <c r="CC222">
        <v>6.1287499999999996E-3</v>
      </c>
      <c r="CD222">
        <v>5.9752900000000003E-3</v>
      </c>
      <c r="CE222">
        <v>5.13102E-3</v>
      </c>
      <c r="CF222">
        <v>4.4598499999999996E-3</v>
      </c>
      <c r="CG222">
        <v>2.9722899999999998E-3</v>
      </c>
      <c r="CH222">
        <v>3.6778599999999998E-3</v>
      </c>
      <c r="CI222">
        <v>2.4429999999999999E-3</v>
      </c>
      <c r="CJ222">
        <v>2.1991100000000002E-3</v>
      </c>
      <c r="CK222">
        <v>1.8098700000000001E-3</v>
      </c>
      <c r="CL222">
        <v>1.3394100000000001E-3</v>
      </c>
      <c r="CM222">
        <v>9.00463E-4</v>
      </c>
      <c r="CN222" s="1">
        <v>8.7499999999999999E-5</v>
      </c>
      <c r="CO222">
        <v>5.1138599999999996E-4</v>
      </c>
      <c r="CP222">
        <v>6.0805099999999997E-4</v>
      </c>
      <c r="CQ222">
        <v>2.1430700000000001E-4</v>
      </c>
      <c r="CR222">
        <v>8.7104599999999999E-4</v>
      </c>
      <c r="CS222" s="1">
        <v>4.49E-5</v>
      </c>
      <c r="CT222" s="1">
        <v>4.2299999999999998E-5</v>
      </c>
      <c r="CU222">
        <v>1.6677400000000001E-4</v>
      </c>
      <c r="CV222">
        <v>3.0397099999999999E-4</v>
      </c>
      <c r="CW222">
        <v>0</v>
      </c>
      <c r="CX222">
        <v>2.1261699999999999E-4</v>
      </c>
      <c r="CY222">
        <v>0</v>
      </c>
      <c r="CZ222" s="1">
        <v>8.7600000000000002E-5</v>
      </c>
      <c r="DA222">
        <v>0</v>
      </c>
      <c r="DB222">
        <v>0</v>
      </c>
      <c r="DC222">
        <v>0</v>
      </c>
      <c r="DD222">
        <v>0</v>
      </c>
      <c r="DE222">
        <v>0</v>
      </c>
      <c r="DF222" s="1">
        <v>8.81E-5</v>
      </c>
      <c r="DG222">
        <v>0</v>
      </c>
      <c r="DH222">
        <v>0</v>
      </c>
      <c r="DI222">
        <v>0</v>
      </c>
      <c r="DJ222">
        <v>0</v>
      </c>
      <c r="DK222">
        <v>0</v>
      </c>
      <c r="DL222">
        <v>0</v>
      </c>
      <c r="DM222">
        <v>0</v>
      </c>
      <c r="DN222">
        <v>0</v>
      </c>
      <c r="DO222">
        <v>0</v>
      </c>
      <c r="DP222">
        <v>0</v>
      </c>
      <c r="DQ222">
        <v>0</v>
      </c>
      <c r="DR222">
        <v>0</v>
      </c>
      <c r="DS222">
        <v>0</v>
      </c>
      <c r="DT222">
        <v>0</v>
      </c>
      <c r="DU222">
        <v>0</v>
      </c>
      <c r="DV222">
        <v>0</v>
      </c>
      <c r="DW222" t="s">
        <v>487</v>
      </c>
    </row>
    <row r="223" spans="1:127" x14ac:dyDescent="0.2">
      <c r="A223">
        <v>1984</v>
      </c>
      <c r="B223">
        <v>7</v>
      </c>
      <c r="C223">
        <v>2</v>
      </c>
      <c r="D223">
        <v>0</v>
      </c>
      <c r="E223">
        <v>0</v>
      </c>
      <c r="F223">
        <v>2484</v>
      </c>
      <c r="G223">
        <v>0</v>
      </c>
      <c r="H223">
        <v>0</v>
      </c>
      <c r="I223">
        <v>0</v>
      </c>
      <c r="J223">
        <v>0</v>
      </c>
      <c r="K223">
        <v>0</v>
      </c>
      <c r="L223">
        <v>0</v>
      </c>
      <c r="M223">
        <v>0</v>
      </c>
      <c r="N223">
        <v>0</v>
      </c>
      <c r="O223">
        <v>5.2749100000000005E-4</v>
      </c>
      <c r="P223">
        <v>2.0489200000000001E-3</v>
      </c>
      <c r="Q223">
        <v>2.9839300000000001E-3</v>
      </c>
      <c r="R223">
        <v>4.5113899999999997E-3</v>
      </c>
      <c r="S223">
        <v>3.5962300000000002E-3</v>
      </c>
      <c r="T223">
        <v>2.2482499999999998E-3</v>
      </c>
      <c r="U223">
        <v>2.0766999999999999E-3</v>
      </c>
      <c r="V223">
        <v>2.1081300000000002E-3</v>
      </c>
      <c r="W223">
        <v>2.4761800000000001E-3</v>
      </c>
      <c r="X223">
        <v>3.7908400000000002E-3</v>
      </c>
      <c r="Y223">
        <v>2.5958999999999999E-3</v>
      </c>
      <c r="Z223">
        <v>5.2643799999999999E-3</v>
      </c>
      <c r="AA223">
        <v>5.9032299999999998E-3</v>
      </c>
      <c r="AB223">
        <v>7.4093900000000001E-3</v>
      </c>
      <c r="AC223">
        <v>1.0234699999999999E-2</v>
      </c>
      <c r="AD223">
        <v>1.8969799999999998E-2</v>
      </c>
      <c r="AE223">
        <v>2.5664099999999999E-2</v>
      </c>
      <c r="AF223">
        <v>3.12395E-2</v>
      </c>
      <c r="AG223">
        <v>3.7969700000000002E-2</v>
      </c>
      <c r="AH223">
        <v>4.7408499999999999E-2</v>
      </c>
      <c r="AI223">
        <v>4.9524800000000001E-2</v>
      </c>
      <c r="AJ223">
        <v>5.3433300000000003E-2</v>
      </c>
      <c r="AK223">
        <v>4.7029899999999999E-2</v>
      </c>
      <c r="AL223">
        <v>3.9385400000000001E-2</v>
      </c>
      <c r="AM223">
        <v>3.2525900000000003E-2</v>
      </c>
      <c r="AN223">
        <v>2.8486500000000001E-2</v>
      </c>
      <c r="AO223">
        <v>2.4337299999999999E-2</v>
      </c>
      <c r="AP223">
        <v>1.81551E-2</v>
      </c>
      <c r="AQ223">
        <v>1.27268E-2</v>
      </c>
      <c r="AR223">
        <v>8.7854200000000004E-3</v>
      </c>
      <c r="AS223">
        <v>8.3662100000000007E-3</v>
      </c>
      <c r="AT223">
        <v>7.25064E-3</v>
      </c>
      <c r="AU223">
        <v>4.8237999999999996E-3</v>
      </c>
      <c r="AV223">
        <v>7.7302300000000003E-3</v>
      </c>
      <c r="AW223">
        <v>6.1892400000000004E-3</v>
      </c>
      <c r="AX223">
        <v>7.51645E-3</v>
      </c>
      <c r="AY223">
        <v>7.7322199999999997E-3</v>
      </c>
      <c r="AZ223">
        <v>7.9399499999999994E-3</v>
      </c>
      <c r="BA223">
        <v>8.9069000000000006E-3</v>
      </c>
      <c r="BB223">
        <v>1.1016400000000001E-2</v>
      </c>
      <c r="BC223">
        <v>8.7101000000000001E-3</v>
      </c>
      <c r="BD223">
        <v>9.0022999999999995E-3</v>
      </c>
      <c r="BE223">
        <v>7.7971300000000002E-3</v>
      </c>
      <c r="BF223">
        <v>8.9364500000000003E-3</v>
      </c>
      <c r="BG223">
        <v>1.16633E-2</v>
      </c>
      <c r="BH223">
        <v>1.0592000000000001E-2</v>
      </c>
      <c r="BI223">
        <v>1.2847000000000001E-2</v>
      </c>
      <c r="BJ223">
        <v>1.3695300000000001E-2</v>
      </c>
      <c r="BK223">
        <v>1.6177500000000001E-2</v>
      </c>
      <c r="BL223">
        <v>1.6301300000000001E-2</v>
      </c>
      <c r="BM223">
        <v>1.26757E-2</v>
      </c>
      <c r="BN223">
        <v>1.76867E-2</v>
      </c>
      <c r="BO223">
        <v>1.3850299999999999E-2</v>
      </c>
      <c r="BP223">
        <v>1.6395099999999999E-2</v>
      </c>
      <c r="BQ223">
        <v>1.6618500000000001E-2</v>
      </c>
      <c r="BR223">
        <v>1.5502999999999999E-2</v>
      </c>
      <c r="BS223">
        <v>1.32633E-2</v>
      </c>
      <c r="BT223">
        <v>1.62302E-2</v>
      </c>
      <c r="BU223">
        <v>1.5042099999999999E-2</v>
      </c>
      <c r="BV223">
        <v>1.48521E-2</v>
      </c>
      <c r="BW223">
        <v>1.4019800000000001E-2</v>
      </c>
      <c r="BX223">
        <v>1.25535E-2</v>
      </c>
      <c r="BY223">
        <v>1.18759E-2</v>
      </c>
      <c r="BZ223">
        <v>6.8257300000000003E-3</v>
      </c>
      <c r="CA223">
        <v>9.8284099999999992E-3</v>
      </c>
      <c r="CB223">
        <v>8.0084100000000005E-3</v>
      </c>
      <c r="CC223">
        <v>8.5647899999999992E-3</v>
      </c>
      <c r="CD223">
        <v>6.1711600000000002E-3</v>
      </c>
      <c r="CE223">
        <v>6.75671E-3</v>
      </c>
      <c r="CF223">
        <v>4.5899299999999999E-3</v>
      </c>
      <c r="CG223">
        <v>5.56961E-3</v>
      </c>
      <c r="CH223">
        <v>3.7801499999999999E-3</v>
      </c>
      <c r="CI223">
        <v>3.27532E-3</v>
      </c>
      <c r="CJ223">
        <v>2.5921899999999999E-3</v>
      </c>
      <c r="CK223">
        <v>2.6844999999999998E-3</v>
      </c>
      <c r="CL223">
        <v>2.2142199999999998E-3</v>
      </c>
      <c r="CM223">
        <v>1.77322E-3</v>
      </c>
      <c r="CN223">
        <v>2.2899399999999999E-3</v>
      </c>
      <c r="CO223">
        <v>9.8998599999999999E-4</v>
      </c>
      <c r="CP223">
        <v>1.32927E-3</v>
      </c>
      <c r="CQ223">
        <v>1.52731E-3</v>
      </c>
      <c r="CR223">
        <v>9.9902299999999992E-4</v>
      </c>
      <c r="CS223">
        <v>7.6701700000000005E-4</v>
      </c>
      <c r="CT223">
        <v>3.2738199999999998E-4</v>
      </c>
      <c r="CU223">
        <v>6.0941700000000001E-4</v>
      </c>
      <c r="CV223">
        <v>4.7937499999999998E-4</v>
      </c>
      <c r="CW223">
        <v>0</v>
      </c>
      <c r="CX223">
        <v>3.01045E-4</v>
      </c>
      <c r="CY223">
        <v>2.2119899999999999E-4</v>
      </c>
      <c r="CZ223">
        <v>1.8130899999999999E-4</v>
      </c>
      <c r="DA223" s="1">
        <v>4.7700000000000001E-5</v>
      </c>
      <c r="DB223" s="1">
        <v>4.7599999999999998E-5</v>
      </c>
      <c r="DC223">
        <v>0</v>
      </c>
      <c r="DD223">
        <v>0</v>
      </c>
      <c r="DE223">
        <v>0</v>
      </c>
      <c r="DF223" s="1">
        <v>6.9900000000000005E-5</v>
      </c>
      <c r="DG223">
        <v>0</v>
      </c>
      <c r="DH223">
        <v>0</v>
      </c>
      <c r="DI223">
        <v>0</v>
      </c>
      <c r="DJ223">
        <v>0</v>
      </c>
      <c r="DK223">
        <v>0</v>
      </c>
      <c r="DL223">
        <v>0</v>
      </c>
      <c r="DM223">
        <v>0</v>
      </c>
      <c r="DN223">
        <v>0</v>
      </c>
      <c r="DO223">
        <v>0</v>
      </c>
      <c r="DP223">
        <v>0</v>
      </c>
      <c r="DQ223">
        <v>0</v>
      </c>
      <c r="DR223">
        <v>0</v>
      </c>
      <c r="DS223">
        <v>0</v>
      </c>
      <c r="DT223">
        <v>0</v>
      </c>
      <c r="DU223">
        <v>0</v>
      </c>
      <c r="DV223">
        <v>0</v>
      </c>
      <c r="DW223" t="s">
        <v>488</v>
      </c>
    </row>
    <row r="224" spans="1:127" x14ac:dyDescent="0.2">
      <c r="A224">
        <v>1985</v>
      </c>
      <c r="B224">
        <v>7</v>
      </c>
      <c r="C224">
        <v>2</v>
      </c>
      <c r="D224">
        <v>0</v>
      </c>
      <c r="E224">
        <v>0</v>
      </c>
      <c r="F224">
        <v>863</v>
      </c>
      <c r="G224">
        <v>0</v>
      </c>
      <c r="H224">
        <v>0</v>
      </c>
      <c r="I224">
        <v>0</v>
      </c>
      <c r="J224">
        <v>0</v>
      </c>
      <c r="K224">
        <v>0</v>
      </c>
      <c r="L224">
        <v>0</v>
      </c>
      <c r="M224">
        <v>0</v>
      </c>
      <c r="N224">
        <v>0</v>
      </c>
      <c r="O224">
        <v>2.609E-4</v>
      </c>
      <c r="P224">
        <v>3.3309799999999999E-3</v>
      </c>
      <c r="Q224">
        <v>6.0536000000000001E-3</v>
      </c>
      <c r="R224">
        <v>1.0688599999999999E-2</v>
      </c>
      <c r="S224">
        <v>8.6103399999999993E-3</v>
      </c>
      <c r="T224">
        <v>1.2841699999999999E-2</v>
      </c>
      <c r="U224">
        <v>1.70832E-2</v>
      </c>
      <c r="V224">
        <v>1.80979E-2</v>
      </c>
      <c r="W224">
        <v>2.2092000000000001E-2</v>
      </c>
      <c r="X224">
        <v>2.989E-2</v>
      </c>
      <c r="Y224">
        <v>3.0105400000000001E-2</v>
      </c>
      <c r="Z224">
        <v>3.1257300000000002E-2</v>
      </c>
      <c r="AA224">
        <v>3.8399000000000003E-2</v>
      </c>
      <c r="AB224">
        <v>3.31918E-2</v>
      </c>
      <c r="AC224">
        <v>3.2945700000000001E-2</v>
      </c>
      <c r="AD224">
        <v>1.90606E-2</v>
      </c>
      <c r="AE224">
        <v>1.2592900000000001E-2</v>
      </c>
      <c r="AF224">
        <v>7.7243600000000004E-3</v>
      </c>
      <c r="AG224">
        <v>5.3871300000000004E-3</v>
      </c>
      <c r="AH224">
        <v>5.94028E-3</v>
      </c>
      <c r="AI224">
        <v>6.3055799999999999E-3</v>
      </c>
      <c r="AJ224">
        <v>9.4272000000000002E-3</v>
      </c>
      <c r="AK224">
        <v>1.3011699999999999E-2</v>
      </c>
      <c r="AL224">
        <v>1.2792599999999999E-2</v>
      </c>
      <c r="AM224">
        <v>1.6110900000000001E-2</v>
      </c>
      <c r="AN224">
        <v>1.7755099999999999E-2</v>
      </c>
      <c r="AO224">
        <v>1.8275099999999999E-2</v>
      </c>
      <c r="AP224">
        <v>1.8445900000000001E-2</v>
      </c>
      <c r="AQ224">
        <v>1.7026800000000002E-2</v>
      </c>
      <c r="AR224">
        <v>2.02805E-2</v>
      </c>
      <c r="AS224">
        <v>2.0779800000000001E-2</v>
      </c>
      <c r="AT224">
        <v>2.30245E-2</v>
      </c>
      <c r="AU224">
        <v>2.44785E-2</v>
      </c>
      <c r="AV224">
        <v>3.0454800000000001E-2</v>
      </c>
      <c r="AW224">
        <v>2.9604700000000001E-2</v>
      </c>
      <c r="AX224">
        <v>3.04392E-2</v>
      </c>
      <c r="AY224">
        <v>2.8566600000000001E-2</v>
      </c>
      <c r="AZ224">
        <v>2.7842100000000002E-2</v>
      </c>
      <c r="BA224">
        <v>2.1263500000000001E-2</v>
      </c>
      <c r="BB224">
        <v>1.9104300000000001E-2</v>
      </c>
      <c r="BC224">
        <v>1.4404699999999999E-2</v>
      </c>
      <c r="BD224">
        <v>1.13572E-2</v>
      </c>
      <c r="BE224">
        <v>9.9127399999999997E-3</v>
      </c>
      <c r="BF224">
        <v>7.5854800000000003E-3</v>
      </c>
      <c r="BG224">
        <v>5.6893899999999999E-3</v>
      </c>
      <c r="BH224">
        <v>5.5230100000000001E-3</v>
      </c>
      <c r="BI224">
        <v>6.0859499999999997E-3</v>
      </c>
      <c r="BJ224">
        <v>5.97183E-3</v>
      </c>
      <c r="BK224">
        <v>6.1445600000000003E-3</v>
      </c>
      <c r="BL224">
        <v>5.0179100000000004E-3</v>
      </c>
      <c r="BM224">
        <v>5.1334900000000001E-3</v>
      </c>
      <c r="BN224">
        <v>5.3359200000000001E-3</v>
      </c>
      <c r="BO224">
        <v>4.9885299999999997E-3</v>
      </c>
      <c r="BP224">
        <v>8.7621999999999995E-3</v>
      </c>
      <c r="BQ224">
        <v>6.47556E-3</v>
      </c>
      <c r="BR224">
        <v>6.4627E-3</v>
      </c>
      <c r="BS224">
        <v>6.6577199999999998E-3</v>
      </c>
      <c r="BT224">
        <v>1.00835E-2</v>
      </c>
      <c r="BU224">
        <v>7.2514299999999997E-3</v>
      </c>
      <c r="BV224">
        <v>7.9398100000000003E-3</v>
      </c>
      <c r="BW224">
        <v>8.6359499999999999E-3</v>
      </c>
      <c r="BX224">
        <v>8.6485099999999999E-3</v>
      </c>
      <c r="BY224">
        <v>7.9501599999999995E-3</v>
      </c>
      <c r="BZ224">
        <v>7.9513399999999994E-3</v>
      </c>
      <c r="CA224">
        <v>7.0514999999999996E-3</v>
      </c>
      <c r="CB224">
        <v>8.1258800000000003E-3</v>
      </c>
      <c r="CC224">
        <v>6.3157500000000002E-3</v>
      </c>
      <c r="CD224">
        <v>7.9693400000000001E-3</v>
      </c>
      <c r="CE224">
        <v>5.85354E-3</v>
      </c>
      <c r="CF224">
        <v>5.6364900000000001E-3</v>
      </c>
      <c r="CG224">
        <v>3.46737E-3</v>
      </c>
      <c r="CH224">
        <v>4.4458500000000003E-3</v>
      </c>
      <c r="CI224">
        <v>3.4746899999999999E-3</v>
      </c>
      <c r="CJ224">
        <v>2.9548199999999999E-3</v>
      </c>
      <c r="CK224">
        <v>2.8498600000000001E-3</v>
      </c>
      <c r="CL224">
        <v>1.24508E-3</v>
      </c>
      <c r="CM224">
        <v>2.2002699999999998E-3</v>
      </c>
      <c r="CN224">
        <v>1.2907699999999999E-3</v>
      </c>
      <c r="CO224">
        <v>1.29268E-3</v>
      </c>
      <c r="CP224">
        <v>9.5414199999999995E-4</v>
      </c>
      <c r="CQ224">
        <v>8.11793E-4</v>
      </c>
      <c r="CR224">
        <v>6.0602400000000004E-4</v>
      </c>
      <c r="CS224">
        <v>4.7113800000000001E-4</v>
      </c>
      <c r="CT224">
        <v>4.1887199999999998E-4</v>
      </c>
      <c r="CU224">
        <v>4.9917600000000005E-4</v>
      </c>
      <c r="CV224">
        <v>2.53181E-4</v>
      </c>
      <c r="CW224" s="1">
        <v>6.86E-5</v>
      </c>
      <c r="CX224">
        <v>1.9524899999999999E-4</v>
      </c>
      <c r="CY224">
        <v>4.0839499999999998E-4</v>
      </c>
      <c r="CZ224">
        <v>1.19537E-4</v>
      </c>
      <c r="DA224">
        <v>2.0975099999999999E-4</v>
      </c>
      <c r="DB224">
        <v>1.04368E-4</v>
      </c>
      <c r="DC224">
        <v>0</v>
      </c>
      <c r="DD224">
        <v>1.93222E-4</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t="s">
        <v>489</v>
      </c>
    </row>
    <row r="225" spans="1:127" x14ac:dyDescent="0.2">
      <c r="A225">
        <v>1986</v>
      </c>
      <c r="B225">
        <v>7</v>
      </c>
      <c r="C225">
        <v>2</v>
      </c>
      <c r="D225">
        <v>0</v>
      </c>
      <c r="E225">
        <v>0</v>
      </c>
      <c r="F225">
        <v>2016</v>
      </c>
      <c r="G225">
        <v>0</v>
      </c>
      <c r="H225">
        <v>0</v>
      </c>
      <c r="I225">
        <v>0</v>
      </c>
      <c r="J225">
        <v>0</v>
      </c>
      <c r="K225">
        <v>0</v>
      </c>
      <c r="L225">
        <v>0</v>
      </c>
      <c r="M225">
        <v>0</v>
      </c>
      <c r="N225" s="1">
        <v>3.5200000000000002E-5</v>
      </c>
      <c r="O225">
        <v>1.4851599999999999E-3</v>
      </c>
      <c r="P225">
        <v>2.4818900000000001E-3</v>
      </c>
      <c r="Q225">
        <v>6.0888799999999996E-3</v>
      </c>
      <c r="R225">
        <v>8.7213800000000008E-3</v>
      </c>
      <c r="S225">
        <v>8.4959000000000007E-3</v>
      </c>
      <c r="T225">
        <v>1.31655E-2</v>
      </c>
      <c r="U225">
        <v>1.13826E-2</v>
      </c>
      <c r="V225">
        <v>1.15382E-2</v>
      </c>
      <c r="W225">
        <v>9.77804E-3</v>
      </c>
      <c r="X225">
        <v>6.03361E-3</v>
      </c>
      <c r="Y225">
        <v>2.2403200000000001E-3</v>
      </c>
      <c r="Z225">
        <v>1.725E-3</v>
      </c>
      <c r="AA225">
        <v>1.3145699999999999E-3</v>
      </c>
      <c r="AB225">
        <v>1.41625E-3</v>
      </c>
      <c r="AC225">
        <v>4.6549900000000003E-3</v>
      </c>
      <c r="AD225">
        <v>7.4257799999999999E-3</v>
      </c>
      <c r="AE225">
        <v>1.42092E-2</v>
      </c>
      <c r="AF225">
        <v>2.3452899999999999E-2</v>
      </c>
      <c r="AG225">
        <v>2.9271700000000001E-2</v>
      </c>
      <c r="AH225">
        <v>4.5427799999999997E-2</v>
      </c>
      <c r="AI225">
        <v>4.0971899999999999E-2</v>
      </c>
      <c r="AJ225">
        <v>4.0163699999999997E-2</v>
      </c>
      <c r="AK225">
        <v>4.1571700000000003E-2</v>
      </c>
      <c r="AL225">
        <v>4.2553300000000002E-2</v>
      </c>
      <c r="AM225">
        <v>3.7752899999999999E-2</v>
      </c>
      <c r="AN225">
        <v>3.6284200000000003E-2</v>
      </c>
      <c r="AO225">
        <v>2.9152399999999998E-2</v>
      </c>
      <c r="AP225">
        <v>2.61622E-2</v>
      </c>
      <c r="AQ225">
        <v>2.2709699999999999E-2</v>
      </c>
      <c r="AR225">
        <v>2.1600399999999999E-2</v>
      </c>
      <c r="AS225">
        <v>1.43295E-2</v>
      </c>
      <c r="AT225">
        <v>1.26208E-2</v>
      </c>
      <c r="AU225">
        <v>8.9425300000000006E-3</v>
      </c>
      <c r="AV225">
        <v>8.15455E-3</v>
      </c>
      <c r="AW225">
        <v>8.8410999999999993E-3</v>
      </c>
      <c r="AX225">
        <v>1.05921E-2</v>
      </c>
      <c r="AY225">
        <v>1.2030900000000001E-2</v>
      </c>
      <c r="AZ225">
        <v>1.40491E-2</v>
      </c>
      <c r="BA225">
        <v>1.3311399999999999E-2</v>
      </c>
      <c r="BB225">
        <v>1.5961900000000001E-2</v>
      </c>
      <c r="BC225">
        <v>1.4141300000000001E-2</v>
      </c>
      <c r="BD225">
        <v>1.6099800000000001E-2</v>
      </c>
      <c r="BE225">
        <v>1.7463800000000002E-2</v>
      </c>
      <c r="BF225">
        <v>1.6766699999999999E-2</v>
      </c>
      <c r="BG225">
        <v>1.7862800000000002E-2</v>
      </c>
      <c r="BH225">
        <v>1.8675899999999999E-2</v>
      </c>
      <c r="BI225">
        <v>1.9441199999999999E-2</v>
      </c>
      <c r="BJ225">
        <v>1.4663499999999999E-2</v>
      </c>
      <c r="BK225">
        <v>1.6331399999999999E-2</v>
      </c>
      <c r="BL225">
        <v>1.62507E-2</v>
      </c>
      <c r="BM225">
        <v>1.13776E-2</v>
      </c>
      <c r="BN225">
        <v>1.10651E-2</v>
      </c>
      <c r="BO225">
        <v>7.7399000000000001E-3</v>
      </c>
      <c r="BP225">
        <v>9.4598600000000005E-3</v>
      </c>
      <c r="BQ225">
        <v>7.1690199999999999E-3</v>
      </c>
      <c r="BR225">
        <v>5.2348000000000004E-3</v>
      </c>
      <c r="BS225">
        <v>6.4137300000000003E-3</v>
      </c>
      <c r="BT225">
        <v>4.9034100000000004E-3</v>
      </c>
      <c r="BU225">
        <v>5.46709E-3</v>
      </c>
      <c r="BV225">
        <v>4.5628999999999999E-3</v>
      </c>
      <c r="BW225">
        <v>5.6402900000000001E-3</v>
      </c>
      <c r="BX225">
        <v>6.7949500000000001E-3</v>
      </c>
      <c r="BY225">
        <v>6.3933899999999997E-3</v>
      </c>
      <c r="BZ225">
        <v>5.7904499999999999E-3</v>
      </c>
      <c r="CA225">
        <v>4.55574E-3</v>
      </c>
      <c r="CB225">
        <v>5.8284399999999998E-3</v>
      </c>
      <c r="CC225">
        <v>5.5695199999999997E-3</v>
      </c>
      <c r="CD225">
        <v>4.4987899999999999E-3</v>
      </c>
      <c r="CE225">
        <v>5.2674599999999999E-3</v>
      </c>
      <c r="CF225">
        <v>4.6099399999999999E-3</v>
      </c>
      <c r="CG225">
        <v>4.0318200000000002E-3</v>
      </c>
      <c r="CH225">
        <v>5.4250100000000001E-3</v>
      </c>
      <c r="CI225">
        <v>3.6031399999999999E-3</v>
      </c>
      <c r="CJ225">
        <v>3.4567700000000001E-3</v>
      </c>
      <c r="CK225">
        <v>2.77393E-3</v>
      </c>
      <c r="CL225">
        <v>1.8736899999999999E-3</v>
      </c>
      <c r="CM225">
        <v>1.70247E-3</v>
      </c>
      <c r="CN225">
        <v>2.2524200000000002E-3</v>
      </c>
      <c r="CO225">
        <v>1.18417E-3</v>
      </c>
      <c r="CP225">
        <v>1.3704500000000001E-3</v>
      </c>
      <c r="CQ225">
        <v>1.1849600000000001E-3</v>
      </c>
      <c r="CR225">
        <v>1.957E-3</v>
      </c>
      <c r="CS225">
        <v>6.33166E-4</v>
      </c>
      <c r="CT225">
        <v>1.0515100000000001E-3</v>
      </c>
      <c r="CU225">
        <v>8.4797300000000002E-4</v>
      </c>
      <c r="CV225">
        <v>2.9722899999999998E-4</v>
      </c>
      <c r="CW225">
        <v>2.5948399999999998E-4</v>
      </c>
      <c r="CX225">
        <v>3.7804199999999998E-4</v>
      </c>
      <c r="CY225">
        <v>1.6129800000000001E-4</v>
      </c>
      <c r="CZ225">
        <v>4.72256E-4</v>
      </c>
      <c r="DA225">
        <v>1.0437099999999999E-4</v>
      </c>
      <c r="DB225">
        <v>2.6770500000000003E-4</v>
      </c>
      <c r="DC225">
        <v>1.76E-4</v>
      </c>
      <c r="DD225">
        <v>0</v>
      </c>
      <c r="DE225">
        <v>2.5235900000000001E-4</v>
      </c>
      <c r="DF225">
        <v>1.41982E-4</v>
      </c>
      <c r="DG225">
        <v>0</v>
      </c>
      <c r="DH225">
        <v>0</v>
      </c>
      <c r="DI225">
        <v>0</v>
      </c>
      <c r="DJ225">
        <v>0</v>
      </c>
      <c r="DK225">
        <v>0</v>
      </c>
      <c r="DL225">
        <v>0</v>
      </c>
      <c r="DM225">
        <v>0</v>
      </c>
      <c r="DN225">
        <v>0</v>
      </c>
      <c r="DO225">
        <v>0</v>
      </c>
      <c r="DP225">
        <v>0</v>
      </c>
      <c r="DQ225">
        <v>0</v>
      </c>
      <c r="DR225">
        <v>0</v>
      </c>
      <c r="DS225">
        <v>0</v>
      </c>
      <c r="DT225">
        <v>0</v>
      </c>
      <c r="DU225">
        <v>0</v>
      </c>
      <c r="DV225">
        <v>0</v>
      </c>
      <c r="DW225" t="s">
        <v>490</v>
      </c>
    </row>
    <row r="226" spans="1:127" x14ac:dyDescent="0.2">
      <c r="A226">
        <v>1987</v>
      </c>
      <c r="B226">
        <v>7</v>
      </c>
      <c r="C226">
        <v>2</v>
      </c>
      <c r="D226">
        <v>0</v>
      </c>
      <c r="E226">
        <v>0</v>
      </c>
      <c r="F226">
        <v>2092</v>
      </c>
      <c r="G226">
        <v>0</v>
      </c>
      <c r="H226">
        <v>0</v>
      </c>
      <c r="I226">
        <v>0</v>
      </c>
      <c r="J226">
        <v>0</v>
      </c>
      <c r="K226">
        <v>0</v>
      </c>
      <c r="L226">
        <v>0</v>
      </c>
      <c r="M226">
        <v>0</v>
      </c>
      <c r="N226">
        <v>0</v>
      </c>
      <c r="O226">
        <v>0</v>
      </c>
      <c r="P226">
        <v>1.2694200000000001E-3</v>
      </c>
      <c r="Q226">
        <v>3.4359100000000002E-4</v>
      </c>
      <c r="R226">
        <v>6.7136799999999999E-4</v>
      </c>
      <c r="S226">
        <v>2.2721199999999999E-3</v>
      </c>
      <c r="T226">
        <v>3.5466600000000001E-3</v>
      </c>
      <c r="U226">
        <v>5.6720399999999997E-3</v>
      </c>
      <c r="V226">
        <v>7.5635099999999999E-3</v>
      </c>
      <c r="W226">
        <v>1.0124299999999999E-2</v>
      </c>
      <c r="X226">
        <v>1.129E-2</v>
      </c>
      <c r="Y226">
        <v>1.1269599999999999E-2</v>
      </c>
      <c r="Z226">
        <v>1.4344900000000001E-2</v>
      </c>
      <c r="AA226">
        <v>1.1557400000000001E-2</v>
      </c>
      <c r="AB226">
        <v>7.4945300000000001E-3</v>
      </c>
      <c r="AC226">
        <v>5.6844499999999997E-3</v>
      </c>
      <c r="AD226">
        <v>4.3970299999999997E-3</v>
      </c>
      <c r="AE226">
        <v>5.9358500000000003E-3</v>
      </c>
      <c r="AF226">
        <v>7.15104E-3</v>
      </c>
      <c r="AG226">
        <v>1.10746E-2</v>
      </c>
      <c r="AH226">
        <v>1.1572300000000001E-2</v>
      </c>
      <c r="AI226">
        <v>1.86792E-2</v>
      </c>
      <c r="AJ226">
        <v>2.5728399999999998E-2</v>
      </c>
      <c r="AK226">
        <v>2.8319199999999999E-2</v>
      </c>
      <c r="AL226">
        <v>3.0459199999999999E-2</v>
      </c>
      <c r="AM226">
        <v>2.7320299999999999E-2</v>
      </c>
      <c r="AN226">
        <v>2.63696E-2</v>
      </c>
      <c r="AO226">
        <v>1.9451099999999999E-2</v>
      </c>
      <c r="AP226">
        <v>2.1940299999999999E-2</v>
      </c>
      <c r="AQ226">
        <v>1.8838299999999999E-2</v>
      </c>
      <c r="AR226">
        <v>1.6305E-2</v>
      </c>
      <c r="AS226">
        <v>1.7919000000000001E-2</v>
      </c>
      <c r="AT226">
        <v>2.1299599999999998E-2</v>
      </c>
      <c r="AU226">
        <v>2.03705E-2</v>
      </c>
      <c r="AV226">
        <v>2.77512E-2</v>
      </c>
      <c r="AW226">
        <v>3.1201199999999998E-2</v>
      </c>
      <c r="AX226">
        <v>3.1364400000000001E-2</v>
      </c>
      <c r="AY226">
        <v>3.1275900000000002E-2</v>
      </c>
      <c r="AZ226">
        <v>3.0599700000000001E-2</v>
      </c>
      <c r="BA226">
        <v>3.0313099999999999E-2</v>
      </c>
      <c r="BB226">
        <v>2.4138199999999999E-2</v>
      </c>
      <c r="BC226">
        <v>2.4107799999999999E-2</v>
      </c>
      <c r="BD226">
        <v>2.5003899999999999E-2</v>
      </c>
      <c r="BE226">
        <v>1.47975E-2</v>
      </c>
      <c r="BF226">
        <v>1.50396E-2</v>
      </c>
      <c r="BG226">
        <v>1.2537599999999999E-2</v>
      </c>
      <c r="BH226">
        <v>1.11565E-2</v>
      </c>
      <c r="BI226">
        <v>1.3835500000000001E-2</v>
      </c>
      <c r="BJ226">
        <v>1.3105800000000001E-2</v>
      </c>
      <c r="BK226">
        <v>9.2025300000000004E-3</v>
      </c>
      <c r="BL226">
        <v>1.17635E-2</v>
      </c>
      <c r="BM226">
        <v>8.5853000000000006E-3</v>
      </c>
      <c r="BN226">
        <v>1.3073599999999999E-2</v>
      </c>
      <c r="BO226">
        <v>1.27353E-2</v>
      </c>
      <c r="BP226">
        <v>1.1632999999999999E-2</v>
      </c>
      <c r="BQ226">
        <v>1.21432E-2</v>
      </c>
      <c r="BR226">
        <v>1.15367E-2</v>
      </c>
      <c r="BS226">
        <v>1.24225E-2</v>
      </c>
      <c r="BT226">
        <v>1.16159E-2</v>
      </c>
      <c r="BU226">
        <v>1.23698E-2</v>
      </c>
      <c r="BV226">
        <v>1.2397E-2</v>
      </c>
      <c r="BW226">
        <v>1.03252E-2</v>
      </c>
      <c r="BX226">
        <v>1.08945E-2</v>
      </c>
      <c r="BY226">
        <v>8.7014199999999996E-3</v>
      </c>
      <c r="BZ226">
        <v>5.6247800000000002E-3</v>
      </c>
      <c r="CA226">
        <v>8.4776899999999995E-3</v>
      </c>
      <c r="CB226">
        <v>4.8997700000000003E-3</v>
      </c>
      <c r="CC226">
        <v>5.3064599999999998E-3</v>
      </c>
      <c r="CD226">
        <v>5.1458600000000004E-3</v>
      </c>
      <c r="CE226">
        <v>2.2193099999999999E-3</v>
      </c>
      <c r="CF226">
        <v>4.1076400000000001E-3</v>
      </c>
      <c r="CG226">
        <v>3.2169799999999999E-3</v>
      </c>
      <c r="CH226">
        <v>3.2843999999999998E-3</v>
      </c>
      <c r="CI226">
        <v>4.0863399999999999E-3</v>
      </c>
      <c r="CJ226">
        <v>2.6279900000000002E-3</v>
      </c>
      <c r="CK226">
        <v>2.7274000000000001E-3</v>
      </c>
      <c r="CL226">
        <v>2.8136699999999999E-3</v>
      </c>
      <c r="CM226">
        <v>2.8968100000000001E-3</v>
      </c>
      <c r="CN226">
        <v>7.9126299999999995E-4</v>
      </c>
      <c r="CO226">
        <v>7.5853200000000002E-4</v>
      </c>
      <c r="CP226">
        <v>1.39215E-3</v>
      </c>
      <c r="CQ226">
        <v>8.9681099999999996E-4</v>
      </c>
      <c r="CR226">
        <v>9.2841099999999997E-4</v>
      </c>
      <c r="CS226">
        <v>1.1825E-3</v>
      </c>
      <c r="CT226">
        <v>5.4742600000000005E-4</v>
      </c>
      <c r="CU226">
        <v>1.01205E-3</v>
      </c>
      <c r="CV226">
        <v>9.3849600000000004E-4</v>
      </c>
      <c r="CW226">
        <v>1.42237E-4</v>
      </c>
      <c r="CX226">
        <v>4.5477899999999999E-4</v>
      </c>
      <c r="CY226">
        <v>5.5671599999999996E-4</v>
      </c>
      <c r="CZ226">
        <v>2.98673E-4</v>
      </c>
      <c r="DA226">
        <v>1.1164599999999999E-4</v>
      </c>
      <c r="DB226" s="1">
        <v>5.3199999999999999E-5</v>
      </c>
      <c r="DC226">
        <v>2.3219199999999999E-4</v>
      </c>
      <c r="DD226">
        <v>2.6745799999999999E-4</v>
      </c>
      <c r="DE226">
        <v>0</v>
      </c>
      <c r="DF226" s="1">
        <v>9.5799999999999998E-5</v>
      </c>
      <c r="DG226">
        <v>0</v>
      </c>
      <c r="DH226">
        <v>0</v>
      </c>
      <c r="DI226">
        <v>0</v>
      </c>
      <c r="DJ226">
        <v>0</v>
      </c>
      <c r="DK226">
        <v>0</v>
      </c>
      <c r="DL226" s="1">
        <v>4.2700000000000001E-5</v>
      </c>
      <c r="DM226">
        <v>0</v>
      </c>
      <c r="DN226">
        <v>0</v>
      </c>
      <c r="DO226">
        <v>0</v>
      </c>
      <c r="DP226">
        <v>0</v>
      </c>
      <c r="DQ226">
        <v>0</v>
      </c>
      <c r="DR226">
        <v>0</v>
      </c>
      <c r="DS226">
        <v>0</v>
      </c>
      <c r="DT226">
        <v>0</v>
      </c>
      <c r="DU226">
        <v>0</v>
      </c>
      <c r="DV226">
        <v>0</v>
      </c>
      <c r="DW226" t="s">
        <v>491</v>
      </c>
    </row>
    <row r="227" spans="1:127" x14ac:dyDescent="0.2">
      <c r="A227">
        <v>1988</v>
      </c>
      <c r="B227">
        <v>7</v>
      </c>
      <c r="C227">
        <v>2</v>
      </c>
      <c r="D227">
        <v>0</v>
      </c>
      <c r="E227">
        <v>0</v>
      </c>
      <c r="F227">
        <v>1597</v>
      </c>
      <c r="G227">
        <v>0</v>
      </c>
      <c r="H227">
        <v>0</v>
      </c>
      <c r="I227">
        <v>0</v>
      </c>
      <c r="J227">
        <v>0</v>
      </c>
      <c r="K227">
        <v>0</v>
      </c>
      <c r="L227">
        <v>0</v>
      </c>
      <c r="M227">
        <v>0</v>
      </c>
      <c r="N227">
        <v>0</v>
      </c>
      <c r="O227">
        <v>0</v>
      </c>
      <c r="P227" s="1">
        <v>5.2800000000000003E-5</v>
      </c>
      <c r="Q227">
        <v>7.8293299999999998E-4</v>
      </c>
      <c r="R227">
        <v>7.4221900000000002E-4</v>
      </c>
      <c r="S227">
        <v>2.8042100000000001E-3</v>
      </c>
      <c r="T227">
        <v>1.3436699999999999E-3</v>
      </c>
      <c r="U227">
        <v>2.82153E-3</v>
      </c>
      <c r="V227">
        <v>2.6310000000000001E-3</v>
      </c>
      <c r="W227">
        <v>2.2894999999999999E-3</v>
      </c>
      <c r="X227">
        <v>4.1921800000000002E-3</v>
      </c>
      <c r="Y227">
        <v>2.80678E-3</v>
      </c>
      <c r="Z227">
        <v>1.84366E-3</v>
      </c>
      <c r="AA227">
        <v>2.6604100000000002E-3</v>
      </c>
      <c r="AB227">
        <v>3.4581099999999999E-3</v>
      </c>
      <c r="AC227">
        <v>4.73245E-3</v>
      </c>
      <c r="AD227">
        <v>6.90567E-3</v>
      </c>
      <c r="AE227">
        <v>7.7268299999999996E-3</v>
      </c>
      <c r="AF227">
        <v>8.7907100000000002E-3</v>
      </c>
      <c r="AG227">
        <v>8.6310399999999995E-3</v>
      </c>
      <c r="AH227">
        <v>1.0972900000000001E-2</v>
      </c>
      <c r="AI227">
        <v>8.3193199999999998E-3</v>
      </c>
      <c r="AJ227">
        <v>1.2512799999999999E-2</v>
      </c>
      <c r="AK227">
        <v>1.21855E-2</v>
      </c>
      <c r="AL227">
        <v>1.3693800000000001E-2</v>
      </c>
      <c r="AM227">
        <v>1.79624E-2</v>
      </c>
      <c r="AN227">
        <v>1.9038099999999999E-2</v>
      </c>
      <c r="AO227">
        <v>2.68697E-2</v>
      </c>
      <c r="AP227">
        <v>2.1550799999999998E-2</v>
      </c>
      <c r="AQ227">
        <v>1.9528299999999998E-2</v>
      </c>
      <c r="AR227">
        <v>2.1060800000000001E-2</v>
      </c>
      <c r="AS227">
        <v>1.41102E-2</v>
      </c>
      <c r="AT227">
        <v>1.8317799999999999E-2</v>
      </c>
      <c r="AU227">
        <v>1.6562E-2</v>
      </c>
      <c r="AV227">
        <v>2.3923900000000001E-2</v>
      </c>
      <c r="AW227">
        <v>2.2225999999999999E-2</v>
      </c>
      <c r="AX227">
        <v>1.9661999999999999E-2</v>
      </c>
      <c r="AY227">
        <v>3.1856799999999998E-2</v>
      </c>
      <c r="AZ227">
        <v>2.76215E-2</v>
      </c>
      <c r="BA227">
        <v>2.9415699999999999E-2</v>
      </c>
      <c r="BB227">
        <v>2.7648499999999999E-2</v>
      </c>
      <c r="BC227">
        <v>2.46311E-2</v>
      </c>
      <c r="BD227">
        <v>3.0775799999999999E-2</v>
      </c>
      <c r="BE227">
        <v>2.6522500000000001E-2</v>
      </c>
      <c r="BF227">
        <v>2.28522E-2</v>
      </c>
      <c r="BG227">
        <v>2.5105100000000002E-2</v>
      </c>
      <c r="BH227">
        <v>2.5195100000000002E-2</v>
      </c>
      <c r="BI227">
        <v>2.59058E-2</v>
      </c>
      <c r="BJ227">
        <v>2.2116899999999998E-2</v>
      </c>
      <c r="BK227">
        <v>2.12994E-2</v>
      </c>
      <c r="BL227">
        <v>2.27102E-2</v>
      </c>
      <c r="BM227">
        <v>1.9253099999999999E-2</v>
      </c>
      <c r="BN227">
        <v>1.9815599999999999E-2</v>
      </c>
      <c r="BO227">
        <v>1.6589599999999999E-2</v>
      </c>
      <c r="BP227">
        <v>2.0598999999999999E-2</v>
      </c>
      <c r="BQ227">
        <v>1.6427899999999999E-2</v>
      </c>
      <c r="BR227">
        <v>1.15578E-2</v>
      </c>
      <c r="BS227">
        <v>1.2387E-2</v>
      </c>
      <c r="BT227">
        <v>9.8883500000000006E-3</v>
      </c>
      <c r="BU227">
        <v>1.37682E-2</v>
      </c>
      <c r="BV227">
        <v>1.0502600000000001E-2</v>
      </c>
      <c r="BW227">
        <v>1.05951E-2</v>
      </c>
      <c r="BX227">
        <v>8.1310600000000007E-3</v>
      </c>
      <c r="BY227">
        <v>1.16317E-2</v>
      </c>
      <c r="BZ227">
        <v>8.39845E-3</v>
      </c>
      <c r="CA227">
        <v>8.3882399999999999E-3</v>
      </c>
      <c r="CB227">
        <v>5.5827899999999998E-3</v>
      </c>
      <c r="CC227">
        <v>7.9488400000000004E-3</v>
      </c>
      <c r="CD227">
        <v>7.1203899999999999E-3</v>
      </c>
      <c r="CE227">
        <v>4.7688899999999996E-3</v>
      </c>
      <c r="CF227">
        <v>4.1928299999999998E-3</v>
      </c>
      <c r="CG227">
        <v>5.4931099999999998E-3</v>
      </c>
      <c r="CH227">
        <v>7.1407800000000002E-3</v>
      </c>
      <c r="CI227">
        <v>6.3297600000000002E-3</v>
      </c>
      <c r="CJ227">
        <v>5.2972899999999996E-3</v>
      </c>
      <c r="CK227">
        <v>3.0463E-3</v>
      </c>
      <c r="CL227">
        <v>3.1016699999999999E-3</v>
      </c>
      <c r="CM227">
        <v>1.2588899999999999E-3</v>
      </c>
      <c r="CN227">
        <v>2.7445299999999998E-3</v>
      </c>
      <c r="CO227">
        <v>1.48985E-3</v>
      </c>
      <c r="CP227">
        <v>7.1099900000000003E-4</v>
      </c>
      <c r="CQ227">
        <v>1.5117900000000001E-3</v>
      </c>
      <c r="CR227">
        <v>2.59454E-4</v>
      </c>
      <c r="CS227">
        <v>1.68111E-3</v>
      </c>
      <c r="CT227">
        <v>2.7373000000000002E-4</v>
      </c>
      <c r="CU227">
        <v>5.6123900000000005E-4</v>
      </c>
      <c r="CV227">
        <v>6.41594E-4</v>
      </c>
      <c r="CW227">
        <v>6.4860799999999995E-4</v>
      </c>
      <c r="CX227">
        <v>5.1484800000000004E-4</v>
      </c>
      <c r="CY227">
        <v>1.01098E-4</v>
      </c>
      <c r="CZ227">
        <v>4.2535700000000001E-4</v>
      </c>
      <c r="DA227">
        <v>7.7447400000000004E-4</v>
      </c>
      <c r="DB227">
        <v>3.1949499999999999E-4</v>
      </c>
      <c r="DC227" s="1">
        <v>7.0599999999999995E-5</v>
      </c>
      <c r="DD227">
        <v>2.8059299999999999E-4</v>
      </c>
      <c r="DE227">
        <v>0</v>
      </c>
      <c r="DF227">
        <v>0</v>
      </c>
      <c r="DG227" s="1">
        <v>2.9799999999999999E-5</v>
      </c>
      <c r="DH227">
        <v>0</v>
      </c>
      <c r="DI227">
        <v>0</v>
      </c>
      <c r="DJ227">
        <v>0</v>
      </c>
      <c r="DK227">
        <v>0</v>
      </c>
      <c r="DL227">
        <v>3.7693699999999999E-4</v>
      </c>
      <c r="DM227">
        <v>0</v>
      </c>
      <c r="DN227">
        <v>0</v>
      </c>
      <c r="DO227">
        <v>0</v>
      </c>
      <c r="DP227">
        <v>0</v>
      </c>
      <c r="DQ227">
        <v>0</v>
      </c>
      <c r="DR227">
        <v>0</v>
      </c>
      <c r="DS227">
        <v>0</v>
      </c>
      <c r="DT227">
        <v>0</v>
      </c>
      <c r="DU227">
        <v>0</v>
      </c>
      <c r="DV227">
        <v>0</v>
      </c>
      <c r="DW227" t="s">
        <v>492</v>
      </c>
    </row>
    <row r="228" spans="1:127" x14ac:dyDescent="0.2">
      <c r="A228">
        <v>1989</v>
      </c>
      <c r="B228">
        <v>7</v>
      </c>
      <c r="C228">
        <v>2</v>
      </c>
      <c r="D228">
        <v>0</v>
      </c>
      <c r="E228">
        <v>0</v>
      </c>
      <c r="F228">
        <v>1187</v>
      </c>
      <c r="G228">
        <v>0</v>
      </c>
      <c r="H228">
        <v>0</v>
      </c>
      <c r="I228">
        <v>0</v>
      </c>
      <c r="J228">
        <v>0</v>
      </c>
      <c r="K228">
        <v>0</v>
      </c>
      <c r="L228">
        <v>0</v>
      </c>
      <c r="M228">
        <v>0</v>
      </c>
      <c r="N228">
        <v>0</v>
      </c>
      <c r="O228">
        <v>2.6170700000000002E-4</v>
      </c>
      <c r="P228">
        <v>2.6170700000000002E-4</v>
      </c>
      <c r="Q228">
        <v>1.88708E-3</v>
      </c>
      <c r="R228">
        <v>4.6891099999999998E-3</v>
      </c>
      <c r="S228">
        <v>3.6472100000000001E-3</v>
      </c>
      <c r="T228">
        <v>6.8869400000000002E-3</v>
      </c>
      <c r="U228">
        <v>8.4972299999999997E-3</v>
      </c>
      <c r="V228">
        <v>1.0612099999999999E-2</v>
      </c>
      <c r="W228">
        <v>1.03585E-2</v>
      </c>
      <c r="X228">
        <v>9.9265699999999991E-3</v>
      </c>
      <c r="Y228">
        <v>6.4662000000000001E-3</v>
      </c>
      <c r="Z228">
        <v>3.86908E-3</v>
      </c>
      <c r="AA228">
        <v>1.8943199999999999E-3</v>
      </c>
      <c r="AB228">
        <v>2.11151E-3</v>
      </c>
      <c r="AC228">
        <v>2.9434800000000001E-3</v>
      </c>
      <c r="AD228">
        <v>3.4445400000000001E-4</v>
      </c>
      <c r="AE228">
        <v>1.50523E-3</v>
      </c>
      <c r="AF228">
        <v>1.53217E-3</v>
      </c>
      <c r="AG228">
        <v>3.4738600000000001E-3</v>
      </c>
      <c r="AH228">
        <v>1.3183299999999999E-3</v>
      </c>
      <c r="AI228">
        <v>3.3140299999999999E-3</v>
      </c>
      <c r="AJ228">
        <v>2.9919500000000002E-3</v>
      </c>
      <c r="AK228">
        <v>2.5772500000000001E-3</v>
      </c>
      <c r="AL228">
        <v>3.2518099999999999E-3</v>
      </c>
      <c r="AM228">
        <v>3.64826E-3</v>
      </c>
      <c r="AN228">
        <v>7.0089899999999997E-3</v>
      </c>
      <c r="AO228">
        <v>3.26246E-3</v>
      </c>
      <c r="AP228">
        <v>1.0608599999999999E-2</v>
      </c>
      <c r="AQ228">
        <v>1.0973200000000001E-2</v>
      </c>
      <c r="AR228">
        <v>1.3991699999999999E-2</v>
      </c>
      <c r="AS228">
        <v>1.14746E-2</v>
      </c>
      <c r="AT228">
        <v>1.2555500000000001E-2</v>
      </c>
      <c r="AU228">
        <v>9.9630099999999996E-3</v>
      </c>
      <c r="AV228">
        <v>1.1495099999999999E-2</v>
      </c>
      <c r="AW228">
        <v>1.1420100000000001E-2</v>
      </c>
      <c r="AX228">
        <v>1.3705E-2</v>
      </c>
      <c r="AY228">
        <v>1.77819E-2</v>
      </c>
      <c r="AZ228">
        <v>1.64207E-2</v>
      </c>
      <c r="BA228">
        <v>1.7536400000000001E-2</v>
      </c>
      <c r="BB228">
        <v>1.8430800000000001E-2</v>
      </c>
      <c r="BC228">
        <v>1.7282700000000002E-2</v>
      </c>
      <c r="BD228">
        <v>1.9944199999999999E-2</v>
      </c>
      <c r="BE228">
        <v>2.5239600000000001E-2</v>
      </c>
      <c r="BF228">
        <v>2.3191799999999999E-2</v>
      </c>
      <c r="BG228">
        <v>2.58544E-2</v>
      </c>
      <c r="BH228">
        <v>2.4528600000000001E-2</v>
      </c>
      <c r="BI228">
        <v>2.3309099999999999E-2</v>
      </c>
      <c r="BJ228">
        <v>3.2708000000000001E-2</v>
      </c>
      <c r="BK228">
        <v>2.91148E-2</v>
      </c>
      <c r="BL228">
        <v>2.16726E-2</v>
      </c>
      <c r="BM228">
        <v>2.2785099999999999E-2</v>
      </c>
      <c r="BN228">
        <v>2.03517E-2</v>
      </c>
      <c r="BO228">
        <v>2.9047199999999999E-2</v>
      </c>
      <c r="BP228">
        <v>1.8671799999999999E-2</v>
      </c>
      <c r="BQ228">
        <v>2.2382300000000001E-2</v>
      </c>
      <c r="BR228">
        <v>2.4165699999999998E-2</v>
      </c>
      <c r="BS228">
        <v>1.81697E-2</v>
      </c>
      <c r="BT228">
        <v>1.6772499999999999E-2</v>
      </c>
      <c r="BU228">
        <v>2.4377800000000002E-2</v>
      </c>
      <c r="BV228">
        <v>2.1399600000000001E-2</v>
      </c>
      <c r="BW228">
        <v>1.36019E-2</v>
      </c>
      <c r="BX228">
        <v>2.00147E-2</v>
      </c>
      <c r="BY228">
        <v>1.0530899999999999E-2</v>
      </c>
      <c r="BZ228">
        <v>1.84613E-2</v>
      </c>
      <c r="CA228">
        <v>2.0139899999999999E-2</v>
      </c>
      <c r="CB228">
        <v>1.6518000000000001E-2</v>
      </c>
      <c r="CC228">
        <v>1.5757699999999999E-2</v>
      </c>
      <c r="CD228">
        <v>1.44957E-2</v>
      </c>
      <c r="CE228">
        <v>1.11527E-2</v>
      </c>
      <c r="CF228">
        <v>1.49731E-2</v>
      </c>
      <c r="CG228">
        <v>1.0837599999999999E-2</v>
      </c>
      <c r="CH228">
        <v>6.3562200000000001E-3</v>
      </c>
      <c r="CI228">
        <v>5.3225800000000004E-3</v>
      </c>
      <c r="CJ228">
        <v>8.4779699999999996E-3</v>
      </c>
      <c r="CK228">
        <v>6.11409E-3</v>
      </c>
      <c r="CL228">
        <v>7.6038700000000004E-3</v>
      </c>
      <c r="CM228">
        <v>8.6882599999999997E-3</v>
      </c>
      <c r="CN228">
        <v>4.1880700000000003E-3</v>
      </c>
      <c r="CO228">
        <v>6.1097599999999997E-3</v>
      </c>
      <c r="CP228">
        <v>4.1827799999999997E-3</v>
      </c>
      <c r="CQ228">
        <v>1.39145E-3</v>
      </c>
      <c r="CR228">
        <v>4.20331E-3</v>
      </c>
      <c r="CS228">
        <v>2.9893599999999999E-3</v>
      </c>
      <c r="CT228">
        <v>1.8375100000000001E-3</v>
      </c>
      <c r="CU228">
        <v>2.3276199999999999E-3</v>
      </c>
      <c r="CV228">
        <v>2.80577E-3</v>
      </c>
      <c r="CW228">
        <v>3.1660400000000002E-3</v>
      </c>
      <c r="CX228">
        <v>1.6512899999999999E-3</v>
      </c>
      <c r="CY228">
        <v>1.0299899999999999E-3</v>
      </c>
      <c r="CZ228">
        <v>2.0261300000000001E-3</v>
      </c>
      <c r="DA228">
        <v>1.1086E-3</v>
      </c>
      <c r="DB228">
        <v>9.6956600000000005E-4</v>
      </c>
      <c r="DC228">
        <v>2.1744500000000001E-3</v>
      </c>
      <c r="DD228" s="1">
        <v>6.0399999999999998E-5</v>
      </c>
      <c r="DE228">
        <v>2.2005100000000001E-3</v>
      </c>
      <c r="DF228">
        <v>6.64001E-4</v>
      </c>
      <c r="DG228">
        <v>0</v>
      </c>
      <c r="DH228">
        <v>0</v>
      </c>
      <c r="DI228">
        <v>0</v>
      </c>
      <c r="DJ228">
        <v>0</v>
      </c>
      <c r="DK228">
        <v>0</v>
      </c>
      <c r="DL228">
        <v>0</v>
      </c>
      <c r="DM228">
        <v>0</v>
      </c>
      <c r="DN228">
        <v>0</v>
      </c>
      <c r="DO228">
        <v>0</v>
      </c>
      <c r="DP228">
        <v>0</v>
      </c>
      <c r="DQ228">
        <v>0</v>
      </c>
      <c r="DR228">
        <v>0</v>
      </c>
      <c r="DS228">
        <v>0</v>
      </c>
      <c r="DT228">
        <v>0</v>
      </c>
      <c r="DU228">
        <v>0</v>
      </c>
      <c r="DV228">
        <v>0</v>
      </c>
      <c r="DW228" t="s">
        <v>493</v>
      </c>
    </row>
    <row r="229" spans="1:127" x14ac:dyDescent="0.2">
      <c r="A229">
        <v>1990</v>
      </c>
      <c r="B229">
        <v>7</v>
      </c>
      <c r="C229">
        <v>2</v>
      </c>
      <c r="D229">
        <v>0</v>
      </c>
      <c r="E229">
        <v>0</v>
      </c>
      <c r="F229">
        <v>1206</v>
      </c>
      <c r="G229">
        <v>0</v>
      </c>
      <c r="H229">
        <v>0</v>
      </c>
      <c r="I229">
        <v>0</v>
      </c>
      <c r="J229">
        <v>0</v>
      </c>
      <c r="K229">
        <v>0</v>
      </c>
      <c r="L229">
        <v>0</v>
      </c>
      <c r="M229">
        <v>0</v>
      </c>
      <c r="N229">
        <v>0</v>
      </c>
      <c r="O229">
        <v>4.5165200000000004E-3</v>
      </c>
      <c r="P229">
        <v>1.2525700000000001E-2</v>
      </c>
      <c r="Q229">
        <v>1.8247699999999999E-2</v>
      </c>
      <c r="R229">
        <v>2.6925899999999999E-2</v>
      </c>
      <c r="S229">
        <v>2.62949E-2</v>
      </c>
      <c r="T229">
        <v>3.2433200000000002E-2</v>
      </c>
      <c r="U229">
        <v>4.1317199999999998E-2</v>
      </c>
      <c r="V229">
        <v>4.54011E-2</v>
      </c>
      <c r="W229">
        <v>3.6038100000000003E-2</v>
      </c>
      <c r="X229">
        <v>2.6254599999999999E-2</v>
      </c>
      <c r="Y229">
        <v>2.0606300000000001E-2</v>
      </c>
      <c r="Z229">
        <v>1.5741100000000001E-2</v>
      </c>
      <c r="AA229">
        <v>1.0004600000000001E-2</v>
      </c>
      <c r="AB229">
        <v>6.1390300000000002E-3</v>
      </c>
      <c r="AC229">
        <v>7.3109899999999998E-3</v>
      </c>
      <c r="AD229">
        <v>7.5471999999999996E-3</v>
      </c>
      <c r="AE229">
        <v>5.8950499999999998E-3</v>
      </c>
      <c r="AF229">
        <v>8.4329699999999997E-3</v>
      </c>
      <c r="AG229">
        <v>1.3504800000000001E-2</v>
      </c>
      <c r="AH229">
        <v>1.3591900000000001E-2</v>
      </c>
      <c r="AI229">
        <v>1.7034899999999999E-2</v>
      </c>
      <c r="AJ229">
        <v>1.8215700000000001E-2</v>
      </c>
      <c r="AK229">
        <v>1.72602E-2</v>
      </c>
      <c r="AL229">
        <v>1.6262599999999999E-2</v>
      </c>
      <c r="AM229">
        <v>2.08045E-2</v>
      </c>
      <c r="AN229">
        <v>2.1763299999999999E-2</v>
      </c>
      <c r="AO229">
        <v>1.401E-2</v>
      </c>
      <c r="AP229">
        <v>1.9947099999999999E-2</v>
      </c>
      <c r="AQ229">
        <v>1.6812400000000002E-2</v>
      </c>
      <c r="AR229">
        <v>1.1780000000000001E-2</v>
      </c>
      <c r="AS229">
        <v>1.00319E-2</v>
      </c>
      <c r="AT229">
        <v>1.1769E-2</v>
      </c>
      <c r="AU229">
        <v>9.0401600000000002E-3</v>
      </c>
      <c r="AV229">
        <v>8.1575799999999993E-3</v>
      </c>
      <c r="AW229">
        <v>6.8862200000000002E-3</v>
      </c>
      <c r="AX229">
        <v>6.6180099999999997E-3</v>
      </c>
      <c r="AY229">
        <v>5.6350699999999998E-3</v>
      </c>
      <c r="AZ229">
        <v>6.3150699999999999E-3</v>
      </c>
      <c r="BA229">
        <v>8.7726799999999997E-3</v>
      </c>
      <c r="BB229">
        <v>6.87019E-3</v>
      </c>
      <c r="BC229">
        <v>7.18931E-3</v>
      </c>
      <c r="BD229">
        <v>4.8658499999999997E-3</v>
      </c>
      <c r="BE229">
        <v>9.0921100000000005E-3</v>
      </c>
      <c r="BF229">
        <v>5.7359200000000003E-3</v>
      </c>
      <c r="BG229">
        <v>1.09877E-2</v>
      </c>
      <c r="BH229">
        <v>9.7186600000000005E-3</v>
      </c>
      <c r="BI229">
        <v>1.21733E-2</v>
      </c>
      <c r="BJ229">
        <v>1.05392E-2</v>
      </c>
      <c r="BK229">
        <v>1.29447E-2</v>
      </c>
      <c r="BL229">
        <v>1.2861900000000001E-2</v>
      </c>
      <c r="BM229">
        <v>1.36166E-2</v>
      </c>
      <c r="BN229">
        <v>1.4951600000000001E-2</v>
      </c>
      <c r="BO229">
        <v>1.56916E-2</v>
      </c>
      <c r="BP229">
        <v>1.5814000000000002E-2</v>
      </c>
      <c r="BQ229">
        <v>1.4020899999999999E-2</v>
      </c>
      <c r="BR229">
        <v>1.40833E-2</v>
      </c>
      <c r="BS229">
        <v>9.7398299999999997E-3</v>
      </c>
      <c r="BT229">
        <v>1.44251E-2</v>
      </c>
      <c r="BU229">
        <v>9.8928799999999997E-3</v>
      </c>
      <c r="BV229">
        <v>1.10014E-2</v>
      </c>
      <c r="BW229">
        <v>6.47614E-3</v>
      </c>
      <c r="BX229">
        <v>1.1531E-2</v>
      </c>
      <c r="BY229">
        <v>7.9752799999999995E-3</v>
      </c>
      <c r="BZ229">
        <v>9.6813300000000001E-3</v>
      </c>
      <c r="CA229">
        <v>9.5796800000000001E-3</v>
      </c>
      <c r="CB229">
        <v>9.4965399999999995E-3</v>
      </c>
      <c r="CC229">
        <v>8.4592899999999995E-3</v>
      </c>
      <c r="CD229">
        <v>5.8457200000000004E-3</v>
      </c>
      <c r="CE229">
        <v>6.83586E-3</v>
      </c>
      <c r="CF229">
        <v>6.8648399999999997E-3</v>
      </c>
      <c r="CG229">
        <v>4.5406999999999999E-3</v>
      </c>
      <c r="CH229">
        <v>6.6179000000000003E-3</v>
      </c>
      <c r="CI229">
        <v>6.7703399999999997E-3</v>
      </c>
      <c r="CJ229">
        <v>1.9239599999999999E-3</v>
      </c>
      <c r="CK229">
        <v>4.2702699999999996E-3</v>
      </c>
      <c r="CL229">
        <v>3.49804E-3</v>
      </c>
      <c r="CM229">
        <v>4.0584000000000002E-3</v>
      </c>
      <c r="CN229">
        <v>3.3663199999999999E-3</v>
      </c>
      <c r="CO229">
        <v>2.0504E-3</v>
      </c>
      <c r="CP229">
        <v>2.0027000000000001E-3</v>
      </c>
      <c r="CQ229">
        <v>3.2614800000000002E-3</v>
      </c>
      <c r="CR229">
        <v>2.1014800000000002E-3</v>
      </c>
      <c r="CS229">
        <v>9.5698500000000004E-4</v>
      </c>
      <c r="CT229">
        <v>7.9742799999999998E-4</v>
      </c>
      <c r="CU229">
        <v>8.0588199999999995E-4</v>
      </c>
      <c r="CV229">
        <v>1.1525400000000001E-3</v>
      </c>
      <c r="CW229">
        <v>2.0138199999999999E-3</v>
      </c>
      <c r="CX229">
        <v>1.7337800000000001E-3</v>
      </c>
      <c r="CY229">
        <v>4.4625399999999999E-4</v>
      </c>
      <c r="CZ229">
        <v>2.6022699999999997E-4</v>
      </c>
      <c r="DA229">
        <v>2.2096600000000001E-4</v>
      </c>
      <c r="DB229">
        <v>8.0076699999999997E-4</v>
      </c>
      <c r="DC229">
        <v>0</v>
      </c>
      <c r="DD229">
        <v>1.0231999999999999E-3</v>
      </c>
      <c r="DE229" s="1">
        <v>7.1400000000000001E-5</v>
      </c>
      <c r="DF229">
        <v>0</v>
      </c>
      <c r="DG229">
        <v>1.7447299999999999E-4</v>
      </c>
      <c r="DH229">
        <v>1.9845999999999999E-4</v>
      </c>
      <c r="DI229" s="1">
        <v>7.4800000000000002E-5</v>
      </c>
      <c r="DJ229">
        <v>0</v>
      </c>
      <c r="DK229">
        <v>0</v>
      </c>
      <c r="DL229">
        <v>0</v>
      </c>
      <c r="DM229">
        <v>0</v>
      </c>
      <c r="DN229">
        <v>0</v>
      </c>
      <c r="DO229">
        <v>0</v>
      </c>
      <c r="DP229">
        <v>0</v>
      </c>
      <c r="DQ229">
        <v>0</v>
      </c>
      <c r="DR229">
        <v>0</v>
      </c>
      <c r="DS229">
        <v>0</v>
      </c>
      <c r="DT229">
        <v>0</v>
      </c>
      <c r="DU229">
        <v>0</v>
      </c>
      <c r="DV229">
        <v>0</v>
      </c>
      <c r="DW229" t="s">
        <v>494</v>
      </c>
    </row>
    <row r="230" spans="1:127" x14ac:dyDescent="0.2">
      <c r="A230">
        <v>1991</v>
      </c>
      <c r="B230">
        <v>7</v>
      </c>
      <c r="C230">
        <v>2</v>
      </c>
      <c r="D230">
        <v>0</v>
      </c>
      <c r="E230">
        <v>0</v>
      </c>
      <c r="F230">
        <v>1178</v>
      </c>
      <c r="G230">
        <v>0</v>
      </c>
      <c r="H230">
        <v>0</v>
      </c>
      <c r="I230">
        <v>0</v>
      </c>
      <c r="J230">
        <v>0</v>
      </c>
      <c r="K230">
        <v>0</v>
      </c>
      <c r="L230">
        <v>0</v>
      </c>
      <c r="M230">
        <v>0</v>
      </c>
      <c r="N230">
        <v>0</v>
      </c>
      <c r="O230">
        <v>8.8608100000000004E-4</v>
      </c>
      <c r="P230">
        <v>4.2660299999999996E-3</v>
      </c>
      <c r="Q230">
        <v>1.2980200000000001E-2</v>
      </c>
      <c r="R230">
        <v>1.55283E-2</v>
      </c>
      <c r="S230">
        <v>1.9349100000000001E-2</v>
      </c>
      <c r="T230">
        <v>1.88608E-2</v>
      </c>
      <c r="U230">
        <v>2.2589999999999999E-2</v>
      </c>
      <c r="V230">
        <v>1.8324400000000001E-2</v>
      </c>
      <c r="W230">
        <v>1.8820099999999999E-2</v>
      </c>
      <c r="X230">
        <v>1.7713699999999999E-2</v>
      </c>
      <c r="Y230">
        <v>1.4784200000000001E-2</v>
      </c>
      <c r="Z230">
        <v>1.8592999999999998E-2</v>
      </c>
      <c r="AA230">
        <v>1.1880399999999999E-2</v>
      </c>
      <c r="AB230">
        <v>9.9299000000000002E-3</v>
      </c>
      <c r="AC230">
        <v>9.9589699999999993E-3</v>
      </c>
      <c r="AD230">
        <v>1.09395E-2</v>
      </c>
      <c r="AE230">
        <v>1.3802200000000001E-2</v>
      </c>
      <c r="AF230">
        <v>1.37115E-2</v>
      </c>
      <c r="AG230">
        <v>2.3240899999999998E-2</v>
      </c>
      <c r="AH230">
        <v>2.68042E-2</v>
      </c>
      <c r="AI230">
        <v>3.7051099999999997E-2</v>
      </c>
      <c r="AJ230">
        <v>3.9632500000000001E-2</v>
      </c>
      <c r="AK230">
        <v>4.4911800000000002E-2</v>
      </c>
      <c r="AL230">
        <v>3.98844E-2</v>
      </c>
      <c r="AM230">
        <v>5.13657E-2</v>
      </c>
      <c r="AN230">
        <v>4.2449899999999999E-2</v>
      </c>
      <c r="AO230">
        <v>3.4586899999999997E-2</v>
      </c>
      <c r="AP230">
        <v>3.5961399999999998E-2</v>
      </c>
      <c r="AQ230">
        <v>2.6938900000000002E-2</v>
      </c>
      <c r="AR230">
        <v>2.3794900000000001E-2</v>
      </c>
      <c r="AS230">
        <v>1.9620800000000001E-2</v>
      </c>
      <c r="AT230">
        <v>1.6309299999999999E-2</v>
      </c>
      <c r="AU230">
        <v>1.16553E-2</v>
      </c>
      <c r="AV230">
        <v>9.4340899999999991E-3</v>
      </c>
      <c r="AW230">
        <v>8.69902E-3</v>
      </c>
      <c r="AX230">
        <v>8.3325499999999993E-3</v>
      </c>
      <c r="AY230">
        <v>7.0602699999999996E-3</v>
      </c>
      <c r="AZ230">
        <v>8.4502099999999997E-3</v>
      </c>
      <c r="BA230">
        <v>7.2146099999999998E-3</v>
      </c>
      <c r="BB230">
        <v>8.5054599999999994E-3</v>
      </c>
      <c r="BC230">
        <v>1.0233600000000001E-2</v>
      </c>
      <c r="BD230">
        <v>6.6954800000000002E-3</v>
      </c>
      <c r="BE230">
        <v>8.4646700000000005E-3</v>
      </c>
      <c r="BF230">
        <v>5.7459399999999997E-3</v>
      </c>
      <c r="BG230">
        <v>9.9355699999999995E-3</v>
      </c>
      <c r="BH230">
        <v>1.2230899999999999E-2</v>
      </c>
      <c r="BI230">
        <v>7.9358099999999997E-3</v>
      </c>
      <c r="BJ230">
        <v>1.0319999999999999E-2</v>
      </c>
      <c r="BK230">
        <v>5.5693299999999999E-3</v>
      </c>
      <c r="BL230">
        <v>4.8017499999999996E-3</v>
      </c>
      <c r="BM230">
        <v>5.7418199999999999E-3</v>
      </c>
      <c r="BN230">
        <v>5.7090300000000004E-3</v>
      </c>
      <c r="BO230">
        <v>4.7196900000000003E-3</v>
      </c>
      <c r="BP230">
        <v>7.1091399999999999E-3</v>
      </c>
      <c r="BQ230">
        <v>6.3376400000000003E-3</v>
      </c>
      <c r="BR230">
        <v>5.8702199999999998E-3</v>
      </c>
      <c r="BS230">
        <v>3.5992699999999999E-3</v>
      </c>
      <c r="BT230">
        <v>6.1518800000000002E-3</v>
      </c>
      <c r="BU230">
        <v>5.6602299999999996E-3</v>
      </c>
      <c r="BV230">
        <v>6.64177E-3</v>
      </c>
      <c r="BW230">
        <v>6.3347999999999998E-3</v>
      </c>
      <c r="BX230">
        <v>6.6153599999999998E-3</v>
      </c>
      <c r="BY230">
        <v>4.5568900000000001E-3</v>
      </c>
      <c r="BZ230">
        <v>4.3036999999999997E-3</v>
      </c>
      <c r="CA230">
        <v>3.4971400000000001E-3</v>
      </c>
      <c r="CB230">
        <v>5.6738700000000001E-3</v>
      </c>
      <c r="CC230">
        <v>4.4952600000000001E-3</v>
      </c>
      <c r="CD230">
        <v>3.83205E-3</v>
      </c>
      <c r="CE230">
        <v>1.92505E-3</v>
      </c>
      <c r="CF230">
        <v>2.2694500000000001E-3</v>
      </c>
      <c r="CG230">
        <v>2.62488E-3</v>
      </c>
      <c r="CH230">
        <v>2.95663E-3</v>
      </c>
      <c r="CI230">
        <v>4.5834700000000001E-3</v>
      </c>
      <c r="CJ230">
        <v>3.2949799999999999E-3</v>
      </c>
      <c r="CK230">
        <v>3.0625299999999999E-3</v>
      </c>
      <c r="CL230">
        <v>1.7626899999999999E-3</v>
      </c>
      <c r="CM230">
        <v>1.78802E-3</v>
      </c>
      <c r="CN230">
        <v>1.1626799999999999E-3</v>
      </c>
      <c r="CO230">
        <v>1.8631699999999999E-3</v>
      </c>
      <c r="CP230">
        <v>1.00402E-3</v>
      </c>
      <c r="CQ230">
        <v>1.05733E-3</v>
      </c>
      <c r="CR230">
        <v>8.07317E-4</v>
      </c>
      <c r="CS230">
        <v>5.1772099999999996E-4</v>
      </c>
      <c r="CT230">
        <v>7.6689E-4</v>
      </c>
      <c r="CU230">
        <v>5.4665200000000001E-4</v>
      </c>
      <c r="CV230">
        <v>1.9788E-4</v>
      </c>
      <c r="CW230">
        <v>8.3704199999999997E-4</v>
      </c>
      <c r="CX230">
        <v>1.0423100000000001E-3</v>
      </c>
      <c r="CY230">
        <v>4.30961E-4</v>
      </c>
      <c r="CZ230">
        <v>2.8456E-4</v>
      </c>
      <c r="DA230">
        <v>3.7993800000000002E-4</v>
      </c>
      <c r="DB230">
        <v>0</v>
      </c>
      <c r="DC230" s="1">
        <v>6.6600000000000006E-5</v>
      </c>
      <c r="DD230" s="1">
        <v>4.2400000000000001E-5</v>
      </c>
      <c r="DE230">
        <v>7.6211599999999997E-4</v>
      </c>
      <c r="DF230">
        <v>1.13157E-4</v>
      </c>
      <c r="DG230" s="1">
        <v>5.8199999999999998E-5</v>
      </c>
      <c r="DH230">
        <v>1.86064E-4</v>
      </c>
      <c r="DI230">
        <v>0</v>
      </c>
      <c r="DJ230">
        <v>0</v>
      </c>
      <c r="DK230">
        <v>0</v>
      </c>
      <c r="DL230">
        <v>0</v>
      </c>
      <c r="DM230">
        <v>0</v>
      </c>
      <c r="DN230">
        <v>0</v>
      </c>
      <c r="DO230">
        <v>0</v>
      </c>
      <c r="DP230">
        <v>0</v>
      </c>
      <c r="DQ230">
        <v>0</v>
      </c>
      <c r="DR230">
        <v>0</v>
      </c>
      <c r="DS230">
        <v>0</v>
      </c>
      <c r="DT230">
        <v>0</v>
      </c>
      <c r="DU230">
        <v>0</v>
      </c>
      <c r="DV230">
        <v>0</v>
      </c>
      <c r="DW230" t="s">
        <v>495</v>
      </c>
    </row>
    <row r="231" spans="1:127" x14ac:dyDescent="0.2">
      <c r="A231">
        <v>1992</v>
      </c>
      <c r="B231">
        <v>7</v>
      </c>
      <c r="C231">
        <v>2</v>
      </c>
      <c r="D231">
        <v>0</v>
      </c>
      <c r="E231">
        <v>0</v>
      </c>
      <c r="F231">
        <v>802</v>
      </c>
      <c r="G231">
        <v>0</v>
      </c>
      <c r="H231">
        <v>0</v>
      </c>
      <c r="I231">
        <v>0</v>
      </c>
      <c r="J231">
        <v>0</v>
      </c>
      <c r="K231">
        <v>0</v>
      </c>
      <c r="L231">
        <v>0</v>
      </c>
      <c r="M231">
        <v>0</v>
      </c>
      <c r="N231">
        <v>0</v>
      </c>
      <c r="O231">
        <v>0</v>
      </c>
      <c r="P231" s="1">
        <v>7.5300000000000001E-5</v>
      </c>
      <c r="Q231">
        <v>1.7359700000000001E-3</v>
      </c>
      <c r="R231">
        <v>8.4537299999999996E-3</v>
      </c>
      <c r="S231">
        <v>1.9100200000000001E-2</v>
      </c>
      <c r="T231">
        <v>1.9823E-2</v>
      </c>
      <c r="U231">
        <v>1.8186000000000001E-2</v>
      </c>
      <c r="V231">
        <v>1.5624600000000001E-2</v>
      </c>
      <c r="W231">
        <v>2.05702E-2</v>
      </c>
      <c r="X231">
        <v>2.30052E-2</v>
      </c>
      <c r="Y231">
        <v>2.4267199999999999E-2</v>
      </c>
      <c r="Z231">
        <v>2.5686E-2</v>
      </c>
      <c r="AA231">
        <v>2.23299E-2</v>
      </c>
      <c r="AB231">
        <v>2.34755E-2</v>
      </c>
      <c r="AC231">
        <v>1.1672699999999999E-2</v>
      </c>
      <c r="AD231">
        <v>1.23786E-2</v>
      </c>
      <c r="AE231">
        <v>1.4127199999999999E-2</v>
      </c>
      <c r="AF231">
        <v>1.9147899999999999E-2</v>
      </c>
      <c r="AG231">
        <v>2.7649E-2</v>
      </c>
      <c r="AH231">
        <v>2.9994900000000001E-2</v>
      </c>
      <c r="AI231">
        <v>3.1527600000000003E-2</v>
      </c>
      <c r="AJ231">
        <v>3.6413000000000001E-2</v>
      </c>
      <c r="AK231">
        <v>3.87225E-2</v>
      </c>
      <c r="AL231">
        <v>3.6292199999999997E-2</v>
      </c>
      <c r="AM231">
        <v>3.2319000000000001E-2</v>
      </c>
      <c r="AN231">
        <v>3.1574499999999998E-2</v>
      </c>
      <c r="AO231">
        <v>2.52555E-2</v>
      </c>
      <c r="AP231">
        <v>2.2649599999999999E-2</v>
      </c>
      <c r="AQ231">
        <v>1.8458700000000001E-2</v>
      </c>
      <c r="AR231">
        <v>1.5573200000000001E-2</v>
      </c>
      <c r="AS231">
        <v>1.31021E-2</v>
      </c>
      <c r="AT231">
        <v>1.8955400000000001E-2</v>
      </c>
      <c r="AU231">
        <v>1.5136999999999999E-2</v>
      </c>
      <c r="AV231">
        <v>2.23942E-2</v>
      </c>
      <c r="AW231">
        <v>1.9536100000000001E-2</v>
      </c>
      <c r="AX231">
        <v>2.2799099999999999E-2</v>
      </c>
      <c r="AY231">
        <v>2.5152999999999998E-2</v>
      </c>
      <c r="AZ231">
        <v>1.9271E-2</v>
      </c>
      <c r="BA231">
        <v>1.9177199999999998E-2</v>
      </c>
      <c r="BB231">
        <v>1.6677000000000001E-2</v>
      </c>
      <c r="BC231">
        <v>1.4746499999999999E-2</v>
      </c>
      <c r="BD231">
        <v>1.5916E-2</v>
      </c>
      <c r="BE231">
        <v>1.2345200000000001E-2</v>
      </c>
      <c r="BF231">
        <v>1.10676E-2</v>
      </c>
      <c r="BG231">
        <v>9.1819899999999992E-3</v>
      </c>
      <c r="BH231">
        <v>8.1182000000000008E-3</v>
      </c>
      <c r="BI231">
        <v>5.8734599999999996E-3</v>
      </c>
      <c r="BJ231">
        <v>6.52171E-3</v>
      </c>
      <c r="BK231">
        <v>3.0604400000000002E-3</v>
      </c>
      <c r="BL231">
        <v>4.4145800000000004E-3</v>
      </c>
      <c r="BM231">
        <v>5.2646799999999999E-3</v>
      </c>
      <c r="BN231">
        <v>5.2938200000000003E-3</v>
      </c>
      <c r="BO231">
        <v>6.8858499999999998E-3</v>
      </c>
      <c r="BP231">
        <v>4.6758700000000004E-3</v>
      </c>
      <c r="BQ231">
        <v>3.6305700000000001E-3</v>
      </c>
      <c r="BR231">
        <v>2.6797000000000001E-3</v>
      </c>
      <c r="BS231">
        <v>3.2132300000000001E-3</v>
      </c>
      <c r="BT231">
        <v>3.1377200000000001E-3</v>
      </c>
      <c r="BU231">
        <v>4.9227699999999999E-3</v>
      </c>
      <c r="BV231">
        <v>3.6960600000000001E-3</v>
      </c>
      <c r="BW231">
        <v>3.34966E-3</v>
      </c>
      <c r="BX231">
        <v>2.5123799999999998E-3</v>
      </c>
      <c r="BY231">
        <v>1.4966199999999999E-3</v>
      </c>
      <c r="BZ231">
        <v>2.2722799999999998E-3</v>
      </c>
      <c r="CA231">
        <v>2.4160900000000001E-3</v>
      </c>
      <c r="CB231">
        <v>2.1627199999999999E-3</v>
      </c>
      <c r="CC231">
        <v>1.6979899999999999E-3</v>
      </c>
      <c r="CD231">
        <v>2.5601399999999998E-3</v>
      </c>
      <c r="CE231">
        <v>1.5458500000000001E-3</v>
      </c>
      <c r="CF231">
        <v>1.83826E-3</v>
      </c>
      <c r="CG231">
        <v>2.5545099999999999E-3</v>
      </c>
      <c r="CH231">
        <v>2.96656E-3</v>
      </c>
      <c r="CI231">
        <v>1.46575E-3</v>
      </c>
      <c r="CJ231">
        <v>1.7934699999999999E-3</v>
      </c>
      <c r="CK231">
        <v>1.51093E-3</v>
      </c>
      <c r="CL231">
        <v>1.1812700000000001E-3</v>
      </c>
      <c r="CM231">
        <v>1.31773E-3</v>
      </c>
      <c r="CN231">
        <v>1.45283E-3</v>
      </c>
      <c r="CO231">
        <v>6.7243499999999998E-4</v>
      </c>
      <c r="CP231">
        <v>9.9668900000000004E-4</v>
      </c>
      <c r="CQ231">
        <v>7.5747399999999995E-4</v>
      </c>
      <c r="CR231">
        <v>1.30047E-3</v>
      </c>
      <c r="CS231">
        <v>5.5380100000000003E-4</v>
      </c>
      <c r="CT231">
        <v>7.1366799999999998E-4</v>
      </c>
      <c r="CU231">
        <v>6.9786499999999999E-4</v>
      </c>
      <c r="CV231">
        <v>4.47615E-4</v>
      </c>
      <c r="CW231">
        <v>7.1675199999999997E-4</v>
      </c>
      <c r="CX231">
        <v>8.2314499999999995E-4</v>
      </c>
      <c r="CY231">
        <v>2.9042800000000002E-4</v>
      </c>
      <c r="CZ231">
        <v>9.2492200000000001E-4</v>
      </c>
      <c r="DA231">
        <v>1.65694E-4</v>
      </c>
      <c r="DB231">
        <v>4.19462E-4</v>
      </c>
      <c r="DC231">
        <v>2.9331600000000001E-4</v>
      </c>
      <c r="DD231">
        <v>2.77392E-4</v>
      </c>
      <c r="DE231">
        <v>2.7531399999999997E-4</v>
      </c>
      <c r="DF231">
        <v>2.64849E-4</v>
      </c>
      <c r="DG231">
        <v>1.1663E-4</v>
      </c>
      <c r="DH231" s="1">
        <v>5.2099999999999999E-5</v>
      </c>
      <c r="DI231" s="1">
        <v>6.1600000000000007E-5</v>
      </c>
      <c r="DJ231">
        <v>0</v>
      </c>
      <c r="DK231" s="1">
        <v>4.6300000000000001E-5</v>
      </c>
      <c r="DL231">
        <v>0</v>
      </c>
      <c r="DM231" s="1">
        <v>4.7299999999999998E-5</v>
      </c>
      <c r="DN231">
        <v>0</v>
      </c>
      <c r="DO231">
        <v>0</v>
      </c>
      <c r="DP231">
        <v>0</v>
      </c>
      <c r="DQ231">
        <v>0</v>
      </c>
      <c r="DR231">
        <v>0</v>
      </c>
      <c r="DS231" s="1">
        <v>5.27E-5</v>
      </c>
      <c r="DT231">
        <v>0</v>
      </c>
      <c r="DU231">
        <v>0</v>
      </c>
      <c r="DV231">
        <v>0</v>
      </c>
      <c r="DW231" t="s">
        <v>496</v>
      </c>
    </row>
    <row r="232" spans="1:127" x14ac:dyDescent="0.2">
      <c r="A232">
        <v>1993</v>
      </c>
      <c r="B232">
        <v>7</v>
      </c>
      <c r="C232">
        <v>2</v>
      </c>
      <c r="D232">
        <v>0</v>
      </c>
      <c r="E232">
        <v>0</v>
      </c>
      <c r="F232">
        <v>787</v>
      </c>
      <c r="G232">
        <v>0</v>
      </c>
      <c r="H232">
        <v>0</v>
      </c>
      <c r="I232">
        <v>0</v>
      </c>
      <c r="J232">
        <v>0</v>
      </c>
      <c r="K232">
        <v>0</v>
      </c>
      <c r="L232">
        <v>0</v>
      </c>
      <c r="M232">
        <v>0</v>
      </c>
      <c r="N232" s="1">
        <v>7.1500000000000003E-5</v>
      </c>
      <c r="O232">
        <v>2.3645900000000001E-4</v>
      </c>
      <c r="P232">
        <v>2.7978899999999999E-3</v>
      </c>
      <c r="Q232">
        <v>7.7679100000000003E-3</v>
      </c>
      <c r="R232">
        <v>1.8350200000000001E-2</v>
      </c>
      <c r="S232">
        <v>4.0828000000000003E-2</v>
      </c>
      <c r="T232">
        <v>2.8181600000000001E-2</v>
      </c>
      <c r="U232">
        <v>3.88096E-2</v>
      </c>
      <c r="V232">
        <v>3.4032800000000002E-2</v>
      </c>
      <c r="W232">
        <v>3.0769399999999999E-2</v>
      </c>
      <c r="X232">
        <v>3.05689E-2</v>
      </c>
      <c r="Y232">
        <v>3.3051700000000003E-2</v>
      </c>
      <c r="Z232">
        <v>2.98433E-2</v>
      </c>
      <c r="AA232">
        <v>3.0783600000000001E-2</v>
      </c>
      <c r="AB232">
        <v>2.0625500000000001E-2</v>
      </c>
      <c r="AC232">
        <v>1.2854000000000001E-2</v>
      </c>
      <c r="AD232">
        <v>9.3248800000000007E-3</v>
      </c>
      <c r="AE232">
        <v>5.89004E-3</v>
      </c>
      <c r="AF232">
        <v>5.3256299999999996E-3</v>
      </c>
      <c r="AG232">
        <v>6.37231E-3</v>
      </c>
      <c r="AH232">
        <v>8.28074E-3</v>
      </c>
      <c r="AI232">
        <v>9.03436E-3</v>
      </c>
      <c r="AJ232">
        <v>1.6642199999999999E-2</v>
      </c>
      <c r="AK232">
        <v>1.98376E-2</v>
      </c>
      <c r="AL232">
        <v>2.23381E-2</v>
      </c>
      <c r="AM232">
        <v>2.7878300000000002E-2</v>
      </c>
      <c r="AN232">
        <v>3.0338299999999999E-2</v>
      </c>
      <c r="AO232">
        <v>2.2973400000000001E-2</v>
      </c>
      <c r="AP232">
        <v>2.3585800000000001E-2</v>
      </c>
      <c r="AQ232">
        <v>2.1736499999999999E-2</v>
      </c>
      <c r="AR232">
        <v>1.88042E-2</v>
      </c>
      <c r="AS232">
        <v>1.46348E-2</v>
      </c>
      <c r="AT232">
        <v>1.54447E-2</v>
      </c>
      <c r="AU232">
        <v>1.76668E-2</v>
      </c>
      <c r="AV232">
        <v>1.7636599999999999E-2</v>
      </c>
      <c r="AW232">
        <v>2.12356E-2</v>
      </c>
      <c r="AX232">
        <v>2.1247700000000001E-2</v>
      </c>
      <c r="AY232">
        <v>2.2473300000000002E-2</v>
      </c>
      <c r="AZ232">
        <v>2.5975100000000001E-2</v>
      </c>
      <c r="BA232">
        <v>1.98523E-2</v>
      </c>
      <c r="BB232">
        <v>1.7801500000000001E-2</v>
      </c>
      <c r="BC232">
        <v>1.8502299999999999E-2</v>
      </c>
      <c r="BD232">
        <v>1.52202E-2</v>
      </c>
      <c r="BE232">
        <v>1.4471899999999999E-2</v>
      </c>
      <c r="BF232">
        <v>1.23842E-2</v>
      </c>
      <c r="BG232">
        <v>1.08872E-2</v>
      </c>
      <c r="BH232">
        <v>1.1327500000000001E-2</v>
      </c>
      <c r="BI232">
        <v>1.03277E-2</v>
      </c>
      <c r="BJ232">
        <v>8.4349000000000004E-3</v>
      </c>
      <c r="BK232">
        <v>6.1004199999999996E-3</v>
      </c>
      <c r="BL232">
        <v>6.3441699999999997E-3</v>
      </c>
      <c r="BM232">
        <v>7.5648099999999999E-3</v>
      </c>
      <c r="BN232">
        <v>6.3224700000000002E-3</v>
      </c>
      <c r="BO232">
        <v>5.4125700000000002E-3</v>
      </c>
      <c r="BP232">
        <v>5.5331099999999999E-3</v>
      </c>
      <c r="BQ232">
        <v>5.0289999999999996E-3</v>
      </c>
      <c r="BR232">
        <v>3.4259E-3</v>
      </c>
      <c r="BS232">
        <v>6.3458200000000003E-3</v>
      </c>
      <c r="BT232">
        <v>3.5123300000000001E-3</v>
      </c>
      <c r="BU232">
        <v>3.4885099999999998E-3</v>
      </c>
      <c r="BV232">
        <v>5.8806199999999996E-3</v>
      </c>
      <c r="BW232">
        <v>2.71003E-3</v>
      </c>
      <c r="BX232">
        <v>2.6943000000000002E-3</v>
      </c>
      <c r="BY232">
        <v>1.3792100000000001E-3</v>
      </c>
      <c r="BZ232">
        <v>1.4199099999999999E-3</v>
      </c>
      <c r="CA232">
        <v>1.4828300000000001E-3</v>
      </c>
      <c r="CB232">
        <v>1.3672999999999999E-3</v>
      </c>
      <c r="CC232">
        <v>1.5642399999999999E-3</v>
      </c>
      <c r="CD232">
        <v>1.1643599999999999E-3</v>
      </c>
      <c r="CE232">
        <v>1.11659E-3</v>
      </c>
      <c r="CF232">
        <v>1.0168200000000001E-3</v>
      </c>
      <c r="CG232">
        <v>1.1608199999999999E-3</v>
      </c>
      <c r="CH232">
        <v>1.2090899999999999E-3</v>
      </c>
      <c r="CI232">
        <v>1.0663999999999999E-3</v>
      </c>
      <c r="CJ232">
        <v>8.8090300000000005E-4</v>
      </c>
      <c r="CK232">
        <v>4.5490100000000001E-4</v>
      </c>
      <c r="CL232">
        <v>1.14241E-3</v>
      </c>
      <c r="CM232">
        <v>9.8538399999999996E-4</v>
      </c>
      <c r="CN232">
        <v>4.0825900000000001E-4</v>
      </c>
      <c r="CO232">
        <v>6.7709200000000002E-4</v>
      </c>
      <c r="CP232">
        <v>7.4438100000000001E-4</v>
      </c>
      <c r="CQ232">
        <v>7.1774999999999996E-4</v>
      </c>
      <c r="CR232">
        <v>3.8376000000000003E-4</v>
      </c>
      <c r="CS232">
        <v>3.21541E-4</v>
      </c>
      <c r="CT232">
        <v>3.5227000000000001E-4</v>
      </c>
      <c r="CU232">
        <v>7.0892299999999998E-4</v>
      </c>
      <c r="CV232">
        <v>2.4094000000000001E-4</v>
      </c>
      <c r="CW232">
        <v>6.7261700000000003E-4</v>
      </c>
      <c r="CX232">
        <v>4.7567799999999999E-4</v>
      </c>
      <c r="CY232">
        <v>4.4990600000000003E-4</v>
      </c>
      <c r="CZ232">
        <v>3.48248E-4</v>
      </c>
      <c r="DA232">
        <v>3.3890100000000001E-4</v>
      </c>
      <c r="DB232">
        <v>1.21864E-4</v>
      </c>
      <c r="DC232">
        <v>1.92404E-4</v>
      </c>
      <c r="DD232">
        <v>1.7811300000000001E-4</v>
      </c>
      <c r="DE232" s="1">
        <v>6.1099999999999994E-5</v>
      </c>
      <c r="DF232">
        <v>8.1463800000000002E-4</v>
      </c>
      <c r="DG232">
        <v>2.3835100000000001E-4</v>
      </c>
      <c r="DH232">
        <v>0</v>
      </c>
      <c r="DI232" s="1">
        <v>9.5199999999999997E-5</v>
      </c>
      <c r="DJ232" s="1">
        <v>2.7100000000000001E-5</v>
      </c>
      <c r="DK232">
        <v>0</v>
      </c>
      <c r="DL232" s="1">
        <v>2.8799999999999999E-5</v>
      </c>
      <c r="DM232">
        <v>0</v>
      </c>
      <c r="DN232" s="1">
        <v>2.8600000000000001E-5</v>
      </c>
      <c r="DO232">
        <v>0</v>
      </c>
      <c r="DP232">
        <v>0</v>
      </c>
      <c r="DQ232">
        <v>1.3940299999999999E-4</v>
      </c>
      <c r="DR232">
        <v>0</v>
      </c>
      <c r="DS232">
        <v>0</v>
      </c>
      <c r="DT232">
        <v>0</v>
      </c>
      <c r="DU232">
        <v>0</v>
      </c>
      <c r="DV232">
        <v>0</v>
      </c>
      <c r="DW232" t="s">
        <v>497</v>
      </c>
    </row>
    <row r="233" spans="1:127" x14ac:dyDescent="0.2">
      <c r="A233">
        <v>1994</v>
      </c>
      <c r="B233">
        <v>7</v>
      </c>
      <c r="C233">
        <v>2</v>
      </c>
      <c r="D233">
        <v>0</v>
      </c>
      <c r="E233">
        <v>0</v>
      </c>
      <c r="F233">
        <v>1296</v>
      </c>
      <c r="G233">
        <v>0</v>
      </c>
      <c r="H233">
        <v>0</v>
      </c>
      <c r="I233">
        <v>0</v>
      </c>
      <c r="J233">
        <v>0</v>
      </c>
      <c r="K233">
        <v>0</v>
      </c>
      <c r="L233">
        <v>0</v>
      </c>
      <c r="M233">
        <v>0</v>
      </c>
      <c r="N233">
        <v>0</v>
      </c>
      <c r="O233">
        <v>2.36469E-4</v>
      </c>
      <c r="P233">
        <v>7.0697800000000003E-4</v>
      </c>
      <c r="Q233">
        <v>3.86513E-4</v>
      </c>
      <c r="R233">
        <v>1.8931499999999999E-3</v>
      </c>
      <c r="S233">
        <v>2.97876E-3</v>
      </c>
      <c r="T233">
        <v>5.4575400000000003E-3</v>
      </c>
      <c r="U233">
        <v>6.4927099999999996E-3</v>
      </c>
      <c r="V233">
        <v>7.08605E-3</v>
      </c>
      <c r="W233">
        <v>7.1364599999999999E-3</v>
      </c>
      <c r="X233">
        <v>8.3208199999999996E-3</v>
      </c>
      <c r="Y233">
        <v>9.75554E-3</v>
      </c>
      <c r="Z233">
        <v>7.9216000000000009E-3</v>
      </c>
      <c r="AA233">
        <v>7.4197000000000004E-3</v>
      </c>
      <c r="AB233">
        <v>6.6618800000000002E-3</v>
      </c>
      <c r="AC233">
        <v>9.7428600000000008E-3</v>
      </c>
      <c r="AD233">
        <v>8.9130300000000006E-3</v>
      </c>
      <c r="AE233">
        <v>1.2915899999999999E-2</v>
      </c>
      <c r="AF233">
        <v>1.1587E-2</v>
      </c>
      <c r="AG233">
        <v>1.53899E-2</v>
      </c>
      <c r="AH233">
        <v>2.3371300000000001E-2</v>
      </c>
      <c r="AI233">
        <v>3.12599E-2</v>
      </c>
      <c r="AJ233">
        <v>4.0053100000000001E-2</v>
      </c>
      <c r="AK233">
        <v>4.6176500000000002E-2</v>
      </c>
      <c r="AL233">
        <v>5.2542499999999999E-2</v>
      </c>
      <c r="AM233">
        <v>5.4924000000000001E-2</v>
      </c>
      <c r="AN233">
        <v>4.8203999999999997E-2</v>
      </c>
      <c r="AO233">
        <v>4.5957100000000001E-2</v>
      </c>
      <c r="AP233">
        <v>3.3669699999999997E-2</v>
      </c>
      <c r="AQ233">
        <v>2.5923100000000001E-2</v>
      </c>
      <c r="AR233">
        <v>2.0651699999999999E-2</v>
      </c>
      <c r="AS233">
        <v>1.4076999999999999E-2</v>
      </c>
      <c r="AT233">
        <v>8.3266599999999996E-3</v>
      </c>
      <c r="AU233">
        <v>9.4699499999999995E-3</v>
      </c>
      <c r="AV233">
        <v>8.2033899999999996E-3</v>
      </c>
      <c r="AW233">
        <v>1.5825200000000001E-2</v>
      </c>
      <c r="AX233">
        <v>1.34471E-2</v>
      </c>
      <c r="AY233">
        <v>1.1796600000000001E-2</v>
      </c>
      <c r="AZ233">
        <v>1.6583799999999999E-2</v>
      </c>
      <c r="BA233">
        <v>1.8223799999999998E-2</v>
      </c>
      <c r="BB233">
        <v>1.8828500000000001E-2</v>
      </c>
      <c r="BC233">
        <v>2.1410700000000001E-2</v>
      </c>
      <c r="BD233">
        <v>1.2322400000000001E-2</v>
      </c>
      <c r="BE233">
        <v>1.34918E-2</v>
      </c>
      <c r="BF233">
        <v>1.6381E-2</v>
      </c>
      <c r="BG233">
        <v>1.34673E-2</v>
      </c>
      <c r="BH233">
        <v>1.29164E-2</v>
      </c>
      <c r="BI233">
        <v>1.2474300000000001E-2</v>
      </c>
      <c r="BJ233">
        <v>1.56071E-2</v>
      </c>
      <c r="BK233">
        <v>1.7900599999999999E-2</v>
      </c>
      <c r="BL233">
        <v>1.7959900000000001E-2</v>
      </c>
      <c r="BM233">
        <v>1.1574299999999999E-2</v>
      </c>
      <c r="BN233">
        <v>1.55301E-2</v>
      </c>
      <c r="BO233">
        <v>1.09417E-2</v>
      </c>
      <c r="BP233">
        <v>1.44869E-2</v>
      </c>
      <c r="BQ233">
        <v>1.16011E-2</v>
      </c>
      <c r="BR233">
        <v>1.2773899999999999E-2</v>
      </c>
      <c r="BS233">
        <v>1.13449E-2</v>
      </c>
      <c r="BT233">
        <v>9.0604599999999993E-3</v>
      </c>
      <c r="BU233">
        <v>5.9532999999999999E-3</v>
      </c>
      <c r="BV233">
        <v>9.4488000000000003E-3</v>
      </c>
      <c r="BW233">
        <v>4.3862099999999998E-3</v>
      </c>
      <c r="BX233">
        <v>7.2751300000000003E-3</v>
      </c>
      <c r="BY233">
        <v>3.4872900000000001E-3</v>
      </c>
      <c r="BZ233">
        <v>4.7515400000000003E-3</v>
      </c>
      <c r="CA233">
        <v>2.13488E-3</v>
      </c>
      <c r="CB233">
        <v>2.8679500000000002E-3</v>
      </c>
      <c r="CC233">
        <v>1.4051599999999999E-3</v>
      </c>
      <c r="CD233">
        <v>2.1201800000000002E-3</v>
      </c>
      <c r="CE233">
        <v>9.3313900000000004E-4</v>
      </c>
      <c r="CF233">
        <v>1.5307999999999999E-3</v>
      </c>
      <c r="CG233">
        <v>6.4638300000000005E-4</v>
      </c>
      <c r="CH233">
        <v>6.3324500000000005E-4</v>
      </c>
      <c r="CI233">
        <v>7.3982900000000001E-4</v>
      </c>
      <c r="CJ233">
        <v>9.1210599999999998E-4</v>
      </c>
      <c r="CK233">
        <v>3.7366599999999998E-4</v>
      </c>
      <c r="CL233">
        <v>6.3954799999999998E-4</v>
      </c>
      <c r="CM233">
        <v>5.7537500000000004E-4</v>
      </c>
      <c r="CN233">
        <v>6.4627E-4</v>
      </c>
      <c r="CO233">
        <v>4.79786E-4</v>
      </c>
      <c r="CP233">
        <v>2.7175300000000001E-4</v>
      </c>
      <c r="CQ233">
        <v>4.3450299999999998E-4</v>
      </c>
      <c r="CR233">
        <v>2.47379E-3</v>
      </c>
      <c r="CS233">
        <v>9.2925699999999996E-4</v>
      </c>
      <c r="CT233">
        <v>6.5868000000000003E-4</v>
      </c>
      <c r="CU233">
        <v>1.8807000000000001E-4</v>
      </c>
      <c r="CV233" s="1">
        <v>6.4700000000000001E-5</v>
      </c>
      <c r="CW233">
        <v>2.4366899999999999E-4</v>
      </c>
      <c r="CX233">
        <v>4.49405E-4</v>
      </c>
      <c r="CY233">
        <v>2.7586599999999999E-4</v>
      </c>
      <c r="CZ233">
        <v>1.0827699999999999E-4</v>
      </c>
      <c r="DA233" s="1">
        <v>5.1400000000000003E-5</v>
      </c>
      <c r="DB233">
        <v>1.5859399999999999E-4</v>
      </c>
      <c r="DC233">
        <v>6.7426599999999997E-4</v>
      </c>
      <c r="DD233">
        <v>4.1940800000000002E-4</v>
      </c>
      <c r="DE233">
        <v>2.2874599999999999E-4</v>
      </c>
      <c r="DF233" s="1">
        <v>6.1699999999999995E-5</v>
      </c>
      <c r="DG233">
        <v>4.9851400000000003E-4</v>
      </c>
      <c r="DH233">
        <v>0</v>
      </c>
      <c r="DI233">
        <v>0</v>
      </c>
      <c r="DJ233" s="1">
        <v>5.2299999999999997E-5</v>
      </c>
      <c r="DK233">
        <v>0</v>
      </c>
      <c r="DL233" s="1">
        <v>5.3900000000000002E-5</v>
      </c>
      <c r="DM233">
        <v>0</v>
      </c>
      <c r="DN233">
        <v>0</v>
      </c>
      <c r="DO233">
        <v>0</v>
      </c>
      <c r="DP233">
        <v>0</v>
      </c>
      <c r="DQ233">
        <v>0</v>
      </c>
      <c r="DR233">
        <v>0</v>
      </c>
      <c r="DS233">
        <v>0</v>
      </c>
      <c r="DT233">
        <v>0</v>
      </c>
      <c r="DU233">
        <v>0</v>
      </c>
      <c r="DV233">
        <v>0</v>
      </c>
      <c r="DW233" t="s">
        <v>498</v>
      </c>
    </row>
    <row r="234" spans="1:127" x14ac:dyDescent="0.2">
      <c r="A234">
        <v>1995</v>
      </c>
      <c r="B234">
        <v>7</v>
      </c>
      <c r="C234">
        <v>2</v>
      </c>
      <c r="D234">
        <v>0</v>
      </c>
      <c r="E234">
        <v>0</v>
      </c>
      <c r="F234">
        <v>1942</v>
      </c>
      <c r="G234">
        <v>0</v>
      </c>
      <c r="H234">
        <v>0</v>
      </c>
      <c r="I234">
        <v>0</v>
      </c>
      <c r="J234">
        <v>0</v>
      </c>
      <c r="K234">
        <v>0</v>
      </c>
      <c r="L234">
        <v>0</v>
      </c>
      <c r="M234">
        <v>0</v>
      </c>
      <c r="N234" s="1">
        <v>3.79E-5</v>
      </c>
      <c r="O234">
        <v>3.4509599999999998E-4</v>
      </c>
      <c r="P234">
        <v>1.27031E-3</v>
      </c>
      <c r="Q234">
        <v>1.6141300000000001E-3</v>
      </c>
      <c r="R234">
        <v>1.43805E-3</v>
      </c>
      <c r="S234">
        <v>2.0726299999999998E-3</v>
      </c>
      <c r="T234">
        <v>4.4874199999999998E-3</v>
      </c>
      <c r="U234">
        <v>4.0366000000000004E-3</v>
      </c>
      <c r="V234">
        <v>4.5694799999999999E-3</v>
      </c>
      <c r="W234">
        <v>6.05377E-3</v>
      </c>
      <c r="X234">
        <v>6.4425999999999997E-3</v>
      </c>
      <c r="Y234">
        <v>8.7778500000000002E-3</v>
      </c>
      <c r="Z234">
        <v>7.4060300000000001E-3</v>
      </c>
      <c r="AA234">
        <v>3.7478300000000002E-3</v>
      </c>
      <c r="AB234">
        <v>2.6028900000000001E-3</v>
      </c>
      <c r="AC234">
        <v>2.04389E-3</v>
      </c>
      <c r="AD234">
        <v>4.0074999999999998E-3</v>
      </c>
      <c r="AE234">
        <v>5.07903E-3</v>
      </c>
      <c r="AF234">
        <v>9.6659999999999992E-3</v>
      </c>
      <c r="AG234">
        <v>1.1768600000000001E-2</v>
      </c>
      <c r="AH234">
        <v>1.7184000000000001E-2</v>
      </c>
      <c r="AI234">
        <v>2.1093600000000001E-2</v>
      </c>
      <c r="AJ234">
        <v>2.4873599999999999E-2</v>
      </c>
      <c r="AK234">
        <v>2.36665E-2</v>
      </c>
      <c r="AL234">
        <v>2.6664299999999998E-2</v>
      </c>
      <c r="AM234">
        <v>2.4512699999999998E-2</v>
      </c>
      <c r="AN234">
        <v>2.15739E-2</v>
      </c>
      <c r="AO234">
        <v>1.6873900000000001E-2</v>
      </c>
      <c r="AP234">
        <v>2.3545900000000002E-2</v>
      </c>
      <c r="AQ234">
        <v>2.69818E-2</v>
      </c>
      <c r="AR234">
        <v>2.59752E-2</v>
      </c>
      <c r="AS234">
        <v>3.4284000000000002E-2</v>
      </c>
      <c r="AT234">
        <v>4.0954900000000002E-2</v>
      </c>
      <c r="AU234">
        <v>4.0417700000000001E-2</v>
      </c>
      <c r="AV234">
        <v>4.52264E-2</v>
      </c>
      <c r="AW234">
        <v>4.5752300000000003E-2</v>
      </c>
      <c r="AX234">
        <v>4.2729000000000003E-2</v>
      </c>
      <c r="AY234">
        <v>3.7091399999999997E-2</v>
      </c>
      <c r="AZ234">
        <v>3.6261500000000002E-2</v>
      </c>
      <c r="BA234">
        <v>3.1816799999999999E-2</v>
      </c>
      <c r="BB234">
        <v>2.1508800000000002E-2</v>
      </c>
      <c r="BC234">
        <v>2.05101E-2</v>
      </c>
      <c r="BD234">
        <v>1.6583500000000001E-2</v>
      </c>
      <c r="BE234">
        <v>1.5346500000000001E-2</v>
      </c>
      <c r="BF234">
        <v>1.24461E-2</v>
      </c>
      <c r="BG234">
        <v>1.06535E-2</v>
      </c>
      <c r="BH234">
        <v>1.17626E-2</v>
      </c>
      <c r="BI234">
        <v>1.03261E-2</v>
      </c>
      <c r="BJ234">
        <v>9.4686000000000006E-3</v>
      </c>
      <c r="BK234">
        <v>1.0047800000000001E-2</v>
      </c>
      <c r="BL234">
        <v>9.3349000000000001E-3</v>
      </c>
      <c r="BM234">
        <v>7.8694699999999999E-3</v>
      </c>
      <c r="BN234">
        <v>1.0045999999999999E-2</v>
      </c>
      <c r="BO234">
        <v>1.0754700000000001E-2</v>
      </c>
      <c r="BP234">
        <v>1.13306E-2</v>
      </c>
      <c r="BQ234">
        <v>1.0870899999999999E-2</v>
      </c>
      <c r="BR234">
        <v>9.4837600000000008E-3</v>
      </c>
      <c r="BS234">
        <v>7.6332199999999996E-3</v>
      </c>
      <c r="BT234">
        <v>5.7798199999999997E-3</v>
      </c>
      <c r="BU234">
        <v>6.5044600000000001E-3</v>
      </c>
      <c r="BV234">
        <v>7.7181999999999997E-3</v>
      </c>
      <c r="BW234">
        <v>7.6577099999999999E-3</v>
      </c>
      <c r="BX234">
        <v>7.4383100000000001E-3</v>
      </c>
      <c r="BY234">
        <v>5.4396899999999996E-3</v>
      </c>
      <c r="BZ234">
        <v>5.8796300000000003E-3</v>
      </c>
      <c r="CA234">
        <v>4.8347199999999998E-3</v>
      </c>
      <c r="CB234">
        <v>3.8817000000000001E-3</v>
      </c>
      <c r="CC234">
        <v>3.07749E-3</v>
      </c>
      <c r="CD234">
        <v>2.4048300000000002E-3</v>
      </c>
      <c r="CE234">
        <v>3.9856500000000003E-3</v>
      </c>
      <c r="CF234">
        <v>2.20367E-3</v>
      </c>
      <c r="CG234">
        <v>2.6487500000000001E-3</v>
      </c>
      <c r="CH234">
        <v>2.32088E-3</v>
      </c>
      <c r="CI234">
        <v>2.14459E-3</v>
      </c>
      <c r="CJ234">
        <v>1.9172600000000001E-3</v>
      </c>
      <c r="CK234">
        <v>1.2748900000000001E-3</v>
      </c>
      <c r="CL234">
        <v>1.3834299999999999E-3</v>
      </c>
      <c r="CM234">
        <v>1.1034899999999999E-3</v>
      </c>
      <c r="CN234">
        <v>8.0526999999999997E-4</v>
      </c>
      <c r="CO234">
        <v>8.3533299999999995E-4</v>
      </c>
      <c r="CP234">
        <v>8.0320700000000001E-4</v>
      </c>
      <c r="CQ234">
        <v>7.85496E-4</v>
      </c>
      <c r="CR234">
        <v>4.68228E-4</v>
      </c>
      <c r="CS234">
        <v>1.23135E-3</v>
      </c>
      <c r="CT234">
        <v>3.6282600000000001E-4</v>
      </c>
      <c r="CU234">
        <v>4.5791899999999999E-4</v>
      </c>
      <c r="CV234">
        <v>3.7879400000000001E-4</v>
      </c>
      <c r="CW234">
        <v>1.05251E-3</v>
      </c>
      <c r="CX234">
        <v>1.15476E-4</v>
      </c>
      <c r="CY234">
        <v>3.4620099999999997E-4</v>
      </c>
      <c r="CZ234">
        <v>1.9530900000000001E-4</v>
      </c>
      <c r="DA234">
        <v>3.0298E-4</v>
      </c>
      <c r="DB234">
        <v>5.2435199999999996E-4</v>
      </c>
      <c r="DC234" s="1">
        <v>8.6600000000000004E-5</v>
      </c>
      <c r="DD234">
        <v>3.5133199999999999E-4</v>
      </c>
      <c r="DE234" s="1">
        <v>5.1799999999999999E-5</v>
      </c>
      <c r="DF234">
        <v>0</v>
      </c>
      <c r="DG234">
        <v>1.48658E-4</v>
      </c>
      <c r="DH234">
        <v>0</v>
      </c>
      <c r="DI234" s="1">
        <v>5.8600000000000001E-5</v>
      </c>
      <c r="DJ234">
        <v>0</v>
      </c>
      <c r="DK234" s="1">
        <v>3.4799999999999999E-5</v>
      </c>
      <c r="DL234">
        <v>0</v>
      </c>
      <c r="DM234" s="1">
        <v>7.9499999999999994E-5</v>
      </c>
      <c r="DN234">
        <v>0</v>
      </c>
      <c r="DO234">
        <v>0</v>
      </c>
      <c r="DP234">
        <v>0</v>
      </c>
      <c r="DQ234">
        <v>0</v>
      </c>
      <c r="DR234">
        <v>0</v>
      </c>
      <c r="DS234">
        <v>0</v>
      </c>
      <c r="DT234">
        <v>0</v>
      </c>
      <c r="DU234">
        <v>0</v>
      </c>
      <c r="DV234">
        <v>0</v>
      </c>
      <c r="DW234" t="s">
        <v>499</v>
      </c>
    </row>
    <row r="235" spans="1:127" x14ac:dyDescent="0.2">
      <c r="A235">
        <v>1996</v>
      </c>
      <c r="B235">
        <v>7</v>
      </c>
      <c r="C235">
        <v>2</v>
      </c>
      <c r="D235">
        <v>0</v>
      </c>
      <c r="E235">
        <v>0</v>
      </c>
      <c r="F235">
        <v>1413</v>
      </c>
      <c r="G235">
        <v>0</v>
      </c>
      <c r="H235">
        <v>0</v>
      </c>
      <c r="I235">
        <v>0</v>
      </c>
      <c r="J235">
        <v>0</v>
      </c>
      <c r="K235">
        <v>0</v>
      </c>
      <c r="L235">
        <v>0</v>
      </c>
      <c r="M235">
        <v>0</v>
      </c>
      <c r="N235">
        <v>0</v>
      </c>
      <c r="O235">
        <v>1.04021E-4</v>
      </c>
      <c r="P235">
        <v>1.6674100000000001E-4</v>
      </c>
      <c r="Q235">
        <v>1.2112799999999999E-3</v>
      </c>
      <c r="R235">
        <v>1.00643E-3</v>
      </c>
      <c r="S235">
        <v>2.4394600000000001E-3</v>
      </c>
      <c r="T235">
        <v>3.5584700000000002E-3</v>
      </c>
      <c r="U235">
        <v>5.1434100000000002E-3</v>
      </c>
      <c r="V235">
        <v>6.8344499999999997E-3</v>
      </c>
      <c r="W235">
        <v>5.7038000000000002E-3</v>
      </c>
      <c r="X235">
        <v>7.1033399999999997E-3</v>
      </c>
      <c r="Y235">
        <v>7.3769500000000002E-3</v>
      </c>
      <c r="Z235">
        <v>6.8264800000000002E-3</v>
      </c>
      <c r="AA235">
        <v>5.81074E-3</v>
      </c>
      <c r="AB235">
        <v>3.8349E-3</v>
      </c>
      <c r="AC235">
        <v>2.1591900000000001E-3</v>
      </c>
      <c r="AD235">
        <v>2.3926799999999999E-3</v>
      </c>
      <c r="AE235">
        <v>2.52542E-3</v>
      </c>
      <c r="AF235">
        <v>6.2057700000000002E-3</v>
      </c>
      <c r="AG235">
        <v>6.8872500000000001E-3</v>
      </c>
      <c r="AH235">
        <v>1.38271E-2</v>
      </c>
      <c r="AI235">
        <v>1.7434700000000001E-2</v>
      </c>
      <c r="AJ235">
        <v>2.0710099999999999E-2</v>
      </c>
      <c r="AK235">
        <v>2.4447E-2</v>
      </c>
      <c r="AL235">
        <v>2.93286E-2</v>
      </c>
      <c r="AM235">
        <v>2.5274100000000001E-2</v>
      </c>
      <c r="AN235">
        <v>2.6693700000000001E-2</v>
      </c>
      <c r="AO235">
        <v>2.03599E-2</v>
      </c>
      <c r="AP235">
        <v>2.12959E-2</v>
      </c>
      <c r="AQ235">
        <v>1.7895899999999999E-2</v>
      </c>
      <c r="AR235">
        <v>1.6774500000000001E-2</v>
      </c>
      <c r="AS235">
        <v>1.77813E-2</v>
      </c>
      <c r="AT235">
        <v>1.64078E-2</v>
      </c>
      <c r="AU235">
        <v>1.8790600000000001E-2</v>
      </c>
      <c r="AV235">
        <v>2.27516E-2</v>
      </c>
      <c r="AW235">
        <v>2.5356500000000001E-2</v>
      </c>
      <c r="AX235">
        <v>3.0633400000000002E-2</v>
      </c>
      <c r="AY235">
        <v>2.7760099999999999E-2</v>
      </c>
      <c r="AZ235">
        <v>3.11512E-2</v>
      </c>
      <c r="BA235">
        <v>3.42072E-2</v>
      </c>
      <c r="BB235">
        <v>3.2092200000000001E-2</v>
      </c>
      <c r="BC235">
        <v>3.1655299999999997E-2</v>
      </c>
      <c r="BD235">
        <v>3.4461100000000001E-2</v>
      </c>
      <c r="BE235">
        <v>2.9006500000000001E-2</v>
      </c>
      <c r="BF235">
        <v>3.0136799999999998E-2</v>
      </c>
      <c r="BG235">
        <v>3.01079E-2</v>
      </c>
      <c r="BH235">
        <v>2.6230300000000002E-2</v>
      </c>
      <c r="BI235">
        <v>2.7269700000000001E-2</v>
      </c>
      <c r="BJ235">
        <v>2.1968999999999999E-2</v>
      </c>
      <c r="BK235">
        <v>1.7887199999999999E-2</v>
      </c>
      <c r="BL235">
        <v>1.6427500000000001E-2</v>
      </c>
      <c r="BM235">
        <v>1.4246200000000001E-2</v>
      </c>
      <c r="BN235">
        <v>1.51685E-2</v>
      </c>
      <c r="BO235">
        <v>1.07055E-2</v>
      </c>
      <c r="BP235">
        <v>1.00988E-2</v>
      </c>
      <c r="BQ235">
        <v>9.2462099999999995E-3</v>
      </c>
      <c r="BR235">
        <v>8.5246799999999998E-3</v>
      </c>
      <c r="BS235">
        <v>6.1849699999999997E-3</v>
      </c>
      <c r="BT235">
        <v>6.4888100000000002E-3</v>
      </c>
      <c r="BU235">
        <v>6.5025899999999999E-3</v>
      </c>
      <c r="BV235">
        <v>6.0769400000000003E-3</v>
      </c>
      <c r="BW235">
        <v>6.0631299999999999E-3</v>
      </c>
      <c r="BX235">
        <v>4.9640700000000001E-3</v>
      </c>
      <c r="BY235">
        <v>6.0383199999999998E-3</v>
      </c>
      <c r="BZ235">
        <v>6.7108699999999999E-3</v>
      </c>
      <c r="CA235">
        <v>3.5133E-3</v>
      </c>
      <c r="CB235">
        <v>4.8571600000000001E-3</v>
      </c>
      <c r="CC235">
        <v>3.8849499999999999E-3</v>
      </c>
      <c r="CD235">
        <v>2.9347100000000001E-3</v>
      </c>
      <c r="CE235">
        <v>3.1203899999999998E-3</v>
      </c>
      <c r="CF235">
        <v>3.68593E-3</v>
      </c>
      <c r="CG235">
        <v>2.3747299999999998E-3</v>
      </c>
      <c r="CH235">
        <v>2.2849099999999998E-3</v>
      </c>
      <c r="CI235">
        <v>2.59765E-3</v>
      </c>
      <c r="CJ235">
        <v>2.64328E-3</v>
      </c>
      <c r="CK235">
        <v>1.6082799999999999E-3</v>
      </c>
      <c r="CL235">
        <v>2.7022999999999999E-3</v>
      </c>
      <c r="CM235">
        <v>1.04609E-3</v>
      </c>
      <c r="CN235">
        <v>1.4766600000000001E-3</v>
      </c>
      <c r="CO235">
        <v>2.3445100000000002E-3</v>
      </c>
      <c r="CP235">
        <v>1.8579200000000001E-3</v>
      </c>
      <c r="CQ235">
        <v>9.9564899999999993E-4</v>
      </c>
      <c r="CR235">
        <v>3.9021500000000002E-4</v>
      </c>
      <c r="CS235">
        <v>2.70933E-4</v>
      </c>
      <c r="CT235">
        <v>7.0163799999999998E-4</v>
      </c>
      <c r="CU235">
        <v>1.04761E-3</v>
      </c>
      <c r="CV235">
        <v>3.1898700000000001E-4</v>
      </c>
      <c r="CW235">
        <v>5.1246400000000002E-4</v>
      </c>
      <c r="CX235">
        <v>5.1898700000000005E-4</v>
      </c>
      <c r="CY235">
        <v>3.0135600000000002E-4</v>
      </c>
      <c r="CZ235">
        <v>2.5705900000000002E-4</v>
      </c>
      <c r="DA235">
        <v>2.1101599999999999E-4</v>
      </c>
      <c r="DB235">
        <v>4.0896800000000001E-4</v>
      </c>
      <c r="DC235">
        <v>1.38763E-4</v>
      </c>
      <c r="DD235">
        <v>1.8669100000000001E-4</v>
      </c>
      <c r="DE235">
        <v>0</v>
      </c>
      <c r="DF235" s="1">
        <v>4.6699999999999997E-5</v>
      </c>
      <c r="DG235">
        <v>0</v>
      </c>
      <c r="DH235">
        <v>0</v>
      </c>
      <c r="DI235">
        <v>0</v>
      </c>
      <c r="DJ235">
        <v>3.2475400000000001E-4</v>
      </c>
      <c r="DK235">
        <v>0</v>
      </c>
      <c r="DL235">
        <v>0</v>
      </c>
      <c r="DM235">
        <v>0</v>
      </c>
      <c r="DN235">
        <v>0</v>
      </c>
      <c r="DO235">
        <v>0</v>
      </c>
      <c r="DP235">
        <v>0</v>
      </c>
      <c r="DQ235">
        <v>0</v>
      </c>
      <c r="DR235">
        <v>0</v>
      </c>
      <c r="DS235">
        <v>0</v>
      </c>
      <c r="DT235">
        <v>0</v>
      </c>
      <c r="DU235">
        <v>0</v>
      </c>
      <c r="DV235">
        <v>0</v>
      </c>
      <c r="DW235" t="s">
        <v>500</v>
      </c>
    </row>
    <row r="236" spans="1:127" x14ac:dyDescent="0.2">
      <c r="A236">
        <v>1997</v>
      </c>
      <c r="B236">
        <v>7</v>
      </c>
      <c r="C236">
        <v>2</v>
      </c>
      <c r="D236">
        <v>0</v>
      </c>
      <c r="E236">
        <v>0</v>
      </c>
      <c r="F236">
        <v>1371</v>
      </c>
      <c r="G236">
        <v>0</v>
      </c>
      <c r="H236">
        <v>0</v>
      </c>
      <c r="I236">
        <v>0</v>
      </c>
      <c r="J236">
        <v>0</v>
      </c>
      <c r="K236">
        <v>0</v>
      </c>
      <c r="L236">
        <v>0</v>
      </c>
      <c r="M236">
        <v>0</v>
      </c>
      <c r="N236">
        <v>0</v>
      </c>
      <c r="O236">
        <v>9.2264599999999995E-4</v>
      </c>
      <c r="P236">
        <v>1.90766E-3</v>
      </c>
      <c r="Q236">
        <v>7.1170399999999998E-3</v>
      </c>
      <c r="R236">
        <v>1.2457299999999999E-2</v>
      </c>
      <c r="S236">
        <v>1.8202800000000002E-2</v>
      </c>
      <c r="T236">
        <v>2.0982899999999999E-2</v>
      </c>
      <c r="U236">
        <v>2.08658E-2</v>
      </c>
      <c r="V236">
        <v>2.1410200000000001E-2</v>
      </c>
      <c r="W236">
        <v>2.3019600000000001E-2</v>
      </c>
      <c r="X236">
        <v>3.0924799999999999E-2</v>
      </c>
      <c r="Y236">
        <v>2.45136E-2</v>
      </c>
      <c r="Z236">
        <v>2.3638800000000001E-2</v>
      </c>
      <c r="AA236">
        <v>2.4471400000000001E-2</v>
      </c>
      <c r="AB236">
        <v>1.92645E-2</v>
      </c>
      <c r="AC236">
        <v>1.13638E-2</v>
      </c>
      <c r="AD236">
        <v>6.25239E-3</v>
      </c>
      <c r="AE236">
        <v>4.4549500000000001E-3</v>
      </c>
      <c r="AF236">
        <v>4.4136000000000002E-3</v>
      </c>
      <c r="AG236">
        <v>3.74925E-3</v>
      </c>
      <c r="AH236">
        <v>7.6144699999999999E-3</v>
      </c>
      <c r="AI236">
        <v>1.17815E-2</v>
      </c>
      <c r="AJ236">
        <v>1.1162099999999999E-2</v>
      </c>
      <c r="AK236">
        <v>1.6588599999999998E-2</v>
      </c>
      <c r="AL236">
        <v>2.4176099999999999E-2</v>
      </c>
      <c r="AM236">
        <v>2.5009400000000001E-2</v>
      </c>
      <c r="AN236">
        <v>2.4054099999999998E-2</v>
      </c>
      <c r="AO236">
        <v>1.8974600000000001E-2</v>
      </c>
      <c r="AP236">
        <v>1.7198999999999999E-2</v>
      </c>
      <c r="AQ236">
        <v>1.68471E-2</v>
      </c>
      <c r="AR236">
        <v>1.49354E-2</v>
      </c>
      <c r="AS236">
        <v>1.57565E-2</v>
      </c>
      <c r="AT236">
        <v>1.47598E-2</v>
      </c>
      <c r="AU236">
        <v>1.3580500000000001E-2</v>
      </c>
      <c r="AV236">
        <v>1.37459E-2</v>
      </c>
      <c r="AW236">
        <v>1.47837E-2</v>
      </c>
      <c r="AX236">
        <v>1.46556E-2</v>
      </c>
      <c r="AY236">
        <v>1.8391299999999999E-2</v>
      </c>
      <c r="AZ236">
        <v>2.1104600000000001E-2</v>
      </c>
      <c r="BA236">
        <v>2.4860199999999999E-2</v>
      </c>
      <c r="BB236">
        <v>1.6413899999999999E-2</v>
      </c>
      <c r="BC236">
        <v>1.85442E-2</v>
      </c>
      <c r="BD236">
        <v>1.4621200000000001E-2</v>
      </c>
      <c r="BE236">
        <v>1.6406199999999999E-2</v>
      </c>
      <c r="BF236">
        <v>1.9549400000000001E-2</v>
      </c>
      <c r="BG236">
        <v>2.02051E-2</v>
      </c>
      <c r="BH236">
        <v>1.7606500000000001E-2</v>
      </c>
      <c r="BI236">
        <v>1.81926E-2</v>
      </c>
      <c r="BJ236">
        <v>1.3440499999999999E-2</v>
      </c>
      <c r="BK236">
        <v>2.3152099999999998E-2</v>
      </c>
      <c r="BL236">
        <v>1.8207500000000001E-2</v>
      </c>
      <c r="BM236">
        <v>1.8838199999999999E-2</v>
      </c>
      <c r="BN236">
        <v>1.38376E-2</v>
      </c>
      <c r="BO236">
        <v>1.4134799999999999E-2</v>
      </c>
      <c r="BP236">
        <v>1.16335E-2</v>
      </c>
      <c r="BQ236">
        <v>1.2108600000000001E-2</v>
      </c>
      <c r="BR236">
        <v>1.2875299999999999E-2</v>
      </c>
      <c r="BS236">
        <v>1.10592E-2</v>
      </c>
      <c r="BT236">
        <v>1.0934299999999999E-2</v>
      </c>
      <c r="BU236">
        <v>1.0076099999999999E-2</v>
      </c>
      <c r="BV236">
        <v>9.0041300000000008E-3</v>
      </c>
      <c r="BW236">
        <v>7.5610699999999996E-3</v>
      </c>
      <c r="BX236">
        <v>6.2029600000000004E-3</v>
      </c>
      <c r="BY236">
        <v>6.6544799999999999E-3</v>
      </c>
      <c r="BZ236">
        <v>5.8642499999999997E-3</v>
      </c>
      <c r="CA236">
        <v>3.2434299999999998E-3</v>
      </c>
      <c r="CB236">
        <v>2.1796099999999998E-3</v>
      </c>
      <c r="CC236">
        <v>3.31533E-3</v>
      </c>
      <c r="CD236">
        <v>2.35644E-3</v>
      </c>
      <c r="CE236">
        <v>3.0803900000000001E-3</v>
      </c>
      <c r="CF236">
        <v>1.8735799999999999E-3</v>
      </c>
      <c r="CG236">
        <v>1.2337400000000001E-3</v>
      </c>
      <c r="CH236">
        <v>1.08362E-3</v>
      </c>
      <c r="CI236">
        <v>9.8774699999999997E-4</v>
      </c>
      <c r="CJ236">
        <v>1.3263299999999999E-3</v>
      </c>
      <c r="CK236">
        <v>1.9111600000000001E-3</v>
      </c>
      <c r="CL236">
        <v>1.32384E-3</v>
      </c>
      <c r="CM236">
        <v>1.0799E-3</v>
      </c>
      <c r="CN236">
        <v>8.7278500000000005E-4</v>
      </c>
      <c r="CO236">
        <v>9.7771399999999997E-4</v>
      </c>
      <c r="CP236">
        <v>1.0092600000000001E-3</v>
      </c>
      <c r="CQ236">
        <v>4.6044899999999998E-4</v>
      </c>
      <c r="CR236">
        <v>3.1728700000000003E-4</v>
      </c>
      <c r="CS236">
        <v>8.9404600000000001E-4</v>
      </c>
      <c r="CT236">
        <v>7.9464800000000001E-4</v>
      </c>
      <c r="CU236">
        <v>2.11728E-4</v>
      </c>
      <c r="CV236">
        <v>5.9350799999999997E-4</v>
      </c>
      <c r="CW236">
        <v>3.5900199999999998E-4</v>
      </c>
      <c r="CX236">
        <v>2.5531499999999999E-4</v>
      </c>
      <c r="CY236">
        <v>3.9011500000000001E-4</v>
      </c>
      <c r="CZ236">
        <v>0</v>
      </c>
      <c r="DA236">
        <v>1.1399400000000001E-4</v>
      </c>
      <c r="DB236">
        <v>1.9389400000000001E-4</v>
      </c>
      <c r="DC236">
        <v>0</v>
      </c>
      <c r="DD236">
        <v>0</v>
      </c>
      <c r="DE236" s="1">
        <v>7.4900000000000005E-5</v>
      </c>
      <c r="DF236">
        <v>1.6082499999999999E-4</v>
      </c>
      <c r="DG236">
        <v>0</v>
      </c>
      <c r="DH236">
        <v>0</v>
      </c>
      <c r="DI236" s="1">
        <v>3.3899999999999997E-5</v>
      </c>
      <c r="DJ236">
        <v>0</v>
      </c>
      <c r="DK236">
        <v>1.6148200000000001E-4</v>
      </c>
      <c r="DL236">
        <v>0</v>
      </c>
      <c r="DM236">
        <v>0</v>
      </c>
      <c r="DN236" s="1">
        <v>3.2199999999999997E-5</v>
      </c>
      <c r="DO236">
        <v>0</v>
      </c>
      <c r="DP236" s="1">
        <v>6.0900000000000003E-5</v>
      </c>
      <c r="DQ236">
        <v>0</v>
      </c>
      <c r="DR236">
        <v>0</v>
      </c>
      <c r="DS236">
        <v>0</v>
      </c>
      <c r="DT236">
        <v>0</v>
      </c>
      <c r="DU236">
        <v>0</v>
      </c>
      <c r="DV236">
        <v>0</v>
      </c>
      <c r="DW236" t="s">
        <v>501</v>
      </c>
    </row>
    <row r="237" spans="1:127" x14ac:dyDescent="0.2">
      <c r="A237">
        <v>1998</v>
      </c>
      <c r="B237">
        <v>7</v>
      </c>
      <c r="C237">
        <v>2</v>
      </c>
      <c r="D237">
        <v>0</v>
      </c>
      <c r="E237">
        <v>0</v>
      </c>
      <c r="F237">
        <v>2143</v>
      </c>
      <c r="G237">
        <v>0</v>
      </c>
      <c r="H237">
        <v>0</v>
      </c>
      <c r="I237">
        <v>0</v>
      </c>
      <c r="J237">
        <v>0</v>
      </c>
      <c r="K237">
        <v>0</v>
      </c>
      <c r="L237">
        <v>0</v>
      </c>
      <c r="M237">
        <v>0</v>
      </c>
      <c r="N237">
        <v>0</v>
      </c>
      <c r="O237">
        <v>1.3255E-4</v>
      </c>
      <c r="P237">
        <v>4.5173400000000002E-4</v>
      </c>
      <c r="Q237">
        <v>2.4269299999999999E-3</v>
      </c>
      <c r="R237">
        <v>5.5325699999999997E-3</v>
      </c>
      <c r="S237">
        <v>8.7609999999999997E-3</v>
      </c>
      <c r="T237">
        <v>1.2170800000000001E-2</v>
      </c>
      <c r="U237">
        <v>1.0858400000000001E-2</v>
      </c>
      <c r="V237">
        <v>1.4177E-2</v>
      </c>
      <c r="W237">
        <v>9.46958E-3</v>
      </c>
      <c r="X237">
        <v>4.7384999999999997E-3</v>
      </c>
      <c r="Y237">
        <v>2.3082699999999999E-3</v>
      </c>
      <c r="Z237">
        <v>6.6740300000000001E-4</v>
      </c>
      <c r="AA237">
        <v>4.44998E-4</v>
      </c>
      <c r="AB237">
        <v>1.9108199999999999E-3</v>
      </c>
      <c r="AC237">
        <v>2.5350199999999998E-3</v>
      </c>
      <c r="AD237">
        <v>6.0180299999999997E-3</v>
      </c>
      <c r="AE237">
        <v>7.5395799999999997E-3</v>
      </c>
      <c r="AF237">
        <v>1.9164299999999999E-2</v>
      </c>
      <c r="AG237">
        <v>2.87811E-2</v>
      </c>
      <c r="AH237">
        <v>3.9775699999999997E-2</v>
      </c>
      <c r="AI237">
        <v>5.13908E-2</v>
      </c>
      <c r="AJ237">
        <v>6.2409100000000002E-2</v>
      </c>
      <c r="AK237">
        <v>6.5145599999999998E-2</v>
      </c>
      <c r="AL237">
        <v>6.3889600000000005E-2</v>
      </c>
      <c r="AM237">
        <v>5.3289499999999997E-2</v>
      </c>
      <c r="AN237">
        <v>5.5781499999999998E-2</v>
      </c>
      <c r="AO237">
        <v>3.5972900000000002E-2</v>
      </c>
      <c r="AP237">
        <v>2.7048099999999999E-2</v>
      </c>
      <c r="AQ237">
        <v>2.3677900000000002E-2</v>
      </c>
      <c r="AR237">
        <v>1.7206599999999999E-2</v>
      </c>
      <c r="AS237">
        <v>1.5236700000000001E-2</v>
      </c>
      <c r="AT237">
        <v>1.39224E-2</v>
      </c>
      <c r="AU237">
        <v>1.0498199999999999E-2</v>
      </c>
      <c r="AV237">
        <v>1.27241E-2</v>
      </c>
      <c r="AW237">
        <v>1.2246999999999999E-2</v>
      </c>
      <c r="AX237">
        <v>1.40514E-2</v>
      </c>
      <c r="AY237">
        <v>1.33151E-2</v>
      </c>
      <c r="AZ237">
        <v>1.8006999999999999E-2</v>
      </c>
      <c r="BA237">
        <v>1.23842E-2</v>
      </c>
      <c r="BB237">
        <v>1.1941800000000001E-2</v>
      </c>
      <c r="BC237">
        <v>1.40679E-2</v>
      </c>
      <c r="BD237">
        <v>1.17439E-2</v>
      </c>
      <c r="BE237">
        <v>9.7234299999999999E-3</v>
      </c>
      <c r="BF237">
        <v>9.2943000000000001E-3</v>
      </c>
      <c r="BG237">
        <v>8.68588E-3</v>
      </c>
      <c r="BH237">
        <v>8.574E-3</v>
      </c>
      <c r="BI237">
        <v>7.5984299999999998E-3</v>
      </c>
      <c r="BJ237">
        <v>6.4999899999999998E-3</v>
      </c>
      <c r="BK237">
        <v>8.2331100000000001E-3</v>
      </c>
      <c r="BL237">
        <v>9.49616E-3</v>
      </c>
      <c r="BM237">
        <v>7.8932499999999992E-3</v>
      </c>
      <c r="BN237">
        <v>6.9292299999999998E-3</v>
      </c>
      <c r="BO237">
        <v>8.0608499999999996E-3</v>
      </c>
      <c r="BP237">
        <v>9.1271200000000007E-3</v>
      </c>
      <c r="BQ237">
        <v>8.9204899999999997E-3</v>
      </c>
      <c r="BR237">
        <v>7.6945099999999999E-3</v>
      </c>
      <c r="BS237">
        <v>6.8362800000000001E-3</v>
      </c>
      <c r="BT237">
        <v>1.01753E-2</v>
      </c>
      <c r="BU237">
        <v>6.0039400000000001E-3</v>
      </c>
      <c r="BV237">
        <v>6.6260800000000003E-3</v>
      </c>
      <c r="BW237">
        <v>5.1027199999999998E-3</v>
      </c>
      <c r="BX237">
        <v>4.8406600000000001E-3</v>
      </c>
      <c r="BY237">
        <v>5.6323700000000003E-3</v>
      </c>
      <c r="BZ237">
        <v>5.8032700000000001E-3</v>
      </c>
      <c r="CA237">
        <v>4.0356999999999997E-3</v>
      </c>
      <c r="CB237">
        <v>5.4708700000000001E-3</v>
      </c>
      <c r="CC237">
        <v>3.0078800000000001E-3</v>
      </c>
      <c r="CD237">
        <v>3.7891700000000001E-3</v>
      </c>
      <c r="CE237">
        <v>2.2064099999999998E-3</v>
      </c>
      <c r="CF237">
        <v>2.14949E-3</v>
      </c>
      <c r="CG237">
        <v>2.5578200000000001E-3</v>
      </c>
      <c r="CH237">
        <v>1.3020200000000001E-3</v>
      </c>
      <c r="CI237">
        <v>1.7151899999999999E-3</v>
      </c>
      <c r="CJ237">
        <v>9.6885199999999997E-4</v>
      </c>
      <c r="CK237">
        <v>1.6065400000000001E-3</v>
      </c>
      <c r="CL237">
        <v>1.1204699999999999E-3</v>
      </c>
      <c r="CM237">
        <v>8.7359799999999995E-4</v>
      </c>
      <c r="CN237">
        <v>1.01336E-3</v>
      </c>
      <c r="CO237">
        <v>7.7830900000000003E-4</v>
      </c>
      <c r="CP237">
        <v>3.9478899999999999E-4</v>
      </c>
      <c r="CQ237">
        <v>3.42436E-4</v>
      </c>
      <c r="CR237">
        <v>5.3221799999999999E-4</v>
      </c>
      <c r="CS237">
        <v>5.44021E-4</v>
      </c>
      <c r="CT237">
        <v>9.9254300000000003E-4</v>
      </c>
      <c r="CU237">
        <v>3.3090300000000001E-4</v>
      </c>
      <c r="CV237">
        <v>6.4668600000000005E-4</v>
      </c>
      <c r="CW237">
        <v>2.7123400000000003E-4</v>
      </c>
      <c r="CX237">
        <v>1.31927E-4</v>
      </c>
      <c r="CY237">
        <v>2.16095E-4</v>
      </c>
      <c r="CZ237">
        <v>2.1109899999999999E-4</v>
      </c>
      <c r="DA237" s="1">
        <v>5.2200000000000002E-5</v>
      </c>
      <c r="DB237" s="1">
        <v>6.0800000000000001E-5</v>
      </c>
      <c r="DC237" s="1">
        <v>8.5699999999999996E-5</v>
      </c>
      <c r="DD237">
        <v>8.7297099999999995E-4</v>
      </c>
      <c r="DE237">
        <v>0</v>
      </c>
      <c r="DF237">
        <v>0</v>
      </c>
      <c r="DG237">
        <v>0</v>
      </c>
      <c r="DH237" s="1">
        <v>5.0300000000000003E-5</v>
      </c>
      <c r="DI237">
        <v>0</v>
      </c>
      <c r="DJ237" s="1">
        <v>5.0500000000000001E-5</v>
      </c>
      <c r="DK237">
        <v>0</v>
      </c>
      <c r="DL237" s="1">
        <v>5.1E-5</v>
      </c>
      <c r="DM237">
        <v>0</v>
      </c>
      <c r="DN237">
        <v>0</v>
      </c>
      <c r="DO237">
        <v>0</v>
      </c>
      <c r="DP237">
        <v>0</v>
      </c>
      <c r="DQ237">
        <v>0</v>
      </c>
      <c r="DR237">
        <v>0</v>
      </c>
      <c r="DS237">
        <v>0</v>
      </c>
      <c r="DT237">
        <v>0</v>
      </c>
      <c r="DU237">
        <v>0</v>
      </c>
      <c r="DV237">
        <v>0</v>
      </c>
      <c r="DW237" t="s">
        <v>502</v>
      </c>
    </row>
    <row r="238" spans="1:127" x14ac:dyDescent="0.2">
      <c r="A238">
        <v>1999</v>
      </c>
      <c r="B238">
        <v>7</v>
      </c>
      <c r="C238">
        <v>2</v>
      </c>
      <c r="D238">
        <v>0</v>
      </c>
      <c r="E238">
        <v>0</v>
      </c>
      <c r="F238">
        <v>2053</v>
      </c>
      <c r="G238">
        <v>0</v>
      </c>
      <c r="H238">
        <v>0</v>
      </c>
      <c r="I238">
        <v>0</v>
      </c>
      <c r="J238">
        <v>0</v>
      </c>
      <c r="K238">
        <v>0</v>
      </c>
      <c r="L238">
        <v>0</v>
      </c>
      <c r="M238">
        <v>0</v>
      </c>
      <c r="N238">
        <v>0</v>
      </c>
      <c r="O238" s="1">
        <v>6.3399999999999996E-5</v>
      </c>
      <c r="P238">
        <v>1.2251600000000001E-3</v>
      </c>
      <c r="Q238">
        <v>4.35915E-3</v>
      </c>
      <c r="R238">
        <v>8.1575999999999992E-3</v>
      </c>
      <c r="S238">
        <v>8.9248699999999997E-3</v>
      </c>
      <c r="T238">
        <v>9.9183099999999996E-3</v>
      </c>
      <c r="U238">
        <v>7.6182200000000002E-3</v>
      </c>
      <c r="V238">
        <v>9.2112300000000008E-3</v>
      </c>
      <c r="W238">
        <v>6.3741900000000001E-3</v>
      </c>
      <c r="X238">
        <v>3.4147299999999999E-3</v>
      </c>
      <c r="Y238">
        <v>2.4108200000000002E-3</v>
      </c>
      <c r="Z238">
        <v>3.4750800000000002E-3</v>
      </c>
      <c r="AA238">
        <v>4.0807100000000004E-3</v>
      </c>
      <c r="AB238">
        <v>3.3756400000000001E-3</v>
      </c>
      <c r="AC238">
        <v>4.7826700000000002E-3</v>
      </c>
      <c r="AD238">
        <v>9.2579399999999992E-3</v>
      </c>
      <c r="AE238">
        <v>9.5204799999999996E-3</v>
      </c>
      <c r="AF238">
        <v>1.6579799999999999E-2</v>
      </c>
      <c r="AG238">
        <v>1.8745000000000001E-2</v>
      </c>
      <c r="AH238">
        <v>1.83491E-2</v>
      </c>
      <c r="AI238">
        <v>2.5562499999999998E-2</v>
      </c>
      <c r="AJ238">
        <v>2.2346000000000001E-2</v>
      </c>
      <c r="AK238">
        <v>2.4142799999999999E-2</v>
      </c>
      <c r="AL238">
        <v>2.5245400000000001E-2</v>
      </c>
      <c r="AM238">
        <v>1.98097E-2</v>
      </c>
      <c r="AN238">
        <v>1.8960500000000002E-2</v>
      </c>
      <c r="AO238">
        <v>1.73408E-2</v>
      </c>
      <c r="AP238">
        <v>1.75792E-2</v>
      </c>
      <c r="AQ238">
        <v>2.2420200000000001E-2</v>
      </c>
      <c r="AR238">
        <v>2.8304099999999999E-2</v>
      </c>
      <c r="AS238">
        <v>2.7777900000000001E-2</v>
      </c>
      <c r="AT238">
        <v>3.5110799999999998E-2</v>
      </c>
      <c r="AU238">
        <v>4.1859100000000003E-2</v>
      </c>
      <c r="AV238">
        <v>4.5560799999999999E-2</v>
      </c>
      <c r="AW238">
        <v>5.06314E-2</v>
      </c>
      <c r="AX238">
        <v>4.9456800000000002E-2</v>
      </c>
      <c r="AY238">
        <v>4.3043499999999998E-2</v>
      </c>
      <c r="AZ238">
        <v>3.3201799999999997E-2</v>
      </c>
      <c r="BA238">
        <v>3.4128600000000002E-2</v>
      </c>
      <c r="BB238">
        <v>2.6075399999999999E-2</v>
      </c>
      <c r="BC238">
        <v>1.9497199999999999E-2</v>
      </c>
      <c r="BD238">
        <v>1.6668499999999999E-2</v>
      </c>
      <c r="BE238">
        <v>1.4244100000000001E-2</v>
      </c>
      <c r="BF238">
        <v>1.25013E-2</v>
      </c>
      <c r="BG238">
        <v>1.1869599999999999E-2</v>
      </c>
      <c r="BH238">
        <v>9.8147500000000006E-3</v>
      </c>
      <c r="BI238">
        <v>1.00436E-2</v>
      </c>
      <c r="BJ238">
        <v>7.8726500000000001E-3</v>
      </c>
      <c r="BK238">
        <v>8.5805499999999993E-3</v>
      </c>
      <c r="BL238">
        <v>7.8922699999999998E-3</v>
      </c>
      <c r="BM238">
        <v>7.3489000000000002E-3</v>
      </c>
      <c r="BN238">
        <v>5.86974E-3</v>
      </c>
      <c r="BO238">
        <v>9.7298000000000003E-3</v>
      </c>
      <c r="BP238">
        <v>7.1965900000000001E-3</v>
      </c>
      <c r="BQ238">
        <v>8.0291500000000005E-3</v>
      </c>
      <c r="BR238">
        <v>6.7771400000000001E-3</v>
      </c>
      <c r="BS238">
        <v>7.9404300000000001E-3</v>
      </c>
      <c r="BT238">
        <v>5.1730099999999996E-3</v>
      </c>
      <c r="BU238">
        <v>5.7217300000000004E-3</v>
      </c>
      <c r="BV238">
        <v>4.13979E-3</v>
      </c>
      <c r="BW238">
        <v>5.0573399999999996E-3</v>
      </c>
      <c r="BX238">
        <v>5.6721100000000002E-3</v>
      </c>
      <c r="BY238">
        <v>4.0578000000000003E-3</v>
      </c>
      <c r="BZ238">
        <v>3.9049900000000001E-3</v>
      </c>
      <c r="CA238">
        <v>4.1693199999999998E-3</v>
      </c>
      <c r="CB238">
        <v>3.0585500000000002E-3</v>
      </c>
      <c r="CC238">
        <v>2.31986E-3</v>
      </c>
      <c r="CD238">
        <v>2.2835899999999998E-3</v>
      </c>
      <c r="CE238">
        <v>1.9258700000000001E-3</v>
      </c>
      <c r="CF238">
        <v>2.0810099999999999E-3</v>
      </c>
      <c r="CG238">
        <v>2.2076600000000002E-3</v>
      </c>
      <c r="CH238">
        <v>1.9689099999999999E-3</v>
      </c>
      <c r="CI238">
        <v>1.5712600000000001E-3</v>
      </c>
      <c r="CJ238">
        <v>1.0864E-3</v>
      </c>
      <c r="CK238">
        <v>1.4111600000000001E-3</v>
      </c>
      <c r="CL238">
        <v>1.2044200000000001E-3</v>
      </c>
      <c r="CM238">
        <v>9.6080000000000004E-4</v>
      </c>
      <c r="CN238">
        <v>9.0934999999999996E-4</v>
      </c>
      <c r="CO238">
        <v>1.3976800000000001E-3</v>
      </c>
      <c r="CP238">
        <v>1.2704599999999999E-3</v>
      </c>
      <c r="CQ238">
        <v>5.0610499999999997E-4</v>
      </c>
      <c r="CR238">
        <v>1.2905099999999999E-3</v>
      </c>
      <c r="CS238">
        <v>4.9383900000000004E-4</v>
      </c>
      <c r="CT238">
        <v>4.0825699999999998E-4</v>
      </c>
      <c r="CU238">
        <v>4.2558100000000002E-4</v>
      </c>
      <c r="CV238">
        <v>4.38546E-4</v>
      </c>
      <c r="CW238">
        <v>1.7935600000000001E-4</v>
      </c>
      <c r="CX238">
        <v>4.3933500000000001E-4</v>
      </c>
      <c r="CY238">
        <v>5.1056400000000003E-4</v>
      </c>
      <c r="CZ238">
        <v>5.2347600000000004E-4</v>
      </c>
      <c r="DA238">
        <v>2.65686E-4</v>
      </c>
      <c r="DB238">
        <v>1.96498E-4</v>
      </c>
      <c r="DC238">
        <v>1.09356E-4</v>
      </c>
      <c r="DD238">
        <v>0</v>
      </c>
      <c r="DE238">
        <v>1.71015E-4</v>
      </c>
      <c r="DF238" s="1">
        <v>4.7700000000000001E-5</v>
      </c>
      <c r="DG238">
        <v>0</v>
      </c>
      <c r="DH238" s="1">
        <v>5.3999999999999998E-5</v>
      </c>
      <c r="DI238">
        <v>1.0969200000000001E-4</v>
      </c>
      <c r="DJ238">
        <v>0</v>
      </c>
      <c r="DK238">
        <v>0</v>
      </c>
      <c r="DL238">
        <v>0</v>
      </c>
      <c r="DM238">
        <v>0</v>
      </c>
      <c r="DN238">
        <v>0</v>
      </c>
      <c r="DO238">
        <v>0</v>
      </c>
      <c r="DP238">
        <v>0</v>
      </c>
      <c r="DQ238">
        <v>0</v>
      </c>
      <c r="DR238">
        <v>0</v>
      </c>
      <c r="DS238">
        <v>0</v>
      </c>
      <c r="DT238">
        <v>0</v>
      </c>
      <c r="DU238">
        <v>0</v>
      </c>
      <c r="DV238">
        <v>0</v>
      </c>
      <c r="DW238" t="s">
        <v>503</v>
      </c>
    </row>
    <row r="239" spans="1:127" x14ac:dyDescent="0.2">
      <c r="A239">
        <v>2000</v>
      </c>
      <c r="B239">
        <v>7</v>
      </c>
      <c r="C239">
        <v>-2</v>
      </c>
      <c r="D239">
        <v>0</v>
      </c>
      <c r="E239">
        <v>0</v>
      </c>
      <c r="F239">
        <v>1373</v>
      </c>
      <c r="G239">
        <v>0</v>
      </c>
      <c r="H239">
        <v>0</v>
      </c>
      <c r="I239">
        <v>0</v>
      </c>
      <c r="J239">
        <v>0</v>
      </c>
      <c r="K239">
        <v>0</v>
      </c>
      <c r="L239">
        <v>0</v>
      </c>
      <c r="M239">
        <v>3.2138199999999999E-4</v>
      </c>
      <c r="N239">
        <v>8.08364E-4</v>
      </c>
      <c r="O239">
        <v>1.85075E-3</v>
      </c>
      <c r="P239">
        <v>4.0981999999999998E-3</v>
      </c>
      <c r="Q239">
        <v>7.9051599999999996E-3</v>
      </c>
      <c r="R239">
        <v>1.08921E-2</v>
      </c>
      <c r="S239">
        <v>2.3740899999999999E-2</v>
      </c>
      <c r="T239">
        <v>3.81721E-2</v>
      </c>
      <c r="U239">
        <v>4.6430899999999997E-2</v>
      </c>
      <c r="V239">
        <v>3.52494E-2</v>
      </c>
      <c r="W239">
        <v>2.2151799999999999E-2</v>
      </c>
      <c r="X239">
        <v>2.1845E-2</v>
      </c>
      <c r="Y239">
        <v>1.13197E-2</v>
      </c>
      <c r="Z239">
        <v>6.9523900000000001E-3</v>
      </c>
      <c r="AA239">
        <v>2.6023800000000001E-3</v>
      </c>
      <c r="AB239">
        <v>7.2554300000000004E-4</v>
      </c>
      <c r="AC239">
        <v>9.6783700000000004E-4</v>
      </c>
      <c r="AD239">
        <v>1.9519800000000001E-3</v>
      </c>
      <c r="AE239">
        <v>3.0820000000000001E-3</v>
      </c>
      <c r="AF239">
        <v>6.1963000000000001E-3</v>
      </c>
      <c r="AG239">
        <v>9.4505000000000006E-3</v>
      </c>
      <c r="AH239">
        <v>1.3543100000000001E-2</v>
      </c>
      <c r="AI239">
        <v>1.5689700000000001E-2</v>
      </c>
      <c r="AJ239">
        <v>1.7643800000000001E-2</v>
      </c>
      <c r="AK239">
        <v>2.06673E-2</v>
      </c>
      <c r="AL239">
        <v>2.4279599999999998E-2</v>
      </c>
      <c r="AM239">
        <v>1.7754800000000001E-2</v>
      </c>
      <c r="AN239">
        <v>1.5684099999999999E-2</v>
      </c>
      <c r="AO239">
        <v>1.47291E-2</v>
      </c>
      <c r="AP239">
        <v>1.50589E-2</v>
      </c>
      <c r="AQ239">
        <v>1.3824700000000001E-2</v>
      </c>
      <c r="AR239">
        <v>1.5839599999999999E-2</v>
      </c>
      <c r="AS239">
        <v>1.7742600000000001E-2</v>
      </c>
      <c r="AT239">
        <v>2.0372600000000001E-2</v>
      </c>
      <c r="AU239">
        <v>2.1124799999999999E-2</v>
      </c>
      <c r="AV239">
        <v>2.4049899999999999E-2</v>
      </c>
      <c r="AW239">
        <v>2.4443400000000001E-2</v>
      </c>
      <c r="AX239">
        <v>2.7637999999999999E-2</v>
      </c>
      <c r="AY239">
        <v>2.4452000000000002E-2</v>
      </c>
      <c r="AZ239">
        <v>2.8584700000000001E-2</v>
      </c>
      <c r="BA239">
        <v>2.57159E-2</v>
      </c>
      <c r="BB239">
        <v>3.1242599999999999E-2</v>
      </c>
      <c r="BC239">
        <v>2.73061E-2</v>
      </c>
      <c r="BD239">
        <v>2.80135E-2</v>
      </c>
      <c r="BE239">
        <v>2.0801699999999999E-2</v>
      </c>
      <c r="BF239">
        <v>2.5025499999999999E-2</v>
      </c>
      <c r="BG239">
        <v>1.9023000000000002E-2</v>
      </c>
      <c r="BH239">
        <v>2.0405599999999999E-2</v>
      </c>
      <c r="BI239">
        <v>1.5440300000000001E-2</v>
      </c>
      <c r="BJ239">
        <v>1.60678E-2</v>
      </c>
      <c r="BK239">
        <v>1.4503200000000001E-2</v>
      </c>
      <c r="BL239">
        <v>1.2746E-2</v>
      </c>
      <c r="BM239">
        <v>1.26152E-2</v>
      </c>
      <c r="BN239">
        <v>1.17302E-2</v>
      </c>
      <c r="BO239">
        <v>8.8380300000000002E-3</v>
      </c>
      <c r="BP239">
        <v>8.0190899999999996E-3</v>
      </c>
      <c r="BQ239">
        <v>7.1464400000000004E-3</v>
      </c>
      <c r="BR239">
        <v>6.73786E-3</v>
      </c>
      <c r="BS239">
        <v>4.3340699999999998E-3</v>
      </c>
      <c r="BT239">
        <v>5.1334099999999997E-3</v>
      </c>
      <c r="BU239">
        <v>4.6475600000000002E-3</v>
      </c>
      <c r="BV239">
        <v>4.13262E-3</v>
      </c>
      <c r="BW239">
        <v>2.8135399999999998E-3</v>
      </c>
      <c r="BX239">
        <v>3.9482700000000003E-3</v>
      </c>
      <c r="BY239">
        <v>2.6380399999999999E-3</v>
      </c>
      <c r="BZ239">
        <v>3.04463E-3</v>
      </c>
      <c r="CA239">
        <v>2.4451E-3</v>
      </c>
      <c r="CB239">
        <v>2.7112199999999999E-3</v>
      </c>
      <c r="CC239">
        <v>2.2895300000000001E-3</v>
      </c>
      <c r="CD239">
        <v>1.7565599999999999E-3</v>
      </c>
      <c r="CE239">
        <v>9.5403299999999996E-4</v>
      </c>
      <c r="CF239">
        <v>1.10378E-3</v>
      </c>
      <c r="CG239">
        <v>1.7063099999999999E-3</v>
      </c>
      <c r="CH239">
        <v>1.7569199999999999E-3</v>
      </c>
      <c r="CI239">
        <v>9.75581E-4</v>
      </c>
      <c r="CJ239">
        <v>1.4093300000000001E-3</v>
      </c>
      <c r="CK239">
        <v>1.50022E-3</v>
      </c>
      <c r="CL239">
        <v>6.6734100000000001E-4</v>
      </c>
      <c r="CM239">
        <v>7.4536399999999999E-4</v>
      </c>
      <c r="CN239">
        <v>4.1141700000000002E-4</v>
      </c>
      <c r="CO239">
        <v>6.8226300000000001E-4</v>
      </c>
      <c r="CP239">
        <v>2.1226000000000001E-3</v>
      </c>
      <c r="CQ239">
        <v>5.18123E-4</v>
      </c>
      <c r="CR239">
        <v>5.7048199999999998E-4</v>
      </c>
      <c r="CS239">
        <v>5.7262899999999995E-4</v>
      </c>
      <c r="CT239">
        <v>2.8924300000000001E-4</v>
      </c>
      <c r="CU239">
        <v>3.33987E-4</v>
      </c>
      <c r="CV239">
        <v>7.8877600000000004E-4</v>
      </c>
      <c r="CW239">
        <v>1.88698E-4</v>
      </c>
      <c r="CX239">
        <v>6.2001299999999999E-4</v>
      </c>
      <c r="CY239">
        <v>3.8579199999999998E-4</v>
      </c>
      <c r="CZ239">
        <v>2.5351600000000002E-4</v>
      </c>
      <c r="DA239" s="1">
        <v>7.6899999999999999E-5</v>
      </c>
      <c r="DB239" s="1">
        <v>3.6900000000000002E-5</v>
      </c>
      <c r="DC239">
        <v>2.1997E-4</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t="s">
        <v>504</v>
      </c>
    </row>
    <row r="240" spans="1:127" x14ac:dyDescent="0.2">
      <c r="A240">
        <v>2001</v>
      </c>
      <c r="B240">
        <v>7</v>
      </c>
      <c r="C240">
        <v>-2</v>
      </c>
      <c r="D240">
        <v>0</v>
      </c>
      <c r="E240">
        <v>0</v>
      </c>
      <c r="F240">
        <v>1754</v>
      </c>
      <c r="G240">
        <v>0</v>
      </c>
      <c r="H240">
        <v>0</v>
      </c>
      <c r="I240">
        <v>0</v>
      </c>
      <c r="J240">
        <v>0</v>
      </c>
      <c r="K240">
        <v>0</v>
      </c>
      <c r="L240">
        <v>0</v>
      </c>
      <c r="M240">
        <v>0</v>
      </c>
      <c r="N240">
        <v>2.40129E-4</v>
      </c>
      <c r="O240">
        <v>3.1525100000000001E-4</v>
      </c>
      <c r="P240">
        <v>1.35794E-3</v>
      </c>
      <c r="Q240">
        <v>3.1783900000000001E-3</v>
      </c>
      <c r="R240">
        <v>6.4403100000000003E-3</v>
      </c>
      <c r="S240">
        <v>1.03468E-2</v>
      </c>
      <c r="T240">
        <v>1.5760300000000001E-2</v>
      </c>
      <c r="U240">
        <v>2.27377E-2</v>
      </c>
      <c r="V240">
        <v>3.3283399999999998E-2</v>
      </c>
      <c r="W240">
        <v>3.5874000000000003E-2</v>
      </c>
      <c r="X240">
        <v>3.8649700000000002E-2</v>
      </c>
      <c r="Y240">
        <v>3.42569E-2</v>
      </c>
      <c r="Z240">
        <v>3.3438700000000002E-2</v>
      </c>
      <c r="AA240">
        <v>2.2214899999999999E-2</v>
      </c>
      <c r="AB240">
        <v>1.7700799999999999E-2</v>
      </c>
      <c r="AC240">
        <v>1.1093199999999999E-2</v>
      </c>
      <c r="AD240">
        <v>7.0002700000000003E-3</v>
      </c>
      <c r="AE240">
        <v>5.7957900000000003E-3</v>
      </c>
      <c r="AF240">
        <v>8.2034399999999993E-3</v>
      </c>
      <c r="AG240">
        <v>1.1508600000000001E-2</v>
      </c>
      <c r="AH240">
        <v>1.5963700000000001E-2</v>
      </c>
      <c r="AI240">
        <v>1.8627100000000001E-2</v>
      </c>
      <c r="AJ240">
        <v>2.57439E-2</v>
      </c>
      <c r="AK240">
        <v>3.3232600000000001E-2</v>
      </c>
      <c r="AL240">
        <v>4.2044499999999999E-2</v>
      </c>
      <c r="AM240">
        <v>4.1742899999999999E-2</v>
      </c>
      <c r="AN240">
        <v>4.6468500000000003E-2</v>
      </c>
      <c r="AO240">
        <v>4.0719600000000002E-2</v>
      </c>
      <c r="AP240">
        <v>3.5306700000000003E-2</v>
      </c>
      <c r="AQ240">
        <v>2.59005E-2</v>
      </c>
      <c r="AR240">
        <v>2.0807699999999998E-2</v>
      </c>
      <c r="AS240">
        <v>1.5198100000000001E-2</v>
      </c>
      <c r="AT240">
        <v>1.10752E-2</v>
      </c>
      <c r="AU240">
        <v>9.5566999999999996E-3</v>
      </c>
      <c r="AV240">
        <v>8.8973899999999998E-3</v>
      </c>
      <c r="AW240">
        <v>7.6799499999999996E-3</v>
      </c>
      <c r="AX240">
        <v>7.9843499999999994E-3</v>
      </c>
      <c r="AY240">
        <v>9.3989799999999995E-3</v>
      </c>
      <c r="AZ240">
        <v>1.1595100000000001E-2</v>
      </c>
      <c r="BA240">
        <v>1.42115E-2</v>
      </c>
      <c r="BB240">
        <v>1.1579600000000001E-2</v>
      </c>
      <c r="BC240">
        <v>1.3418100000000001E-2</v>
      </c>
      <c r="BD240">
        <v>1.2796E-2</v>
      </c>
      <c r="BE240">
        <v>1.17235E-2</v>
      </c>
      <c r="BF240">
        <v>1.33185E-2</v>
      </c>
      <c r="BG240">
        <v>1.3797500000000001E-2</v>
      </c>
      <c r="BH240">
        <v>1.3096699999999999E-2</v>
      </c>
      <c r="BI240">
        <v>1.187E-2</v>
      </c>
      <c r="BJ240">
        <v>1.1155099999999999E-2</v>
      </c>
      <c r="BK240">
        <v>1.1551799999999999E-2</v>
      </c>
      <c r="BL240">
        <v>9.5870799999999996E-3</v>
      </c>
      <c r="BM240">
        <v>1.0611000000000001E-2</v>
      </c>
      <c r="BN240">
        <v>9.3641499999999999E-3</v>
      </c>
      <c r="BO240">
        <v>7.5732100000000004E-3</v>
      </c>
      <c r="BP240">
        <v>1.0026200000000001E-2</v>
      </c>
      <c r="BQ240">
        <v>6.67288E-3</v>
      </c>
      <c r="BR240">
        <v>7.8540699999999995E-3</v>
      </c>
      <c r="BS240">
        <v>7.5938200000000003E-3</v>
      </c>
      <c r="BT240">
        <v>5.3705799999999998E-3</v>
      </c>
      <c r="BU240">
        <v>4.1550199999999997E-3</v>
      </c>
      <c r="BV240">
        <v>5.3146699999999996E-3</v>
      </c>
      <c r="BW240">
        <v>3.3983500000000001E-3</v>
      </c>
      <c r="BX240">
        <v>3.8777E-3</v>
      </c>
      <c r="BY240">
        <v>2.8637799999999998E-3</v>
      </c>
      <c r="BZ240">
        <v>2.56858E-3</v>
      </c>
      <c r="CA240">
        <v>1.6698699999999999E-3</v>
      </c>
      <c r="CB240">
        <v>1.9242300000000001E-3</v>
      </c>
      <c r="CC240">
        <v>1.28185E-3</v>
      </c>
      <c r="CD240">
        <v>9.7680399999999995E-4</v>
      </c>
      <c r="CE240">
        <v>1.34366E-3</v>
      </c>
      <c r="CF240">
        <v>1.0032999999999999E-3</v>
      </c>
      <c r="CG240">
        <v>1.5555E-3</v>
      </c>
      <c r="CH240">
        <v>8.8581599999999999E-4</v>
      </c>
      <c r="CI240">
        <v>8.6232699999999997E-4</v>
      </c>
      <c r="CJ240">
        <v>6.2243599999999997E-4</v>
      </c>
      <c r="CK240">
        <v>5.63639E-4</v>
      </c>
      <c r="CL240">
        <v>6.5337200000000005E-4</v>
      </c>
      <c r="CM240">
        <v>2.7378899999999998E-4</v>
      </c>
      <c r="CN240">
        <v>5.3274400000000003E-4</v>
      </c>
      <c r="CO240">
        <v>3.02649E-4</v>
      </c>
      <c r="CP240">
        <v>3.2192899999999999E-4</v>
      </c>
      <c r="CQ240">
        <v>2.7228400000000002E-4</v>
      </c>
      <c r="CR240">
        <v>3.5052500000000002E-4</v>
      </c>
      <c r="CS240">
        <v>2.31349E-4</v>
      </c>
      <c r="CT240">
        <v>1.97412E-4</v>
      </c>
      <c r="CU240">
        <v>1.14522E-4</v>
      </c>
      <c r="CV240">
        <v>2.0713900000000001E-4</v>
      </c>
      <c r="CW240">
        <v>2.8497E-4</v>
      </c>
      <c r="CX240" s="1">
        <v>2.8399999999999999E-5</v>
      </c>
      <c r="CY240">
        <v>1.14843E-4</v>
      </c>
      <c r="CZ240" s="1">
        <v>2.4600000000000002E-5</v>
      </c>
      <c r="DA240">
        <v>2.4131599999999999E-4</v>
      </c>
      <c r="DB240" s="1">
        <v>2.87E-5</v>
      </c>
      <c r="DC240" s="1">
        <v>6.5699999999999998E-5</v>
      </c>
      <c r="DD240">
        <v>0</v>
      </c>
      <c r="DE240">
        <v>1.00283E-4</v>
      </c>
      <c r="DF240" s="1">
        <v>4.3300000000000002E-5</v>
      </c>
      <c r="DG240">
        <v>1.4275900000000001E-4</v>
      </c>
      <c r="DH240" s="1">
        <v>3.0300000000000001E-5</v>
      </c>
      <c r="DI240">
        <v>0</v>
      </c>
      <c r="DJ240" s="1">
        <v>5.8199999999999998E-5</v>
      </c>
      <c r="DK240">
        <v>0</v>
      </c>
      <c r="DL240">
        <v>0</v>
      </c>
      <c r="DM240">
        <v>0</v>
      </c>
      <c r="DN240">
        <v>0</v>
      </c>
      <c r="DO240">
        <v>0</v>
      </c>
      <c r="DP240">
        <v>0</v>
      </c>
      <c r="DQ240">
        <v>0</v>
      </c>
      <c r="DR240">
        <v>0</v>
      </c>
      <c r="DS240">
        <v>0</v>
      </c>
      <c r="DT240">
        <v>0</v>
      </c>
      <c r="DU240">
        <v>0</v>
      </c>
      <c r="DV240">
        <v>0</v>
      </c>
      <c r="DW240" t="s">
        <v>505</v>
      </c>
    </row>
    <row r="241" spans="1:127" x14ac:dyDescent="0.2">
      <c r="A241">
        <v>2002</v>
      </c>
      <c r="B241">
        <v>7</v>
      </c>
      <c r="C241">
        <v>-2</v>
      </c>
      <c r="D241">
        <v>0</v>
      </c>
      <c r="E241">
        <v>0</v>
      </c>
      <c r="F241">
        <v>2136</v>
      </c>
      <c r="G241">
        <v>0</v>
      </c>
      <c r="H241">
        <v>0</v>
      </c>
      <c r="I241">
        <v>0</v>
      </c>
      <c r="J241">
        <v>0</v>
      </c>
      <c r="K241">
        <v>0</v>
      </c>
      <c r="L241">
        <v>0</v>
      </c>
      <c r="M241">
        <v>0</v>
      </c>
      <c r="N241" s="1">
        <v>5.1400000000000003E-5</v>
      </c>
      <c r="O241">
        <v>2.3197699999999999E-4</v>
      </c>
      <c r="P241">
        <v>4.7584400000000001E-4</v>
      </c>
      <c r="Q241">
        <v>1.74989E-3</v>
      </c>
      <c r="R241">
        <v>3.5351599999999999E-3</v>
      </c>
      <c r="S241">
        <v>5.1537400000000004E-3</v>
      </c>
      <c r="T241">
        <v>6.4879400000000002E-3</v>
      </c>
      <c r="U241">
        <v>8.3691000000000008E-3</v>
      </c>
      <c r="V241">
        <v>1.2957700000000001E-2</v>
      </c>
      <c r="W241">
        <v>9.1148099999999992E-3</v>
      </c>
      <c r="X241">
        <v>1.3501300000000001E-2</v>
      </c>
      <c r="Y241">
        <v>9.0313500000000005E-3</v>
      </c>
      <c r="Z241">
        <v>5.8075499999999999E-3</v>
      </c>
      <c r="AA241">
        <v>4.20098E-3</v>
      </c>
      <c r="AB241">
        <v>2.8281000000000001E-3</v>
      </c>
      <c r="AC241">
        <v>1.4366299999999999E-3</v>
      </c>
      <c r="AD241">
        <v>3.4570600000000001E-3</v>
      </c>
      <c r="AE241">
        <v>5.2209300000000004E-3</v>
      </c>
      <c r="AF241">
        <v>8.7303599999999995E-3</v>
      </c>
      <c r="AG241">
        <v>1.31606E-2</v>
      </c>
      <c r="AH241">
        <v>1.9719400000000002E-2</v>
      </c>
      <c r="AI241">
        <v>2.1942400000000001E-2</v>
      </c>
      <c r="AJ241">
        <v>3.5372899999999999E-2</v>
      </c>
      <c r="AK241">
        <v>3.8668899999999999E-2</v>
      </c>
      <c r="AL241">
        <v>4.51738E-2</v>
      </c>
      <c r="AM241">
        <v>4.4998900000000001E-2</v>
      </c>
      <c r="AN241">
        <v>4.2366300000000003E-2</v>
      </c>
      <c r="AO241">
        <v>3.10532E-2</v>
      </c>
      <c r="AP241">
        <v>3.24908E-2</v>
      </c>
      <c r="AQ241">
        <v>2.54168E-2</v>
      </c>
      <c r="AR241">
        <v>2.3948299999999999E-2</v>
      </c>
      <c r="AS241">
        <v>2.0322099999999999E-2</v>
      </c>
      <c r="AT241">
        <v>2.35911E-2</v>
      </c>
      <c r="AU241">
        <v>2.10557E-2</v>
      </c>
      <c r="AV241">
        <v>3.3292000000000002E-2</v>
      </c>
      <c r="AW241">
        <v>2.92765E-2</v>
      </c>
      <c r="AX241">
        <v>3.6848199999999998E-2</v>
      </c>
      <c r="AY241">
        <v>3.2148299999999998E-2</v>
      </c>
      <c r="AZ241">
        <v>3.1878999999999998E-2</v>
      </c>
      <c r="BA241">
        <v>2.2621499999999999E-2</v>
      </c>
      <c r="BB241">
        <v>2.69065E-2</v>
      </c>
      <c r="BC241">
        <v>1.5400499999999999E-2</v>
      </c>
      <c r="BD241">
        <v>1.8657699999999999E-2</v>
      </c>
      <c r="BE241">
        <v>1.4984000000000001E-2</v>
      </c>
      <c r="BF241">
        <v>1.3607599999999999E-2</v>
      </c>
      <c r="BG241">
        <v>1.1154000000000001E-2</v>
      </c>
      <c r="BH241">
        <v>1.32724E-2</v>
      </c>
      <c r="BI241">
        <v>1.04659E-2</v>
      </c>
      <c r="BJ241">
        <v>1.2791200000000001E-2</v>
      </c>
      <c r="BK241">
        <v>7.3431399999999997E-3</v>
      </c>
      <c r="BL241">
        <v>9.1861400000000006E-3</v>
      </c>
      <c r="BM241">
        <v>9.8228900000000008E-3</v>
      </c>
      <c r="BN241">
        <v>1.02837E-2</v>
      </c>
      <c r="BO241">
        <v>8.4684700000000005E-3</v>
      </c>
      <c r="BP241">
        <v>9.2200900000000002E-3</v>
      </c>
      <c r="BQ241">
        <v>8.7315499999999994E-3</v>
      </c>
      <c r="BR241">
        <v>8.1918200000000007E-3</v>
      </c>
      <c r="BS241">
        <v>4.6694500000000003E-3</v>
      </c>
      <c r="BT241">
        <v>8.6903999999999992E-3</v>
      </c>
      <c r="BU241">
        <v>5.8640200000000002E-3</v>
      </c>
      <c r="BV241">
        <v>5.2971499999999996E-3</v>
      </c>
      <c r="BW241">
        <v>5.4249199999999997E-3</v>
      </c>
      <c r="BX241">
        <v>4.7690700000000003E-3</v>
      </c>
      <c r="BY241">
        <v>3.8412099999999999E-3</v>
      </c>
      <c r="BZ241">
        <v>2.9183799999999999E-3</v>
      </c>
      <c r="CA241">
        <v>2.9184200000000001E-3</v>
      </c>
      <c r="CB241">
        <v>2.6163900000000001E-3</v>
      </c>
      <c r="CC241">
        <v>1.98197E-3</v>
      </c>
      <c r="CD241">
        <v>2.5013800000000001E-3</v>
      </c>
      <c r="CE241">
        <v>1.93181E-3</v>
      </c>
      <c r="CF241">
        <v>1.06891E-3</v>
      </c>
      <c r="CG241">
        <v>8.4084899999999996E-4</v>
      </c>
      <c r="CH241">
        <v>1.6021799999999999E-3</v>
      </c>
      <c r="CI241">
        <v>1.1408900000000001E-3</v>
      </c>
      <c r="CJ241">
        <v>4.8540500000000001E-4</v>
      </c>
      <c r="CK241">
        <v>5.1983300000000004E-4</v>
      </c>
      <c r="CL241">
        <v>2.1908799999999999E-4</v>
      </c>
      <c r="CM241">
        <v>5.6523599999999999E-4</v>
      </c>
      <c r="CN241">
        <v>1.38143E-4</v>
      </c>
      <c r="CO241">
        <v>2.91005E-4</v>
      </c>
      <c r="CP241">
        <v>3.9966099999999999E-4</v>
      </c>
      <c r="CQ241">
        <v>1.24931E-4</v>
      </c>
      <c r="CR241">
        <v>1.7662900000000001E-4</v>
      </c>
      <c r="CS241">
        <v>2.8855500000000002E-4</v>
      </c>
      <c r="CT241">
        <v>4.0014299999999999E-4</v>
      </c>
      <c r="CU241">
        <v>4.0885200000000002E-4</v>
      </c>
      <c r="CV241" s="1">
        <v>7.5599999999999994E-5</v>
      </c>
      <c r="CW241">
        <v>2.8146099999999999E-4</v>
      </c>
      <c r="CX241">
        <v>1.3077600000000001E-4</v>
      </c>
      <c r="CY241">
        <v>2.6445199999999998E-4</v>
      </c>
      <c r="CZ241">
        <v>4.8023100000000002E-4</v>
      </c>
      <c r="DA241" s="1">
        <v>8.1799999999999996E-5</v>
      </c>
      <c r="DB241">
        <v>1.1345600000000001E-4</v>
      </c>
      <c r="DC241">
        <v>0</v>
      </c>
      <c r="DD241">
        <v>0</v>
      </c>
      <c r="DE241" s="1">
        <v>9.6000000000000002E-5</v>
      </c>
      <c r="DF241">
        <v>0</v>
      </c>
      <c r="DG241">
        <v>1.5558400000000001E-4</v>
      </c>
      <c r="DH241">
        <v>0</v>
      </c>
      <c r="DI241">
        <v>0</v>
      </c>
      <c r="DJ241">
        <v>0</v>
      </c>
      <c r="DK241">
        <v>0</v>
      </c>
      <c r="DL241">
        <v>0</v>
      </c>
      <c r="DM241">
        <v>0</v>
      </c>
      <c r="DN241">
        <v>0</v>
      </c>
      <c r="DO241" s="1">
        <v>4.9499999999999997E-5</v>
      </c>
      <c r="DP241">
        <v>0</v>
      </c>
      <c r="DQ241">
        <v>0</v>
      </c>
      <c r="DR241">
        <v>0</v>
      </c>
      <c r="DS241">
        <v>0</v>
      </c>
      <c r="DT241">
        <v>0</v>
      </c>
      <c r="DU241">
        <v>0</v>
      </c>
      <c r="DV241">
        <v>0</v>
      </c>
      <c r="DW241" t="s">
        <v>506</v>
      </c>
    </row>
    <row r="242" spans="1:127" x14ac:dyDescent="0.2">
      <c r="A242">
        <v>2003</v>
      </c>
      <c r="B242">
        <v>7</v>
      </c>
      <c r="C242">
        <v>-2</v>
      </c>
      <c r="D242">
        <v>0</v>
      </c>
      <c r="E242">
        <v>0</v>
      </c>
      <c r="F242">
        <v>1011</v>
      </c>
      <c r="G242">
        <v>0</v>
      </c>
      <c r="H242">
        <v>0</v>
      </c>
      <c r="I242">
        <v>0</v>
      </c>
      <c r="J242">
        <v>0</v>
      </c>
      <c r="K242">
        <v>0</v>
      </c>
      <c r="L242" s="1">
        <v>9.8999999999999994E-5</v>
      </c>
      <c r="M242">
        <v>0</v>
      </c>
      <c r="N242" s="1">
        <v>5.41E-5</v>
      </c>
      <c r="O242">
        <v>2.21664E-4</v>
      </c>
      <c r="P242">
        <v>4.1760199999999999E-4</v>
      </c>
      <c r="Q242">
        <v>9.16886E-4</v>
      </c>
      <c r="R242">
        <v>4.4822400000000002E-3</v>
      </c>
      <c r="S242">
        <v>7.4186599999999997E-3</v>
      </c>
      <c r="T242">
        <v>1.10169E-2</v>
      </c>
      <c r="U242">
        <v>1.64277E-2</v>
      </c>
      <c r="V242">
        <v>1.8612E-2</v>
      </c>
      <c r="W242">
        <v>1.64949E-2</v>
      </c>
      <c r="X242">
        <v>1.9964200000000001E-2</v>
      </c>
      <c r="Y242">
        <v>2.0322699999999999E-2</v>
      </c>
      <c r="Z242">
        <v>2.2575600000000001E-2</v>
      </c>
      <c r="AA242">
        <v>2.01712E-2</v>
      </c>
      <c r="AB242">
        <v>1.9064399999999999E-2</v>
      </c>
      <c r="AC242">
        <v>1.5924399999999998E-2</v>
      </c>
      <c r="AD242">
        <v>1.7459499999999999E-2</v>
      </c>
      <c r="AE242">
        <v>1.23228E-2</v>
      </c>
      <c r="AF242">
        <v>9.5914999999999993E-3</v>
      </c>
      <c r="AG242">
        <v>5.37435E-3</v>
      </c>
      <c r="AH242">
        <v>4.6257E-3</v>
      </c>
      <c r="AI242">
        <v>4.7324200000000002E-3</v>
      </c>
      <c r="AJ242">
        <v>6.3452999999999999E-3</v>
      </c>
      <c r="AK242">
        <v>4.6410799999999997E-3</v>
      </c>
      <c r="AL242">
        <v>9.2924600000000007E-3</v>
      </c>
      <c r="AM242">
        <v>1.15564E-2</v>
      </c>
      <c r="AN242">
        <v>2.5176199999999999E-2</v>
      </c>
      <c r="AO242">
        <v>1.72678E-2</v>
      </c>
      <c r="AP242">
        <v>2.5514999999999999E-2</v>
      </c>
      <c r="AQ242">
        <v>1.93095E-2</v>
      </c>
      <c r="AR242">
        <v>2.1953799999999999E-2</v>
      </c>
      <c r="AS242">
        <v>2.3297700000000001E-2</v>
      </c>
      <c r="AT242">
        <v>2.5623300000000002E-2</v>
      </c>
      <c r="AU242">
        <v>2.88677E-2</v>
      </c>
      <c r="AV242">
        <v>2.7676599999999999E-2</v>
      </c>
      <c r="AW242">
        <v>3.1277600000000003E-2</v>
      </c>
      <c r="AX242">
        <v>3.69062E-2</v>
      </c>
      <c r="AY242">
        <v>3.4394599999999997E-2</v>
      </c>
      <c r="AZ242">
        <v>3.7148100000000003E-2</v>
      </c>
      <c r="BA242">
        <v>3.3790300000000002E-2</v>
      </c>
      <c r="BB242">
        <v>3.1560900000000003E-2</v>
      </c>
      <c r="BC242">
        <v>2.28182E-2</v>
      </c>
      <c r="BD242">
        <v>2.26769E-2</v>
      </c>
      <c r="BE242">
        <v>1.9211900000000001E-2</v>
      </c>
      <c r="BF242">
        <v>2.0318699999999999E-2</v>
      </c>
      <c r="BG242">
        <v>2.13847E-2</v>
      </c>
      <c r="BH242">
        <v>1.64505E-2</v>
      </c>
      <c r="BI242">
        <v>1.5283E-2</v>
      </c>
      <c r="BJ242">
        <v>1.3946699999999999E-2</v>
      </c>
      <c r="BK242">
        <v>1.2116699999999999E-2</v>
      </c>
      <c r="BL242">
        <v>1.0295E-2</v>
      </c>
      <c r="BM242">
        <v>1.17804E-2</v>
      </c>
      <c r="BN242">
        <v>1.1305300000000001E-2</v>
      </c>
      <c r="BO242">
        <v>9.3822000000000003E-3</v>
      </c>
      <c r="BP242">
        <v>7.9137099999999991E-3</v>
      </c>
      <c r="BQ242">
        <v>5.8297899999999996E-3</v>
      </c>
      <c r="BR242">
        <v>7.7782600000000004E-3</v>
      </c>
      <c r="BS242">
        <v>5.4111699999999999E-3</v>
      </c>
      <c r="BT242">
        <v>5.8179499999999997E-3</v>
      </c>
      <c r="BU242">
        <v>5.6990599999999997E-3</v>
      </c>
      <c r="BV242">
        <v>5.3908799999999998E-3</v>
      </c>
      <c r="BW242">
        <v>5.5324800000000002E-3</v>
      </c>
      <c r="BX242">
        <v>6.14023E-3</v>
      </c>
      <c r="BY242">
        <v>3.8856899999999998E-3</v>
      </c>
      <c r="BZ242">
        <v>4.4911400000000002E-3</v>
      </c>
      <c r="CA242">
        <v>3.3087899999999998E-3</v>
      </c>
      <c r="CB242">
        <v>3.346E-3</v>
      </c>
      <c r="CC242">
        <v>2.9533099999999998E-3</v>
      </c>
      <c r="CD242">
        <v>2.7998699999999999E-3</v>
      </c>
      <c r="CE242">
        <v>2.1542900000000001E-3</v>
      </c>
      <c r="CF242">
        <v>2.2617100000000001E-3</v>
      </c>
      <c r="CG242">
        <v>1.3497100000000001E-3</v>
      </c>
      <c r="CH242">
        <v>1.48098E-3</v>
      </c>
      <c r="CI242">
        <v>1.6837E-3</v>
      </c>
      <c r="CJ242">
        <v>1.7132200000000001E-3</v>
      </c>
      <c r="CK242">
        <v>9.0194699999999995E-4</v>
      </c>
      <c r="CL242">
        <v>1.13463E-3</v>
      </c>
      <c r="CM242">
        <v>5.8473499999999996E-4</v>
      </c>
      <c r="CN242">
        <v>7.7220800000000003E-4</v>
      </c>
      <c r="CO242">
        <v>4.4502300000000001E-4</v>
      </c>
      <c r="CP242">
        <v>5.4142399999999999E-4</v>
      </c>
      <c r="CQ242">
        <v>4.1618699999999999E-4</v>
      </c>
      <c r="CR242">
        <v>3.0496899999999999E-4</v>
      </c>
      <c r="CS242">
        <v>3.4426500000000001E-4</v>
      </c>
      <c r="CT242">
        <v>2.1922900000000001E-4</v>
      </c>
      <c r="CU242">
        <v>1.4374900000000001E-4</v>
      </c>
      <c r="CV242">
        <v>1.23831E-4</v>
      </c>
      <c r="CW242">
        <v>0</v>
      </c>
      <c r="CX242" s="1">
        <v>8.1500000000000002E-5</v>
      </c>
      <c r="CY242" s="1">
        <v>5.6400000000000002E-5</v>
      </c>
      <c r="CZ242" s="1">
        <v>2.7900000000000001E-5</v>
      </c>
      <c r="DA242">
        <v>0</v>
      </c>
      <c r="DB242">
        <v>0</v>
      </c>
      <c r="DC242" s="1">
        <v>6.2799999999999995E-5</v>
      </c>
      <c r="DD242">
        <v>0</v>
      </c>
      <c r="DE242" s="1">
        <v>3.6000000000000001E-5</v>
      </c>
      <c r="DF242">
        <v>0</v>
      </c>
      <c r="DG242">
        <v>0</v>
      </c>
      <c r="DH242">
        <v>0</v>
      </c>
      <c r="DI242">
        <v>0</v>
      </c>
      <c r="DJ242">
        <v>0</v>
      </c>
      <c r="DK242">
        <v>0</v>
      </c>
      <c r="DL242">
        <v>0</v>
      </c>
      <c r="DM242">
        <v>0</v>
      </c>
      <c r="DN242">
        <v>0</v>
      </c>
      <c r="DO242">
        <v>0</v>
      </c>
      <c r="DP242">
        <v>0</v>
      </c>
      <c r="DQ242">
        <v>0</v>
      </c>
      <c r="DR242">
        <v>0</v>
      </c>
      <c r="DS242">
        <v>0</v>
      </c>
      <c r="DT242">
        <v>0</v>
      </c>
      <c r="DU242">
        <v>0</v>
      </c>
      <c r="DV242">
        <v>0</v>
      </c>
      <c r="DW242" t="s">
        <v>507</v>
      </c>
    </row>
    <row r="243" spans="1:127" x14ac:dyDescent="0.2">
      <c r="A243">
        <v>2004</v>
      </c>
      <c r="B243">
        <v>7</v>
      </c>
      <c r="C243">
        <v>-2</v>
      </c>
      <c r="D243">
        <v>0</v>
      </c>
      <c r="E243">
        <v>0</v>
      </c>
      <c r="F243">
        <v>1918</v>
      </c>
      <c r="G243">
        <v>0</v>
      </c>
      <c r="H243">
        <v>0</v>
      </c>
      <c r="I243">
        <v>0</v>
      </c>
      <c r="J243">
        <v>0</v>
      </c>
      <c r="K243">
        <v>1.40505E-4</v>
      </c>
      <c r="L243">
        <v>0</v>
      </c>
      <c r="M243">
        <v>0</v>
      </c>
      <c r="N243">
        <v>0</v>
      </c>
      <c r="O243" s="1">
        <v>6.9200000000000002E-5</v>
      </c>
      <c r="P243">
        <v>3.51584E-4</v>
      </c>
      <c r="Q243">
        <v>1.80714E-3</v>
      </c>
      <c r="R243">
        <v>4.1714999999999999E-3</v>
      </c>
      <c r="S243">
        <v>7.9420099999999993E-3</v>
      </c>
      <c r="T243">
        <v>1.40769E-2</v>
      </c>
      <c r="U243">
        <v>9.7812000000000003E-3</v>
      </c>
      <c r="V243">
        <v>1.7950000000000001E-2</v>
      </c>
      <c r="W243">
        <v>1.7316499999999999E-2</v>
      </c>
      <c r="X243">
        <v>1.98493E-2</v>
      </c>
      <c r="Y243">
        <v>1.9414600000000001E-2</v>
      </c>
      <c r="Z243">
        <v>1.24382E-2</v>
      </c>
      <c r="AA243">
        <v>1.3292099999999999E-2</v>
      </c>
      <c r="AB243">
        <v>1.02296E-2</v>
      </c>
      <c r="AC243">
        <v>6.0983000000000001E-3</v>
      </c>
      <c r="AD243">
        <v>5.1854099999999997E-3</v>
      </c>
      <c r="AE243">
        <v>6.7574799999999997E-3</v>
      </c>
      <c r="AF243">
        <v>8.5066299999999994E-3</v>
      </c>
      <c r="AG243">
        <v>9.6883200000000003E-3</v>
      </c>
      <c r="AH243">
        <v>1.7267299999999999E-2</v>
      </c>
      <c r="AI243">
        <v>1.8084099999999999E-2</v>
      </c>
      <c r="AJ243">
        <v>2.0149400000000001E-2</v>
      </c>
      <c r="AK243">
        <v>2.1874500000000002E-2</v>
      </c>
      <c r="AL243">
        <v>2.52497E-2</v>
      </c>
      <c r="AM243">
        <v>2.7640000000000001E-2</v>
      </c>
      <c r="AN243">
        <v>2.9142100000000001E-2</v>
      </c>
      <c r="AO243">
        <v>2.8542499999999998E-2</v>
      </c>
      <c r="AP243">
        <v>3.0956399999999999E-2</v>
      </c>
      <c r="AQ243">
        <v>2.87771E-2</v>
      </c>
      <c r="AR243">
        <v>2.9987300000000001E-2</v>
      </c>
      <c r="AS243">
        <v>2.3408499999999999E-2</v>
      </c>
      <c r="AT243">
        <v>2.2494799999999999E-2</v>
      </c>
      <c r="AU243">
        <v>1.9574999999999999E-2</v>
      </c>
      <c r="AV243">
        <v>1.9126000000000001E-2</v>
      </c>
      <c r="AW243">
        <v>1.7297799999999999E-2</v>
      </c>
      <c r="AX243">
        <v>1.66765E-2</v>
      </c>
      <c r="AY243">
        <v>1.43392E-2</v>
      </c>
      <c r="AZ243">
        <v>1.3793100000000001E-2</v>
      </c>
      <c r="BA243">
        <v>1.3942700000000001E-2</v>
      </c>
      <c r="BB243">
        <v>1.6088100000000001E-2</v>
      </c>
      <c r="BC243">
        <v>1.5718699999999999E-2</v>
      </c>
      <c r="BD243">
        <v>1.8958800000000001E-2</v>
      </c>
      <c r="BE243">
        <v>1.83988E-2</v>
      </c>
      <c r="BF243">
        <v>1.4878000000000001E-2</v>
      </c>
      <c r="BG243">
        <v>1.6807099999999998E-2</v>
      </c>
      <c r="BH243">
        <v>1.5949100000000001E-2</v>
      </c>
      <c r="BI243">
        <v>1.72859E-2</v>
      </c>
      <c r="BJ243">
        <v>1.55596E-2</v>
      </c>
      <c r="BK243">
        <v>1.7598200000000001E-2</v>
      </c>
      <c r="BL243">
        <v>1.33518E-2</v>
      </c>
      <c r="BM243">
        <v>1.4476299999999999E-2</v>
      </c>
      <c r="BN243">
        <v>1.5585E-2</v>
      </c>
      <c r="BO243">
        <v>1.3776999999999999E-2</v>
      </c>
      <c r="BP243">
        <v>1.3196599999999999E-2</v>
      </c>
      <c r="BQ243">
        <v>1.27714E-2</v>
      </c>
      <c r="BR243">
        <v>1.1183500000000001E-2</v>
      </c>
      <c r="BS243">
        <v>9.5820100000000002E-3</v>
      </c>
      <c r="BT243">
        <v>9.2546E-3</v>
      </c>
      <c r="BU243">
        <v>8.1257900000000008E-3</v>
      </c>
      <c r="BV243">
        <v>9.8749100000000006E-3</v>
      </c>
      <c r="BW243">
        <v>7.6984200000000001E-3</v>
      </c>
      <c r="BX243">
        <v>5.9347999999999996E-3</v>
      </c>
      <c r="BY243">
        <v>6.7244499999999999E-3</v>
      </c>
      <c r="BZ243">
        <v>5.5539300000000003E-3</v>
      </c>
      <c r="CA243">
        <v>5.5904300000000004E-3</v>
      </c>
      <c r="CB243">
        <v>3.1608399999999998E-3</v>
      </c>
      <c r="CC243">
        <v>4.6755800000000004E-3</v>
      </c>
      <c r="CD243">
        <v>4.2429E-3</v>
      </c>
      <c r="CE243">
        <v>3.9348300000000003E-3</v>
      </c>
      <c r="CF243">
        <v>4.18857E-3</v>
      </c>
      <c r="CG243">
        <v>2.9042600000000001E-3</v>
      </c>
      <c r="CH243">
        <v>2.51132E-3</v>
      </c>
      <c r="CI243">
        <v>2.2117299999999999E-3</v>
      </c>
      <c r="CJ243">
        <v>2.1415900000000001E-3</v>
      </c>
      <c r="CK243">
        <v>1.44382E-3</v>
      </c>
      <c r="CL243">
        <v>2.0756300000000002E-3</v>
      </c>
      <c r="CM243">
        <v>1.00993E-3</v>
      </c>
      <c r="CN243">
        <v>2.3885199999999999E-3</v>
      </c>
      <c r="CO243">
        <v>1.12896E-3</v>
      </c>
      <c r="CP243">
        <v>1.7629799999999999E-3</v>
      </c>
      <c r="CQ243">
        <v>1.40354E-3</v>
      </c>
      <c r="CR243">
        <v>1.16555E-3</v>
      </c>
      <c r="CS243">
        <v>5.4678400000000003E-4</v>
      </c>
      <c r="CT243">
        <v>3.5804100000000002E-4</v>
      </c>
      <c r="CU243">
        <v>6.9187399999999998E-4</v>
      </c>
      <c r="CV243">
        <v>3.75368E-4</v>
      </c>
      <c r="CW243">
        <v>3.1720099999999997E-4</v>
      </c>
      <c r="CX243">
        <v>4.0896900000000002E-4</v>
      </c>
      <c r="CY243">
        <v>3.7239400000000001E-4</v>
      </c>
      <c r="CZ243">
        <v>2.35481E-4</v>
      </c>
      <c r="DA243">
        <v>1.5802200000000001E-4</v>
      </c>
      <c r="DB243">
        <v>0</v>
      </c>
      <c r="DC243" s="1">
        <v>6.3499999999999999E-5</v>
      </c>
      <c r="DD243">
        <v>0</v>
      </c>
      <c r="DE243">
        <v>4.6316599999999999E-4</v>
      </c>
      <c r="DF243">
        <v>0</v>
      </c>
      <c r="DG243">
        <v>1.11785E-4</v>
      </c>
      <c r="DH243">
        <v>0</v>
      </c>
      <c r="DI243">
        <v>0</v>
      </c>
      <c r="DJ243">
        <v>1.5802200000000001E-4</v>
      </c>
      <c r="DK243">
        <v>0</v>
      </c>
      <c r="DL243" s="1">
        <v>7.5500000000000006E-5</v>
      </c>
      <c r="DM243">
        <v>0</v>
      </c>
      <c r="DN243">
        <v>0</v>
      </c>
      <c r="DO243">
        <v>0</v>
      </c>
      <c r="DP243">
        <v>0</v>
      </c>
      <c r="DQ243">
        <v>0</v>
      </c>
      <c r="DR243">
        <v>0</v>
      </c>
      <c r="DS243">
        <v>0</v>
      </c>
      <c r="DT243">
        <v>0</v>
      </c>
      <c r="DU243">
        <v>0</v>
      </c>
      <c r="DV243">
        <v>0</v>
      </c>
      <c r="DW243" t="s">
        <v>508</v>
      </c>
    </row>
    <row r="244" spans="1:127" x14ac:dyDescent="0.2">
      <c r="A244">
        <v>2005</v>
      </c>
      <c r="B244">
        <v>7</v>
      </c>
      <c r="C244">
        <v>-2</v>
      </c>
      <c r="D244">
        <v>0</v>
      </c>
      <c r="E244">
        <v>0</v>
      </c>
      <c r="F244">
        <v>1142</v>
      </c>
      <c r="G244">
        <v>0</v>
      </c>
      <c r="H244">
        <v>0</v>
      </c>
      <c r="I244">
        <v>0</v>
      </c>
      <c r="J244">
        <v>0</v>
      </c>
      <c r="K244">
        <v>0</v>
      </c>
      <c r="L244">
        <v>0</v>
      </c>
      <c r="M244">
        <v>0</v>
      </c>
      <c r="N244">
        <v>0</v>
      </c>
      <c r="O244">
        <v>0</v>
      </c>
      <c r="P244" s="1">
        <v>7.25E-5</v>
      </c>
      <c r="Q244">
        <v>3.46671E-4</v>
      </c>
      <c r="R244">
        <v>1.97634E-3</v>
      </c>
      <c r="S244">
        <v>3.8169599999999999E-3</v>
      </c>
      <c r="T244">
        <v>7.6443500000000003E-3</v>
      </c>
      <c r="U244">
        <v>1.21101E-2</v>
      </c>
      <c r="V244">
        <v>1.76223E-2</v>
      </c>
      <c r="W244">
        <v>2.17982E-2</v>
      </c>
      <c r="X244">
        <v>2.6698E-2</v>
      </c>
      <c r="Y244">
        <v>2.49482E-2</v>
      </c>
      <c r="Z244">
        <v>2.6446600000000001E-2</v>
      </c>
      <c r="AA244">
        <v>2.5380699999999999E-2</v>
      </c>
      <c r="AB244">
        <v>3.1799099999999997E-2</v>
      </c>
      <c r="AC244">
        <v>3.1754900000000003E-2</v>
      </c>
      <c r="AD244">
        <v>3.40559E-2</v>
      </c>
      <c r="AE244">
        <v>3.3036200000000002E-2</v>
      </c>
      <c r="AF244">
        <v>2.5267899999999999E-2</v>
      </c>
      <c r="AG244">
        <v>1.8303199999999999E-2</v>
      </c>
      <c r="AH244">
        <v>1.20827E-2</v>
      </c>
      <c r="AI244">
        <v>1.1967200000000001E-2</v>
      </c>
      <c r="AJ244">
        <v>1.2518700000000001E-2</v>
      </c>
      <c r="AK244">
        <v>1.01688E-2</v>
      </c>
      <c r="AL244">
        <v>1.39404E-2</v>
      </c>
      <c r="AM244">
        <v>1.5675399999999999E-2</v>
      </c>
      <c r="AN244">
        <v>1.7355300000000001E-2</v>
      </c>
      <c r="AO244">
        <v>1.7189099999999999E-2</v>
      </c>
      <c r="AP244">
        <v>1.8155899999999999E-2</v>
      </c>
      <c r="AQ244">
        <v>2.0186900000000001E-2</v>
      </c>
      <c r="AR244">
        <v>2.5225600000000001E-2</v>
      </c>
      <c r="AS244">
        <v>2.2096600000000001E-2</v>
      </c>
      <c r="AT244">
        <v>1.81307E-2</v>
      </c>
      <c r="AU244">
        <v>1.7393599999999999E-2</v>
      </c>
      <c r="AV244">
        <v>1.8114100000000001E-2</v>
      </c>
      <c r="AW244">
        <v>1.8349500000000001E-2</v>
      </c>
      <c r="AX244">
        <v>1.9151399999999999E-2</v>
      </c>
      <c r="AY244">
        <v>1.48199E-2</v>
      </c>
      <c r="AZ244">
        <v>1.8586700000000001E-2</v>
      </c>
      <c r="BA244">
        <v>1.51095E-2</v>
      </c>
      <c r="BB244">
        <v>1.71462E-2</v>
      </c>
      <c r="BC244">
        <v>1.17416E-2</v>
      </c>
      <c r="BD244">
        <v>1.5124200000000001E-2</v>
      </c>
      <c r="BE244">
        <v>1.12017E-2</v>
      </c>
      <c r="BF244">
        <v>1.2921200000000001E-2</v>
      </c>
      <c r="BG244">
        <v>1.15254E-2</v>
      </c>
      <c r="BH244">
        <v>1.2039899999999999E-2</v>
      </c>
      <c r="BI244">
        <v>9.9649999999999999E-3</v>
      </c>
      <c r="BJ244">
        <v>9.7875199999999992E-3</v>
      </c>
      <c r="BK244">
        <v>8.9351599999999993E-3</v>
      </c>
      <c r="BL244">
        <v>8.81615E-3</v>
      </c>
      <c r="BM244">
        <v>8.9099899999999996E-3</v>
      </c>
      <c r="BN244">
        <v>1.0408300000000001E-2</v>
      </c>
      <c r="BO244">
        <v>7.5102800000000003E-3</v>
      </c>
      <c r="BP244">
        <v>1.0634899999999999E-2</v>
      </c>
      <c r="BQ244">
        <v>7.5135100000000002E-3</v>
      </c>
      <c r="BR244">
        <v>1.1291600000000001E-2</v>
      </c>
      <c r="BS244">
        <v>9.4678899999999996E-3</v>
      </c>
      <c r="BT244">
        <v>9.8819100000000007E-3</v>
      </c>
      <c r="BU244">
        <v>9.2096799999999996E-3</v>
      </c>
      <c r="BV244">
        <v>9.1962099999999998E-3</v>
      </c>
      <c r="BW244">
        <v>7.0766199999999996E-3</v>
      </c>
      <c r="BX244">
        <v>7.6352499999999997E-3</v>
      </c>
      <c r="BY244">
        <v>6.6753100000000003E-3</v>
      </c>
      <c r="BZ244">
        <v>6.3113600000000002E-3</v>
      </c>
      <c r="CA244">
        <v>5.22055E-3</v>
      </c>
      <c r="CB244">
        <v>6.8902199999999999E-3</v>
      </c>
      <c r="CC244">
        <v>4.5774400000000003E-3</v>
      </c>
      <c r="CD244">
        <v>6.4542499999999999E-3</v>
      </c>
      <c r="CE244">
        <v>4.8839599999999997E-3</v>
      </c>
      <c r="CF244">
        <v>5.6852500000000002E-3</v>
      </c>
      <c r="CG244">
        <v>4.3548800000000002E-3</v>
      </c>
      <c r="CH244">
        <v>3.9837199999999996E-3</v>
      </c>
      <c r="CI244">
        <v>3.6688699999999999E-3</v>
      </c>
      <c r="CJ244">
        <v>3.5074099999999999E-3</v>
      </c>
      <c r="CK244">
        <v>2.82673E-3</v>
      </c>
      <c r="CL244">
        <v>2.1697299999999999E-3</v>
      </c>
      <c r="CM244">
        <v>1.5195300000000001E-3</v>
      </c>
      <c r="CN244">
        <v>2.42275E-3</v>
      </c>
      <c r="CO244">
        <v>1.7775600000000001E-3</v>
      </c>
      <c r="CP244">
        <v>2.0592700000000002E-3</v>
      </c>
      <c r="CQ244">
        <v>1.23431E-3</v>
      </c>
      <c r="CR244">
        <v>8.9443400000000005E-4</v>
      </c>
      <c r="CS244">
        <v>1.2950100000000001E-3</v>
      </c>
      <c r="CT244">
        <v>8.6562399999999995E-4</v>
      </c>
      <c r="CU244">
        <v>6.7049600000000003E-4</v>
      </c>
      <c r="CV244">
        <v>3.4756700000000001E-4</v>
      </c>
      <c r="CW244">
        <v>7.8954800000000005E-4</v>
      </c>
      <c r="CX244">
        <v>4.4487299999999998E-4</v>
      </c>
      <c r="CY244">
        <v>2.47266E-4</v>
      </c>
      <c r="CZ244">
        <v>3.1335299999999999E-4</v>
      </c>
      <c r="DA244" s="1">
        <v>3.8500000000000001E-5</v>
      </c>
      <c r="DB244">
        <v>3.1441599999999998E-4</v>
      </c>
      <c r="DC244">
        <v>1.8126399999999999E-4</v>
      </c>
      <c r="DD244" s="1">
        <v>3.4999999999999997E-5</v>
      </c>
      <c r="DE244" s="1">
        <v>6.7100000000000005E-5</v>
      </c>
      <c r="DF244" s="1">
        <v>3.6000000000000001E-5</v>
      </c>
      <c r="DG244">
        <v>0</v>
      </c>
      <c r="DH244">
        <v>0</v>
      </c>
      <c r="DI244">
        <v>0</v>
      </c>
      <c r="DJ244">
        <v>0</v>
      </c>
      <c r="DK244">
        <v>0</v>
      </c>
      <c r="DL244">
        <v>0</v>
      </c>
      <c r="DM244">
        <v>0</v>
      </c>
      <c r="DN244">
        <v>0</v>
      </c>
      <c r="DO244">
        <v>0</v>
      </c>
      <c r="DP244">
        <v>0</v>
      </c>
      <c r="DQ244">
        <v>0</v>
      </c>
      <c r="DR244">
        <v>0</v>
      </c>
      <c r="DS244">
        <v>0</v>
      </c>
      <c r="DT244">
        <v>0</v>
      </c>
      <c r="DU244">
        <v>0</v>
      </c>
      <c r="DV244">
        <v>0</v>
      </c>
      <c r="DW244" t="s">
        <v>509</v>
      </c>
    </row>
    <row r="245" spans="1:127" x14ac:dyDescent="0.2">
      <c r="A245">
        <v>2006</v>
      </c>
      <c r="B245">
        <v>7</v>
      </c>
      <c r="C245">
        <v>-2</v>
      </c>
      <c r="D245">
        <v>0</v>
      </c>
      <c r="E245">
        <v>0</v>
      </c>
      <c r="F245">
        <v>2563</v>
      </c>
      <c r="G245">
        <v>0</v>
      </c>
      <c r="H245">
        <v>0</v>
      </c>
      <c r="I245">
        <v>0</v>
      </c>
      <c r="J245">
        <v>0</v>
      </c>
      <c r="K245" s="1">
        <v>6.8399999999999996E-5</v>
      </c>
      <c r="L245">
        <v>0</v>
      </c>
      <c r="M245">
        <v>3.5183399999999998E-4</v>
      </c>
      <c r="N245">
        <v>5.9626600000000003E-4</v>
      </c>
      <c r="O245">
        <v>3.2782900000000001E-3</v>
      </c>
      <c r="P245">
        <v>8.2093900000000004E-3</v>
      </c>
      <c r="Q245">
        <v>2.7352399999999999E-2</v>
      </c>
      <c r="R245">
        <v>3.29051E-2</v>
      </c>
      <c r="S245">
        <v>3.4713300000000002E-2</v>
      </c>
      <c r="T245">
        <v>3.6879299999999997E-2</v>
      </c>
      <c r="U245">
        <v>3.2645100000000003E-2</v>
      </c>
      <c r="V245">
        <v>2.7924899999999999E-2</v>
      </c>
      <c r="W245">
        <v>2.6761099999999999E-2</v>
      </c>
      <c r="X245">
        <v>2.9156999999999999E-2</v>
      </c>
      <c r="Y245">
        <v>2.2818100000000001E-2</v>
      </c>
      <c r="Z245">
        <v>1.9808900000000001E-2</v>
      </c>
      <c r="AA245">
        <v>1.1874300000000001E-2</v>
      </c>
      <c r="AB245">
        <v>8.6124500000000007E-3</v>
      </c>
      <c r="AC245">
        <v>5.30541E-3</v>
      </c>
      <c r="AD245">
        <v>4.41684E-3</v>
      </c>
      <c r="AE245">
        <v>4.74516E-3</v>
      </c>
      <c r="AF245">
        <v>4.5111500000000002E-3</v>
      </c>
      <c r="AG245">
        <v>5.2138799999999997E-3</v>
      </c>
      <c r="AH245">
        <v>7.0958799999999997E-3</v>
      </c>
      <c r="AI245">
        <v>9.4331399999999996E-3</v>
      </c>
      <c r="AJ245">
        <v>1.37833E-2</v>
      </c>
      <c r="AK245">
        <v>1.5587E-2</v>
      </c>
      <c r="AL245">
        <v>2.0075200000000001E-2</v>
      </c>
      <c r="AM245">
        <v>2.0103900000000001E-2</v>
      </c>
      <c r="AN245">
        <v>2.1589500000000001E-2</v>
      </c>
      <c r="AO245">
        <v>2.0443699999999999E-2</v>
      </c>
      <c r="AP245">
        <v>2.5147300000000001E-2</v>
      </c>
      <c r="AQ245">
        <v>2.1695800000000001E-2</v>
      </c>
      <c r="AR245">
        <v>2.4484800000000001E-2</v>
      </c>
      <c r="AS245">
        <v>2.11113E-2</v>
      </c>
      <c r="AT245">
        <v>2.0058900000000001E-2</v>
      </c>
      <c r="AU245">
        <v>1.7319399999999999E-2</v>
      </c>
      <c r="AV245">
        <v>1.6464199999999998E-2</v>
      </c>
      <c r="AW245">
        <v>1.3403699999999999E-2</v>
      </c>
      <c r="AX245">
        <v>1.40833E-2</v>
      </c>
      <c r="AY245">
        <v>1.20613E-2</v>
      </c>
      <c r="AZ245">
        <v>1.2497599999999999E-2</v>
      </c>
      <c r="BA245">
        <v>1.09386E-2</v>
      </c>
      <c r="BB245">
        <v>1.3288100000000001E-2</v>
      </c>
      <c r="BC245">
        <v>1.2442999999999999E-2</v>
      </c>
      <c r="BD245">
        <v>1.61777E-2</v>
      </c>
      <c r="BE245">
        <v>1.41642E-2</v>
      </c>
      <c r="BF245">
        <v>1.45772E-2</v>
      </c>
      <c r="BG245">
        <v>1.26169E-2</v>
      </c>
      <c r="BH245">
        <v>1.4790899999999999E-2</v>
      </c>
      <c r="BI245">
        <v>1.1332699999999999E-2</v>
      </c>
      <c r="BJ245">
        <v>1.4912699999999999E-2</v>
      </c>
      <c r="BK245">
        <v>8.7879099999999995E-3</v>
      </c>
      <c r="BL245">
        <v>1.0528600000000001E-2</v>
      </c>
      <c r="BM245">
        <v>7.4757000000000001E-3</v>
      </c>
      <c r="BN245">
        <v>8.0824999999999994E-3</v>
      </c>
      <c r="BO245">
        <v>8.5654900000000003E-3</v>
      </c>
      <c r="BP245">
        <v>7.9250199999999996E-3</v>
      </c>
      <c r="BQ245">
        <v>8.81352E-3</v>
      </c>
      <c r="BR245">
        <v>7.5175399999999996E-3</v>
      </c>
      <c r="BS245">
        <v>7.2217999999999996E-3</v>
      </c>
      <c r="BT245">
        <v>8.1972399999999997E-3</v>
      </c>
      <c r="BU245">
        <v>5.0505999999999997E-3</v>
      </c>
      <c r="BV245">
        <v>7.9862000000000006E-3</v>
      </c>
      <c r="BW245">
        <v>4.1830399999999998E-3</v>
      </c>
      <c r="BX245">
        <v>5.8075999999999996E-3</v>
      </c>
      <c r="BY245">
        <v>4.9981299999999999E-3</v>
      </c>
      <c r="BZ245">
        <v>4.8551000000000002E-3</v>
      </c>
      <c r="CA245">
        <v>5.3373600000000002E-3</v>
      </c>
      <c r="CB245">
        <v>5.6007799999999996E-3</v>
      </c>
      <c r="CC245">
        <v>4.6148200000000004E-3</v>
      </c>
      <c r="CD245">
        <v>4.9159099999999999E-3</v>
      </c>
      <c r="CE245">
        <v>3.5755000000000001E-3</v>
      </c>
      <c r="CF245">
        <v>4.6930299999999999E-3</v>
      </c>
      <c r="CG245">
        <v>3.6504100000000002E-3</v>
      </c>
      <c r="CH245">
        <v>4.7241799999999997E-3</v>
      </c>
      <c r="CI245">
        <v>4.1510699999999998E-3</v>
      </c>
      <c r="CJ245">
        <v>4.2248399999999997E-3</v>
      </c>
      <c r="CK245">
        <v>3.0224900000000001E-3</v>
      </c>
      <c r="CL245">
        <v>3.5083100000000002E-3</v>
      </c>
      <c r="CM245">
        <v>3.1720899999999998E-3</v>
      </c>
      <c r="CN245">
        <v>2.8107700000000002E-3</v>
      </c>
      <c r="CO245">
        <v>1.61922E-3</v>
      </c>
      <c r="CP245">
        <v>2.8602800000000002E-3</v>
      </c>
      <c r="CQ245">
        <v>1.26257E-3</v>
      </c>
      <c r="CR245">
        <v>1.8864000000000001E-3</v>
      </c>
      <c r="CS245">
        <v>1.2569600000000001E-3</v>
      </c>
      <c r="CT245">
        <v>1.4560899999999999E-3</v>
      </c>
      <c r="CU245">
        <v>8.1358400000000001E-4</v>
      </c>
      <c r="CV245">
        <v>7.7451500000000003E-4</v>
      </c>
      <c r="CW245">
        <v>5.0259199999999995E-4</v>
      </c>
      <c r="CX245">
        <v>9.29232E-4</v>
      </c>
      <c r="CY245">
        <v>7.0624000000000001E-4</v>
      </c>
      <c r="CZ245">
        <v>1.1465500000000001E-4</v>
      </c>
      <c r="DA245">
        <v>5.9390599999999995E-4</v>
      </c>
      <c r="DB245">
        <v>4.0268299999999998E-4</v>
      </c>
      <c r="DC245">
        <v>2.1099199999999999E-4</v>
      </c>
      <c r="DD245">
        <v>1.9990200000000001E-4</v>
      </c>
      <c r="DE245">
        <v>2.0641799999999999E-4</v>
      </c>
      <c r="DF245">
        <v>1.2269399999999999E-4</v>
      </c>
      <c r="DG245">
        <v>0</v>
      </c>
      <c r="DH245" s="1">
        <v>7.3300000000000006E-5</v>
      </c>
      <c r="DI245">
        <v>0</v>
      </c>
      <c r="DJ245">
        <v>0</v>
      </c>
      <c r="DK245">
        <v>1.80345E-4</v>
      </c>
      <c r="DL245">
        <v>0</v>
      </c>
      <c r="DM245">
        <v>0</v>
      </c>
      <c r="DN245">
        <v>0</v>
      </c>
      <c r="DO245">
        <v>0</v>
      </c>
      <c r="DP245">
        <v>0</v>
      </c>
      <c r="DQ245">
        <v>0</v>
      </c>
      <c r="DR245">
        <v>0</v>
      </c>
      <c r="DS245">
        <v>0</v>
      </c>
      <c r="DT245">
        <v>0</v>
      </c>
      <c r="DU245">
        <v>0</v>
      </c>
      <c r="DV245">
        <v>0</v>
      </c>
      <c r="DW245" t="s">
        <v>510</v>
      </c>
    </row>
    <row r="246" spans="1:127" x14ac:dyDescent="0.2">
      <c r="A246">
        <v>2007</v>
      </c>
      <c r="B246">
        <v>7</v>
      </c>
      <c r="C246">
        <v>-2</v>
      </c>
      <c r="D246">
        <v>0</v>
      </c>
      <c r="E246">
        <v>0</v>
      </c>
      <c r="F246">
        <v>278</v>
      </c>
      <c r="G246">
        <v>0</v>
      </c>
      <c r="H246">
        <v>0</v>
      </c>
      <c r="I246">
        <v>0</v>
      </c>
      <c r="J246">
        <v>0</v>
      </c>
      <c r="K246">
        <v>0</v>
      </c>
      <c r="L246">
        <v>0</v>
      </c>
      <c r="M246">
        <v>0</v>
      </c>
      <c r="N246">
        <v>5.7097199999999999E-4</v>
      </c>
      <c r="O246">
        <v>5.7040900000000002E-4</v>
      </c>
      <c r="P246">
        <v>9.9716200000000005E-3</v>
      </c>
      <c r="Q246">
        <v>3.7142799999999997E-2</v>
      </c>
      <c r="R246">
        <v>8.9873700000000001E-2</v>
      </c>
      <c r="S246">
        <v>0.11025699999999999</v>
      </c>
      <c r="T246">
        <v>0.108235</v>
      </c>
      <c r="U246">
        <v>8.8379899999999997E-2</v>
      </c>
      <c r="V246">
        <v>5.6715399999999999E-2</v>
      </c>
      <c r="W246">
        <v>5.5563099999999997E-2</v>
      </c>
      <c r="X246">
        <v>4.0262800000000001E-2</v>
      </c>
      <c r="Y246">
        <v>2.5929799999999999E-2</v>
      </c>
      <c r="Z246">
        <v>3.1543500000000002E-2</v>
      </c>
      <c r="AA246">
        <v>1.8021100000000002E-2</v>
      </c>
      <c r="AB246">
        <v>9.4597099999999996E-3</v>
      </c>
      <c r="AC246">
        <v>9.5229700000000004E-3</v>
      </c>
      <c r="AD246">
        <v>3.2720599999999998E-3</v>
      </c>
      <c r="AE246">
        <v>3.565E-3</v>
      </c>
      <c r="AF246">
        <v>5.1814199999999999E-3</v>
      </c>
      <c r="AG246">
        <v>6.8826599999999996E-3</v>
      </c>
      <c r="AH246">
        <v>9.66704E-3</v>
      </c>
      <c r="AI246">
        <v>9.2482799999999993E-3</v>
      </c>
      <c r="AJ246">
        <v>1.2064699999999999E-2</v>
      </c>
      <c r="AK246">
        <v>9.4934400000000006E-3</v>
      </c>
      <c r="AL246">
        <v>1.07972E-2</v>
      </c>
      <c r="AM246">
        <v>1.13746E-2</v>
      </c>
      <c r="AN246">
        <v>9.5786499999999993E-3</v>
      </c>
      <c r="AO246">
        <v>8.8238899999999992E-3</v>
      </c>
      <c r="AP246">
        <v>7.19909E-3</v>
      </c>
      <c r="AQ246">
        <v>7.2378900000000003E-3</v>
      </c>
      <c r="AR246">
        <v>5.8606999999999999E-3</v>
      </c>
      <c r="AS246">
        <v>4.73873E-3</v>
      </c>
      <c r="AT246">
        <v>5.7150100000000004E-3</v>
      </c>
      <c r="AU246">
        <v>5.9969300000000001E-3</v>
      </c>
      <c r="AV246">
        <v>6.0094500000000004E-3</v>
      </c>
      <c r="AW246">
        <v>5.2909000000000003E-3</v>
      </c>
      <c r="AX246">
        <v>6.5884699999999999E-3</v>
      </c>
      <c r="AY246">
        <v>6.0500900000000002E-3</v>
      </c>
      <c r="AZ246">
        <v>6.6702699999999998E-3</v>
      </c>
      <c r="BA246">
        <v>6.3435899999999996E-3</v>
      </c>
      <c r="BB246">
        <v>6.2759000000000001E-3</v>
      </c>
      <c r="BC246">
        <v>4.7175400000000001E-3</v>
      </c>
      <c r="BD246">
        <v>5.9739800000000003E-3</v>
      </c>
      <c r="BE246">
        <v>5.7172400000000002E-3</v>
      </c>
      <c r="BF246">
        <v>6.61373E-3</v>
      </c>
      <c r="BG246">
        <v>5.3393099999999999E-3</v>
      </c>
      <c r="BH246">
        <v>5.5536800000000001E-3</v>
      </c>
      <c r="BI246">
        <v>4.6955499999999997E-3</v>
      </c>
      <c r="BJ246">
        <v>4.5278899999999997E-3</v>
      </c>
      <c r="BK246">
        <v>4.0041900000000004E-3</v>
      </c>
      <c r="BL246">
        <v>4.1944900000000004E-3</v>
      </c>
      <c r="BM246">
        <v>3.9231800000000001E-3</v>
      </c>
      <c r="BN246">
        <v>4.9195000000000003E-3</v>
      </c>
      <c r="BO246">
        <v>4.0811800000000002E-3</v>
      </c>
      <c r="BP246">
        <v>4.7949400000000001E-3</v>
      </c>
      <c r="BQ246">
        <v>3.9300899999999998E-3</v>
      </c>
      <c r="BR246">
        <v>3.9669800000000002E-3</v>
      </c>
      <c r="BS246">
        <v>3.6119099999999999E-3</v>
      </c>
      <c r="BT246">
        <v>3.6539400000000001E-3</v>
      </c>
      <c r="BU246">
        <v>2.5121700000000002E-3</v>
      </c>
      <c r="BV246">
        <v>3.3608599999999998E-3</v>
      </c>
      <c r="BW246">
        <v>3.1948699999999998E-3</v>
      </c>
      <c r="BX246">
        <v>2.4551799999999999E-3</v>
      </c>
      <c r="BY246">
        <v>1.8230500000000001E-3</v>
      </c>
      <c r="BZ246">
        <v>2.5175699999999998E-3</v>
      </c>
      <c r="CA246">
        <v>1.8216899999999999E-3</v>
      </c>
      <c r="CB246">
        <v>2.91654E-3</v>
      </c>
      <c r="CC246">
        <v>1.6876700000000001E-3</v>
      </c>
      <c r="CD246">
        <v>1.4874000000000001E-3</v>
      </c>
      <c r="CE246">
        <v>1.0852500000000001E-3</v>
      </c>
      <c r="CF246">
        <v>9.7074599999999998E-4</v>
      </c>
      <c r="CG246">
        <v>1.39171E-3</v>
      </c>
      <c r="CH246">
        <v>1.2797799999999999E-3</v>
      </c>
      <c r="CI246">
        <v>1.4619800000000001E-3</v>
      </c>
      <c r="CJ246">
        <v>7.8148699999999998E-4</v>
      </c>
      <c r="CK246">
        <v>8.5540099999999999E-4</v>
      </c>
      <c r="CL246">
        <v>6.7803600000000002E-4</v>
      </c>
      <c r="CM246">
        <v>1.9882099999999998E-3</v>
      </c>
      <c r="CN246">
        <v>8.5301400000000003E-4</v>
      </c>
      <c r="CO246">
        <v>6.4671100000000001E-4</v>
      </c>
      <c r="CP246">
        <v>7.0897099999999997E-4</v>
      </c>
      <c r="CQ246">
        <v>1.12974E-3</v>
      </c>
      <c r="CR246">
        <v>7.8023000000000003E-4</v>
      </c>
      <c r="CS246">
        <v>1.0216699999999999E-3</v>
      </c>
      <c r="CT246">
        <v>6.7836199999999995E-4</v>
      </c>
      <c r="CU246">
        <v>2.5304100000000002E-4</v>
      </c>
      <c r="CV246">
        <v>6.0321500000000004E-4</v>
      </c>
      <c r="CW246">
        <v>3.0049999999999999E-4</v>
      </c>
      <c r="CX246">
        <v>4.2285800000000002E-4</v>
      </c>
      <c r="CY246">
        <v>1.7499599999999999E-4</v>
      </c>
      <c r="CZ246">
        <v>2.1190099999999999E-4</v>
      </c>
      <c r="DA246">
        <v>1.9129999999999999E-4</v>
      </c>
      <c r="DB246">
        <v>2.1695300000000001E-4</v>
      </c>
      <c r="DC246">
        <v>1.3675800000000001E-4</v>
      </c>
      <c r="DD246">
        <v>6.0685399999999999E-4</v>
      </c>
      <c r="DE246" s="1">
        <v>9.9500000000000006E-5</v>
      </c>
      <c r="DF246">
        <v>1.81712E-4</v>
      </c>
      <c r="DG246" s="1">
        <v>7.9400000000000006E-5</v>
      </c>
      <c r="DH246">
        <v>1.5087400000000001E-4</v>
      </c>
      <c r="DI246">
        <v>0</v>
      </c>
      <c r="DJ246" s="1">
        <v>3.9700000000000003E-5</v>
      </c>
      <c r="DK246" s="1">
        <v>3.7400000000000001E-5</v>
      </c>
      <c r="DL246">
        <v>0</v>
      </c>
      <c r="DM246">
        <v>0</v>
      </c>
      <c r="DN246" s="1">
        <v>3.9700000000000003E-5</v>
      </c>
      <c r="DO246">
        <v>0</v>
      </c>
      <c r="DP246">
        <v>0</v>
      </c>
      <c r="DQ246">
        <v>0</v>
      </c>
      <c r="DR246">
        <v>0</v>
      </c>
      <c r="DS246">
        <v>0</v>
      </c>
      <c r="DT246">
        <v>0</v>
      </c>
      <c r="DU246">
        <v>0</v>
      </c>
      <c r="DV246">
        <v>0</v>
      </c>
      <c r="DW246" t="s">
        <v>511</v>
      </c>
    </row>
    <row r="247" spans="1:127" x14ac:dyDescent="0.2">
      <c r="A247">
        <v>2008</v>
      </c>
      <c r="B247">
        <v>7</v>
      </c>
      <c r="C247">
        <v>-2</v>
      </c>
      <c r="D247">
        <v>0</v>
      </c>
      <c r="E247">
        <v>0</v>
      </c>
      <c r="F247">
        <v>1756</v>
      </c>
      <c r="G247">
        <v>0</v>
      </c>
      <c r="H247">
        <v>0</v>
      </c>
      <c r="I247">
        <v>0</v>
      </c>
      <c r="J247">
        <v>0</v>
      </c>
      <c r="K247">
        <v>0</v>
      </c>
      <c r="L247" s="1">
        <v>5.6100000000000002E-5</v>
      </c>
      <c r="M247">
        <v>0</v>
      </c>
      <c r="N247">
        <v>0</v>
      </c>
      <c r="O247">
        <v>4.2522700000000003E-4</v>
      </c>
      <c r="P247">
        <v>4.13745E-3</v>
      </c>
      <c r="Q247">
        <v>1.2872700000000001E-2</v>
      </c>
      <c r="R247">
        <v>2.6654600000000001E-2</v>
      </c>
      <c r="S247">
        <v>2.8927000000000001E-2</v>
      </c>
      <c r="T247">
        <v>2.96855E-2</v>
      </c>
      <c r="U247">
        <v>2.6710100000000001E-2</v>
      </c>
      <c r="V247">
        <v>2.37307E-2</v>
      </c>
      <c r="W247">
        <v>1.7262400000000001E-2</v>
      </c>
      <c r="X247">
        <v>1.1454199999999999E-2</v>
      </c>
      <c r="Y247">
        <v>5.71814E-3</v>
      </c>
      <c r="Z247">
        <v>3.0370000000000002E-3</v>
      </c>
      <c r="AA247">
        <v>1.58215E-3</v>
      </c>
      <c r="AB247">
        <v>3.0248200000000001E-3</v>
      </c>
      <c r="AC247">
        <v>5.5125E-3</v>
      </c>
      <c r="AD247">
        <v>1.2494999999999999E-2</v>
      </c>
      <c r="AE247">
        <v>2.3481999999999999E-2</v>
      </c>
      <c r="AF247">
        <v>3.6625199999999997E-2</v>
      </c>
      <c r="AG247">
        <v>4.1977599999999997E-2</v>
      </c>
      <c r="AH247">
        <v>5.4228199999999997E-2</v>
      </c>
      <c r="AI247">
        <v>5.7242099999999997E-2</v>
      </c>
      <c r="AJ247">
        <v>5.5553600000000002E-2</v>
      </c>
      <c r="AK247">
        <v>5.2376100000000002E-2</v>
      </c>
      <c r="AL247">
        <v>4.2982300000000001E-2</v>
      </c>
      <c r="AM247">
        <v>3.5800999999999999E-2</v>
      </c>
      <c r="AN247">
        <v>2.6290399999999998E-2</v>
      </c>
      <c r="AO247">
        <v>2.1734E-2</v>
      </c>
      <c r="AP247">
        <v>1.52376E-2</v>
      </c>
      <c r="AQ247">
        <v>1.2611199999999999E-2</v>
      </c>
      <c r="AR247">
        <v>1.1706299999999999E-2</v>
      </c>
      <c r="AS247">
        <v>1.0370300000000001E-2</v>
      </c>
      <c r="AT247">
        <v>1.00251E-2</v>
      </c>
      <c r="AU247">
        <v>9.1050300000000001E-3</v>
      </c>
      <c r="AV247">
        <v>1.1089099999999999E-2</v>
      </c>
      <c r="AW247">
        <v>9.9764799999999994E-3</v>
      </c>
      <c r="AX247">
        <v>1.07689E-2</v>
      </c>
      <c r="AY247">
        <v>1.0541399999999999E-2</v>
      </c>
      <c r="AZ247">
        <v>1.0648299999999999E-2</v>
      </c>
      <c r="BA247">
        <v>8.7001999999999999E-3</v>
      </c>
      <c r="BB247">
        <v>1.03672E-2</v>
      </c>
      <c r="BC247">
        <v>9.3620500000000002E-3</v>
      </c>
      <c r="BD247">
        <v>9.56013E-3</v>
      </c>
      <c r="BE247">
        <v>9.7500499999999997E-3</v>
      </c>
      <c r="BF247">
        <v>1.0711699999999999E-2</v>
      </c>
      <c r="BG247">
        <v>8.7930200000000003E-3</v>
      </c>
      <c r="BH247">
        <v>8.3835799999999999E-3</v>
      </c>
      <c r="BI247">
        <v>7.6930599999999998E-3</v>
      </c>
      <c r="BJ247">
        <v>8.6650300000000006E-3</v>
      </c>
      <c r="BK247">
        <v>6.8267199999999997E-3</v>
      </c>
      <c r="BL247">
        <v>8.9426899999999997E-3</v>
      </c>
      <c r="BM247">
        <v>7.8280599999999995E-3</v>
      </c>
      <c r="BN247">
        <v>8.8105200000000005E-3</v>
      </c>
      <c r="BO247">
        <v>6.9353699999999997E-3</v>
      </c>
      <c r="BP247">
        <v>6.3987899999999997E-3</v>
      </c>
      <c r="BQ247">
        <v>6.1659499999999999E-3</v>
      </c>
      <c r="BR247">
        <v>7.2941000000000004E-3</v>
      </c>
      <c r="BS247">
        <v>4.7425000000000002E-3</v>
      </c>
      <c r="BT247">
        <v>5.7120199999999999E-3</v>
      </c>
      <c r="BU247">
        <v>4.9145999999999999E-3</v>
      </c>
      <c r="BV247">
        <v>5.9297899999999999E-3</v>
      </c>
      <c r="BW247">
        <v>3.4779699999999999E-3</v>
      </c>
      <c r="BX247">
        <v>4.18696E-3</v>
      </c>
      <c r="BY247">
        <v>2.6109900000000001E-3</v>
      </c>
      <c r="BZ247">
        <v>3.2785499999999999E-3</v>
      </c>
      <c r="CA247">
        <v>1.7981099999999999E-3</v>
      </c>
      <c r="CB247">
        <v>3.3654499999999999E-3</v>
      </c>
      <c r="CC247">
        <v>1.4361899999999999E-3</v>
      </c>
      <c r="CD247">
        <v>1.9095E-3</v>
      </c>
      <c r="CE247">
        <v>1.7275999999999999E-3</v>
      </c>
      <c r="CF247">
        <v>1.8088900000000001E-3</v>
      </c>
      <c r="CG247">
        <v>9.5776399999999995E-4</v>
      </c>
      <c r="CH247">
        <v>1.2201099999999999E-3</v>
      </c>
      <c r="CI247">
        <v>9.0876300000000004E-4</v>
      </c>
      <c r="CJ247">
        <v>1.3238900000000001E-3</v>
      </c>
      <c r="CK247">
        <v>1.0679999999999999E-3</v>
      </c>
      <c r="CL247">
        <v>9.4797000000000002E-4</v>
      </c>
      <c r="CM247">
        <v>6.5345900000000001E-4</v>
      </c>
      <c r="CN247">
        <v>1.4772400000000001E-3</v>
      </c>
      <c r="CO247">
        <v>8.5392300000000003E-4</v>
      </c>
      <c r="CP247">
        <v>7.6920899999999997E-4</v>
      </c>
      <c r="CQ247">
        <v>6.1872999999999995E-4</v>
      </c>
      <c r="CR247">
        <v>1.0301500000000001E-3</v>
      </c>
      <c r="CS247">
        <v>3.8572999999999998E-4</v>
      </c>
      <c r="CT247">
        <v>7.5003999999999999E-4</v>
      </c>
      <c r="CU247">
        <v>7.8310100000000002E-4</v>
      </c>
      <c r="CV247">
        <v>7.4828999999999998E-4</v>
      </c>
      <c r="CW247">
        <v>6.6916999999999996E-4</v>
      </c>
      <c r="CX247">
        <v>2.3915699999999999E-4</v>
      </c>
      <c r="CY247">
        <v>6.39721E-4</v>
      </c>
      <c r="CZ247">
        <v>6.4803699999999996E-4</v>
      </c>
      <c r="DA247">
        <v>1.8224499999999999E-4</v>
      </c>
      <c r="DB247">
        <v>3.23896E-4</v>
      </c>
      <c r="DC247">
        <v>2.40559E-4</v>
      </c>
      <c r="DD247">
        <v>5.2850599999999998E-4</v>
      </c>
      <c r="DE247" s="1">
        <v>9.1500000000000001E-5</v>
      </c>
      <c r="DF247" s="1">
        <v>9.8599999999999998E-5</v>
      </c>
      <c r="DG247">
        <v>0</v>
      </c>
      <c r="DH247">
        <v>0</v>
      </c>
      <c r="DI247" s="1">
        <v>3.6199999999999999E-5</v>
      </c>
      <c r="DJ247">
        <v>0</v>
      </c>
      <c r="DK247">
        <v>0</v>
      </c>
      <c r="DL247" s="1">
        <v>6.0800000000000001E-5</v>
      </c>
      <c r="DM247">
        <v>0</v>
      </c>
      <c r="DN247">
        <v>0</v>
      </c>
      <c r="DO247">
        <v>0</v>
      </c>
      <c r="DP247">
        <v>0</v>
      </c>
      <c r="DQ247">
        <v>0</v>
      </c>
      <c r="DR247">
        <v>0</v>
      </c>
      <c r="DS247">
        <v>0</v>
      </c>
      <c r="DT247">
        <v>0</v>
      </c>
      <c r="DU247">
        <v>0</v>
      </c>
      <c r="DV247">
        <v>0</v>
      </c>
      <c r="DW247" t="s">
        <v>512</v>
      </c>
    </row>
    <row r="248" spans="1:127" x14ac:dyDescent="0.2">
      <c r="A248">
        <v>2009</v>
      </c>
      <c r="B248">
        <v>7</v>
      </c>
      <c r="C248">
        <v>-2</v>
      </c>
      <c r="D248">
        <v>0</v>
      </c>
      <c r="E248">
        <v>0</v>
      </c>
      <c r="F248">
        <v>922</v>
      </c>
      <c r="G248">
        <v>0</v>
      </c>
      <c r="H248">
        <v>0</v>
      </c>
      <c r="I248">
        <v>0</v>
      </c>
      <c r="J248" s="1">
        <v>3.4400000000000003E-5</v>
      </c>
      <c r="K248">
        <v>0</v>
      </c>
      <c r="L248" s="1">
        <v>2.7399999999999999E-5</v>
      </c>
      <c r="M248">
        <v>4.1961899999999998E-4</v>
      </c>
      <c r="N248">
        <v>2.1510499999999998E-3</v>
      </c>
      <c r="O248">
        <v>6.3313800000000002E-3</v>
      </c>
      <c r="P248">
        <v>2.40539E-2</v>
      </c>
      <c r="Q248">
        <v>5.8320200000000003E-2</v>
      </c>
      <c r="R248">
        <v>6.3486799999999996E-2</v>
      </c>
      <c r="S248">
        <v>6.5198800000000001E-2</v>
      </c>
      <c r="T248">
        <v>5.2590499999999998E-2</v>
      </c>
      <c r="U248">
        <v>4.4555200000000003E-2</v>
      </c>
      <c r="V248">
        <v>3.8888499999999999E-2</v>
      </c>
      <c r="W248">
        <v>2.9020600000000001E-2</v>
      </c>
      <c r="X248">
        <v>2.75765E-2</v>
      </c>
      <c r="Y248">
        <v>1.9122900000000002E-2</v>
      </c>
      <c r="Z248">
        <v>1.31629E-2</v>
      </c>
      <c r="AA248">
        <v>6.8659599999999999E-3</v>
      </c>
      <c r="AB248">
        <v>2.0652800000000001E-3</v>
      </c>
      <c r="AC248">
        <v>1.6538099999999999E-3</v>
      </c>
      <c r="AD248">
        <v>2.0412400000000002E-3</v>
      </c>
      <c r="AE248">
        <v>4.9100000000000003E-3</v>
      </c>
      <c r="AF248">
        <v>5.6282800000000003E-3</v>
      </c>
      <c r="AG248">
        <v>1.0369400000000001E-2</v>
      </c>
      <c r="AH248">
        <v>1.52192E-2</v>
      </c>
      <c r="AI248">
        <v>2.0194400000000001E-2</v>
      </c>
      <c r="AJ248">
        <v>2.3754999999999998E-2</v>
      </c>
      <c r="AK248">
        <v>2.8027900000000001E-2</v>
      </c>
      <c r="AL248">
        <v>2.61359E-2</v>
      </c>
      <c r="AM248">
        <v>2.03343E-2</v>
      </c>
      <c r="AN248">
        <v>1.83053E-2</v>
      </c>
      <c r="AO248">
        <v>1.3210100000000001E-2</v>
      </c>
      <c r="AP248">
        <v>1.2808699999999999E-2</v>
      </c>
      <c r="AQ248">
        <v>1.28258E-2</v>
      </c>
      <c r="AR248">
        <v>1.3507099999999999E-2</v>
      </c>
      <c r="AS248">
        <v>1.8037500000000001E-2</v>
      </c>
      <c r="AT248">
        <v>1.82078E-2</v>
      </c>
      <c r="AU248">
        <v>2.1679199999999999E-2</v>
      </c>
      <c r="AV248">
        <v>2.2705099999999999E-2</v>
      </c>
      <c r="AW248">
        <v>2.2693899999999999E-2</v>
      </c>
      <c r="AX248">
        <v>2.07619E-2</v>
      </c>
      <c r="AY248">
        <v>2.00439E-2</v>
      </c>
      <c r="AZ248">
        <v>1.6732199999999999E-2</v>
      </c>
      <c r="BA248">
        <v>1.7308500000000001E-2</v>
      </c>
      <c r="BB248">
        <v>1.4774199999999999E-2</v>
      </c>
      <c r="BC248">
        <v>1.0788600000000001E-2</v>
      </c>
      <c r="BD248">
        <v>8.7497100000000008E-3</v>
      </c>
      <c r="BE248">
        <v>8.6694000000000007E-3</v>
      </c>
      <c r="BF248">
        <v>6.9920199999999998E-3</v>
      </c>
      <c r="BG248">
        <v>6.1565999999999999E-3</v>
      </c>
      <c r="BH248">
        <v>5.5831099999999996E-3</v>
      </c>
      <c r="BI248">
        <v>4.9818900000000001E-3</v>
      </c>
      <c r="BJ248">
        <v>4.4924700000000001E-3</v>
      </c>
      <c r="BK248">
        <v>4.6631099999999998E-3</v>
      </c>
      <c r="BL248">
        <v>5.1189399999999998E-3</v>
      </c>
      <c r="BM248">
        <v>5.3206900000000003E-3</v>
      </c>
      <c r="BN248">
        <v>4.2612500000000003E-3</v>
      </c>
      <c r="BO248">
        <v>5.0483400000000001E-3</v>
      </c>
      <c r="BP248">
        <v>4.6096699999999997E-3</v>
      </c>
      <c r="BQ248">
        <v>3.1510800000000001E-3</v>
      </c>
      <c r="BR248">
        <v>3.8731600000000001E-3</v>
      </c>
      <c r="BS248">
        <v>4.2688400000000003E-3</v>
      </c>
      <c r="BT248">
        <v>3.1696300000000001E-3</v>
      </c>
      <c r="BU248">
        <v>2.3387299999999998E-3</v>
      </c>
      <c r="BV248">
        <v>2.8938100000000001E-3</v>
      </c>
      <c r="BW248">
        <v>1.86203E-3</v>
      </c>
      <c r="BX248">
        <v>2.40493E-3</v>
      </c>
      <c r="BY248">
        <v>1.8027E-3</v>
      </c>
      <c r="BZ248">
        <v>1.24569E-3</v>
      </c>
      <c r="CA248">
        <v>1.44944E-3</v>
      </c>
      <c r="CB248">
        <v>7.8826999999999999E-4</v>
      </c>
      <c r="CC248">
        <v>1.0387700000000001E-3</v>
      </c>
      <c r="CD248">
        <v>8.89039E-4</v>
      </c>
      <c r="CE248">
        <v>9.1784899999999999E-4</v>
      </c>
      <c r="CF248">
        <v>8.7731500000000004E-4</v>
      </c>
      <c r="CG248">
        <v>2.78156E-4</v>
      </c>
      <c r="CH248">
        <v>7.86563E-4</v>
      </c>
      <c r="CI248">
        <v>4.0471099999999998E-4</v>
      </c>
      <c r="CJ248">
        <v>4.8592600000000002E-4</v>
      </c>
      <c r="CK248">
        <v>2.5187499999999998E-4</v>
      </c>
      <c r="CL248">
        <v>2.36042E-4</v>
      </c>
      <c r="CM248">
        <v>4.3037700000000002E-4</v>
      </c>
      <c r="CN248">
        <v>3.4690900000000001E-4</v>
      </c>
      <c r="CO248">
        <v>3.4565699999999997E-4</v>
      </c>
      <c r="CP248">
        <v>1.9805499999999999E-4</v>
      </c>
      <c r="CQ248">
        <v>2.37376E-4</v>
      </c>
      <c r="CR248">
        <v>2.8353900000000002E-4</v>
      </c>
      <c r="CS248" s="1">
        <v>3.8999999999999999E-5</v>
      </c>
      <c r="CT248" s="1">
        <v>6.19E-5</v>
      </c>
      <c r="CU248" s="1">
        <v>6.3700000000000003E-5</v>
      </c>
      <c r="CV248">
        <v>1.22982E-4</v>
      </c>
      <c r="CW248">
        <v>1.9578999999999999E-4</v>
      </c>
      <c r="CX248">
        <v>2.7629100000000001E-4</v>
      </c>
      <c r="CY248">
        <v>1.3950799999999999E-4</v>
      </c>
      <c r="CZ248">
        <v>1.8243299999999999E-4</v>
      </c>
      <c r="DA248" s="1">
        <v>3.2700000000000002E-5</v>
      </c>
      <c r="DB248">
        <v>1.20196E-4</v>
      </c>
      <c r="DC248" s="1">
        <v>8.0199999999999998E-5</v>
      </c>
      <c r="DD248" s="1">
        <v>5.1400000000000003E-5</v>
      </c>
      <c r="DE248">
        <v>0</v>
      </c>
      <c r="DF248" s="1">
        <v>3.96E-5</v>
      </c>
      <c r="DG248">
        <v>1.18266E-4</v>
      </c>
      <c r="DH248">
        <v>0</v>
      </c>
      <c r="DI248">
        <v>0</v>
      </c>
      <c r="DJ248" s="1">
        <v>4.1199999999999999E-5</v>
      </c>
      <c r="DK248">
        <v>0</v>
      </c>
      <c r="DL248">
        <v>0</v>
      </c>
      <c r="DM248">
        <v>0</v>
      </c>
      <c r="DN248">
        <v>0</v>
      </c>
      <c r="DO248">
        <v>0</v>
      </c>
      <c r="DP248">
        <v>0</v>
      </c>
      <c r="DQ248">
        <v>0</v>
      </c>
      <c r="DR248">
        <v>0</v>
      </c>
      <c r="DS248">
        <v>0</v>
      </c>
      <c r="DT248">
        <v>0</v>
      </c>
      <c r="DU248">
        <v>0</v>
      </c>
      <c r="DV248">
        <v>0</v>
      </c>
      <c r="DW248" t="s">
        <v>513</v>
      </c>
    </row>
    <row r="249" spans="1:127" x14ac:dyDescent="0.2">
      <c r="A249">
        <v>2010</v>
      </c>
      <c r="B249">
        <v>7</v>
      </c>
      <c r="C249">
        <v>-2</v>
      </c>
      <c r="D249">
        <v>0</v>
      </c>
      <c r="E249">
        <v>0</v>
      </c>
      <c r="F249">
        <v>1188</v>
      </c>
      <c r="G249">
        <v>0</v>
      </c>
      <c r="H249">
        <v>0</v>
      </c>
      <c r="I249">
        <v>0</v>
      </c>
      <c r="J249">
        <v>0</v>
      </c>
      <c r="K249" s="1">
        <v>1.84E-5</v>
      </c>
      <c r="L249">
        <v>0</v>
      </c>
      <c r="M249">
        <v>0</v>
      </c>
      <c r="N249">
        <v>0</v>
      </c>
      <c r="O249" s="1">
        <v>9.0600000000000007E-5</v>
      </c>
      <c r="P249">
        <v>6.7816800000000004E-4</v>
      </c>
      <c r="Q249">
        <v>2.37491E-3</v>
      </c>
      <c r="R249">
        <v>3.2072300000000002E-3</v>
      </c>
      <c r="S249">
        <v>4.0446900000000001E-3</v>
      </c>
      <c r="T249">
        <v>6.81585E-3</v>
      </c>
      <c r="U249">
        <v>6.7891499999999999E-3</v>
      </c>
      <c r="V249">
        <v>7.4308999999999998E-3</v>
      </c>
      <c r="W249">
        <v>6.1846499999999999E-3</v>
      </c>
      <c r="X249">
        <v>4.0534400000000002E-3</v>
      </c>
      <c r="Y249">
        <v>1.9820300000000001E-3</v>
      </c>
      <c r="Z249">
        <v>2.16395E-3</v>
      </c>
      <c r="AA249">
        <v>1.3205199999999999E-3</v>
      </c>
      <c r="AB249">
        <v>1.8264100000000001E-3</v>
      </c>
      <c r="AC249">
        <v>4.1552500000000001E-3</v>
      </c>
      <c r="AD249">
        <v>8.0007099999999994E-3</v>
      </c>
      <c r="AE249">
        <v>1.66894E-2</v>
      </c>
      <c r="AF249">
        <v>2.54121E-2</v>
      </c>
      <c r="AG249">
        <v>3.1810199999999997E-2</v>
      </c>
      <c r="AH249">
        <v>4.6742300000000001E-2</v>
      </c>
      <c r="AI249">
        <v>5.6612099999999999E-2</v>
      </c>
      <c r="AJ249">
        <v>5.5171600000000001E-2</v>
      </c>
      <c r="AK249">
        <v>5.1761500000000002E-2</v>
      </c>
      <c r="AL249">
        <v>5.1828600000000002E-2</v>
      </c>
      <c r="AM249">
        <v>4.2486500000000003E-2</v>
      </c>
      <c r="AN249">
        <v>3.5423799999999998E-2</v>
      </c>
      <c r="AO249">
        <v>2.42058E-2</v>
      </c>
      <c r="AP249">
        <v>2.1878000000000002E-2</v>
      </c>
      <c r="AQ249">
        <v>1.40406E-2</v>
      </c>
      <c r="AR249">
        <v>1.2563299999999999E-2</v>
      </c>
      <c r="AS249">
        <v>8.6110300000000004E-3</v>
      </c>
      <c r="AT249">
        <v>9.8942600000000002E-3</v>
      </c>
      <c r="AU249">
        <v>1.03062E-2</v>
      </c>
      <c r="AV249">
        <v>1.62811E-2</v>
      </c>
      <c r="AW249">
        <v>1.7364999999999998E-2</v>
      </c>
      <c r="AX249">
        <v>3.04789E-2</v>
      </c>
      <c r="AY249">
        <v>2.02004E-2</v>
      </c>
      <c r="AZ249">
        <v>2.18514E-2</v>
      </c>
      <c r="BA249">
        <v>2.09172E-2</v>
      </c>
      <c r="BB249">
        <v>2.06777E-2</v>
      </c>
      <c r="BC249">
        <v>1.62068E-2</v>
      </c>
      <c r="BD249">
        <v>1.77223E-2</v>
      </c>
      <c r="BE249">
        <v>1.3957600000000001E-2</v>
      </c>
      <c r="BF249">
        <v>1.93464E-2</v>
      </c>
      <c r="BG249">
        <v>1.49734E-2</v>
      </c>
      <c r="BH249">
        <v>2.0361899999999999E-2</v>
      </c>
      <c r="BI249">
        <v>1.9825099999999998E-2</v>
      </c>
      <c r="BJ249">
        <v>1.8268300000000001E-2</v>
      </c>
      <c r="BK249">
        <v>1.24618E-2</v>
      </c>
      <c r="BL249">
        <v>1.8312200000000001E-2</v>
      </c>
      <c r="BM249">
        <v>1.46827E-2</v>
      </c>
      <c r="BN249">
        <v>1.3203299999999999E-2</v>
      </c>
      <c r="BO249">
        <v>9.4976399999999999E-3</v>
      </c>
      <c r="BP249">
        <v>1.18151E-2</v>
      </c>
      <c r="BQ249">
        <v>7.7045400000000002E-3</v>
      </c>
      <c r="BR249">
        <v>8.8276299999999995E-3</v>
      </c>
      <c r="BS249">
        <v>5.3834599999999996E-3</v>
      </c>
      <c r="BT249">
        <v>5.6000099999999999E-3</v>
      </c>
      <c r="BU249">
        <v>3.8714700000000001E-3</v>
      </c>
      <c r="BV249">
        <v>2.9627400000000002E-3</v>
      </c>
      <c r="BW249">
        <v>2.1920300000000002E-3</v>
      </c>
      <c r="BX249">
        <v>2.5998800000000002E-3</v>
      </c>
      <c r="BY249">
        <v>2.3087699999999999E-3</v>
      </c>
      <c r="BZ249">
        <v>1.2898199999999999E-3</v>
      </c>
      <c r="CA249">
        <v>1.0850499999999999E-3</v>
      </c>
      <c r="CB249">
        <v>1.0327400000000001E-3</v>
      </c>
      <c r="CC249">
        <v>1.1586700000000001E-3</v>
      </c>
      <c r="CD249">
        <v>1.49872E-3</v>
      </c>
      <c r="CE249">
        <v>5.0310600000000002E-4</v>
      </c>
      <c r="CF249">
        <v>1.0819600000000001E-3</v>
      </c>
      <c r="CG249">
        <v>3.87704E-4</v>
      </c>
      <c r="CH249">
        <v>3.77516E-4</v>
      </c>
      <c r="CI249">
        <v>6.4577500000000002E-4</v>
      </c>
      <c r="CJ249">
        <v>4.71571E-4</v>
      </c>
      <c r="CK249">
        <v>4.2738900000000002E-4</v>
      </c>
      <c r="CL249">
        <v>1.39751E-4</v>
      </c>
      <c r="CM249">
        <v>5.3113200000000002E-4</v>
      </c>
      <c r="CN249">
        <v>6.3097700000000001E-4</v>
      </c>
      <c r="CO249" s="1">
        <v>4.9499999999999997E-5</v>
      </c>
      <c r="CP249">
        <v>3.51818E-4</v>
      </c>
      <c r="CQ249">
        <v>1.0360499999999999E-4</v>
      </c>
      <c r="CR249">
        <v>2.7672999999999999E-4</v>
      </c>
      <c r="CS249">
        <v>1.73313E-4</v>
      </c>
      <c r="CT249">
        <v>1.40252E-4</v>
      </c>
      <c r="CU249">
        <v>2.5112099999999998E-4</v>
      </c>
      <c r="CV249" s="1">
        <v>6.3999999999999997E-5</v>
      </c>
      <c r="CW249">
        <v>0</v>
      </c>
      <c r="CX249">
        <v>2.39573E-4</v>
      </c>
      <c r="CY249">
        <v>1.2892000000000001E-4</v>
      </c>
      <c r="CZ249" s="1">
        <v>5.2899999999999998E-5</v>
      </c>
      <c r="DA249">
        <v>1.8362700000000001E-4</v>
      </c>
      <c r="DB249">
        <v>1.4143700000000001E-4</v>
      </c>
      <c r="DC249">
        <v>0</v>
      </c>
      <c r="DD249">
        <v>0</v>
      </c>
      <c r="DE249">
        <v>0</v>
      </c>
      <c r="DF249">
        <v>0</v>
      </c>
      <c r="DG249" s="1">
        <v>6.41E-5</v>
      </c>
      <c r="DH249">
        <v>0</v>
      </c>
      <c r="DI249">
        <v>0</v>
      </c>
      <c r="DJ249" s="1">
        <v>5.8E-5</v>
      </c>
      <c r="DK249">
        <v>0</v>
      </c>
      <c r="DL249" s="1">
        <v>2.8399999999999999E-5</v>
      </c>
      <c r="DM249">
        <v>0</v>
      </c>
      <c r="DN249">
        <v>0</v>
      </c>
      <c r="DO249">
        <v>0</v>
      </c>
      <c r="DP249">
        <v>0</v>
      </c>
      <c r="DQ249">
        <v>0</v>
      </c>
      <c r="DR249">
        <v>0</v>
      </c>
      <c r="DS249">
        <v>0</v>
      </c>
      <c r="DT249">
        <v>0</v>
      </c>
      <c r="DU249">
        <v>0</v>
      </c>
      <c r="DV249">
        <v>0</v>
      </c>
      <c r="DW249" t="s">
        <v>514</v>
      </c>
    </row>
    <row r="250" spans="1:127" x14ac:dyDescent="0.2">
      <c r="A250">
        <v>2011</v>
      </c>
      <c r="B250">
        <v>7</v>
      </c>
      <c r="C250">
        <v>-2</v>
      </c>
      <c r="D250">
        <v>0</v>
      </c>
      <c r="E250">
        <v>0</v>
      </c>
      <c r="F250">
        <v>1357</v>
      </c>
      <c r="G250">
        <v>0</v>
      </c>
      <c r="H250">
        <v>0</v>
      </c>
      <c r="I250">
        <v>0</v>
      </c>
      <c r="J250">
        <v>0</v>
      </c>
      <c r="K250">
        <v>0</v>
      </c>
      <c r="L250">
        <v>0</v>
      </c>
      <c r="M250">
        <v>0</v>
      </c>
      <c r="N250">
        <v>0</v>
      </c>
      <c r="O250">
        <v>3.6160800000000002E-4</v>
      </c>
      <c r="P250">
        <v>9.4164900000000002E-4</v>
      </c>
      <c r="Q250">
        <v>3.6434000000000002E-3</v>
      </c>
      <c r="R250">
        <v>6.8572599999999996E-3</v>
      </c>
      <c r="S250">
        <v>1.2432500000000001E-2</v>
      </c>
      <c r="T250">
        <v>1.47829E-2</v>
      </c>
      <c r="U250">
        <v>1.85904E-2</v>
      </c>
      <c r="V250">
        <v>1.98744E-2</v>
      </c>
      <c r="W250">
        <v>2.86941E-2</v>
      </c>
      <c r="X250">
        <v>3.01616E-2</v>
      </c>
      <c r="Y250">
        <v>4.35346E-2</v>
      </c>
      <c r="Z250">
        <v>4.2579499999999999E-2</v>
      </c>
      <c r="AA250">
        <v>4.1008999999999997E-2</v>
      </c>
      <c r="AB250">
        <v>2.5752799999999999E-2</v>
      </c>
      <c r="AC250">
        <v>1.3789600000000001E-2</v>
      </c>
      <c r="AD250">
        <v>5.28145E-3</v>
      </c>
      <c r="AE250">
        <v>1.7578699999999999E-3</v>
      </c>
      <c r="AF250">
        <v>1.79328E-3</v>
      </c>
      <c r="AG250">
        <v>2.68082E-3</v>
      </c>
      <c r="AH250">
        <v>2.3352799999999999E-3</v>
      </c>
      <c r="AI250">
        <v>2.74216E-3</v>
      </c>
      <c r="AJ250">
        <v>3.5218300000000001E-3</v>
      </c>
      <c r="AK250">
        <v>5.8449599999999997E-3</v>
      </c>
      <c r="AL250">
        <v>6.5920199999999997E-3</v>
      </c>
      <c r="AM250">
        <v>9.0813300000000003E-3</v>
      </c>
      <c r="AN250">
        <v>7.8883900000000003E-3</v>
      </c>
      <c r="AO250">
        <v>1.12128E-2</v>
      </c>
      <c r="AP250">
        <v>1.0989499999999999E-2</v>
      </c>
      <c r="AQ250">
        <v>1.3125100000000001E-2</v>
      </c>
      <c r="AR250">
        <v>1.38104E-2</v>
      </c>
      <c r="AS250">
        <v>1.9406300000000001E-2</v>
      </c>
      <c r="AT250">
        <v>2.20086E-2</v>
      </c>
      <c r="AU250">
        <v>3.2413499999999998E-2</v>
      </c>
      <c r="AV250">
        <v>3.8503599999999999E-2</v>
      </c>
      <c r="AW250">
        <v>4.13812E-2</v>
      </c>
      <c r="AX250">
        <v>4.4479699999999997E-2</v>
      </c>
      <c r="AY250">
        <v>4.2052399999999997E-2</v>
      </c>
      <c r="AZ250">
        <v>3.7982200000000001E-2</v>
      </c>
      <c r="BA250">
        <v>3.0517300000000001E-2</v>
      </c>
      <c r="BB250">
        <v>2.46036E-2</v>
      </c>
      <c r="BC250">
        <v>1.67718E-2</v>
      </c>
      <c r="BD250">
        <v>1.6889700000000001E-2</v>
      </c>
      <c r="BE250">
        <v>1.3397600000000001E-2</v>
      </c>
      <c r="BF250">
        <v>1.2729300000000001E-2</v>
      </c>
      <c r="BG250">
        <v>8.9580500000000004E-3</v>
      </c>
      <c r="BH250">
        <v>1.11424E-2</v>
      </c>
      <c r="BI250">
        <v>1.08503E-2</v>
      </c>
      <c r="BJ250">
        <v>1.27668E-2</v>
      </c>
      <c r="BK250">
        <v>8.9034200000000004E-3</v>
      </c>
      <c r="BL250">
        <v>1.33537E-2</v>
      </c>
      <c r="BM250">
        <v>1.16232E-2</v>
      </c>
      <c r="BN250">
        <v>1.4484500000000001E-2</v>
      </c>
      <c r="BO250">
        <v>1.10127E-2</v>
      </c>
      <c r="BP250">
        <v>1.41885E-2</v>
      </c>
      <c r="BQ250">
        <v>8.9853099999999998E-3</v>
      </c>
      <c r="BR250">
        <v>1.2019200000000001E-2</v>
      </c>
      <c r="BS250">
        <v>8.2971599999999996E-3</v>
      </c>
      <c r="BT250">
        <v>9.8478599999999999E-3</v>
      </c>
      <c r="BU250">
        <v>7.3210799999999998E-3</v>
      </c>
      <c r="BV250">
        <v>7.7408099999999999E-3</v>
      </c>
      <c r="BW250">
        <v>5.58173E-3</v>
      </c>
      <c r="BX250">
        <v>6.1077099999999997E-3</v>
      </c>
      <c r="BY250">
        <v>2.9873299999999998E-3</v>
      </c>
      <c r="BZ250">
        <v>3.7637999999999999E-3</v>
      </c>
      <c r="CA250">
        <v>2.4761200000000001E-3</v>
      </c>
      <c r="CB250">
        <v>2.41179E-3</v>
      </c>
      <c r="CC250">
        <v>1.32347E-3</v>
      </c>
      <c r="CD250">
        <v>1.2626600000000001E-3</v>
      </c>
      <c r="CE250">
        <v>1.0729699999999999E-3</v>
      </c>
      <c r="CF250">
        <v>7.5750000000000004E-4</v>
      </c>
      <c r="CG250">
        <v>6.8147200000000002E-4</v>
      </c>
      <c r="CH250">
        <v>8.7239499999999998E-4</v>
      </c>
      <c r="CI250">
        <v>3.1873999999999997E-4</v>
      </c>
      <c r="CJ250">
        <v>7.2099499999999999E-4</v>
      </c>
      <c r="CK250">
        <v>4.9985800000000005E-4</v>
      </c>
      <c r="CL250">
        <v>3.4590599999999999E-4</v>
      </c>
      <c r="CM250">
        <v>1.3255400000000001E-4</v>
      </c>
      <c r="CN250">
        <v>1.7848300000000001E-4</v>
      </c>
      <c r="CO250">
        <v>2.2170499999999999E-4</v>
      </c>
      <c r="CP250">
        <v>2.2441200000000001E-4</v>
      </c>
      <c r="CQ250">
        <v>1.7336200000000001E-4</v>
      </c>
      <c r="CR250" s="1">
        <v>6.8999999999999997E-5</v>
      </c>
      <c r="CS250">
        <v>2.54823E-4</v>
      </c>
      <c r="CT250">
        <v>1.5934E-4</v>
      </c>
      <c r="CU250">
        <v>2.13883E-4</v>
      </c>
      <c r="CV250">
        <v>3.5359900000000001E-4</v>
      </c>
      <c r="CW250" s="1">
        <v>9.1899999999999998E-5</v>
      </c>
      <c r="CX250" s="1">
        <v>3.3699999999999999E-5</v>
      </c>
      <c r="CY250">
        <v>0</v>
      </c>
      <c r="CZ250" s="1">
        <v>5.8199999999999998E-5</v>
      </c>
      <c r="DA250">
        <v>0</v>
      </c>
      <c r="DB250">
        <v>1.13188E-4</v>
      </c>
      <c r="DC250" s="1">
        <v>7.5099999999999996E-5</v>
      </c>
      <c r="DD250" s="1">
        <v>5.3900000000000002E-5</v>
      </c>
      <c r="DE250">
        <v>0</v>
      </c>
      <c r="DF250" s="1">
        <v>8.0599999999999994E-5</v>
      </c>
      <c r="DG250" s="1">
        <v>3.3500000000000001E-5</v>
      </c>
      <c r="DH250">
        <v>0</v>
      </c>
      <c r="DI250">
        <v>0</v>
      </c>
      <c r="DJ250">
        <v>0</v>
      </c>
      <c r="DK250">
        <v>0</v>
      </c>
      <c r="DL250">
        <v>0</v>
      </c>
      <c r="DM250">
        <v>0</v>
      </c>
      <c r="DN250">
        <v>0</v>
      </c>
      <c r="DO250">
        <v>0</v>
      </c>
      <c r="DP250">
        <v>0</v>
      </c>
      <c r="DQ250">
        <v>0</v>
      </c>
      <c r="DR250">
        <v>0</v>
      </c>
      <c r="DS250">
        <v>0</v>
      </c>
      <c r="DT250">
        <v>0</v>
      </c>
      <c r="DU250">
        <v>0</v>
      </c>
      <c r="DV250">
        <v>0</v>
      </c>
      <c r="DW250" t="s">
        <v>515</v>
      </c>
    </row>
    <row r="251" spans="1:127" x14ac:dyDescent="0.2">
      <c r="A251">
        <v>2012</v>
      </c>
      <c r="B251">
        <v>7</v>
      </c>
      <c r="C251">
        <v>-2</v>
      </c>
      <c r="D251">
        <v>0</v>
      </c>
      <c r="E251">
        <v>0</v>
      </c>
      <c r="F251">
        <v>859</v>
      </c>
      <c r="G251">
        <v>0</v>
      </c>
      <c r="H251">
        <v>0</v>
      </c>
      <c r="I251">
        <v>0</v>
      </c>
      <c r="J251">
        <v>0</v>
      </c>
      <c r="K251">
        <v>0</v>
      </c>
      <c r="L251">
        <v>4.4139E-4</v>
      </c>
      <c r="M251">
        <v>0</v>
      </c>
      <c r="N251" s="1">
        <v>3.7700000000000002E-5</v>
      </c>
      <c r="O251">
        <v>5.6407899999999997E-3</v>
      </c>
      <c r="P251">
        <v>2.9083399999999999E-2</v>
      </c>
      <c r="Q251">
        <v>5.2627599999999997E-2</v>
      </c>
      <c r="R251">
        <v>5.6111099999999997E-2</v>
      </c>
      <c r="S251">
        <v>4.3119299999999999E-2</v>
      </c>
      <c r="T251">
        <v>3.2425599999999999E-2</v>
      </c>
      <c r="U251">
        <v>3.19317E-2</v>
      </c>
      <c r="V251">
        <v>2.3734700000000001E-2</v>
      </c>
      <c r="W251">
        <v>3.1286500000000002E-2</v>
      </c>
      <c r="X251">
        <v>3.0224999999999998E-2</v>
      </c>
      <c r="Y251">
        <v>1.5879399999999998E-2</v>
      </c>
      <c r="Z251">
        <v>9.8150000000000008E-3</v>
      </c>
      <c r="AA251">
        <v>3.63789E-3</v>
      </c>
      <c r="AB251">
        <v>2.3838399999999999E-3</v>
      </c>
      <c r="AC251">
        <v>7.8972600000000003E-4</v>
      </c>
      <c r="AD251">
        <v>2.15591E-3</v>
      </c>
      <c r="AE251">
        <v>2.8407599999999999E-3</v>
      </c>
      <c r="AF251">
        <v>4.5143800000000001E-3</v>
      </c>
      <c r="AG251">
        <v>6.4639500000000004E-3</v>
      </c>
      <c r="AH251">
        <v>1.36153E-2</v>
      </c>
      <c r="AI251">
        <v>1.97366E-2</v>
      </c>
      <c r="AJ251">
        <v>2.0532000000000002E-2</v>
      </c>
      <c r="AK251">
        <v>2.7297700000000001E-2</v>
      </c>
      <c r="AL251">
        <v>2.6907899999999998E-2</v>
      </c>
      <c r="AM251">
        <v>2.9671400000000001E-2</v>
      </c>
      <c r="AN251">
        <v>2.1457799999999999E-2</v>
      </c>
      <c r="AO251">
        <v>2.3548800000000002E-2</v>
      </c>
      <c r="AP251">
        <v>1.44894E-2</v>
      </c>
      <c r="AQ251">
        <v>1.2004799999999999E-2</v>
      </c>
      <c r="AR251">
        <v>7.5228999999999999E-3</v>
      </c>
      <c r="AS251">
        <v>6.1749800000000001E-3</v>
      </c>
      <c r="AT251">
        <v>4.7071700000000001E-3</v>
      </c>
      <c r="AU251">
        <v>3.4892299999999998E-3</v>
      </c>
      <c r="AV251">
        <v>4.8408899999999996E-3</v>
      </c>
      <c r="AW251">
        <v>4.5018100000000002E-3</v>
      </c>
      <c r="AX251">
        <v>6.5251099999999998E-3</v>
      </c>
      <c r="AY251">
        <v>6.1787099999999996E-3</v>
      </c>
      <c r="AZ251">
        <v>1.0033200000000001E-2</v>
      </c>
      <c r="BA251">
        <v>8.4795200000000008E-3</v>
      </c>
      <c r="BB251">
        <v>1.50049E-2</v>
      </c>
      <c r="BC251">
        <v>1.4326200000000001E-2</v>
      </c>
      <c r="BD251">
        <v>1.8278099999999999E-2</v>
      </c>
      <c r="BE251">
        <v>2.1817199999999998E-2</v>
      </c>
      <c r="BF251">
        <v>2.8978400000000001E-2</v>
      </c>
      <c r="BG251">
        <v>2.46562E-2</v>
      </c>
      <c r="BH251">
        <v>3.1253999999999997E-2</v>
      </c>
      <c r="BI251">
        <v>2.3621199999999998E-2</v>
      </c>
      <c r="BJ251">
        <v>2.41748E-2</v>
      </c>
      <c r="BK251">
        <v>1.67286E-2</v>
      </c>
      <c r="BL251">
        <v>1.51212E-2</v>
      </c>
      <c r="BM251">
        <v>1.28139E-2</v>
      </c>
      <c r="BN251">
        <v>1.2555E-2</v>
      </c>
      <c r="BO251">
        <v>7.3901599999999998E-3</v>
      </c>
      <c r="BP251">
        <v>9.1922900000000005E-3</v>
      </c>
      <c r="BQ251">
        <v>6.5692600000000004E-3</v>
      </c>
      <c r="BR251">
        <v>7.8830900000000006E-3</v>
      </c>
      <c r="BS251">
        <v>5.9039299999999999E-3</v>
      </c>
      <c r="BT251">
        <v>6.0334100000000003E-3</v>
      </c>
      <c r="BU251">
        <v>4.7901000000000003E-3</v>
      </c>
      <c r="BV251">
        <v>5.0118599999999999E-3</v>
      </c>
      <c r="BW251">
        <v>3.5013499999999999E-3</v>
      </c>
      <c r="BX251">
        <v>5.5702099999999999E-3</v>
      </c>
      <c r="BY251">
        <v>2.8407599999999999E-3</v>
      </c>
      <c r="BZ251">
        <v>3.60977E-3</v>
      </c>
      <c r="CA251">
        <v>1.8060699999999999E-3</v>
      </c>
      <c r="CB251">
        <v>2.1759499999999998E-3</v>
      </c>
      <c r="CC251">
        <v>1.62076E-3</v>
      </c>
      <c r="CD251">
        <v>1.51537E-3</v>
      </c>
      <c r="CE251">
        <v>1.46287E-3</v>
      </c>
      <c r="CF251">
        <v>1.3384099999999999E-3</v>
      </c>
      <c r="CG251">
        <v>4.5142799999999997E-4</v>
      </c>
      <c r="CH251">
        <v>7.8759999999999995E-4</v>
      </c>
      <c r="CI251">
        <v>3.3083400000000001E-4</v>
      </c>
      <c r="CJ251">
        <v>5.4244799999999995E-4</v>
      </c>
      <c r="CK251">
        <v>4.6156600000000001E-4</v>
      </c>
      <c r="CL251">
        <v>4.8848200000000004E-4</v>
      </c>
      <c r="CM251">
        <v>2.92441E-4</v>
      </c>
      <c r="CN251">
        <v>3.1082000000000001E-4</v>
      </c>
      <c r="CO251">
        <v>3.1368200000000002E-4</v>
      </c>
      <c r="CP251" s="1">
        <v>6.4700000000000001E-5</v>
      </c>
      <c r="CQ251" s="1">
        <v>8.2700000000000004E-5</v>
      </c>
      <c r="CR251">
        <v>1.89171E-4</v>
      </c>
      <c r="CS251">
        <v>1.5132500000000001E-4</v>
      </c>
      <c r="CT251" s="1">
        <v>7.2399999999999998E-5</v>
      </c>
      <c r="CU251">
        <v>2.2803499999999999E-4</v>
      </c>
      <c r="CV251">
        <v>2.04673E-4</v>
      </c>
      <c r="CW251">
        <v>1.15962E-4</v>
      </c>
      <c r="CX251" s="1">
        <v>4.2299999999999998E-5</v>
      </c>
      <c r="CY251">
        <v>0</v>
      </c>
      <c r="CZ251">
        <v>1.09619E-4</v>
      </c>
      <c r="DA251">
        <v>1.15659E-4</v>
      </c>
      <c r="DB251" s="1">
        <v>8.2000000000000001E-5</v>
      </c>
      <c r="DC251" s="1">
        <v>3.1000000000000001E-5</v>
      </c>
      <c r="DD251">
        <v>0</v>
      </c>
      <c r="DE251" s="1">
        <v>1.8300000000000001E-5</v>
      </c>
      <c r="DF251" s="1">
        <v>4.5300000000000003E-5</v>
      </c>
      <c r="DG251">
        <v>0</v>
      </c>
      <c r="DH251" s="1">
        <v>2.0999999999999999E-5</v>
      </c>
      <c r="DI251">
        <v>0</v>
      </c>
      <c r="DJ251" s="1">
        <v>2.4000000000000001E-5</v>
      </c>
      <c r="DK251">
        <v>0</v>
      </c>
      <c r="DL251" s="1">
        <v>1.66E-5</v>
      </c>
      <c r="DM251">
        <v>0</v>
      </c>
      <c r="DN251">
        <v>0</v>
      </c>
      <c r="DO251">
        <v>0</v>
      </c>
      <c r="DP251">
        <v>0</v>
      </c>
      <c r="DQ251">
        <v>0</v>
      </c>
      <c r="DR251">
        <v>0</v>
      </c>
      <c r="DS251">
        <v>0</v>
      </c>
      <c r="DT251">
        <v>0</v>
      </c>
      <c r="DU251">
        <v>0</v>
      </c>
      <c r="DV251">
        <v>0</v>
      </c>
      <c r="DW251" t="s">
        <v>516</v>
      </c>
    </row>
    <row r="252" spans="1:127" x14ac:dyDescent="0.2">
      <c r="A252">
        <v>2013</v>
      </c>
      <c r="B252">
        <v>7</v>
      </c>
      <c r="C252">
        <v>-2</v>
      </c>
      <c r="D252">
        <v>0</v>
      </c>
      <c r="E252">
        <v>0</v>
      </c>
      <c r="F252">
        <v>870</v>
      </c>
      <c r="G252">
        <v>0</v>
      </c>
      <c r="H252">
        <v>0</v>
      </c>
      <c r="I252">
        <v>0</v>
      </c>
      <c r="J252">
        <v>0</v>
      </c>
      <c r="K252">
        <v>0</v>
      </c>
      <c r="L252">
        <v>0</v>
      </c>
      <c r="M252">
        <v>0</v>
      </c>
      <c r="N252" s="1">
        <v>3.82E-5</v>
      </c>
      <c r="O252">
        <v>4.9596700000000004E-4</v>
      </c>
      <c r="P252">
        <v>2.6609099999999998E-3</v>
      </c>
      <c r="Q252">
        <v>6.1855E-3</v>
      </c>
      <c r="R252">
        <v>7.8083099999999997E-3</v>
      </c>
      <c r="S252">
        <v>1.1039200000000001E-2</v>
      </c>
      <c r="T252">
        <v>1.1822600000000001E-2</v>
      </c>
      <c r="U252">
        <v>1.51247E-2</v>
      </c>
      <c r="V252">
        <v>1.28611E-2</v>
      </c>
      <c r="W252">
        <v>9.5304900000000008E-3</v>
      </c>
      <c r="X252">
        <v>6.7416799999999999E-3</v>
      </c>
      <c r="Y252">
        <v>1.8893099999999999E-3</v>
      </c>
      <c r="Z252">
        <v>1.14068E-3</v>
      </c>
      <c r="AA252">
        <v>3.3851799999999998E-3</v>
      </c>
      <c r="AB252">
        <v>4.5828700000000002E-3</v>
      </c>
      <c r="AC252">
        <v>1.42921E-2</v>
      </c>
      <c r="AD252">
        <v>2.12637E-2</v>
      </c>
      <c r="AE252">
        <v>3.4861700000000002E-2</v>
      </c>
      <c r="AF252">
        <v>4.1907699999999999E-2</v>
      </c>
      <c r="AG252">
        <v>5.2399300000000003E-2</v>
      </c>
      <c r="AH252">
        <v>5.7436099999999997E-2</v>
      </c>
      <c r="AI252">
        <v>4.4760800000000003E-2</v>
      </c>
      <c r="AJ252">
        <v>4.8416599999999997E-2</v>
      </c>
      <c r="AK252">
        <v>3.46997E-2</v>
      </c>
      <c r="AL252">
        <v>3.5039899999999999E-2</v>
      </c>
      <c r="AM252">
        <v>2.2113000000000001E-2</v>
      </c>
      <c r="AN252">
        <v>1.6514399999999999E-2</v>
      </c>
      <c r="AO252">
        <v>1.2792400000000001E-2</v>
      </c>
      <c r="AP252">
        <v>9.5761800000000001E-3</v>
      </c>
      <c r="AQ252">
        <v>9.2625099999999998E-3</v>
      </c>
      <c r="AR252">
        <v>7.7053800000000004E-3</v>
      </c>
      <c r="AS252">
        <v>6.6584599999999997E-3</v>
      </c>
      <c r="AT252">
        <v>9.7911100000000004E-3</v>
      </c>
      <c r="AU252">
        <v>8.1142300000000001E-3</v>
      </c>
      <c r="AV252">
        <v>1.2303700000000001E-2</v>
      </c>
      <c r="AW252">
        <v>1.5675000000000001E-2</v>
      </c>
      <c r="AX252">
        <v>1.9301200000000001E-2</v>
      </c>
      <c r="AY252">
        <v>2.3107200000000001E-2</v>
      </c>
      <c r="AZ252">
        <v>2.7923E-2</v>
      </c>
      <c r="BA252">
        <v>2.1795499999999999E-2</v>
      </c>
      <c r="BB252">
        <v>2.06596E-2</v>
      </c>
      <c r="BC252">
        <v>1.9006599999999998E-2</v>
      </c>
      <c r="BD252">
        <v>1.7419799999999999E-2</v>
      </c>
      <c r="BE252">
        <v>1.39972E-2</v>
      </c>
      <c r="BF252">
        <v>1.3806000000000001E-2</v>
      </c>
      <c r="BG252">
        <v>1.05215E-2</v>
      </c>
      <c r="BH252">
        <v>1.1173499999999999E-2</v>
      </c>
      <c r="BI252">
        <v>7.2890300000000002E-3</v>
      </c>
      <c r="BJ252">
        <v>1.0276800000000001E-2</v>
      </c>
      <c r="BK252">
        <v>7.67799E-3</v>
      </c>
      <c r="BL252">
        <v>1.15625E-2</v>
      </c>
      <c r="BM252">
        <v>1.0411800000000001E-2</v>
      </c>
      <c r="BN252">
        <v>1.2607500000000001E-2</v>
      </c>
      <c r="BO252">
        <v>1.04203E-2</v>
      </c>
      <c r="BP252">
        <v>1.14111E-2</v>
      </c>
      <c r="BQ252">
        <v>1.10816E-2</v>
      </c>
      <c r="BR252">
        <v>1.24703E-2</v>
      </c>
      <c r="BS252">
        <v>1.1468900000000001E-2</v>
      </c>
      <c r="BT252">
        <v>1.03512E-2</v>
      </c>
      <c r="BU252">
        <v>8.7499799999999992E-3</v>
      </c>
      <c r="BV252">
        <v>7.6317099999999999E-3</v>
      </c>
      <c r="BW252">
        <v>7.2510700000000001E-3</v>
      </c>
      <c r="BX252">
        <v>5.7916799999999996E-3</v>
      </c>
      <c r="BY252">
        <v>5.6423699999999999E-3</v>
      </c>
      <c r="BZ252">
        <v>4.9294899999999999E-3</v>
      </c>
      <c r="CA252">
        <v>2.71763E-3</v>
      </c>
      <c r="CB252">
        <v>3.3815799999999999E-3</v>
      </c>
      <c r="CC252">
        <v>2.37601E-3</v>
      </c>
      <c r="CD252">
        <v>1.6511200000000001E-3</v>
      </c>
      <c r="CE252">
        <v>2.32972E-3</v>
      </c>
      <c r="CF252">
        <v>1.5563599999999999E-3</v>
      </c>
      <c r="CG252">
        <v>1.6509000000000001E-3</v>
      </c>
      <c r="CH252">
        <v>4.75668E-4</v>
      </c>
      <c r="CI252">
        <v>1.59359E-3</v>
      </c>
      <c r="CJ252">
        <v>6.5182599999999999E-4</v>
      </c>
      <c r="CK252">
        <v>1.2739299999999999E-3</v>
      </c>
      <c r="CL252">
        <v>6.11985E-4</v>
      </c>
      <c r="CM252">
        <v>5.5870099999999999E-4</v>
      </c>
      <c r="CN252">
        <v>3.61362E-4</v>
      </c>
      <c r="CO252">
        <v>3.9193099999999999E-4</v>
      </c>
      <c r="CP252">
        <v>2.4951800000000001E-4</v>
      </c>
      <c r="CQ252">
        <v>1.78314E-4</v>
      </c>
      <c r="CR252">
        <v>2.6341E-4</v>
      </c>
      <c r="CS252">
        <v>1.93742E-4</v>
      </c>
      <c r="CT252">
        <v>2.3073500000000001E-4</v>
      </c>
      <c r="CU252">
        <v>2.5170500000000002E-4</v>
      </c>
      <c r="CV252" s="1">
        <v>7.6500000000000003E-5</v>
      </c>
      <c r="CW252" s="1">
        <v>8.4699999999999999E-5</v>
      </c>
      <c r="CX252" s="1">
        <v>1.9899999999999999E-5</v>
      </c>
      <c r="CY252" s="1">
        <v>7.5400000000000003E-5</v>
      </c>
      <c r="CZ252" s="1">
        <v>2.4600000000000002E-5</v>
      </c>
      <c r="DA252" s="1">
        <v>6.6400000000000001E-5</v>
      </c>
      <c r="DB252" s="1">
        <v>3.6300000000000001E-5</v>
      </c>
      <c r="DC252" s="1">
        <v>3.9199999999999997E-5</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t="s">
        <v>517</v>
      </c>
    </row>
    <row r="253" spans="1:127" x14ac:dyDescent="0.2">
      <c r="A253">
        <v>2014</v>
      </c>
      <c r="B253">
        <v>7</v>
      </c>
      <c r="C253">
        <v>-2</v>
      </c>
      <c r="D253">
        <v>0</v>
      </c>
      <c r="E253">
        <v>0</v>
      </c>
      <c r="F253">
        <v>1063</v>
      </c>
      <c r="G253">
        <v>0</v>
      </c>
      <c r="H253">
        <v>0</v>
      </c>
      <c r="I253">
        <v>0</v>
      </c>
      <c r="J253">
        <v>0</v>
      </c>
      <c r="K253">
        <v>0</v>
      </c>
      <c r="L253">
        <v>0</v>
      </c>
      <c r="M253" s="1">
        <v>7.5300000000000001E-5</v>
      </c>
      <c r="N253">
        <v>0</v>
      </c>
      <c r="O253" s="1">
        <v>2.7800000000000001E-5</v>
      </c>
      <c r="P253">
        <v>5.2672699999999995E-4</v>
      </c>
      <c r="Q253">
        <v>5.0084300000000003E-3</v>
      </c>
      <c r="R253">
        <v>6.5174100000000004E-3</v>
      </c>
      <c r="S253">
        <v>1.3335899999999999E-2</v>
      </c>
      <c r="T253">
        <v>1.9021199999999999E-2</v>
      </c>
      <c r="U253">
        <v>2.59828E-2</v>
      </c>
      <c r="V253">
        <v>2.89267E-2</v>
      </c>
      <c r="W253">
        <v>3.6625600000000001E-2</v>
      </c>
      <c r="X253">
        <v>2.7751499999999998E-2</v>
      </c>
      <c r="Y253">
        <v>3.3857400000000003E-2</v>
      </c>
      <c r="Z253">
        <v>2.7312400000000001E-2</v>
      </c>
      <c r="AA253">
        <v>2.9026099999999999E-2</v>
      </c>
      <c r="AB253">
        <v>1.7187399999999999E-2</v>
      </c>
      <c r="AC253">
        <v>1.21604E-2</v>
      </c>
      <c r="AD253">
        <v>6.1698400000000002E-3</v>
      </c>
      <c r="AE253">
        <v>5.6906500000000002E-3</v>
      </c>
      <c r="AF253">
        <v>5.0269900000000003E-3</v>
      </c>
      <c r="AG253">
        <v>3.9605600000000001E-3</v>
      </c>
      <c r="AH253">
        <v>5.2960899999999998E-3</v>
      </c>
      <c r="AI253">
        <v>1.22358E-2</v>
      </c>
      <c r="AJ253">
        <v>1.36293E-2</v>
      </c>
      <c r="AK253">
        <v>2.3216799999999999E-2</v>
      </c>
      <c r="AL253">
        <v>1.8361700000000002E-2</v>
      </c>
      <c r="AM253">
        <v>2.6894100000000001E-2</v>
      </c>
      <c r="AN253">
        <v>2.56159E-2</v>
      </c>
      <c r="AO253">
        <v>2.7734399999999999E-2</v>
      </c>
      <c r="AP253">
        <v>1.94135E-2</v>
      </c>
      <c r="AQ253">
        <v>1.7318500000000001E-2</v>
      </c>
      <c r="AR253">
        <v>1.02221E-2</v>
      </c>
      <c r="AS253">
        <v>1.05919E-2</v>
      </c>
      <c r="AT253">
        <v>8.08211E-3</v>
      </c>
      <c r="AU253">
        <v>1.13276E-2</v>
      </c>
      <c r="AV253">
        <v>1.5763300000000001E-2</v>
      </c>
      <c r="AW253">
        <v>2.4752799999999998E-2</v>
      </c>
      <c r="AX253">
        <v>2.5520299999999999E-2</v>
      </c>
      <c r="AY253">
        <v>3.6528400000000003E-2</v>
      </c>
      <c r="AZ253">
        <v>3.7613099999999997E-2</v>
      </c>
      <c r="BA253">
        <v>3.38759E-2</v>
      </c>
      <c r="BB253">
        <v>3.1100599999999999E-2</v>
      </c>
      <c r="BC253">
        <v>2.73528E-2</v>
      </c>
      <c r="BD253">
        <v>2.3621400000000001E-2</v>
      </c>
      <c r="BE253">
        <v>1.5865400000000002E-2</v>
      </c>
      <c r="BF253">
        <v>1.2045999999999999E-2</v>
      </c>
      <c r="BG253">
        <v>1.1286900000000001E-2</v>
      </c>
      <c r="BH253">
        <v>1.15245E-2</v>
      </c>
      <c r="BI253">
        <v>1.0215399999999999E-2</v>
      </c>
      <c r="BJ253">
        <v>9.2528899999999997E-3</v>
      </c>
      <c r="BK253">
        <v>1.07843E-2</v>
      </c>
      <c r="BL253">
        <v>1.39118E-2</v>
      </c>
      <c r="BM253">
        <v>1.3861800000000001E-2</v>
      </c>
      <c r="BN253">
        <v>1.1091E-2</v>
      </c>
      <c r="BO253">
        <v>1.06984E-2</v>
      </c>
      <c r="BP253">
        <v>1.1326599999999999E-2</v>
      </c>
      <c r="BQ253">
        <v>7.54931E-3</v>
      </c>
      <c r="BR253">
        <v>7.7970399999999999E-3</v>
      </c>
      <c r="BS253">
        <v>6.1128399999999996E-3</v>
      </c>
      <c r="BT253">
        <v>5.9396800000000001E-3</v>
      </c>
      <c r="BU253">
        <v>3.4602299999999999E-3</v>
      </c>
      <c r="BV253">
        <v>3.48862E-3</v>
      </c>
      <c r="BW253">
        <v>2.9144499999999999E-3</v>
      </c>
      <c r="BX253">
        <v>3.6958199999999998E-3</v>
      </c>
      <c r="BY253">
        <v>3.1366599999999999E-3</v>
      </c>
      <c r="BZ253">
        <v>2.95642E-3</v>
      </c>
      <c r="CA253">
        <v>3.6499100000000001E-3</v>
      </c>
      <c r="CB253">
        <v>2.7479599999999998E-3</v>
      </c>
      <c r="CC253">
        <v>2.3953500000000001E-3</v>
      </c>
      <c r="CD253">
        <v>2.2426600000000001E-3</v>
      </c>
      <c r="CE253">
        <v>1.6255099999999999E-3</v>
      </c>
      <c r="CF253">
        <v>1.5753099999999999E-3</v>
      </c>
      <c r="CG253">
        <v>1.10859E-3</v>
      </c>
      <c r="CH253">
        <v>8.8832099999999997E-4</v>
      </c>
      <c r="CI253">
        <v>9.1045999999999998E-4</v>
      </c>
      <c r="CJ253">
        <v>4.5282299999999998E-4</v>
      </c>
      <c r="CK253">
        <v>4.46069E-4</v>
      </c>
      <c r="CL253">
        <v>4.55E-4</v>
      </c>
      <c r="CM253">
        <v>2.04243E-4</v>
      </c>
      <c r="CN253">
        <v>2.43618E-4</v>
      </c>
      <c r="CO253">
        <v>3.2048999999999999E-4</v>
      </c>
      <c r="CP253">
        <v>1.89543E-4</v>
      </c>
      <c r="CQ253" s="1">
        <v>7.0099999999999996E-5</v>
      </c>
      <c r="CR253">
        <v>3.4888999999999997E-4</v>
      </c>
      <c r="CS253">
        <v>1.23065E-4</v>
      </c>
      <c r="CT253">
        <v>1.5726800000000001E-4</v>
      </c>
      <c r="CU253">
        <v>1.16363E-4</v>
      </c>
      <c r="CV253" s="1">
        <v>2.6800000000000001E-5</v>
      </c>
      <c r="CW253">
        <v>0</v>
      </c>
      <c r="CX253">
        <v>1.5989500000000001E-4</v>
      </c>
      <c r="CY253" s="1">
        <v>4.85E-5</v>
      </c>
      <c r="CZ253">
        <v>1.1845000000000001E-4</v>
      </c>
      <c r="DA253">
        <v>0</v>
      </c>
      <c r="DB253" s="1">
        <v>8.53E-5</v>
      </c>
      <c r="DC253">
        <v>0</v>
      </c>
      <c r="DD253">
        <v>0</v>
      </c>
      <c r="DE253" s="1">
        <v>8.7399999999999997E-5</v>
      </c>
      <c r="DF253">
        <v>0</v>
      </c>
      <c r="DG253">
        <v>0</v>
      </c>
      <c r="DH253">
        <v>0</v>
      </c>
      <c r="DI253" s="1">
        <v>2.62E-5</v>
      </c>
      <c r="DJ253">
        <v>0</v>
      </c>
      <c r="DK253">
        <v>0</v>
      </c>
      <c r="DL253">
        <v>0</v>
      </c>
      <c r="DM253">
        <v>0</v>
      </c>
      <c r="DN253">
        <v>0</v>
      </c>
      <c r="DO253">
        <v>0</v>
      </c>
      <c r="DP253">
        <v>0</v>
      </c>
      <c r="DQ253">
        <v>0</v>
      </c>
      <c r="DR253">
        <v>0</v>
      </c>
      <c r="DS253">
        <v>0</v>
      </c>
      <c r="DT253">
        <v>0</v>
      </c>
      <c r="DU253">
        <v>0</v>
      </c>
      <c r="DV253">
        <v>0</v>
      </c>
      <c r="DW253" t="s">
        <v>518</v>
      </c>
    </row>
    <row r="254" spans="1:127" x14ac:dyDescent="0.2">
      <c r="A254">
        <v>2015</v>
      </c>
      <c r="B254">
        <v>7</v>
      </c>
      <c r="C254">
        <v>-2</v>
      </c>
      <c r="D254">
        <v>0</v>
      </c>
      <c r="E254">
        <v>0</v>
      </c>
      <c r="F254">
        <v>2116</v>
      </c>
      <c r="G254">
        <v>0</v>
      </c>
      <c r="H254">
        <v>0</v>
      </c>
      <c r="I254">
        <v>0</v>
      </c>
      <c r="J254">
        <v>0</v>
      </c>
      <c r="K254">
        <v>0</v>
      </c>
      <c r="L254">
        <v>0</v>
      </c>
      <c r="M254">
        <v>0</v>
      </c>
      <c r="N254">
        <v>0</v>
      </c>
      <c r="O254">
        <v>0</v>
      </c>
      <c r="P254">
        <v>5.6680599999999999E-4</v>
      </c>
      <c r="Q254">
        <v>2.1702700000000002E-3</v>
      </c>
      <c r="R254">
        <v>2.1795600000000001E-3</v>
      </c>
      <c r="S254">
        <v>4.4375300000000003E-3</v>
      </c>
      <c r="T254">
        <v>4.0076199999999999E-3</v>
      </c>
      <c r="U254">
        <v>2.7158400000000002E-3</v>
      </c>
      <c r="V254">
        <v>2.4549300000000001E-3</v>
      </c>
      <c r="W254">
        <v>2.9562799999999999E-3</v>
      </c>
      <c r="X254">
        <v>2.97497E-3</v>
      </c>
      <c r="Y254">
        <v>3.1183000000000001E-3</v>
      </c>
      <c r="Z254">
        <v>3.83067E-3</v>
      </c>
      <c r="AA254">
        <v>4.4039099999999996E-3</v>
      </c>
      <c r="AB254">
        <v>3.5966800000000001E-3</v>
      </c>
      <c r="AC254">
        <v>4.0120599999999996E-3</v>
      </c>
      <c r="AD254">
        <v>3.9150799999999996E-3</v>
      </c>
      <c r="AE254">
        <v>4.0452600000000002E-3</v>
      </c>
      <c r="AF254">
        <v>4.2163299999999999E-3</v>
      </c>
      <c r="AG254">
        <v>6.3036699999999999E-3</v>
      </c>
      <c r="AH254">
        <v>9.2025500000000003E-3</v>
      </c>
      <c r="AI254">
        <v>1.43812E-2</v>
      </c>
      <c r="AJ254">
        <v>1.99277E-2</v>
      </c>
      <c r="AK254">
        <v>2.7125199999999999E-2</v>
      </c>
      <c r="AL254">
        <v>3.73748E-2</v>
      </c>
      <c r="AM254">
        <v>4.6903E-2</v>
      </c>
      <c r="AN254">
        <v>5.4633899999999999E-2</v>
      </c>
      <c r="AO254">
        <v>5.7682900000000002E-2</v>
      </c>
      <c r="AP254">
        <v>5.1105499999999998E-2</v>
      </c>
      <c r="AQ254">
        <v>4.8605700000000002E-2</v>
      </c>
      <c r="AR254">
        <v>3.9661599999999998E-2</v>
      </c>
      <c r="AS254">
        <v>2.98561E-2</v>
      </c>
      <c r="AT254">
        <v>2.56902E-2</v>
      </c>
      <c r="AU254">
        <v>1.4790899999999999E-2</v>
      </c>
      <c r="AV254">
        <v>1.38177E-2</v>
      </c>
      <c r="AW254">
        <v>1.0356199999999999E-2</v>
      </c>
      <c r="AX254">
        <v>1.9451900000000001E-2</v>
      </c>
      <c r="AY254">
        <v>1.92885E-2</v>
      </c>
      <c r="AZ254">
        <v>2.57912E-2</v>
      </c>
      <c r="BA254">
        <v>2.4491300000000001E-2</v>
      </c>
      <c r="BB254">
        <v>2.4260400000000001E-2</v>
      </c>
      <c r="BC254">
        <v>2.20775E-2</v>
      </c>
      <c r="BD254">
        <v>2.3482800000000002E-2</v>
      </c>
      <c r="BE254">
        <v>1.65837E-2</v>
      </c>
      <c r="BF254">
        <v>1.8195099999999999E-2</v>
      </c>
      <c r="BG254">
        <v>1.7976099999999998E-2</v>
      </c>
      <c r="BH254">
        <v>1.6449100000000001E-2</v>
      </c>
      <c r="BI254">
        <v>1.7440600000000001E-2</v>
      </c>
      <c r="BJ254">
        <v>2.00649E-2</v>
      </c>
      <c r="BK254">
        <v>1.7452800000000001E-2</v>
      </c>
      <c r="BL254">
        <v>2.2403200000000002E-2</v>
      </c>
      <c r="BM254">
        <v>1.71381E-2</v>
      </c>
      <c r="BN254">
        <v>1.5528399999999999E-2</v>
      </c>
      <c r="BO254">
        <v>1.1306500000000001E-2</v>
      </c>
      <c r="BP254">
        <v>1.2637499999999999E-2</v>
      </c>
      <c r="BQ254">
        <v>8.1564700000000007E-3</v>
      </c>
      <c r="BR254">
        <v>8.62249E-3</v>
      </c>
      <c r="BS254">
        <v>5.83718E-3</v>
      </c>
      <c r="BT254">
        <v>5.5575800000000003E-3</v>
      </c>
      <c r="BU254">
        <v>5.7906600000000004E-3</v>
      </c>
      <c r="BV254">
        <v>5.0472900000000003E-3</v>
      </c>
      <c r="BW254">
        <v>4.2003300000000004E-3</v>
      </c>
      <c r="BX254">
        <v>3.4005099999999998E-3</v>
      </c>
      <c r="BY254">
        <v>3.1951900000000001E-3</v>
      </c>
      <c r="BZ254">
        <v>3.1985899999999999E-3</v>
      </c>
      <c r="CA254">
        <v>2.9400099999999998E-3</v>
      </c>
      <c r="CB254">
        <v>2.3697599999999998E-3</v>
      </c>
      <c r="CC254">
        <v>2.8251299999999999E-3</v>
      </c>
      <c r="CD254">
        <v>2.24815E-3</v>
      </c>
      <c r="CE254">
        <v>1.84286E-3</v>
      </c>
      <c r="CF254">
        <v>1.24507E-3</v>
      </c>
      <c r="CG254">
        <v>1.25917E-3</v>
      </c>
      <c r="CH254">
        <v>1.0311400000000001E-3</v>
      </c>
      <c r="CI254">
        <v>1.2265100000000001E-3</v>
      </c>
      <c r="CJ254">
        <v>7.55501E-4</v>
      </c>
      <c r="CK254">
        <v>3.8346000000000002E-4</v>
      </c>
      <c r="CL254">
        <v>6.2603300000000001E-4</v>
      </c>
      <c r="CM254">
        <v>3.6993099999999999E-4</v>
      </c>
      <c r="CN254">
        <v>8.9346200000000003E-4</v>
      </c>
      <c r="CO254">
        <v>5.0052300000000001E-4</v>
      </c>
      <c r="CP254">
        <v>3.06509E-4</v>
      </c>
      <c r="CQ254">
        <v>1.4398699999999999E-4</v>
      </c>
      <c r="CR254">
        <v>2.2152700000000001E-4</v>
      </c>
      <c r="CS254" s="1">
        <v>6.2799999999999995E-5</v>
      </c>
      <c r="CT254" s="1">
        <v>9.2399999999999996E-5</v>
      </c>
      <c r="CU254" s="1">
        <v>7.8499999999999997E-5</v>
      </c>
      <c r="CV254" s="1">
        <v>1.9899999999999999E-5</v>
      </c>
      <c r="CW254" s="1">
        <v>9.2999999999999997E-5</v>
      </c>
      <c r="CX254" s="1">
        <v>3.8000000000000002E-5</v>
      </c>
      <c r="CY254" s="1">
        <v>6.3200000000000005E-5</v>
      </c>
      <c r="CZ254" s="1">
        <v>5.2099999999999999E-5</v>
      </c>
      <c r="DA254" s="1">
        <v>9.4199999999999999E-5</v>
      </c>
      <c r="DB254" s="1">
        <v>6.4499999999999996E-5</v>
      </c>
      <c r="DC254">
        <v>0</v>
      </c>
      <c r="DD254">
        <v>0</v>
      </c>
      <c r="DE254" s="1">
        <v>2.9799999999999999E-5</v>
      </c>
      <c r="DF254" s="1">
        <v>2.8500000000000002E-5</v>
      </c>
      <c r="DG254" s="1">
        <v>4.7800000000000003E-5</v>
      </c>
      <c r="DH254">
        <v>0</v>
      </c>
      <c r="DI254">
        <v>0</v>
      </c>
      <c r="DJ254">
        <v>0</v>
      </c>
      <c r="DK254">
        <v>0</v>
      </c>
      <c r="DL254">
        <v>0</v>
      </c>
      <c r="DM254">
        <v>0</v>
      </c>
      <c r="DN254">
        <v>0</v>
      </c>
      <c r="DO254">
        <v>0</v>
      </c>
      <c r="DP254">
        <v>0</v>
      </c>
      <c r="DQ254">
        <v>0</v>
      </c>
      <c r="DR254">
        <v>0</v>
      </c>
      <c r="DS254">
        <v>0</v>
      </c>
      <c r="DT254">
        <v>0</v>
      </c>
      <c r="DU254">
        <v>0</v>
      </c>
      <c r="DV254">
        <v>0</v>
      </c>
      <c r="DW254" t="s">
        <v>519</v>
      </c>
    </row>
    <row r="255" spans="1:127" x14ac:dyDescent="0.2">
      <c r="A255">
        <v>2016</v>
      </c>
      <c r="B255">
        <v>7</v>
      </c>
      <c r="C255">
        <v>-2</v>
      </c>
      <c r="D255">
        <v>0</v>
      </c>
      <c r="E255">
        <v>0</v>
      </c>
      <c r="F255">
        <v>3109</v>
      </c>
      <c r="G255">
        <v>0</v>
      </c>
      <c r="H255">
        <v>0</v>
      </c>
      <c r="I255">
        <v>0</v>
      </c>
      <c r="J255">
        <v>0</v>
      </c>
      <c r="K255">
        <v>0</v>
      </c>
      <c r="L255">
        <v>0</v>
      </c>
      <c r="M255">
        <v>0</v>
      </c>
      <c r="N255" s="1">
        <v>4.5300000000000003E-5</v>
      </c>
      <c r="O255">
        <v>0</v>
      </c>
      <c r="P255">
        <v>3.0554999999999997E-4</v>
      </c>
      <c r="Q255">
        <v>9.6757400000000002E-4</v>
      </c>
      <c r="R255">
        <v>1.5404100000000001E-3</v>
      </c>
      <c r="S255">
        <v>3.1366499999999999E-3</v>
      </c>
      <c r="T255">
        <v>3.5276499999999998E-3</v>
      </c>
      <c r="U255">
        <v>2.3279899999999998E-3</v>
      </c>
      <c r="V255">
        <v>1.31693E-3</v>
      </c>
      <c r="W255">
        <v>3.0189100000000001E-3</v>
      </c>
      <c r="X255">
        <v>3.8016E-3</v>
      </c>
      <c r="Y255">
        <v>5.7349699999999998E-3</v>
      </c>
      <c r="Z255">
        <v>8.7713900000000004E-3</v>
      </c>
      <c r="AA255">
        <v>1.3163599999999999E-2</v>
      </c>
      <c r="AB255">
        <v>1.5970399999999999E-2</v>
      </c>
      <c r="AC255">
        <v>1.5063200000000001E-2</v>
      </c>
      <c r="AD255">
        <v>1.32298E-2</v>
      </c>
      <c r="AE255">
        <v>8.9224400000000002E-3</v>
      </c>
      <c r="AF255">
        <v>6.3076599999999997E-3</v>
      </c>
      <c r="AG255">
        <v>3.3226000000000002E-3</v>
      </c>
      <c r="AH255">
        <v>2.0710300000000002E-3</v>
      </c>
      <c r="AI255">
        <v>2.2918700000000001E-3</v>
      </c>
      <c r="AJ255">
        <v>3.9294899999999999E-3</v>
      </c>
      <c r="AK255">
        <v>5.01053E-3</v>
      </c>
      <c r="AL255">
        <v>6.0666000000000001E-3</v>
      </c>
      <c r="AM255">
        <v>7.60307E-3</v>
      </c>
      <c r="AN255">
        <v>1.0373800000000001E-2</v>
      </c>
      <c r="AO255">
        <v>9.4824200000000001E-3</v>
      </c>
      <c r="AP255">
        <v>1.32643E-2</v>
      </c>
      <c r="AQ255">
        <v>1.45054E-2</v>
      </c>
      <c r="AR255">
        <v>1.7227599999999999E-2</v>
      </c>
      <c r="AS255">
        <v>1.64434E-2</v>
      </c>
      <c r="AT255">
        <v>1.92406E-2</v>
      </c>
      <c r="AU255">
        <v>2.2407699999999999E-2</v>
      </c>
      <c r="AV255">
        <v>2.7113000000000002E-2</v>
      </c>
      <c r="AW255">
        <v>3.3702900000000001E-2</v>
      </c>
      <c r="AX255">
        <v>3.542E-2</v>
      </c>
      <c r="AY255">
        <v>4.7214300000000001E-2</v>
      </c>
      <c r="AZ255">
        <v>5.1761000000000001E-2</v>
      </c>
      <c r="BA255">
        <v>5.0198E-2</v>
      </c>
      <c r="BB255">
        <v>5.1235999999999997E-2</v>
      </c>
      <c r="BC255">
        <v>4.4320499999999999E-2</v>
      </c>
      <c r="BD255">
        <v>3.9947900000000001E-2</v>
      </c>
      <c r="BE255">
        <v>3.1265599999999998E-2</v>
      </c>
      <c r="BF255">
        <v>2.40275E-2</v>
      </c>
      <c r="BG255">
        <v>2.44306E-2</v>
      </c>
      <c r="BH255">
        <v>1.72268E-2</v>
      </c>
      <c r="BI255">
        <v>1.7129399999999999E-2</v>
      </c>
      <c r="BJ255">
        <v>1.6351999999999998E-2</v>
      </c>
      <c r="BK255">
        <v>1.5868799999999999E-2</v>
      </c>
      <c r="BL255">
        <v>1.4603400000000001E-2</v>
      </c>
      <c r="BM255">
        <v>1.55178E-2</v>
      </c>
      <c r="BN255">
        <v>1.47215E-2</v>
      </c>
      <c r="BO255">
        <v>1.32263E-2</v>
      </c>
      <c r="BP255">
        <v>1.3643000000000001E-2</v>
      </c>
      <c r="BQ255">
        <v>1.36042E-2</v>
      </c>
      <c r="BR255">
        <v>1.2402099999999999E-2</v>
      </c>
      <c r="BS255">
        <v>1.31234E-2</v>
      </c>
      <c r="BT255">
        <v>1.44078E-2</v>
      </c>
      <c r="BU255">
        <v>1.11772E-2</v>
      </c>
      <c r="BV255">
        <v>1.02133E-2</v>
      </c>
      <c r="BW255">
        <v>9.3678000000000008E-3</v>
      </c>
      <c r="BX255">
        <v>9.8430600000000007E-3</v>
      </c>
      <c r="BY255">
        <v>8.1093499999999995E-3</v>
      </c>
      <c r="BZ255">
        <v>5.5022200000000004E-3</v>
      </c>
      <c r="CA255">
        <v>5.0049200000000004E-3</v>
      </c>
      <c r="CB255">
        <v>3.9982000000000004E-3</v>
      </c>
      <c r="CC255">
        <v>2.93969E-3</v>
      </c>
      <c r="CD255">
        <v>2.6898600000000001E-3</v>
      </c>
      <c r="CE255">
        <v>2.7579900000000001E-3</v>
      </c>
      <c r="CF255">
        <v>2.1155000000000002E-3</v>
      </c>
      <c r="CG255">
        <v>1.4537899999999999E-3</v>
      </c>
      <c r="CH255">
        <v>1.4122200000000001E-3</v>
      </c>
      <c r="CI255">
        <v>2.07355E-3</v>
      </c>
      <c r="CJ255">
        <v>9.4365400000000004E-4</v>
      </c>
      <c r="CK255">
        <v>1.0939999999999999E-3</v>
      </c>
      <c r="CL255">
        <v>1.24365E-3</v>
      </c>
      <c r="CM255">
        <v>9.4782799999999995E-4</v>
      </c>
      <c r="CN255">
        <v>5.8036299999999997E-4</v>
      </c>
      <c r="CO255">
        <v>5.1756100000000004E-4</v>
      </c>
      <c r="CP255">
        <v>4.3500199999999998E-4</v>
      </c>
      <c r="CQ255">
        <v>4.6453E-4</v>
      </c>
      <c r="CR255">
        <v>2.97681E-4</v>
      </c>
      <c r="CS255">
        <v>3.5000400000000001E-4</v>
      </c>
      <c r="CT255">
        <v>2.7882299999999998E-4</v>
      </c>
      <c r="CU255">
        <v>1.97691E-4</v>
      </c>
      <c r="CV255" s="1">
        <v>9.1000000000000003E-5</v>
      </c>
      <c r="CW255">
        <v>1.6966099999999999E-4</v>
      </c>
      <c r="CX255">
        <v>1.1320900000000001E-4</v>
      </c>
      <c r="CY255">
        <v>1.29047E-4</v>
      </c>
      <c r="CZ255">
        <v>1.20244E-4</v>
      </c>
      <c r="DA255">
        <v>0</v>
      </c>
      <c r="DB255" s="1">
        <v>8.4300000000000003E-5</v>
      </c>
      <c r="DC255">
        <v>1.6187600000000001E-4</v>
      </c>
      <c r="DD255" s="1">
        <v>8.9800000000000001E-5</v>
      </c>
      <c r="DE255" s="1">
        <v>5.8199999999999998E-5</v>
      </c>
      <c r="DF255">
        <v>1.16956E-4</v>
      </c>
      <c r="DG255">
        <v>0</v>
      </c>
      <c r="DH255">
        <v>0</v>
      </c>
      <c r="DI255">
        <v>0</v>
      </c>
      <c r="DJ255">
        <v>0</v>
      </c>
      <c r="DK255">
        <v>0</v>
      </c>
      <c r="DL255">
        <v>0</v>
      </c>
      <c r="DM255">
        <v>0</v>
      </c>
      <c r="DN255">
        <v>0</v>
      </c>
      <c r="DO255">
        <v>0</v>
      </c>
      <c r="DP255">
        <v>0</v>
      </c>
      <c r="DQ255">
        <v>0</v>
      </c>
      <c r="DR255">
        <v>0</v>
      </c>
      <c r="DS255">
        <v>0</v>
      </c>
      <c r="DT255">
        <v>0</v>
      </c>
      <c r="DU255">
        <v>0</v>
      </c>
      <c r="DV255">
        <v>0</v>
      </c>
      <c r="DW255" t="s">
        <v>520</v>
      </c>
    </row>
    <row r="256" spans="1:127" x14ac:dyDescent="0.2">
      <c r="A256">
        <v>2017</v>
      </c>
      <c r="B256">
        <v>7</v>
      </c>
      <c r="C256">
        <v>-2</v>
      </c>
      <c r="D256">
        <v>0</v>
      </c>
      <c r="E256">
        <v>0</v>
      </c>
      <c r="F256">
        <v>3918</v>
      </c>
      <c r="G256">
        <v>0</v>
      </c>
      <c r="H256">
        <v>0</v>
      </c>
      <c r="I256">
        <v>0</v>
      </c>
      <c r="J256">
        <v>0</v>
      </c>
      <c r="K256">
        <v>0</v>
      </c>
      <c r="L256">
        <v>0</v>
      </c>
      <c r="M256">
        <v>0</v>
      </c>
      <c r="N256">
        <v>0</v>
      </c>
      <c r="O256">
        <v>0</v>
      </c>
      <c r="P256">
        <v>1.48078E-4</v>
      </c>
      <c r="Q256">
        <v>1.4971099999999999E-4</v>
      </c>
      <c r="R256">
        <v>9.5317199999999996E-4</v>
      </c>
      <c r="S256">
        <v>2.6319400000000001E-3</v>
      </c>
      <c r="T256">
        <v>3.8144699999999999E-3</v>
      </c>
      <c r="U256">
        <v>3.5994899999999999E-3</v>
      </c>
      <c r="V256">
        <v>5.0036400000000002E-3</v>
      </c>
      <c r="W256">
        <v>4.5556199999999998E-3</v>
      </c>
      <c r="X256">
        <v>5.3284300000000003E-3</v>
      </c>
      <c r="Y256">
        <v>6.4792000000000001E-3</v>
      </c>
      <c r="Z256">
        <v>7.3261400000000001E-3</v>
      </c>
      <c r="AA256">
        <v>9.4138899999999994E-3</v>
      </c>
      <c r="AB256">
        <v>1.0053400000000001E-2</v>
      </c>
      <c r="AC256">
        <v>1.19238E-2</v>
      </c>
      <c r="AD256">
        <v>1.37947E-2</v>
      </c>
      <c r="AE256">
        <v>1.37752E-2</v>
      </c>
      <c r="AF256">
        <v>1.30101E-2</v>
      </c>
      <c r="AG256">
        <v>1.1326599999999999E-2</v>
      </c>
      <c r="AH256">
        <v>9.0964600000000007E-3</v>
      </c>
      <c r="AI256">
        <v>9.0097000000000007E-3</v>
      </c>
      <c r="AJ256">
        <v>9.5453199999999995E-3</v>
      </c>
      <c r="AK256">
        <v>1.1358200000000001E-2</v>
      </c>
      <c r="AL256">
        <v>9.9029099999999991E-3</v>
      </c>
      <c r="AM256">
        <v>1.0855500000000001E-2</v>
      </c>
      <c r="AN256">
        <v>1.12113E-2</v>
      </c>
      <c r="AO256">
        <v>1.07835E-2</v>
      </c>
      <c r="AP256">
        <v>1.09877E-2</v>
      </c>
      <c r="AQ256">
        <v>1.3067E-2</v>
      </c>
      <c r="AR256">
        <v>1.1881299999999999E-2</v>
      </c>
      <c r="AS256">
        <v>1.20073E-2</v>
      </c>
      <c r="AT256">
        <v>1.31279E-2</v>
      </c>
      <c r="AU256">
        <v>1.41855E-2</v>
      </c>
      <c r="AV256">
        <v>1.31742E-2</v>
      </c>
      <c r="AW256">
        <v>1.53119E-2</v>
      </c>
      <c r="AX256">
        <v>1.8723799999999999E-2</v>
      </c>
      <c r="AY256">
        <v>1.6190099999999999E-2</v>
      </c>
      <c r="AZ256">
        <v>2.03775E-2</v>
      </c>
      <c r="BA256">
        <v>1.87393E-2</v>
      </c>
      <c r="BB256">
        <v>1.9569E-2</v>
      </c>
      <c r="BC256">
        <v>2.2306900000000001E-2</v>
      </c>
      <c r="BD256">
        <v>2.7112199999999999E-2</v>
      </c>
      <c r="BE256">
        <v>2.5574599999999999E-2</v>
      </c>
      <c r="BF256">
        <v>2.9187899999999999E-2</v>
      </c>
      <c r="BG256">
        <v>2.95926E-2</v>
      </c>
      <c r="BH256">
        <v>3.3647400000000001E-2</v>
      </c>
      <c r="BI256">
        <v>3.6062400000000001E-2</v>
      </c>
      <c r="BJ256">
        <v>3.5661400000000003E-2</v>
      </c>
      <c r="BK256">
        <v>3.4105000000000003E-2</v>
      </c>
      <c r="BL256">
        <v>2.9929899999999999E-2</v>
      </c>
      <c r="BM256">
        <v>2.5113300000000002E-2</v>
      </c>
      <c r="BN256">
        <v>2.3486099999999999E-2</v>
      </c>
      <c r="BO256">
        <v>2.2452099999999999E-2</v>
      </c>
      <c r="BP256">
        <v>1.9127700000000001E-2</v>
      </c>
      <c r="BQ256">
        <v>2.1686199999999999E-2</v>
      </c>
      <c r="BR256">
        <v>1.6999400000000001E-2</v>
      </c>
      <c r="BS256">
        <v>1.55514E-2</v>
      </c>
      <c r="BT256">
        <v>1.3096399999999999E-2</v>
      </c>
      <c r="BU256">
        <v>1.34348E-2</v>
      </c>
      <c r="BV256">
        <v>1.14787E-2</v>
      </c>
      <c r="BW256">
        <v>1.2657399999999999E-2</v>
      </c>
      <c r="BX256">
        <v>1.1653800000000001E-2</v>
      </c>
      <c r="BY256">
        <v>8.8201900000000003E-3</v>
      </c>
      <c r="BZ256">
        <v>8.3683200000000003E-3</v>
      </c>
      <c r="CA256">
        <v>9.2885999999999993E-3</v>
      </c>
      <c r="CB256">
        <v>7.1880099999999999E-3</v>
      </c>
      <c r="CC256">
        <v>7.7235100000000003E-3</v>
      </c>
      <c r="CD256">
        <v>6.8389499999999999E-3</v>
      </c>
      <c r="CE256">
        <v>6.3646600000000003E-3</v>
      </c>
      <c r="CF256">
        <v>4.9841099999999999E-3</v>
      </c>
      <c r="CG256">
        <v>5.4145299999999999E-3</v>
      </c>
      <c r="CH256">
        <v>5.2490200000000001E-3</v>
      </c>
      <c r="CI256">
        <v>1.93352E-3</v>
      </c>
      <c r="CJ256">
        <v>3.0342899999999998E-3</v>
      </c>
      <c r="CK256">
        <v>2.66037E-3</v>
      </c>
      <c r="CL256">
        <v>1.69959E-3</v>
      </c>
      <c r="CM256">
        <v>9.52465E-4</v>
      </c>
      <c r="CN256">
        <v>8.0660699999999998E-4</v>
      </c>
      <c r="CO256">
        <v>1.10596E-3</v>
      </c>
      <c r="CP256">
        <v>8.3754999999999995E-4</v>
      </c>
      <c r="CQ256">
        <v>1.2586100000000001E-3</v>
      </c>
      <c r="CR256">
        <v>4.03638E-4</v>
      </c>
      <c r="CS256">
        <v>5.4379299999999999E-4</v>
      </c>
      <c r="CT256">
        <v>5.8098299999999998E-4</v>
      </c>
      <c r="CU256">
        <v>2.7440800000000002E-4</v>
      </c>
      <c r="CV256">
        <v>4.2519200000000002E-4</v>
      </c>
      <c r="CW256">
        <v>4.5024399999999998E-4</v>
      </c>
      <c r="CX256" s="1">
        <v>3.6699999999999998E-5</v>
      </c>
      <c r="CY256">
        <v>2.8183199999999998E-4</v>
      </c>
      <c r="CZ256" s="1">
        <v>4.18E-5</v>
      </c>
      <c r="DA256">
        <v>0</v>
      </c>
      <c r="DB256" s="1">
        <v>3.9100000000000002E-5</v>
      </c>
      <c r="DC256" s="1">
        <v>3.7299999999999999E-5</v>
      </c>
      <c r="DD256">
        <v>0</v>
      </c>
      <c r="DE256">
        <v>0</v>
      </c>
      <c r="DF256">
        <v>0</v>
      </c>
      <c r="DG256" s="1">
        <v>4.5599999999999997E-5</v>
      </c>
      <c r="DH256">
        <v>0</v>
      </c>
      <c r="DI256">
        <v>0</v>
      </c>
      <c r="DJ256">
        <v>0</v>
      </c>
      <c r="DK256">
        <v>0</v>
      </c>
      <c r="DL256">
        <v>0</v>
      </c>
      <c r="DM256">
        <v>0</v>
      </c>
      <c r="DN256">
        <v>0</v>
      </c>
      <c r="DO256">
        <v>0</v>
      </c>
      <c r="DP256">
        <v>0</v>
      </c>
      <c r="DQ256">
        <v>0</v>
      </c>
      <c r="DR256">
        <v>0</v>
      </c>
      <c r="DS256">
        <v>0</v>
      </c>
      <c r="DT256">
        <v>0</v>
      </c>
      <c r="DU256">
        <v>0</v>
      </c>
      <c r="DV256">
        <v>0</v>
      </c>
      <c r="DW256" t="s">
        <v>521</v>
      </c>
    </row>
    <row r="257" spans="1:127" x14ac:dyDescent="0.2">
      <c r="A257">
        <v>2018</v>
      </c>
      <c r="B257">
        <v>7</v>
      </c>
      <c r="C257">
        <v>-2</v>
      </c>
      <c r="D257">
        <v>0</v>
      </c>
      <c r="E257">
        <v>0</v>
      </c>
      <c r="F257">
        <v>2955</v>
      </c>
      <c r="G257">
        <v>0</v>
      </c>
      <c r="H257">
        <v>0</v>
      </c>
      <c r="I257">
        <v>0</v>
      </c>
      <c r="J257">
        <v>0</v>
      </c>
      <c r="K257">
        <v>0</v>
      </c>
      <c r="L257">
        <v>0</v>
      </c>
      <c r="M257">
        <v>0</v>
      </c>
      <c r="N257">
        <v>0</v>
      </c>
      <c r="O257">
        <v>0</v>
      </c>
      <c r="P257">
        <v>0</v>
      </c>
      <c r="Q257">
        <v>0</v>
      </c>
      <c r="R257">
        <v>3.1850500000000001E-4</v>
      </c>
      <c r="S257">
        <v>5.6007300000000002E-4</v>
      </c>
      <c r="T257">
        <v>6.24359E-4</v>
      </c>
      <c r="U257">
        <v>2.1647699999999999E-3</v>
      </c>
      <c r="V257">
        <v>2.2050799999999999E-3</v>
      </c>
      <c r="W257">
        <v>4.2950999999999996E-3</v>
      </c>
      <c r="X257">
        <v>3.9260800000000002E-3</v>
      </c>
      <c r="Y257">
        <v>6.1514600000000001E-3</v>
      </c>
      <c r="Z257">
        <v>5.2121600000000004E-3</v>
      </c>
      <c r="AA257">
        <v>6.36588E-3</v>
      </c>
      <c r="AB257">
        <v>1.0932900000000001E-2</v>
      </c>
      <c r="AC257">
        <v>1.17336E-2</v>
      </c>
      <c r="AD257">
        <v>1.49128E-2</v>
      </c>
      <c r="AE257">
        <v>1.1620200000000001E-2</v>
      </c>
      <c r="AF257">
        <v>9.4769199999999998E-3</v>
      </c>
      <c r="AG257">
        <v>4.7842700000000002E-3</v>
      </c>
      <c r="AH257">
        <v>4.8018499999999999E-3</v>
      </c>
      <c r="AI257">
        <v>4.9747000000000003E-3</v>
      </c>
      <c r="AJ257">
        <v>4.5540299999999997E-3</v>
      </c>
      <c r="AK257">
        <v>5.0655700000000001E-3</v>
      </c>
      <c r="AL257">
        <v>8.7626000000000006E-3</v>
      </c>
      <c r="AM257">
        <v>1.04969E-2</v>
      </c>
      <c r="AN257">
        <v>1.2454399999999999E-2</v>
      </c>
      <c r="AO257">
        <v>1.7036800000000001E-2</v>
      </c>
      <c r="AP257">
        <v>1.9097900000000001E-2</v>
      </c>
      <c r="AQ257">
        <v>2.1139999999999999E-2</v>
      </c>
      <c r="AR257">
        <v>2.05404E-2</v>
      </c>
      <c r="AS257">
        <v>2.6207600000000001E-2</v>
      </c>
      <c r="AT257">
        <v>2.4812399999999998E-2</v>
      </c>
      <c r="AU257">
        <v>2.4847299999999999E-2</v>
      </c>
      <c r="AV257">
        <v>2.55851E-2</v>
      </c>
      <c r="AW257">
        <v>2.6341199999999999E-2</v>
      </c>
      <c r="AX257">
        <v>2.2189899999999999E-2</v>
      </c>
      <c r="AY257">
        <v>1.8391100000000001E-2</v>
      </c>
      <c r="AZ257">
        <v>1.67444E-2</v>
      </c>
      <c r="BA257">
        <v>1.8130899999999998E-2</v>
      </c>
      <c r="BB257">
        <v>1.66824E-2</v>
      </c>
      <c r="BC257">
        <v>2.02712E-2</v>
      </c>
      <c r="BD257">
        <v>1.8012199999999999E-2</v>
      </c>
      <c r="BE257">
        <v>1.8841E-2</v>
      </c>
      <c r="BF257">
        <v>2.1272200000000002E-2</v>
      </c>
      <c r="BG257">
        <v>1.9925499999999999E-2</v>
      </c>
      <c r="BH257">
        <v>2.1775800000000001E-2</v>
      </c>
      <c r="BI257">
        <v>1.99791E-2</v>
      </c>
      <c r="BJ257">
        <v>2.0091700000000001E-2</v>
      </c>
      <c r="BK257">
        <v>1.80886E-2</v>
      </c>
      <c r="BL257">
        <v>2.0094899999999999E-2</v>
      </c>
      <c r="BM257">
        <v>2.31202E-2</v>
      </c>
      <c r="BN257">
        <v>2.0456599999999998E-2</v>
      </c>
      <c r="BO257">
        <v>2.2339100000000001E-2</v>
      </c>
      <c r="BP257">
        <v>2.0753799999999999E-2</v>
      </c>
      <c r="BQ257">
        <v>2.49775E-2</v>
      </c>
      <c r="BR257">
        <v>2.3848100000000001E-2</v>
      </c>
      <c r="BS257">
        <v>2.1376900000000001E-2</v>
      </c>
      <c r="BT257">
        <v>1.9013700000000001E-2</v>
      </c>
      <c r="BU257">
        <v>2.15582E-2</v>
      </c>
      <c r="BV257">
        <v>1.6483600000000001E-2</v>
      </c>
      <c r="BW257">
        <v>1.71135E-2</v>
      </c>
      <c r="BX257">
        <v>1.61292E-2</v>
      </c>
      <c r="BY257">
        <v>1.15269E-2</v>
      </c>
      <c r="BZ257">
        <v>1.13378E-2</v>
      </c>
      <c r="CA257">
        <v>1.07505E-2</v>
      </c>
      <c r="CB257">
        <v>7.9721199999999992E-3</v>
      </c>
      <c r="CC257">
        <v>6.7208299999999997E-3</v>
      </c>
      <c r="CD257">
        <v>6.4397300000000003E-3</v>
      </c>
      <c r="CE257">
        <v>7.8378300000000005E-3</v>
      </c>
      <c r="CF257">
        <v>5.2882900000000002E-3</v>
      </c>
      <c r="CG257">
        <v>5.9521699999999997E-3</v>
      </c>
      <c r="CH257">
        <v>6.2288500000000002E-3</v>
      </c>
      <c r="CI257">
        <v>4.3818199999999998E-3</v>
      </c>
      <c r="CJ257">
        <v>4.02776E-3</v>
      </c>
      <c r="CK257">
        <v>4.0227600000000002E-3</v>
      </c>
      <c r="CL257">
        <v>3.06872E-3</v>
      </c>
      <c r="CM257">
        <v>1.5193100000000001E-3</v>
      </c>
      <c r="CN257">
        <v>2.1162400000000001E-3</v>
      </c>
      <c r="CO257">
        <v>2.4452599999999999E-3</v>
      </c>
      <c r="CP257">
        <v>1.604E-3</v>
      </c>
      <c r="CQ257">
        <v>1.28443E-3</v>
      </c>
      <c r="CR257">
        <v>1.14909E-3</v>
      </c>
      <c r="CS257">
        <v>6.7888499999999995E-4</v>
      </c>
      <c r="CT257">
        <v>4.8689099999999998E-4</v>
      </c>
      <c r="CU257">
        <v>4.60426E-4</v>
      </c>
      <c r="CV257">
        <v>5.3483399999999998E-4</v>
      </c>
      <c r="CW257">
        <v>4.4785099999999998E-4</v>
      </c>
      <c r="CX257">
        <v>3.3396000000000001E-4</v>
      </c>
      <c r="CY257">
        <v>3.8207900000000001E-4</v>
      </c>
      <c r="CZ257">
        <v>5.6189800000000002E-4</v>
      </c>
      <c r="DA257">
        <v>4.40047E-4</v>
      </c>
      <c r="DB257" s="1">
        <v>7.8300000000000006E-5</v>
      </c>
      <c r="DC257">
        <v>0</v>
      </c>
      <c r="DD257">
        <v>2.5597899999999998E-4</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t="s">
        <v>522</v>
      </c>
    </row>
    <row r="258" spans="1:127" x14ac:dyDescent="0.2">
      <c r="A258">
        <v>2019</v>
      </c>
      <c r="B258">
        <v>7</v>
      </c>
      <c r="C258">
        <v>-2</v>
      </c>
      <c r="D258">
        <v>0</v>
      </c>
      <c r="E258">
        <v>0</v>
      </c>
      <c r="F258">
        <v>1741</v>
      </c>
      <c r="G258">
        <v>0</v>
      </c>
      <c r="H258">
        <v>0</v>
      </c>
      <c r="I258">
        <v>0</v>
      </c>
      <c r="J258">
        <v>0</v>
      </c>
      <c r="K258">
        <v>0</v>
      </c>
      <c r="L258">
        <v>0</v>
      </c>
      <c r="M258">
        <v>0</v>
      </c>
      <c r="N258">
        <v>0</v>
      </c>
      <c r="O258">
        <v>0</v>
      </c>
      <c r="P258">
        <v>0</v>
      </c>
      <c r="Q258">
        <v>8.9244499999999996E-4</v>
      </c>
      <c r="R258">
        <v>2.19039E-3</v>
      </c>
      <c r="S258">
        <v>4.8441700000000001E-3</v>
      </c>
      <c r="T258">
        <v>8.8338199999999992E-3</v>
      </c>
      <c r="U258">
        <v>2.1626099999999999E-2</v>
      </c>
      <c r="V258">
        <v>2.9456699999999999E-2</v>
      </c>
      <c r="W258">
        <v>4.3727500000000002E-2</v>
      </c>
      <c r="X258">
        <v>3.7831799999999999E-2</v>
      </c>
      <c r="Y258">
        <v>4.4242299999999998E-2</v>
      </c>
      <c r="Z258">
        <v>5.0780800000000001E-2</v>
      </c>
      <c r="AA258">
        <v>5.9062099999999999E-2</v>
      </c>
      <c r="AB258">
        <v>5.8509699999999998E-2</v>
      </c>
      <c r="AC258">
        <v>5.5621999999999998E-2</v>
      </c>
      <c r="AD258">
        <v>5.9981699999999999E-2</v>
      </c>
      <c r="AE258">
        <v>5.4536000000000001E-2</v>
      </c>
      <c r="AF258">
        <v>4.5291999999999999E-2</v>
      </c>
      <c r="AG258">
        <v>3.6030100000000002E-2</v>
      </c>
      <c r="AH258">
        <v>2.2825100000000001E-2</v>
      </c>
      <c r="AI258">
        <v>8.2521899999999995E-3</v>
      </c>
      <c r="AJ258">
        <v>4.4776499999999997E-3</v>
      </c>
      <c r="AK258">
        <v>2.52096E-3</v>
      </c>
      <c r="AL258">
        <v>2.3175100000000001E-3</v>
      </c>
      <c r="AM258">
        <v>1.9819600000000001E-3</v>
      </c>
      <c r="AN258">
        <v>1.9208700000000001E-3</v>
      </c>
      <c r="AO258">
        <v>1.9839499999999999E-3</v>
      </c>
      <c r="AP258">
        <v>2.2758399999999999E-3</v>
      </c>
      <c r="AQ258">
        <v>2.2952099999999998E-3</v>
      </c>
      <c r="AR258">
        <v>3.3247900000000002E-3</v>
      </c>
      <c r="AS258">
        <v>3.51513E-3</v>
      </c>
      <c r="AT258">
        <v>5.3072700000000002E-3</v>
      </c>
      <c r="AU258">
        <v>5.6218500000000003E-3</v>
      </c>
      <c r="AV258">
        <v>5.7068300000000004E-3</v>
      </c>
      <c r="AW258">
        <v>7.9257400000000006E-3</v>
      </c>
      <c r="AX258">
        <v>7.1791499999999996E-3</v>
      </c>
      <c r="AY258">
        <v>7.0409899999999996E-3</v>
      </c>
      <c r="AZ258">
        <v>7.7684700000000004E-3</v>
      </c>
      <c r="BA258">
        <v>8.4650699999999999E-3</v>
      </c>
      <c r="BB258">
        <v>7.3425599999999997E-3</v>
      </c>
      <c r="BC258">
        <v>6.5701800000000001E-3</v>
      </c>
      <c r="BD258">
        <v>8.0761800000000005E-3</v>
      </c>
      <c r="BE258">
        <v>7.3822200000000001E-3</v>
      </c>
      <c r="BF258">
        <v>7.5934000000000001E-3</v>
      </c>
      <c r="BG258">
        <v>6.97564E-3</v>
      </c>
      <c r="BH258">
        <v>9.0943599999999993E-3</v>
      </c>
      <c r="BI258">
        <v>9.2816600000000006E-3</v>
      </c>
      <c r="BJ258">
        <v>9.7656199999999992E-3</v>
      </c>
      <c r="BK258">
        <v>8.4913799999999998E-3</v>
      </c>
      <c r="BL258">
        <v>9.9305499999999998E-3</v>
      </c>
      <c r="BM258">
        <v>8.03712E-3</v>
      </c>
      <c r="BN258">
        <v>7.8116499999999998E-3</v>
      </c>
      <c r="BO258">
        <v>8.3201000000000004E-3</v>
      </c>
      <c r="BP258">
        <v>8.3369199999999994E-3</v>
      </c>
      <c r="BQ258">
        <v>8.0917799999999998E-3</v>
      </c>
      <c r="BR258">
        <v>9.4600499999999994E-3</v>
      </c>
      <c r="BS258">
        <v>8.4132300000000007E-3</v>
      </c>
      <c r="BT258">
        <v>9.7500299999999998E-3</v>
      </c>
      <c r="BU258">
        <v>7.3876799999999998E-3</v>
      </c>
      <c r="BV258">
        <v>8.4244799999999998E-3</v>
      </c>
      <c r="BW258">
        <v>7.67741E-3</v>
      </c>
      <c r="BX258">
        <v>8.1141500000000005E-3</v>
      </c>
      <c r="BY258">
        <v>8.59562E-3</v>
      </c>
      <c r="BZ258">
        <v>7.0380499999999997E-3</v>
      </c>
      <c r="CA258">
        <v>8.4063799999999998E-3</v>
      </c>
      <c r="CB258">
        <v>7.5747899999999996E-3</v>
      </c>
      <c r="CC258">
        <v>5.5268599999999998E-3</v>
      </c>
      <c r="CD258">
        <v>6.1363299999999997E-3</v>
      </c>
      <c r="CE258">
        <v>5.42166E-3</v>
      </c>
      <c r="CF258">
        <v>5.7545399999999998E-3</v>
      </c>
      <c r="CG258">
        <v>4.04105E-3</v>
      </c>
      <c r="CH258">
        <v>3.9297200000000003E-3</v>
      </c>
      <c r="CI258">
        <v>3.03747E-3</v>
      </c>
      <c r="CJ258">
        <v>2.2837600000000001E-3</v>
      </c>
      <c r="CK258">
        <v>1.9742399999999999E-3</v>
      </c>
      <c r="CL258">
        <v>2.0707899999999999E-3</v>
      </c>
      <c r="CM258">
        <v>1.59789E-3</v>
      </c>
      <c r="CN258">
        <v>1.35604E-3</v>
      </c>
      <c r="CO258">
        <v>1.54104E-3</v>
      </c>
      <c r="CP258">
        <v>1.0961E-3</v>
      </c>
      <c r="CQ258">
        <v>1.1825900000000001E-3</v>
      </c>
      <c r="CR258">
        <v>1.0788499999999999E-3</v>
      </c>
      <c r="CS258">
        <v>5.2780000000000004E-4</v>
      </c>
      <c r="CT258">
        <v>5.5612800000000003E-4</v>
      </c>
      <c r="CU258">
        <v>4.6021400000000002E-4</v>
      </c>
      <c r="CV258">
        <v>5.5205599999999999E-4</v>
      </c>
      <c r="CW258">
        <v>4.0066599999999999E-4</v>
      </c>
      <c r="CX258">
        <v>2.03115E-4</v>
      </c>
      <c r="CY258">
        <v>2.2512899999999999E-4</v>
      </c>
      <c r="CZ258">
        <v>2.6229699999999999E-4</v>
      </c>
      <c r="DA258">
        <v>1.9331599999999999E-4</v>
      </c>
      <c r="DB258">
        <v>1.6907000000000001E-4</v>
      </c>
      <c r="DC258" s="1">
        <v>7.2999999999999999E-5</v>
      </c>
      <c r="DD258" s="1">
        <v>9.2399999999999996E-5</v>
      </c>
      <c r="DE258">
        <v>0</v>
      </c>
      <c r="DF258" s="1">
        <v>9.87E-5</v>
      </c>
      <c r="DG258">
        <v>0</v>
      </c>
      <c r="DH258">
        <v>0</v>
      </c>
      <c r="DI258" s="1">
        <v>4.8000000000000001E-5</v>
      </c>
      <c r="DJ258">
        <v>0</v>
      </c>
      <c r="DK258">
        <v>0</v>
      </c>
      <c r="DL258">
        <v>0</v>
      </c>
      <c r="DM258">
        <v>0</v>
      </c>
      <c r="DN258">
        <v>0</v>
      </c>
      <c r="DO258">
        <v>0</v>
      </c>
      <c r="DP258">
        <v>0</v>
      </c>
      <c r="DQ258">
        <v>0</v>
      </c>
      <c r="DR258">
        <v>0</v>
      </c>
      <c r="DS258">
        <v>0</v>
      </c>
      <c r="DT258">
        <v>0</v>
      </c>
      <c r="DU258">
        <v>0</v>
      </c>
      <c r="DV258">
        <v>0</v>
      </c>
      <c r="DW258" t="s">
        <v>523</v>
      </c>
    </row>
    <row r="259" spans="1:127" x14ac:dyDescent="0.2">
      <c r="A259">
        <v>2021</v>
      </c>
      <c r="B259">
        <v>7</v>
      </c>
      <c r="C259">
        <v>-2</v>
      </c>
      <c r="D259">
        <v>0</v>
      </c>
      <c r="E259">
        <v>0</v>
      </c>
      <c r="F259">
        <v>3973</v>
      </c>
      <c r="G259">
        <v>0</v>
      </c>
      <c r="H259">
        <v>0</v>
      </c>
      <c r="I259">
        <v>0</v>
      </c>
      <c r="J259">
        <v>0</v>
      </c>
      <c r="K259">
        <v>0</v>
      </c>
      <c r="L259">
        <v>4.0568599999999999E-4</v>
      </c>
      <c r="M259">
        <v>1.1302700000000001E-3</v>
      </c>
      <c r="N259">
        <v>1.8178599999999999E-3</v>
      </c>
      <c r="O259">
        <v>1.6862400000000001E-3</v>
      </c>
      <c r="P259">
        <v>6.5111900000000003E-4</v>
      </c>
      <c r="Q259">
        <v>6.7717700000000005E-4</v>
      </c>
      <c r="R259">
        <v>1.25194E-3</v>
      </c>
      <c r="S259">
        <v>1.6825500000000001E-3</v>
      </c>
      <c r="T259">
        <v>4.2685300000000004E-3</v>
      </c>
      <c r="U259">
        <v>5.5478200000000002E-3</v>
      </c>
      <c r="V259">
        <v>5.65608E-3</v>
      </c>
      <c r="W259">
        <v>8.5740899999999995E-3</v>
      </c>
      <c r="X259">
        <v>1.4828300000000001E-2</v>
      </c>
      <c r="Y259">
        <v>2.1227699999999999E-2</v>
      </c>
      <c r="Z259">
        <v>2.5467299999999998E-2</v>
      </c>
      <c r="AA259">
        <v>2.5182599999999999E-2</v>
      </c>
      <c r="AB259">
        <v>2.9059999999999999E-2</v>
      </c>
      <c r="AC259">
        <v>2.9759399999999998E-2</v>
      </c>
      <c r="AD259">
        <v>2.2815999999999999E-2</v>
      </c>
      <c r="AE259">
        <v>2.0031E-2</v>
      </c>
      <c r="AF259">
        <v>1.5643199999999999E-2</v>
      </c>
      <c r="AG259">
        <v>8.9214700000000008E-3</v>
      </c>
      <c r="AH259">
        <v>6.6833099999999996E-3</v>
      </c>
      <c r="AI259">
        <v>4.3130099999999999E-3</v>
      </c>
      <c r="AJ259">
        <v>4.9600299999999998E-3</v>
      </c>
      <c r="AK259">
        <v>5.2902100000000001E-3</v>
      </c>
      <c r="AL259">
        <v>6.1768600000000002E-3</v>
      </c>
      <c r="AM259">
        <v>6.2906400000000001E-3</v>
      </c>
      <c r="AN259">
        <v>7.1044599999999999E-3</v>
      </c>
      <c r="AO259">
        <v>1.13502E-2</v>
      </c>
      <c r="AP259">
        <v>1.39752E-2</v>
      </c>
      <c r="AQ259">
        <v>1.8865699999999999E-2</v>
      </c>
      <c r="AR259">
        <v>2.0491700000000002E-2</v>
      </c>
      <c r="AS259">
        <v>2.8137499999999999E-2</v>
      </c>
      <c r="AT259">
        <v>2.9011200000000001E-2</v>
      </c>
      <c r="AU259">
        <v>3.3510600000000001E-2</v>
      </c>
      <c r="AV259">
        <v>3.3260699999999997E-2</v>
      </c>
      <c r="AW259">
        <v>3.6015600000000002E-2</v>
      </c>
      <c r="AX259">
        <v>3.2867399999999998E-2</v>
      </c>
      <c r="AY259">
        <v>3.4371800000000001E-2</v>
      </c>
      <c r="AZ259">
        <v>3.7137200000000002E-2</v>
      </c>
      <c r="BA259">
        <v>3.2866699999999999E-2</v>
      </c>
      <c r="BB259">
        <v>3.1544200000000001E-2</v>
      </c>
      <c r="BC259">
        <v>2.8165599999999999E-2</v>
      </c>
      <c r="BD259">
        <v>2.4417600000000001E-2</v>
      </c>
      <c r="BE259">
        <v>1.9357300000000001E-2</v>
      </c>
      <c r="BF259">
        <v>1.6545299999999999E-2</v>
      </c>
      <c r="BG259">
        <v>1.28399E-2</v>
      </c>
      <c r="BH259">
        <v>1.12906E-2</v>
      </c>
      <c r="BI259">
        <v>1.02763E-2</v>
      </c>
      <c r="BJ259">
        <v>8.2589699999999992E-3</v>
      </c>
      <c r="BK259">
        <v>7.8669900000000008E-3</v>
      </c>
      <c r="BL259">
        <v>7.0904000000000002E-3</v>
      </c>
      <c r="BM259">
        <v>6.6586500000000003E-3</v>
      </c>
      <c r="BN259">
        <v>5.2050899999999999E-3</v>
      </c>
      <c r="BO259">
        <v>5.1332499999999998E-3</v>
      </c>
      <c r="BP259">
        <v>6.28117E-3</v>
      </c>
      <c r="BQ259">
        <v>6.07757E-3</v>
      </c>
      <c r="BR259">
        <v>5.5520500000000002E-3</v>
      </c>
      <c r="BS259">
        <v>5.7002600000000004E-3</v>
      </c>
      <c r="BT259">
        <v>6.0905400000000002E-3</v>
      </c>
      <c r="BU259">
        <v>6.0871600000000003E-3</v>
      </c>
      <c r="BV259">
        <v>5.9107200000000004E-3</v>
      </c>
      <c r="BW259">
        <v>6.5457800000000002E-3</v>
      </c>
      <c r="BX259">
        <v>5.4651300000000003E-3</v>
      </c>
      <c r="BY259">
        <v>7.0608199999999998E-3</v>
      </c>
      <c r="BZ259">
        <v>5.4909299999999998E-3</v>
      </c>
      <c r="CA259">
        <v>6.5452499999999999E-3</v>
      </c>
      <c r="CB259">
        <v>6.2685299999999996E-3</v>
      </c>
      <c r="CC259">
        <v>5.9390399999999996E-3</v>
      </c>
      <c r="CD259">
        <v>5.0305000000000002E-3</v>
      </c>
      <c r="CE259">
        <v>5.3029000000000001E-3</v>
      </c>
      <c r="CF259">
        <v>5.7748399999999998E-3</v>
      </c>
      <c r="CG259">
        <v>4.5497599999999999E-3</v>
      </c>
      <c r="CH259">
        <v>4.4251500000000001E-3</v>
      </c>
      <c r="CI259">
        <v>4.5781700000000003E-3</v>
      </c>
      <c r="CJ259">
        <v>5.3615700000000004E-3</v>
      </c>
      <c r="CK259">
        <v>3.9950000000000003E-3</v>
      </c>
      <c r="CL259">
        <v>3.7792699999999999E-3</v>
      </c>
      <c r="CM259">
        <v>3.8954699999999998E-3</v>
      </c>
      <c r="CN259">
        <v>2.7238200000000001E-3</v>
      </c>
      <c r="CO259">
        <v>3.43363E-3</v>
      </c>
      <c r="CP259">
        <v>3.1701400000000001E-3</v>
      </c>
      <c r="CQ259">
        <v>2.3668000000000001E-3</v>
      </c>
      <c r="CR259">
        <v>1.9681299999999998E-3</v>
      </c>
      <c r="CS259">
        <v>1.62404E-3</v>
      </c>
      <c r="CT259">
        <v>1.35384E-3</v>
      </c>
      <c r="CU259">
        <v>1.11695E-3</v>
      </c>
      <c r="CV259">
        <v>1.1171899999999999E-3</v>
      </c>
      <c r="CW259">
        <v>8.4154E-4</v>
      </c>
      <c r="CX259">
        <v>9.829280000000001E-4</v>
      </c>
      <c r="CY259">
        <v>9.2657099999999995E-4</v>
      </c>
      <c r="CZ259">
        <v>2.8835999999999998E-4</v>
      </c>
      <c r="DA259">
        <v>5.69829E-4</v>
      </c>
      <c r="DB259">
        <v>4.4994399999999997E-4</v>
      </c>
      <c r="DC259">
        <v>7.7249700000000003E-4</v>
      </c>
      <c r="DD259">
        <v>2.2196800000000001E-4</v>
      </c>
      <c r="DE259">
        <v>1.9126599999999999E-4</v>
      </c>
      <c r="DF259">
        <v>2.0875000000000001E-4</v>
      </c>
      <c r="DG259">
        <v>1.5217799999999999E-4</v>
      </c>
      <c r="DH259">
        <v>0</v>
      </c>
      <c r="DI259" s="1">
        <v>3.9700000000000003E-5</v>
      </c>
      <c r="DJ259" s="1">
        <v>9.6100000000000005E-5</v>
      </c>
      <c r="DK259">
        <v>0</v>
      </c>
      <c r="DL259" s="1">
        <v>5.9899999999999999E-5</v>
      </c>
      <c r="DM259">
        <v>0</v>
      </c>
      <c r="DN259">
        <v>0</v>
      </c>
      <c r="DO259">
        <v>0</v>
      </c>
      <c r="DP259">
        <v>0</v>
      </c>
      <c r="DQ259">
        <v>0</v>
      </c>
      <c r="DR259">
        <v>0</v>
      </c>
      <c r="DS259">
        <v>0</v>
      </c>
      <c r="DT259">
        <v>0</v>
      </c>
      <c r="DU259">
        <v>0</v>
      </c>
      <c r="DV259">
        <v>0</v>
      </c>
      <c r="DW259" t="s">
        <v>524</v>
      </c>
    </row>
    <row r="260" spans="1:127" x14ac:dyDescent="0.2">
      <c r="A260">
        <v>2022</v>
      </c>
      <c r="B260">
        <v>7</v>
      </c>
      <c r="C260">
        <v>-2</v>
      </c>
      <c r="D260">
        <v>0</v>
      </c>
      <c r="E260">
        <v>0</v>
      </c>
      <c r="F260">
        <v>2978</v>
      </c>
      <c r="G260">
        <v>0</v>
      </c>
      <c r="H260">
        <v>0</v>
      </c>
      <c r="I260">
        <v>0</v>
      </c>
      <c r="J260">
        <v>0</v>
      </c>
      <c r="K260">
        <v>0</v>
      </c>
      <c r="L260">
        <v>0</v>
      </c>
      <c r="M260" s="1">
        <v>3.3099999999999998E-5</v>
      </c>
      <c r="N260" s="1">
        <v>2.8900000000000001E-5</v>
      </c>
      <c r="O260">
        <v>0</v>
      </c>
      <c r="P260">
        <v>3.0063399999999998E-4</v>
      </c>
      <c r="Q260">
        <v>5.3058000000000001E-4</v>
      </c>
      <c r="R260">
        <v>3.9097899999999998E-3</v>
      </c>
      <c r="S260">
        <v>9.9242800000000006E-3</v>
      </c>
      <c r="T260">
        <v>1.1487900000000001E-2</v>
      </c>
      <c r="U260">
        <v>1.9649300000000001E-2</v>
      </c>
      <c r="V260">
        <v>1.75984E-2</v>
      </c>
      <c r="W260">
        <v>2.1253299999999999E-2</v>
      </c>
      <c r="X260">
        <v>2.3618299999999998E-2</v>
      </c>
      <c r="Y260">
        <v>2.6079100000000001E-2</v>
      </c>
      <c r="Z260">
        <v>2.5663700000000001E-2</v>
      </c>
      <c r="AA260">
        <v>2.1994900000000001E-2</v>
      </c>
      <c r="AB260">
        <v>1.9416300000000001E-2</v>
      </c>
      <c r="AC260">
        <v>1.39813E-2</v>
      </c>
      <c r="AD260">
        <v>7.6656299999999997E-3</v>
      </c>
      <c r="AE260">
        <v>4.5175600000000003E-3</v>
      </c>
      <c r="AF260">
        <v>1.2781699999999999E-3</v>
      </c>
      <c r="AG260">
        <v>8.4852099999999998E-4</v>
      </c>
      <c r="AH260">
        <v>8.0803899999999998E-4</v>
      </c>
      <c r="AI260">
        <v>1.0613199999999999E-3</v>
      </c>
      <c r="AJ260">
        <v>1.64171E-3</v>
      </c>
      <c r="AK260">
        <v>2.9747900000000002E-3</v>
      </c>
      <c r="AL260">
        <v>5.9293699999999998E-3</v>
      </c>
      <c r="AM260">
        <v>7.6600000000000001E-3</v>
      </c>
      <c r="AN260">
        <v>1.55628E-2</v>
      </c>
      <c r="AO260">
        <v>1.9652800000000002E-2</v>
      </c>
      <c r="AP260">
        <v>2.5563599999999999E-2</v>
      </c>
      <c r="AQ260">
        <v>3.2005800000000001E-2</v>
      </c>
      <c r="AR260">
        <v>3.2248100000000002E-2</v>
      </c>
      <c r="AS260">
        <v>3.1930500000000001E-2</v>
      </c>
      <c r="AT260">
        <v>3.22881E-2</v>
      </c>
      <c r="AU260">
        <v>2.7007900000000001E-2</v>
      </c>
      <c r="AV260">
        <v>2.2277999999999999E-2</v>
      </c>
      <c r="AW260">
        <v>1.6711899999999998E-2</v>
      </c>
      <c r="AX260">
        <v>1.4342199999999999E-2</v>
      </c>
      <c r="AY260">
        <v>1.50013E-2</v>
      </c>
      <c r="AZ260">
        <v>1.4338500000000001E-2</v>
      </c>
      <c r="BA260">
        <v>1.58202E-2</v>
      </c>
      <c r="BB260">
        <v>1.8244900000000001E-2</v>
      </c>
      <c r="BC260">
        <v>1.9133799999999999E-2</v>
      </c>
      <c r="BD260">
        <v>2.0901300000000001E-2</v>
      </c>
      <c r="BE260">
        <v>2.5458700000000001E-2</v>
      </c>
      <c r="BF260">
        <v>2.8110599999999999E-2</v>
      </c>
      <c r="BG260">
        <v>2.5913800000000001E-2</v>
      </c>
      <c r="BH260">
        <v>2.37495E-2</v>
      </c>
      <c r="BI260">
        <v>2.26996E-2</v>
      </c>
      <c r="BJ260">
        <v>2.1231900000000001E-2</v>
      </c>
      <c r="BK260">
        <v>2.1661099999999999E-2</v>
      </c>
      <c r="BL260">
        <v>1.6032100000000001E-2</v>
      </c>
      <c r="BM260">
        <v>1.6135E-2</v>
      </c>
      <c r="BN260">
        <v>1.41952E-2</v>
      </c>
      <c r="BO260">
        <v>1.41905E-2</v>
      </c>
      <c r="BP260">
        <v>1.13101E-2</v>
      </c>
      <c r="BQ260">
        <v>1.1739599999999999E-2</v>
      </c>
      <c r="BR260">
        <v>8.9930900000000005E-3</v>
      </c>
      <c r="BS260">
        <v>7.1160499999999996E-3</v>
      </c>
      <c r="BT260">
        <v>6.9521399999999999E-3</v>
      </c>
      <c r="BU260">
        <v>5.1885400000000002E-3</v>
      </c>
      <c r="BV260">
        <v>5.1171899999999998E-3</v>
      </c>
      <c r="BW260">
        <v>6.1576699999999996E-3</v>
      </c>
      <c r="BX260">
        <v>4.8472699999999999E-3</v>
      </c>
      <c r="BY260">
        <v>4.2227699999999998E-3</v>
      </c>
      <c r="BZ260">
        <v>3.6045199999999999E-3</v>
      </c>
      <c r="CA260">
        <v>4.2028999999999999E-3</v>
      </c>
      <c r="CB260">
        <v>4.5455299999999999E-3</v>
      </c>
      <c r="CC260">
        <v>4.4716199999999999E-3</v>
      </c>
      <c r="CD260">
        <v>4.09772E-3</v>
      </c>
      <c r="CE260">
        <v>2.38674E-3</v>
      </c>
      <c r="CF260">
        <v>3.7904499999999999E-3</v>
      </c>
      <c r="CG260">
        <v>3.2754300000000002E-3</v>
      </c>
      <c r="CH260">
        <v>3.3972799999999999E-3</v>
      </c>
      <c r="CI260">
        <v>3.36324E-3</v>
      </c>
      <c r="CJ260">
        <v>3.5457499999999999E-3</v>
      </c>
      <c r="CK260">
        <v>2.6602700000000002E-3</v>
      </c>
      <c r="CL260">
        <v>3.0532799999999998E-3</v>
      </c>
      <c r="CM260">
        <v>3.63379E-3</v>
      </c>
      <c r="CN260">
        <v>3.0809700000000001E-3</v>
      </c>
      <c r="CO260">
        <v>2.4426000000000001E-3</v>
      </c>
      <c r="CP260">
        <v>3.21675E-3</v>
      </c>
      <c r="CQ260">
        <v>2.2683099999999999E-3</v>
      </c>
      <c r="CR260">
        <v>2.1671699999999999E-3</v>
      </c>
      <c r="CS260">
        <v>1.91282E-3</v>
      </c>
      <c r="CT260">
        <v>1.8707400000000001E-3</v>
      </c>
      <c r="CU260">
        <v>1.5184599999999999E-3</v>
      </c>
      <c r="CV260">
        <v>1.6010499999999999E-3</v>
      </c>
      <c r="CW260">
        <v>1.2519600000000001E-3</v>
      </c>
      <c r="CX260">
        <v>1.17332E-3</v>
      </c>
      <c r="CY260">
        <v>8.2997099999999999E-4</v>
      </c>
      <c r="CZ260">
        <v>5.9051399999999999E-4</v>
      </c>
      <c r="DA260">
        <v>5.1673300000000001E-4</v>
      </c>
      <c r="DB260">
        <v>4.5509100000000002E-4</v>
      </c>
      <c r="DC260">
        <v>3.3176899999999999E-4</v>
      </c>
      <c r="DD260">
        <v>3.4241099999999998E-4</v>
      </c>
      <c r="DE260" s="1">
        <v>3.3699999999999999E-5</v>
      </c>
      <c r="DF260">
        <v>1.14987E-4</v>
      </c>
      <c r="DG260" s="1">
        <v>4.0000000000000003E-5</v>
      </c>
      <c r="DH260">
        <v>1.8684800000000001E-4</v>
      </c>
      <c r="DI260">
        <v>0</v>
      </c>
      <c r="DJ260" s="1">
        <v>5.5899999999999997E-5</v>
      </c>
      <c r="DK260">
        <v>0</v>
      </c>
      <c r="DL260" s="1">
        <v>6.02E-5</v>
      </c>
      <c r="DM260">
        <v>0</v>
      </c>
      <c r="DN260">
        <v>0</v>
      </c>
      <c r="DO260">
        <v>0</v>
      </c>
      <c r="DP260">
        <v>0</v>
      </c>
      <c r="DQ260">
        <v>0</v>
      </c>
      <c r="DR260">
        <v>0</v>
      </c>
      <c r="DS260">
        <v>0</v>
      </c>
      <c r="DT260">
        <v>0</v>
      </c>
      <c r="DU260">
        <v>0</v>
      </c>
      <c r="DV260">
        <v>0</v>
      </c>
      <c r="DW260" t="s">
        <v>525</v>
      </c>
    </row>
    <row r="261" spans="1:127" x14ac:dyDescent="0.2">
      <c r="A261">
        <v>2023</v>
      </c>
      <c r="B261">
        <v>7</v>
      </c>
      <c r="C261">
        <v>-2</v>
      </c>
      <c r="D261">
        <v>0</v>
      </c>
      <c r="E261">
        <v>0</v>
      </c>
      <c r="F261">
        <v>2181</v>
      </c>
      <c r="G261">
        <v>0</v>
      </c>
      <c r="H261">
        <v>0</v>
      </c>
      <c r="I261">
        <v>0</v>
      </c>
      <c r="J261">
        <v>0</v>
      </c>
      <c r="K261">
        <v>0</v>
      </c>
      <c r="L261">
        <v>0</v>
      </c>
      <c r="M261">
        <v>0</v>
      </c>
      <c r="N261">
        <v>0</v>
      </c>
      <c r="O261">
        <v>0</v>
      </c>
      <c r="P261">
        <v>5.3722799999999995E-4</v>
      </c>
      <c r="Q261">
        <v>2.3142900000000001E-3</v>
      </c>
      <c r="R261">
        <v>6.2163899999999996E-3</v>
      </c>
      <c r="S261">
        <v>9.4312100000000006E-3</v>
      </c>
      <c r="T261">
        <v>1.5780099999999998E-2</v>
      </c>
      <c r="U261">
        <v>2.1630699999999999E-2</v>
      </c>
      <c r="V261">
        <v>2.4120800000000001E-2</v>
      </c>
      <c r="W261">
        <v>2.5504300000000001E-2</v>
      </c>
      <c r="X261">
        <v>2.5341200000000001E-2</v>
      </c>
      <c r="Y261">
        <v>2.26851E-2</v>
      </c>
      <c r="Z261">
        <v>2.4910499999999999E-2</v>
      </c>
      <c r="AA261">
        <v>2.3121300000000001E-2</v>
      </c>
      <c r="AB261">
        <v>2.5785599999999999E-2</v>
      </c>
      <c r="AC261">
        <v>2.5747900000000001E-2</v>
      </c>
      <c r="AD261">
        <v>2.0231499999999999E-2</v>
      </c>
      <c r="AE261">
        <v>1.69704E-2</v>
      </c>
      <c r="AF261">
        <v>1.18294E-2</v>
      </c>
      <c r="AG261">
        <v>9.1838100000000006E-3</v>
      </c>
      <c r="AH261">
        <v>7.4618100000000001E-3</v>
      </c>
      <c r="AI261">
        <v>8.0229399999999992E-3</v>
      </c>
      <c r="AJ261">
        <v>8.7234400000000007E-3</v>
      </c>
      <c r="AK261">
        <v>1.03973E-2</v>
      </c>
      <c r="AL261">
        <v>1.27463E-2</v>
      </c>
      <c r="AM261">
        <v>1.7205000000000002E-2</v>
      </c>
      <c r="AN261">
        <v>2.2844900000000001E-2</v>
      </c>
      <c r="AO261">
        <v>2.8739799999999999E-2</v>
      </c>
      <c r="AP261">
        <v>3.4882999999999997E-2</v>
      </c>
      <c r="AQ261">
        <v>3.4139900000000001E-2</v>
      </c>
      <c r="AR261">
        <v>3.0232200000000001E-2</v>
      </c>
      <c r="AS261">
        <v>3.34051E-2</v>
      </c>
      <c r="AT261">
        <v>2.4404700000000001E-2</v>
      </c>
      <c r="AU261">
        <v>1.9026999999999999E-2</v>
      </c>
      <c r="AV261">
        <v>1.42142E-2</v>
      </c>
      <c r="AW261">
        <v>9.4541199999999999E-3</v>
      </c>
      <c r="AX261">
        <v>8.6005000000000005E-3</v>
      </c>
      <c r="AY261">
        <v>8.0897399999999998E-3</v>
      </c>
      <c r="AZ261">
        <v>8.9442600000000008E-3</v>
      </c>
      <c r="BA261">
        <v>1.12821E-2</v>
      </c>
      <c r="BB261">
        <v>1.38998E-2</v>
      </c>
      <c r="BC261">
        <v>1.7740599999999999E-2</v>
      </c>
      <c r="BD261">
        <v>1.77106E-2</v>
      </c>
      <c r="BE261">
        <v>1.8494900000000002E-2</v>
      </c>
      <c r="BF261">
        <v>1.6855499999999999E-2</v>
      </c>
      <c r="BG261">
        <v>1.86436E-2</v>
      </c>
      <c r="BH261">
        <v>1.84076E-2</v>
      </c>
      <c r="BI261">
        <v>1.45396E-2</v>
      </c>
      <c r="BJ261">
        <v>1.1872600000000001E-2</v>
      </c>
      <c r="BK261">
        <v>1.37257E-2</v>
      </c>
      <c r="BL261">
        <v>1.18672E-2</v>
      </c>
      <c r="BM261">
        <v>1.13262E-2</v>
      </c>
      <c r="BN261">
        <v>1.13978E-2</v>
      </c>
      <c r="BO261">
        <v>9.6416999999999996E-3</v>
      </c>
      <c r="BP261">
        <v>9.0380700000000005E-3</v>
      </c>
      <c r="BQ261">
        <v>9.2883199999999992E-3</v>
      </c>
      <c r="BR261">
        <v>9.7124599999999991E-3</v>
      </c>
      <c r="BS261">
        <v>8.2132999999999998E-3</v>
      </c>
      <c r="BT261">
        <v>8.8134100000000007E-3</v>
      </c>
      <c r="BU261">
        <v>7.7199499999999997E-3</v>
      </c>
      <c r="BV261">
        <v>6.9483699999999997E-3</v>
      </c>
      <c r="BW261">
        <v>6.8966499999999998E-3</v>
      </c>
      <c r="BX261">
        <v>5.0377099999999999E-3</v>
      </c>
      <c r="BY261">
        <v>6.3537000000000003E-3</v>
      </c>
      <c r="BZ261">
        <v>4.6539499999999996E-3</v>
      </c>
      <c r="CA261">
        <v>3.4276200000000001E-3</v>
      </c>
      <c r="CB261">
        <v>3.2714599999999999E-3</v>
      </c>
      <c r="CC261">
        <v>3.0777500000000002E-3</v>
      </c>
      <c r="CD261">
        <v>2.7241499999999998E-3</v>
      </c>
      <c r="CE261">
        <v>1.91724E-3</v>
      </c>
      <c r="CF261">
        <v>2.06054E-3</v>
      </c>
      <c r="CG261">
        <v>1.8121599999999999E-3</v>
      </c>
      <c r="CH261">
        <v>2.6359500000000002E-3</v>
      </c>
      <c r="CI261">
        <v>1.9833699999999999E-3</v>
      </c>
      <c r="CJ261">
        <v>1.90698E-3</v>
      </c>
      <c r="CK261">
        <v>1.5351E-3</v>
      </c>
      <c r="CL261">
        <v>1.6790799999999999E-3</v>
      </c>
      <c r="CM261">
        <v>1.51772E-3</v>
      </c>
      <c r="CN261">
        <v>1.39179E-3</v>
      </c>
      <c r="CO261">
        <v>2.1526399999999999E-3</v>
      </c>
      <c r="CP261">
        <v>1.0915600000000001E-3</v>
      </c>
      <c r="CQ261">
        <v>1.30427E-3</v>
      </c>
      <c r="CR261">
        <v>1.029E-3</v>
      </c>
      <c r="CS261">
        <v>1.2255899999999999E-3</v>
      </c>
      <c r="CT261">
        <v>1.01497E-3</v>
      </c>
      <c r="CU261">
        <v>1.31313E-3</v>
      </c>
      <c r="CV261">
        <v>1.53375E-3</v>
      </c>
      <c r="CW261">
        <v>1.0960500000000001E-3</v>
      </c>
      <c r="CX261">
        <v>5.1995299999999997E-4</v>
      </c>
      <c r="CY261">
        <v>7.2574499999999997E-4</v>
      </c>
      <c r="CZ261">
        <v>6.9699300000000003E-4</v>
      </c>
      <c r="DA261">
        <v>4.0069599999999997E-4</v>
      </c>
      <c r="DB261">
        <v>6.7866499999999995E-4</v>
      </c>
      <c r="DC261">
        <v>4.4530500000000001E-4</v>
      </c>
      <c r="DD261">
        <v>2.9650400000000001E-4</v>
      </c>
      <c r="DE261">
        <v>2.20972E-4</v>
      </c>
      <c r="DF261" s="1">
        <v>5.3399999999999997E-5</v>
      </c>
      <c r="DG261">
        <v>1.3441200000000001E-4</v>
      </c>
      <c r="DH261" s="1">
        <v>4.8699999999999998E-5</v>
      </c>
      <c r="DI261" s="1">
        <v>4.0200000000000001E-5</v>
      </c>
      <c r="DJ261" s="1">
        <v>7.7200000000000006E-5</v>
      </c>
      <c r="DK261">
        <v>0</v>
      </c>
      <c r="DL261">
        <v>0</v>
      </c>
      <c r="DM261">
        <v>0</v>
      </c>
      <c r="DN261">
        <v>0</v>
      </c>
      <c r="DO261">
        <v>0</v>
      </c>
      <c r="DP261">
        <v>0</v>
      </c>
      <c r="DQ261">
        <v>0</v>
      </c>
      <c r="DR261">
        <v>0</v>
      </c>
      <c r="DS261">
        <v>0</v>
      </c>
      <c r="DT261">
        <v>0</v>
      </c>
      <c r="DU261">
        <v>0</v>
      </c>
      <c r="DV261">
        <v>0</v>
      </c>
      <c r="DW261" t="s">
        <v>526</v>
      </c>
    </row>
    <row r="262" spans="1:127" x14ac:dyDescent="0.2">
      <c r="A262">
        <v>2024</v>
      </c>
      <c r="B262">
        <v>7</v>
      </c>
      <c r="C262">
        <v>2</v>
      </c>
      <c r="D262">
        <v>0</v>
      </c>
      <c r="E262">
        <v>0</v>
      </c>
      <c r="F262">
        <v>2556</v>
      </c>
      <c r="G262">
        <v>0</v>
      </c>
      <c r="H262">
        <v>0</v>
      </c>
      <c r="I262">
        <v>0</v>
      </c>
      <c r="J262">
        <v>0</v>
      </c>
      <c r="K262">
        <v>0</v>
      </c>
      <c r="L262">
        <v>0</v>
      </c>
      <c r="M262">
        <v>0</v>
      </c>
      <c r="N262">
        <v>0</v>
      </c>
      <c r="O262">
        <v>0</v>
      </c>
      <c r="P262">
        <v>2.8655299999999999E-4</v>
      </c>
      <c r="Q262">
        <v>1.3878E-3</v>
      </c>
      <c r="R262">
        <v>4.2543299999999997E-3</v>
      </c>
      <c r="S262">
        <v>5.6857599999999998E-3</v>
      </c>
      <c r="T262">
        <v>8.6426999999999997E-3</v>
      </c>
      <c r="U262">
        <v>9.1077599999999995E-3</v>
      </c>
      <c r="V262">
        <v>1.21417E-2</v>
      </c>
      <c r="W262">
        <v>1.3727E-2</v>
      </c>
      <c r="X262">
        <v>1.73619E-2</v>
      </c>
      <c r="Y262">
        <v>2.05364E-2</v>
      </c>
      <c r="Z262">
        <v>2.3249300000000001E-2</v>
      </c>
      <c r="AA262">
        <v>2.4069900000000002E-2</v>
      </c>
      <c r="AB262">
        <v>1.49193E-2</v>
      </c>
      <c r="AC262">
        <v>1.5847900000000002E-2</v>
      </c>
      <c r="AD262">
        <v>7.9206699999999994E-3</v>
      </c>
      <c r="AE262">
        <v>4.9108199999999998E-3</v>
      </c>
      <c r="AF262">
        <v>4.2474100000000001E-3</v>
      </c>
      <c r="AG262">
        <v>6.3876599999999999E-3</v>
      </c>
      <c r="AH262">
        <v>1.0120000000000001E-2</v>
      </c>
      <c r="AI262">
        <v>1.15421E-2</v>
      </c>
      <c r="AJ262">
        <v>1.47171E-2</v>
      </c>
      <c r="AK262">
        <v>1.71351E-2</v>
      </c>
      <c r="AL262">
        <v>1.8433399999999999E-2</v>
      </c>
      <c r="AM262">
        <v>1.9441E-2</v>
      </c>
      <c r="AN262">
        <v>2.6939100000000001E-2</v>
      </c>
      <c r="AO262">
        <v>2.8654599999999999E-2</v>
      </c>
      <c r="AP262">
        <v>2.3568200000000001E-2</v>
      </c>
      <c r="AQ262">
        <v>2.8514899999999999E-2</v>
      </c>
      <c r="AR262">
        <v>2.48179E-2</v>
      </c>
      <c r="AS262">
        <v>2.32067E-2</v>
      </c>
      <c r="AT262">
        <v>2.0142799999999999E-2</v>
      </c>
      <c r="AU262">
        <v>1.9792799999999999E-2</v>
      </c>
      <c r="AV262">
        <v>1.9462199999999999E-2</v>
      </c>
      <c r="AW262">
        <v>1.6809899999999999E-2</v>
      </c>
      <c r="AX262">
        <v>1.5462800000000001E-2</v>
      </c>
      <c r="AY262">
        <v>2.0242799999999998E-2</v>
      </c>
      <c r="AZ262">
        <v>2.26465E-2</v>
      </c>
      <c r="BA262">
        <v>2.2805200000000001E-2</v>
      </c>
      <c r="BB262">
        <v>2.4715399999999998E-2</v>
      </c>
      <c r="BC262">
        <v>2.61873E-2</v>
      </c>
      <c r="BD262">
        <v>2.68907E-2</v>
      </c>
      <c r="BE262">
        <v>2.40831E-2</v>
      </c>
      <c r="BF262">
        <v>2.0225400000000001E-2</v>
      </c>
      <c r="BG262">
        <v>1.7588199999999998E-2</v>
      </c>
      <c r="BH262">
        <v>1.42547E-2</v>
      </c>
      <c r="BI262">
        <v>1.54456E-2</v>
      </c>
      <c r="BJ262">
        <v>1.1865799999999999E-2</v>
      </c>
      <c r="BK262">
        <v>1.22282E-2</v>
      </c>
      <c r="BL262">
        <v>1.2964399999999999E-2</v>
      </c>
      <c r="BM262">
        <v>1.0421700000000001E-2</v>
      </c>
      <c r="BN262">
        <v>1.2111E-2</v>
      </c>
      <c r="BO262">
        <v>1.12409E-2</v>
      </c>
      <c r="BP262">
        <v>1.1975899999999999E-2</v>
      </c>
      <c r="BQ262">
        <v>1.2312099999999999E-2</v>
      </c>
      <c r="BR262">
        <v>1.11126E-2</v>
      </c>
      <c r="BS262">
        <v>1.24058E-2</v>
      </c>
      <c r="BT262">
        <v>1.0057099999999999E-2</v>
      </c>
      <c r="BU262">
        <v>8.7411999999999993E-3</v>
      </c>
      <c r="BV262">
        <v>8.6569699999999999E-3</v>
      </c>
      <c r="BW262">
        <v>6.8635600000000003E-3</v>
      </c>
      <c r="BX262">
        <v>7.3225399999999998E-3</v>
      </c>
      <c r="BY262">
        <v>7.9917900000000004E-3</v>
      </c>
      <c r="BZ262">
        <v>5.8479700000000001E-3</v>
      </c>
      <c r="CA262">
        <v>5.3851899999999998E-3</v>
      </c>
      <c r="CB262">
        <v>5.4615799999999997E-3</v>
      </c>
      <c r="CC262">
        <v>4.9174600000000002E-3</v>
      </c>
      <c r="CD262">
        <v>4.2801200000000001E-3</v>
      </c>
      <c r="CE262">
        <v>3.92932E-3</v>
      </c>
      <c r="CF262">
        <v>2.6375000000000001E-3</v>
      </c>
      <c r="CG262">
        <v>2.7409399999999999E-3</v>
      </c>
      <c r="CH262">
        <v>3.1008099999999999E-3</v>
      </c>
      <c r="CI262">
        <v>2.1110199999999999E-3</v>
      </c>
      <c r="CJ262">
        <v>2.5676200000000001E-3</v>
      </c>
      <c r="CK262">
        <v>1.9040999999999999E-3</v>
      </c>
      <c r="CL262">
        <v>1.6179E-3</v>
      </c>
      <c r="CM262">
        <v>1.30613E-3</v>
      </c>
      <c r="CN262">
        <v>1.15715E-3</v>
      </c>
      <c r="CO262">
        <v>9.2208600000000002E-4</v>
      </c>
      <c r="CP262">
        <v>2.0369899999999998E-3</v>
      </c>
      <c r="CQ262">
        <v>1.03933E-3</v>
      </c>
      <c r="CR262">
        <v>8.7867299999999995E-4</v>
      </c>
      <c r="CS262">
        <v>1.73923E-3</v>
      </c>
      <c r="CT262">
        <v>1.3083700000000001E-3</v>
      </c>
      <c r="CU262">
        <v>5.9680599999999996E-4</v>
      </c>
      <c r="CV262">
        <v>1.15113E-3</v>
      </c>
      <c r="CW262">
        <v>5.6345699999999996E-4</v>
      </c>
      <c r="CX262">
        <v>2.0292500000000001E-4</v>
      </c>
      <c r="CY262">
        <v>2.7556400000000001E-4</v>
      </c>
      <c r="CZ262">
        <v>2.2627699999999999E-4</v>
      </c>
      <c r="DA262">
        <v>7.6347100000000005E-4</v>
      </c>
      <c r="DB262">
        <v>5.2403300000000003E-4</v>
      </c>
      <c r="DC262">
        <v>6.3737899999999998E-4</v>
      </c>
      <c r="DD262">
        <v>4.1732500000000002E-4</v>
      </c>
      <c r="DE262">
        <v>3.1488600000000001E-4</v>
      </c>
      <c r="DF262">
        <v>0</v>
      </c>
      <c r="DG262">
        <v>2.7641900000000002E-4</v>
      </c>
      <c r="DH262" s="1">
        <v>6.9200000000000002E-5</v>
      </c>
      <c r="DI262">
        <v>2.1667999999999999E-4</v>
      </c>
      <c r="DJ262">
        <v>0</v>
      </c>
      <c r="DK262">
        <v>0</v>
      </c>
      <c r="DL262" s="1">
        <v>7.3200000000000004E-5</v>
      </c>
      <c r="DM262">
        <v>0</v>
      </c>
      <c r="DN262">
        <v>0</v>
      </c>
      <c r="DO262">
        <v>0</v>
      </c>
      <c r="DP262">
        <v>0</v>
      </c>
      <c r="DQ262">
        <v>0</v>
      </c>
      <c r="DR262">
        <v>0</v>
      </c>
      <c r="DS262">
        <v>0</v>
      </c>
      <c r="DT262">
        <v>0</v>
      </c>
      <c r="DU262">
        <v>0</v>
      </c>
      <c r="DV262">
        <v>0</v>
      </c>
      <c r="DW262" t="s">
        <v>527</v>
      </c>
    </row>
    <row r="263" spans="1:127" x14ac:dyDescent="0.2">
      <c r="A263">
        <v>-9999</v>
      </c>
      <c r="B263">
        <v>0</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t="s">
        <v>416</v>
      </c>
    </row>
    <row r="264" spans="1:127" x14ac:dyDescent="0.2">
      <c r="A264">
        <v>13</v>
      </c>
      <c r="B264" t="s">
        <v>528</v>
      </c>
    </row>
    <row r="265" spans="1:127" x14ac:dyDescent="0.2">
      <c r="A265" t="s">
        <v>99</v>
      </c>
    </row>
    <row r="266" spans="1:127" x14ac:dyDescent="0.2">
      <c r="A266" t="s">
        <v>529</v>
      </c>
    </row>
    <row r="267" spans="1:127" x14ac:dyDescent="0.2">
      <c r="A267">
        <v>0</v>
      </c>
      <c r="B267">
        <v>1</v>
      </c>
      <c r="C267">
        <v>2</v>
      </c>
      <c r="D267">
        <v>3</v>
      </c>
      <c r="E267">
        <v>4</v>
      </c>
      <c r="F267">
        <v>5</v>
      </c>
      <c r="G267">
        <v>6</v>
      </c>
      <c r="H267">
        <v>7</v>
      </c>
      <c r="I267">
        <v>8</v>
      </c>
      <c r="J267">
        <v>9</v>
      </c>
      <c r="K267">
        <v>10</v>
      </c>
      <c r="L267">
        <v>11</v>
      </c>
      <c r="M267">
        <v>12</v>
      </c>
      <c r="N267" t="s">
        <v>530</v>
      </c>
      <c r="O267">
        <v>14</v>
      </c>
      <c r="P267">
        <v>15</v>
      </c>
      <c r="Q267">
        <v>16</v>
      </c>
      <c r="R267">
        <v>17</v>
      </c>
      <c r="S267">
        <v>18</v>
      </c>
      <c r="T267">
        <v>19</v>
      </c>
      <c r="U267">
        <v>20</v>
      </c>
      <c r="V267" t="s">
        <v>529</v>
      </c>
    </row>
    <row r="268" spans="1:127" x14ac:dyDescent="0.2">
      <c r="A268" t="s">
        <v>99</v>
      </c>
    </row>
    <row r="269" spans="1:127" x14ac:dyDescent="0.2">
      <c r="A269" t="s">
        <v>531</v>
      </c>
    </row>
    <row r="270" spans="1:127" x14ac:dyDescent="0.2">
      <c r="A270">
        <v>2</v>
      </c>
      <c r="B270" t="s">
        <v>532</v>
      </c>
    </row>
    <row r="271" spans="1:127" x14ac:dyDescent="0.2">
      <c r="A271" t="s">
        <v>533</v>
      </c>
      <c r="B271" t="s">
        <v>534</v>
      </c>
      <c r="C271" t="s">
        <v>535</v>
      </c>
      <c r="D271" t="s">
        <v>536</v>
      </c>
      <c r="E271" t="s">
        <v>537</v>
      </c>
      <c r="F271" t="s">
        <v>538</v>
      </c>
      <c r="G271" t="s">
        <v>539</v>
      </c>
      <c r="H271" t="s">
        <v>540</v>
      </c>
      <c r="I271" t="s">
        <v>541</v>
      </c>
      <c r="J271" t="s">
        <v>542</v>
      </c>
      <c r="K271" t="s">
        <v>543</v>
      </c>
      <c r="L271" t="s">
        <v>544</v>
      </c>
      <c r="M271" t="s">
        <v>545</v>
      </c>
      <c r="N271" t="s">
        <v>546</v>
      </c>
      <c r="O271" t="s">
        <v>547</v>
      </c>
      <c r="P271" t="s">
        <v>548</v>
      </c>
      <c r="Q271" t="s">
        <v>549</v>
      </c>
      <c r="R271" t="s">
        <v>550</v>
      </c>
      <c r="S271" t="s">
        <v>551</v>
      </c>
      <c r="T271" t="s">
        <v>552</v>
      </c>
      <c r="U271" t="s">
        <v>553</v>
      </c>
    </row>
    <row r="273" spans="1:23" x14ac:dyDescent="0.2">
      <c r="A273">
        <v>0.59535000000000005</v>
      </c>
      <c r="B273">
        <v>1.7860400000000001</v>
      </c>
      <c r="C273">
        <v>2.9767299999999999</v>
      </c>
      <c r="D273">
        <v>4.1674199999999999</v>
      </c>
      <c r="E273">
        <v>5.3581099999999999</v>
      </c>
      <c r="F273">
        <v>6.5488</v>
      </c>
      <c r="G273">
        <v>7.73949</v>
      </c>
      <c r="H273">
        <v>8.93018</v>
      </c>
      <c r="I273">
        <v>10.12087</v>
      </c>
      <c r="J273">
        <v>11.31156</v>
      </c>
      <c r="K273">
        <v>12.50225</v>
      </c>
      <c r="L273">
        <v>13.69294105</v>
      </c>
      <c r="M273">
        <v>14.883631579999999</v>
      </c>
      <c r="N273">
        <v>16.074322110000001</v>
      </c>
      <c r="O273">
        <v>17.265012630000001</v>
      </c>
      <c r="P273">
        <v>18.455703159999999</v>
      </c>
      <c r="Q273">
        <v>19.646393679999999</v>
      </c>
      <c r="R273">
        <v>20.83708421</v>
      </c>
      <c r="S273">
        <v>22.027774740000002</v>
      </c>
      <c r="T273">
        <v>23.218465259999999</v>
      </c>
      <c r="U273">
        <v>24.40915579</v>
      </c>
    </row>
    <row r="274" spans="1:23" x14ac:dyDescent="0.2">
      <c r="A274">
        <v>0.11322</v>
      </c>
      <c r="B274">
        <v>0.11322</v>
      </c>
      <c r="C274">
        <v>0.22642999999999999</v>
      </c>
      <c r="D274">
        <v>0.33965000000000001</v>
      </c>
      <c r="E274">
        <v>0.45286999999999999</v>
      </c>
      <c r="F274">
        <v>0.56608999999999998</v>
      </c>
      <c r="G274">
        <v>0.67930000000000001</v>
      </c>
      <c r="H274">
        <v>0.79252</v>
      </c>
      <c r="I274">
        <v>0.90573999999999999</v>
      </c>
      <c r="J274">
        <v>1.01895</v>
      </c>
      <c r="K274">
        <v>1.1322000000000001</v>
      </c>
      <c r="L274">
        <v>1.24542</v>
      </c>
      <c r="M274">
        <v>1.3586400000000001</v>
      </c>
      <c r="N274">
        <v>1.4718599999999999</v>
      </c>
      <c r="O274">
        <v>1.58508</v>
      </c>
      <c r="P274">
        <v>1.6982999999999999</v>
      </c>
      <c r="Q274">
        <v>1.81152</v>
      </c>
      <c r="R274">
        <v>1.9247399999999999</v>
      </c>
      <c r="S274">
        <v>2.03796</v>
      </c>
      <c r="T274">
        <v>2.1511800000000001</v>
      </c>
      <c r="U274">
        <v>2.2644000000000002</v>
      </c>
    </row>
    <row r="276" spans="1:23" x14ac:dyDescent="0.2">
      <c r="A276">
        <v>-1</v>
      </c>
      <c r="B276">
        <v>-1</v>
      </c>
      <c r="C276">
        <v>-1</v>
      </c>
      <c r="D276">
        <v>-1</v>
      </c>
      <c r="E276">
        <v>-1</v>
      </c>
      <c r="F276">
        <v>-1</v>
      </c>
      <c r="G276">
        <v>-1</v>
      </c>
      <c r="H276">
        <v>-1</v>
      </c>
      <c r="I276">
        <v>-1</v>
      </c>
      <c r="J276">
        <v>-1</v>
      </c>
      <c r="K276">
        <v>-1</v>
      </c>
      <c r="L276">
        <v>-1</v>
      </c>
      <c r="M276">
        <v>-1</v>
      </c>
      <c r="N276">
        <v>-1</v>
      </c>
      <c r="O276">
        <v>-1</v>
      </c>
      <c r="P276">
        <v>-1</v>
      </c>
      <c r="Q276">
        <v>-1</v>
      </c>
      <c r="R276">
        <v>-1</v>
      </c>
      <c r="S276">
        <v>-1</v>
      </c>
      <c r="T276">
        <v>-1</v>
      </c>
      <c r="U276">
        <v>-1</v>
      </c>
      <c r="V276" t="s">
        <v>362</v>
      </c>
    </row>
    <row r="277" spans="1:23" x14ac:dyDescent="0.2">
      <c r="A277">
        <v>0.11322</v>
      </c>
      <c r="B277">
        <v>0.11322</v>
      </c>
      <c r="C277">
        <v>0.22642999999999999</v>
      </c>
      <c r="D277">
        <v>0.33965000000000001</v>
      </c>
      <c r="E277">
        <v>0.45286999999999999</v>
      </c>
      <c r="F277">
        <v>0.56608999999999998</v>
      </c>
      <c r="G277">
        <v>0.67930000000000001</v>
      </c>
      <c r="H277">
        <v>0.79252</v>
      </c>
      <c r="I277">
        <v>0.90573999999999999</v>
      </c>
      <c r="J277">
        <v>1.01895</v>
      </c>
      <c r="K277">
        <v>1.1322000000000001</v>
      </c>
      <c r="L277">
        <v>1.24542</v>
      </c>
      <c r="M277">
        <v>1.3586400000000001</v>
      </c>
      <c r="N277">
        <v>1.4718599999999999</v>
      </c>
      <c r="O277">
        <v>1.58508</v>
      </c>
      <c r="P277">
        <v>1.6982999999999999</v>
      </c>
      <c r="Q277">
        <v>1.81152</v>
      </c>
      <c r="R277">
        <v>1.9247399999999999</v>
      </c>
      <c r="S277">
        <v>2.03796</v>
      </c>
      <c r="T277">
        <v>2.1511800000000001</v>
      </c>
      <c r="U277">
        <v>2.2644000000000002</v>
      </c>
    </row>
    <row r="279" spans="1:23" x14ac:dyDescent="0.2">
      <c r="A279" t="s">
        <v>99</v>
      </c>
    </row>
    <row r="280" spans="1:23" x14ac:dyDescent="0.2">
      <c r="A280" t="s">
        <v>554</v>
      </c>
    </row>
    <row r="281" spans="1:23" x14ac:dyDescent="0.2">
      <c r="A281" t="s">
        <v>555</v>
      </c>
      <c r="B281" t="s">
        <v>479</v>
      </c>
      <c r="C281" t="s">
        <v>480</v>
      </c>
      <c r="D281" t="s">
        <v>481</v>
      </c>
      <c r="E281" t="s">
        <v>482</v>
      </c>
      <c r="F281" t="s">
        <v>483</v>
      </c>
      <c r="G281" t="s">
        <v>484</v>
      </c>
    </row>
    <row r="282" spans="1:23" x14ac:dyDescent="0.2">
      <c r="A282">
        <v>-1</v>
      </c>
      <c r="B282" s="1">
        <v>9.9999999999999995E-7</v>
      </c>
      <c r="C282">
        <v>0</v>
      </c>
      <c r="D282">
        <v>0</v>
      </c>
      <c r="E282">
        <v>0</v>
      </c>
      <c r="F282">
        <v>0</v>
      </c>
      <c r="G282">
        <v>1</v>
      </c>
      <c r="H282" t="s">
        <v>438</v>
      </c>
    </row>
    <row r="283" spans="1:23" x14ac:dyDescent="0.2">
      <c r="A283">
        <v>-1</v>
      </c>
      <c r="B283" s="1">
        <v>9.9999999999999995E-7</v>
      </c>
      <c r="C283">
        <v>0</v>
      </c>
      <c r="D283">
        <v>0</v>
      </c>
      <c r="E283">
        <v>0</v>
      </c>
      <c r="F283">
        <v>0</v>
      </c>
      <c r="G283">
        <v>1</v>
      </c>
      <c r="H283" t="s">
        <v>439</v>
      </c>
    </row>
    <row r="284" spans="1:23" x14ac:dyDescent="0.2">
      <c r="A284">
        <v>1</v>
      </c>
      <c r="B284" t="s">
        <v>556</v>
      </c>
      <c r="C284" t="s">
        <v>557</v>
      </c>
      <c r="D284" t="s">
        <v>558</v>
      </c>
      <c r="E284" t="s">
        <v>559</v>
      </c>
    </row>
    <row r="285" spans="1:23" x14ac:dyDescent="0.2">
      <c r="B285" t="s">
        <v>560</v>
      </c>
      <c r="C285" t="s">
        <v>561</v>
      </c>
      <c r="D285" t="s">
        <v>562</v>
      </c>
      <c r="E285" t="s">
        <v>563</v>
      </c>
      <c r="F285" t="s">
        <v>199</v>
      </c>
      <c r="G285" t="s">
        <v>321</v>
      </c>
      <c r="H285" t="s">
        <v>564</v>
      </c>
      <c r="I285" t="s">
        <v>140</v>
      </c>
      <c r="J285" t="s">
        <v>464</v>
      </c>
      <c r="K285" t="s">
        <v>107</v>
      </c>
    </row>
    <row r="286" spans="1:23" x14ac:dyDescent="0.2">
      <c r="A286" t="s">
        <v>565</v>
      </c>
      <c r="B286" t="s">
        <v>566</v>
      </c>
      <c r="C286" t="s">
        <v>567</v>
      </c>
      <c r="D286" t="s">
        <v>568</v>
      </c>
      <c r="E286" t="s">
        <v>569</v>
      </c>
      <c r="F286" t="s">
        <v>570</v>
      </c>
      <c r="G286" t="s">
        <v>571</v>
      </c>
      <c r="H286" t="s">
        <v>572</v>
      </c>
      <c r="I286" t="s">
        <v>573</v>
      </c>
      <c r="J286" t="s">
        <v>574</v>
      </c>
      <c r="K286" t="s">
        <v>575</v>
      </c>
      <c r="L286" t="s">
        <v>576</v>
      </c>
      <c r="M286" t="s">
        <v>577</v>
      </c>
      <c r="N286" t="s">
        <v>578</v>
      </c>
      <c r="O286" t="s">
        <v>579</v>
      </c>
      <c r="P286" t="s">
        <v>580</v>
      </c>
      <c r="Q286" t="s">
        <v>581</v>
      </c>
      <c r="R286" t="s">
        <v>582</v>
      </c>
      <c r="S286" t="s">
        <v>583</v>
      </c>
      <c r="T286" t="s">
        <v>584</v>
      </c>
      <c r="U286" t="s">
        <v>585</v>
      </c>
      <c r="V286" t="s">
        <v>586</v>
      </c>
    </row>
    <row r="287" spans="1:23" x14ac:dyDescent="0.2">
      <c r="A287">
        <v>1994</v>
      </c>
      <c r="B287">
        <v>7</v>
      </c>
      <c r="C287">
        <v>-2</v>
      </c>
      <c r="D287">
        <v>0</v>
      </c>
      <c r="E287">
        <v>0</v>
      </c>
      <c r="F287">
        <v>1</v>
      </c>
      <c r="G287">
        <v>1.5</v>
      </c>
      <c r="H287">
        <v>119.5</v>
      </c>
      <c r="I287">
        <v>105</v>
      </c>
      <c r="J287" s="1">
        <v>1.8600000000000001E-5</v>
      </c>
      <c r="K287" s="1">
        <v>0.10784100000000001</v>
      </c>
      <c r="L287" s="1">
        <v>0.38523000000000002</v>
      </c>
      <c r="M287" s="1">
        <v>0.16816300000000001</v>
      </c>
      <c r="N287" s="1">
        <v>0.111155</v>
      </c>
      <c r="O287" s="1">
        <v>0.11046400000000001</v>
      </c>
      <c r="P287" s="1">
        <v>7.9761100000000001E-2</v>
      </c>
      <c r="Q287" s="1">
        <v>2.1103500000000001E-2</v>
      </c>
      <c r="R287" s="1">
        <v>9.0860899999999998E-3</v>
      </c>
      <c r="S287" s="1">
        <v>4.2802300000000003E-3</v>
      </c>
      <c r="T287" s="1">
        <v>1.26155E-3</v>
      </c>
      <c r="U287" s="1">
        <v>8.1133099999999999E-4</v>
      </c>
      <c r="V287" s="1">
        <v>8.2380400000000003E-4</v>
      </c>
      <c r="W287" t="s">
        <v>362</v>
      </c>
    </row>
    <row r="288" spans="1:23" x14ac:dyDescent="0.2">
      <c r="A288">
        <v>1995</v>
      </c>
      <c r="B288">
        <v>7</v>
      </c>
      <c r="C288">
        <v>-2</v>
      </c>
      <c r="D288">
        <v>0</v>
      </c>
      <c r="E288">
        <v>0</v>
      </c>
      <c r="F288">
        <v>1</v>
      </c>
      <c r="G288">
        <v>1.5</v>
      </c>
      <c r="H288">
        <v>119.5</v>
      </c>
      <c r="I288">
        <v>78</v>
      </c>
      <c r="J288" s="1">
        <v>5.13E-5</v>
      </c>
      <c r="K288" s="1">
        <v>6.3043600000000005E-2</v>
      </c>
      <c r="L288" s="1">
        <v>0.259191</v>
      </c>
      <c r="M288" s="1">
        <v>0.40802100000000002</v>
      </c>
      <c r="N288" s="1">
        <v>0.104976</v>
      </c>
      <c r="O288" s="1">
        <v>7.73982E-2</v>
      </c>
      <c r="P288" s="1">
        <v>5.6485399999999998E-2</v>
      </c>
      <c r="Q288" s="1">
        <v>1.40848E-2</v>
      </c>
      <c r="R288" s="1">
        <v>7.5661299999999999E-3</v>
      </c>
      <c r="S288" s="1">
        <v>5.5277E-3</v>
      </c>
      <c r="T288" s="1">
        <v>1.29558E-3</v>
      </c>
      <c r="U288" s="1">
        <v>1.3138E-3</v>
      </c>
      <c r="V288" s="1">
        <v>1.04576E-3</v>
      </c>
      <c r="W288" t="s">
        <v>363</v>
      </c>
    </row>
    <row r="289" spans="1:23" x14ac:dyDescent="0.2">
      <c r="A289">
        <v>1996</v>
      </c>
      <c r="B289">
        <v>7</v>
      </c>
      <c r="C289">
        <v>-2</v>
      </c>
      <c r="D289">
        <v>0</v>
      </c>
      <c r="E289">
        <v>0</v>
      </c>
      <c r="F289">
        <v>1</v>
      </c>
      <c r="G289">
        <v>1.5</v>
      </c>
      <c r="H289">
        <v>119.5</v>
      </c>
      <c r="I289">
        <v>108</v>
      </c>
      <c r="J289" s="1">
        <v>1.06E-5</v>
      </c>
      <c r="K289" s="1">
        <v>6.5413499999999999E-2</v>
      </c>
      <c r="L289" s="1">
        <v>0.190973</v>
      </c>
      <c r="M289" s="1">
        <v>0.18557999999999999</v>
      </c>
      <c r="N289" s="1">
        <v>0.28382200000000002</v>
      </c>
      <c r="O289" s="1">
        <v>0.145236</v>
      </c>
      <c r="P289" s="1">
        <v>7.6458600000000002E-2</v>
      </c>
      <c r="Q289" s="1">
        <v>3.5671399999999999E-2</v>
      </c>
      <c r="R289" s="1">
        <v>9.8343300000000005E-3</v>
      </c>
      <c r="S289" s="1">
        <v>3.4252599999999998E-3</v>
      </c>
      <c r="T289" s="1">
        <v>1.3632500000000001E-3</v>
      </c>
      <c r="U289" s="1">
        <v>1.10498E-3</v>
      </c>
      <c r="V289" s="1">
        <v>1.1071900000000001E-3</v>
      </c>
      <c r="W289" t="s">
        <v>369</v>
      </c>
    </row>
    <row r="290" spans="1:23" x14ac:dyDescent="0.2">
      <c r="A290">
        <v>1997</v>
      </c>
      <c r="B290">
        <v>7</v>
      </c>
      <c r="C290">
        <v>-2</v>
      </c>
      <c r="D290">
        <v>0</v>
      </c>
      <c r="E290">
        <v>0</v>
      </c>
      <c r="F290">
        <v>1</v>
      </c>
      <c r="G290">
        <v>1.5</v>
      </c>
      <c r="H290">
        <v>119.5</v>
      </c>
      <c r="I290">
        <v>214</v>
      </c>
      <c r="J290">
        <v>2.61671E-4</v>
      </c>
      <c r="K290">
        <v>0.28849399999999997</v>
      </c>
      <c r="L290">
        <v>0.16236300000000001</v>
      </c>
      <c r="M290">
        <v>0.14685000000000001</v>
      </c>
      <c r="N290">
        <v>0.14333000000000001</v>
      </c>
      <c r="O290">
        <v>0.118675</v>
      </c>
      <c r="P290">
        <v>9.8235600000000006E-2</v>
      </c>
      <c r="Q290">
        <v>2.5241699999999999E-2</v>
      </c>
      <c r="R290">
        <v>1.15589E-2</v>
      </c>
      <c r="S290">
        <v>2.4578199999999999E-3</v>
      </c>
      <c r="T290">
        <v>1.4292300000000001E-3</v>
      </c>
      <c r="U290">
        <v>7.2847600000000004E-4</v>
      </c>
      <c r="V290">
        <v>3.7548200000000001E-4</v>
      </c>
      <c r="W290" t="s">
        <v>370</v>
      </c>
    </row>
    <row r="291" spans="1:23" x14ac:dyDescent="0.2">
      <c r="A291">
        <v>1998</v>
      </c>
      <c r="B291">
        <v>7</v>
      </c>
      <c r="C291">
        <v>-2</v>
      </c>
      <c r="D291">
        <v>0</v>
      </c>
      <c r="E291">
        <v>0</v>
      </c>
      <c r="F291">
        <v>1</v>
      </c>
      <c r="G291">
        <v>1.5</v>
      </c>
      <c r="H291">
        <v>119.5</v>
      </c>
      <c r="I291">
        <v>78</v>
      </c>
      <c r="J291" s="1">
        <v>4.46E-5</v>
      </c>
      <c r="K291" s="1">
        <v>7.4764600000000001E-2</v>
      </c>
      <c r="L291" s="1">
        <v>0.43874400000000002</v>
      </c>
      <c r="M291" s="1">
        <v>0.19252</v>
      </c>
      <c r="N291" s="1">
        <v>0.11185100000000001</v>
      </c>
      <c r="O291" s="1">
        <v>5.9570100000000001E-2</v>
      </c>
      <c r="P291" s="1">
        <v>6.5625299999999998E-2</v>
      </c>
      <c r="Q291" s="1">
        <v>3.2895399999999998E-2</v>
      </c>
      <c r="R291" s="1">
        <v>1.8962400000000001E-2</v>
      </c>
      <c r="S291" s="1">
        <v>3.63234E-3</v>
      </c>
      <c r="T291" s="1">
        <v>5.7019700000000004E-4</v>
      </c>
      <c r="U291" s="1">
        <v>6.0391399999999999E-4</v>
      </c>
      <c r="V291" s="1">
        <v>2.1637199999999999E-4</v>
      </c>
      <c r="W291" t="s">
        <v>371</v>
      </c>
    </row>
    <row r="292" spans="1:23" x14ac:dyDescent="0.2">
      <c r="A292">
        <v>1999</v>
      </c>
      <c r="B292">
        <v>7</v>
      </c>
      <c r="C292">
        <v>-2</v>
      </c>
      <c r="D292">
        <v>0</v>
      </c>
      <c r="E292">
        <v>0</v>
      </c>
      <c r="F292">
        <v>1</v>
      </c>
      <c r="G292">
        <v>1.5</v>
      </c>
      <c r="H292">
        <v>119.5</v>
      </c>
      <c r="I292">
        <v>183</v>
      </c>
      <c r="J292">
        <v>0</v>
      </c>
      <c r="K292">
        <v>8.9818999999999996E-2</v>
      </c>
      <c r="L292">
        <v>0.19494900000000001</v>
      </c>
      <c r="M292">
        <v>0.30730200000000002</v>
      </c>
      <c r="N292">
        <v>0.21974199999999999</v>
      </c>
      <c r="O292">
        <v>7.5962699999999994E-2</v>
      </c>
      <c r="P292">
        <v>6.0118400000000002E-2</v>
      </c>
      <c r="Q292">
        <v>3.0048800000000001E-2</v>
      </c>
      <c r="R292">
        <v>1.37453E-2</v>
      </c>
      <c r="S292">
        <v>5.7187200000000001E-3</v>
      </c>
      <c r="T292">
        <v>9.5984800000000002E-4</v>
      </c>
      <c r="U292">
        <v>1.17143E-3</v>
      </c>
      <c r="V292">
        <v>4.6231199999999999E-4</v>
      </c>
      <c r="W292" t="s">
        <v>372</v>
      </c>
    </row>
    <row r="293" spans="1:23" x14ac:dyDescent="0.2">
      <c r="A293">
        <v>2000</v>
      </c>
      <c r="B293">
        <v>7</v>
      </c>
      <c r="C293">
        <v>2</v>
      </c>
      <c r="D293">
        <v>0</v>
      </c>
      <c r="E293">
        <v>0</v>
      </c>
      <c r="F293">
        <v>1</v>
      </c>
      <c r="G293">
        <v>1.5</v>
      </c>
      <c r="H293">
        <v>119.5</v>
      </c>
      <c r="I293">
        <v>124</v>
      </c>
      <c r="J293">
        <v>0</v>
      </c>
      <c r="K293">
        <v>0.20392299999999999</v>
      </c>
      <c r="L293">
        <v>0.11751200000000001</v>
      </c>
      <c r="M293">
        <v>0.16670199999999999</v>
      </c>
      <c r="N293">
        <v>0.24379000000000001</v>
      </c>
      <c r="O293">
        <v>0.15842000000000001</v>
      </c>
      <c r="P293">
        <v>6.5517300000000001E-2</v>
      </c>
      <c r="Q293">
        <v>1.59481E-2</v>
      </c>
      <c r="R293">
        <v>1.8053799999999998E-2</v>
      </c>
      <c r="S293">
        <v>4.6752699999999996E-3</v>
      </c>
      <c r="T293">
        <v>3.7150799999999999E-3</v>
      </c>
      <c r="U293">
        <v>1.3753299999999999E-3</v>
      </c>
      <c r="V293">
        <v>3.68072E-4</v>
      </c>
      <c r="W293" t="s">
        <v>373</v>
      </c>
    </row>
    <row r="294" spans="1:23" x14ac:dyDescent="0.2">
      <c r="A294">
        <v>2001</v>
      </c>
      <c r="B294">
        <v>7</v>
      </c>
      <c r="C294">
        <v>2</v>
      </c>
      <c r="D294">
        <v>0</v>
      </c>
      <c r="E294">
        <v>0</v>
      </c>
      <c r="F294">
        <v>1</v>
      </c>
      <c r="G294">
        <v>1.5</v>
      </c>
      <c r="H294">
        <v>119.5</v>
      </c>
      <c r="I294">
        <v>167</v>
      </c>
      <c r="J294" s="1">
        <v>6.97E-5</v>
      </c>
      <c r="K294" s="1">
        <v>0.29653000000000002</v>
      </c>
      <c r="L294" s="1">
        <v>0.23735300000000001</v>
      </c>
      <c r="M294" s="1">
        <v>0.18789400000000001</v>
      </c>
      <c r="N294" s="1">
        <v>8.3849199999999999E-2</v>
      </c>
      <c r="O294" s="1">
        <v>8.4565799999999997E-2</v>
      </c>
      <c r="P294" s="1">
        <v>7.0902300000000001E-2</v>
      </c>
      <c r="Q294" s="1">
        <v>2.6537000000000002E-2</v>
      </c>
      <c r="R294" s="1">
        <v>7.9287699999999999E-3</v>
      </c>
      <c r="S294" s="1">
        <v>1.8135E-3</v>
      </c>
      <c r="T294" s="1">
        <v>1.36196E-3</v>
      </c>
      <c r="U294" s="1">
        <v>8.9563499999999999E-4</v>
      </c>
      <c r="V294" s="1">
        <v>2.98545E-4</v>
      </c>
      <c r="W294" t="s">
        <v>374</v>
      </c>
    </row>
    <row r="295" spans="1:23" x14ac:dyDescent="0.2">
      <c r="A295">
        <v>2002</v>
      </c>
      <c r="B295">
        <v>7</v>
      </c>
      <c r="C295">
        <v>2</v>
      </c>
      <c r="D295">
        <v>0</v>
      </c>
      <c r="E295">
        <v>0</v>
      </c>
      <c r="F295">
        <v>1</v>
      </c>
      <c r="G295">
        <v>1.5</v>
      </c>
      <c r="H295">
        <v>119.5</v>
      </c>
      <c r="I295">
        <v>162</v>
      </c>
      <c r="J295">
        <v>7.5678799999999999E-4</v>
      </c>
      <c r="K295">
        <v>7.7188199999999998E-2</v>
      </c>
      <c r="L295">
        <v>0.18909300000000001</v>
      </c>
      <c r="M295">
        <v>0.29932399999999998</v>
      </c>
      <c r="N295">
        <v>0.23887800000000001</v>
      </c>
      <c r="O295">
        <v>7.3485900000000007E-2</v>
      </c>
      <c r="P295">
        <v>6.4558000000000004E-2</v>
      </c>
      <c r="Q295">
        <v>4.0966500000000003E-2</v>
      </c>
      <c r="R295">
        <v>1.11538E-2</v>
      </c>
      <c r="S295">
        <v>3.0765300000000001E-3</v>
      </c>
      <c r="T295">
        <v>8.1527900000000003E-4</v>
      </c>
      <c r="U295">
        <v>3.3559399999999999E-4</v>
      </c>
      <c r="V295">
        <v>3.6827600000000001E-4</v>
      </c>
      <c r="W295" t="s">
        <v>375</v>
      </c>
    </row>
    <row r="296" spans="1:23" x14ac:dyDescent="0.2">
      <c r="A296">
        <v>2003</v>
      </c>
      <c r="B296">
        <v>7</v>
      </c>
      <c r="C296">
        <v>2</v>
      </c>
      <c r="D296">
        <v>0</v>
      </c>
      <c r="E296">
        <v>0</v>
      </c>
      <c r="F296">
        <v>1</v>
      </c>
      <c r="G296">
        <v>1.5</v>
      </c>
      <c r="H296">
        <v>119.5</v>
      </c>
      <c r="I296">
        <v>206</v>
      </c>
      <c r="J296" s="1">
        <v>1.0499999999999999E-5</v>
      </c>
      <c r="K296" s="1">
        <v>0.17549500000000001</v>
      </c>
      <c r="L296" s="1">
        <v>0.152887</v>
      </c>
      <c r="M296" s="1">
        <v>0.22844300000000001</v>
      </c>
      <c r="N296" s="1">
        <v>0.212395</v>
      </c>
      <c r="O296" s="1">
        <v>0.128</v>
      </c>
      <c r="P296" s="1">
        <v>4.6664900000000002E-2</v>
      </c>
      <c r="Q296" s="1">
        <v>3.2426999999999997E-2</v>
      </c>
      <c r="R296" s="1">
        <v>1.81306E-2</v>
      </c>
      <c r="S296" s="1">
        <v>3.8450899999999998E-3</v>
      </c>
      <c r="T296" s="1">
        <v>4.64485E-4</v>
      </c>
      <c r="U296" s="1">
        <v>5.2331100000000005E-4</v>
      </c>
      <c r="V296" s="1">
        <v>7.1308799999999996E-4</v>
      </c>
      <c r="W296" t="s">
        <v>376</v>
      </c>
    </row>
    <row r="297" spans="1:23" x14ac:dyDescent="0.2">
      <c r="A297">
        <v>2004</v>
      </c>
      <c r="B297">
        <v>7</v>
      </c>
      <c r="C297">
        <v>2</v>
      </c>
      <c r="D297">
        <v>0</v>
      </c>
      <c r="E297">
        <v>0</v>
      </c>
      <c r="F297">
        <v>1</v>
      </c>
      <c r="G297">
        <v>1.5</v>
      </c>
      <c r="H297">
        <v>119.5</v>
      </c>
      <c r="I297">
        <v>155</v>
      </c>
      <c r="J297">
        <v>0</v>
      </c>
      <c r="K297">
        <v>0.133268</v>
      </c>
      <c r="L297">
        <v>0.145039</v>
      </c>
      <c r="M297">
        <v>0.26815699999999998</v>
      </c>
      <c r="N297">
        <v>0.13203300000000001</v>
      </c>
      <c r="O297">
        <v>0.14011399999999999</v>
      </c>
      <c r="P297">
        <v>0.104312</v>
      </c>
      <c r="Q297">
        <v>4.0259000000000003E-2</v>
      </c>
      <c r="R297">
        <v>2.3315200000000001E-2</v>
      </c>
      <c r="S297">
        <v>8.7341899999999993E-3</v>
      </c>
      <c r="T297">
        <v>2.2423500000000002E-3</v>
      </c>
      <c r="U297">
        <v>1.9534700000000001E-3</v>
      </c>
      <c r="V297">
        <v>5.71468E-4</v>
      </c>
      <c r="W297" t="s">
        <v>377</v>
      </c>
    </row>
    <row r="298" spans="1:23" x14ac:dyDescent="0.2">
      <c r="A298">
        <v>2005</v>
      </c>
      <c r="B298">
        <v>7</v>
      </c>
      <c r="C298">
        <v>2</v>
      </c>
      <c r="D298">
        <v>0</v>
      </c>
      <c r="E298">
        <v>0</v>
      </c>
      <c r="F298">
        <v>1</v>
      </c>
      <c r="G298">
        <v>1.5</v>
      </c>
      <c r="H298">
        <v>119.5</v>
      </c>
      <c r="I298">
        <v>150</v>
      </c>
      <c r="J298" s="1">
        <v>8.2199999999999992E-6</v>
      </c>
      <c r="K298" s="1">
        <v>0.14869499999999999</v>
      </c>
      <c r="L298" s="1">
        <v>0.23150100000000001</v>
      </c>
      <c r="M298" s="1">
        <v>0.20370199999999999</v>
      </c>
      <c r="N298" s="1">
        <v>0.13006499999999999</v>
      </c>
      <c r="O298" s="1">
        <v>7.1818199999999999E-2</v>
      </c>
      <c r="P298" s="1">
        <v>9.7404400000000002E-2</v>
      </c>
      <c r="Q298" s="1">
        <v>6.6922999999999996E-2</v>
      </c>
      <c r="R298" s="1">
        <v>2.9724400000000002E-2</v>
      </c>
      <c r="S298" s="1">
        <v>1.12002E-2</v>
      </c>
      <c r="T298" s="1">
        <v>4.0774699999999997E-3</v>
      </c>
      <c r="U298" s="1">
        <v>4.4126599999999997E-3</v>
      </c>
      <c r="V298" s="1">
        <v>4.6957900000000003E-4</v>
      </c>
      <c r="W298" t="s">
        <v>378</v>
      </c>
    </row>
    <row r="299" spans="1:23" x14ac:dyDescent="0.2">
      <c r="A299">
        <v>2006</v>
      </c>
      <c r="B299">
        <v>7</v>
      </c>
      <c r="C299">
        <v>2</v>
      </c>
      <c r="D299">
        <v>0</v>
      </c>
      <c r="E299">
        <v>0</v>
      </c>
      <c r="F299">
        <v>1</v>
      </c>
      <c r="G299">
        <v>1.5</v>
      </c>
      <c r="H299">
        <v>119.5</v>
      </c>
      <c r="I299">
        <v>328</v>
      </c>
      <c r="J299">
        <v>0</v>
      </c>
      <c r="K299">
        <v>0.33184000000000002</v>
      </c>
      <c r="L299">
        <v>0.145146</v>
      </c>
      <c r="M299">
        <v>0.161938</v>
      </c>
      <c r="N299">
        <v>0.11165799999999999</v>
      </c>
      <c r="O299">
        <v>8.9600200000000005E-2</v>
      </c>
      <c r="P299">
        <v>6.4743300000000004E-2</v>
      </c>
      <c r="Q299">
        <v>4.8201800000000003E-2</v>
      </c>
      <c r="R299">
        <v>3.0823199999999999E-2</v>
      </c>
      <c r="S299">
        <v>1.07782E-2</v>
      </c>
      <c r="T299">
        <v>3.3671999999999999E-3</v>
      </c>
      <c r="U299">
        <v>1.2025899999999999E-3</v>
      </c>
      <c r="V299">
        <v>7.0155800000000002E-4</v>
      </c>
      <c r="W299" t="s">
        <v>379</v>
      </c>
    </row>
    <row r="300" spans="1:23" x14ac:dyDescent="0.2">
      <c r="A300">
        <v>2007</v>
      </c>
      <c r="B300">
        <v>7</v>
      </c>
      <c r="C300">
        <v>2</v>
      </c>
      <c r="D300">
        <v>0</v>
      </c>
      <c r="E300">
        <v>0</v>
      </c>
      <c r="F300">
        <v>1</v>
      </c>
      <c r="G300">
        <v>1.5</v>
      </c>
      <c r="H300">
        <v>119.5</v>
      </c>
      <c r="I300">
        <v>60</v>
      </c>
      <c r="J300">
        <v>0</v>
      </c>
      <c r="K300">
        <v>0.65922700000000001</v>
      </c>
      <c r="L300">
        <v>0.106929</v>
      </c>
      <c r="M300">
        <v>7.15282E-2</v>
      </c>
      <c r="N300">
        <v>4.9094800000000001E-2</v>
      </c>
      <c r="O300">
        <v>5.1982800000000003E-2</v>
      </c>
      <c r="P300">
        <v>2.2203500000000001E-2</v>
      </c>
      <c r="Q300">
        <v>1.8111100000000002E-2</v>
      </c>
      <c r="R300">
        <v>1.0327299999999999E-2</v>
      </c>
      <c r="S300">
        <v>6.3324999999999996E-3</v>
      </c>
      <c r="T300">
        <v>2.0461099999999999E-3</v>
      </c>
      <c r="U300">
        <v>1.16653E-3</v>
      </c>
      <c r="V300">
        <v>1.05054E-3</v>
      </c>
      <c r="W300" t="s">
        <v>380</v>
      </c>
    </row>
    <row r="301" spans="1:23" x14ac:dyDescent="0.2">
      <c r="A301">
        <v>2008</v>
      </c>
      <c r="B301">
        <v>7</v>
      </c>
      <c r="C301">
        <v>2</v>
      </c>
      <c r="D301">
        <v>0</v>
      </c>
      <c r="E301">
        <v>0</v>
      </c>
      <c r="F301">
        <v>2</v>
      </c>
      <c r="G301">
        <v>1.5</v>
      </c>
      <c r="H301">
        <v>119.5</v>
      </c>
      <c r="I301">
        <v>85</v>
      </c>
      <c r="J301">
        <v>0</v>
      </c>
      <c r="K301">
        <v>0.205928</v>
      </c>
      <c r="L301">
        <v>0.43295299999999998</v>
      </c>
      <c r="M301">
        <v>0.14908399999999999</v>
      </c>
      <c r="N301">
        <v>8.9020299999999997E-2</v>
      </c>
      <c r="O301">
        <v>5.1050999999999999E-2</v>
      </c>
      <c r="P301">
        <v>3.2745799999999999E-2</v>
      </c>
      <c r="Q301">
        <v>1.18011E-2</v>
      </c>
      <c r="R301">
        <v>1.32847E-2</v>
      </c>
      <c r="S301">
        <v>7.4438200000000003E-3</v>
      </c>
      <c r="T301">
        <v>2.97833E-3</v>
      </c>
      <c r="U301">
        <v>2.2488500000000002E-3</v>
      </c>
      <c r="V301">
        <v>1.46171E-3</v>
      </c>
      <c r="W301" t="s">
        <v>381</v>
      </c>
    </row>
    <row r="302" spans="1:23" x14ac:dyDescent="0.2">
      <c r="A302">
        <v>2009</v>
      </c>
      <c r="B302">
        <v>7</v>
      </c>
      <c r="C302">
        <v>2</v>
      </c>
      <c r="D302">
        <v>0</v>
      </c>
      <c r="E302">
        <v>0</v>
      </c>
      <c r="F302">
        <v>2</v>
      </c>
      <c r="G302">
        <v>1.5</v>
      </c>
      <c r="H302">
        <v>119.5</v>
      </c>
      <c r="I302">
        <v>138</v>
      </c>
      <c r="J302">
        <v>0</v>
      </c>
      <c r="K302">
        <v>0.47755799999999998</v>
      </c>
      <c r="L302">
        <v>0.180205</v>
      </c>
      <c r="M302">
        <v>0.219943</v>
      </c>
      <c r="N302">
        <v>6.0756900000000003E-2</v>
      </c>
      <c r="O302">
        <v>2.6799099999999999E-2</v>
      </c>
      <c r="P302">
        <v>1.4500000000000001E-2</v>
      </c>
      <c r="Q302">
        <v>9.5011000000000002E-3</v>
      </c>
      <c r="R302">
        <v>6.1471599999999996E-3</v>
      </c>
      <c r="S302">
        <v>2.2292800000000002E-3</v>
      </c>
      <c r="T302">
        <v>1.14518E-3</v>
      </c>
      <c r="U302">
        <v>7.7814099999999999E-4</v>
      </c>
      <c r="V302">
        <v>4.3680500000000002E-4</v>
      </c>
      <c r="W302" t="s">
        <v>382</v>
      </c>
    </row>
    <row r="303" spans="1:23" x14ac:dyDescent="0.2">
      <c r="A303">
        <v>2010</v>
      </c>
      <c r="B303">
        <v>7</v>
      </c>
      <c r="C303">
        <v>2</v>
      </c>
      <c r="D303">
        <v>0</v>
      </c>
      <c r="E303">
        <v>0</v>
      </c>
      <c r="F303">
        <v>2</v>
      </c>
      <c r="G303">
        <v>1.5</v>
      </c>
      <c r="H303">
        <v>119.5</v>
      </c>
      <c r="I303">
        <v>48</v>
      </c>
      <c r="J303">
        <v>0</v>
      </c>
      <c r="K303">
        <v>4.3593E-2</v>
      </c>
      <c r="L303">
        <v>0.50660300000000003</v>
      </c>
      <c r="M303">
        <v>0.17050799999999999</v>
      </c>
      <c r="N303">
        <v>0.18889500000000001</v>
      </c>
      <c r="O303">
        <v>5.9539099999999998E-2</v>
      </c>
      <c r="P303">
        <v>1.5228E-2</v>
      </c>
      <c r="Q303">
        <v>8.2196000000000005E-3</v>
      </c>
      <c r="R303">
        <v>3.99082E-3</v>
      </c>
      <c r="S303">
        <v>1.9311899999999999E-3</v>
      </c>
      <c r="T303">
        <v>7.3108500000000002E-4</v>
      </c>
      <c r="U303">
        <v>6.6554199999999998E-4</v>
      </c>
      <c r="V303">
        <v>9.5099999999999994E-5</v>
      </c>
      <c r="W303" t="s">
        <v>383</v>
      </c>
    </row>
    <row r="304" spans="1:23" x14ac:dyDescent="0.2">
      <c r="A304">
        <v>2011</v>
      </c>
      <c r="B304">
        <v>7</v>
      </c>
      <c r="C304">
        <v>2</v>
      </c>
      <c r="D304">
        <v>0</v>
      </c>
      <c r="E304">
        <v>0</v>
      </c>
      <c r="F304">
        <v>2</v>
      </c>
      <c r="G304">
        <v>1.5</v>
      </c>
      <c r="H304">
        <v>119.5</v>
      </c>
      <c r="I304">
        <v>50</v>
      </c>
      <c r="J304">
        <v>1.87954E-4</v>
      </c>
      <c r="K304">
        <v>0.30203400000000002</v>
      </c>
      <c r="L304">
        <v>7.3497900000000005E-2</v>
      </c>
      <c r="M304">
        <v>0.374448</v>
      </c>
      <c r="N304">
        <v>0.109393</v>
      </c>
      <c r="O304">
        <v>9.3089400000000003E-2</v>
      </c>
      <c r="P304">
        <v>3.04438E-2</v>
      </c>
      <c r="Q304">
        <v>8.12301E-3</v>
      </c>
      <c r="R304">
        <v>4.2572799999999996E-3</v>
      </c>
      <c r="S304">
        <v>2.0416200000000001E-3</v>
      </c>
      <c r="T304">
        <v>1.30485E-3</v>
      </c>
      <c r="U304">
        <v>7.0110599999999995E-4</v>
      </c>
      <c r="V304">
        <v>4.7741100000000001E-4</v>
      </c>
      <c r="W304" t="s">
        <v>384</v>
      </c>
    </row>
    <row r="305" spans="1:23" x14ac:dyDescent="0.2">
      <c r="A305">
        <v>2012</v>
      </c>
      <c r="B305">
        <v>7</v>
      </c>
      <c r="C305">
        <v>2</v>
      </c>
      <c r="D305">
        <v>0</v>
      </c>
      <c r="E305">
        <v>0</v>
      </c>
      <c r="F305">
        <v>2</v>
      </c>
      <c r="G305">
        <v>1.5</v>
      </c>
      <c r="H305">
        <v>119.5</v>
      </c>
      <c r="I305">
        <v>53</v>
      </c>
      <c r="J305">
        <v>0</v>
      </c>
      <c r="K305">
        <v>0.373749</v>
      </c>
      <c r="L305">
        <v>0.237898</v>
      </c>
      <c r="M305">
        <v>5.9583700000000003E-2</v>
      </c>
      <c r="N305">
        <v>0.22087100000000001</v>
      </c>
      <c r="O305">
        <v>6.1144499999999997E-2</v>
      </c>
      <c r="P305">
        <v>3.21894E-2</v>
      </c>
      <c r="Q305">
        <v>8.3871999999999992E-3</v>
      </c>
      <c r="R305">
        <v>3.1149099999999998E-3</v>
      </c>
      <c r="S305">
        <v>2.0815600000000001E-3</v>
      </c>
      <c r="T305">
        <v>6.30432E-4</v>
      </c>
      <c r="U305">
        <v>1.4855099999999999E-4</v>
      </c>
      <c r="V305">
        <v>2.0151300000000001E-4</v>
      </c>
      <c r="W305" t="s">
        <v>385</v>
      </c>
    </row>
    <row r="306" spans="1:23" x14ac:dyDescent="0.2">
      <c r="A306">
        <v>2013</v>
      </c>
      <c r="B306">
        <v>7</v>
      </c>
      <c r="C306">
        <v>2</v>
      </c>
      <c r="D306">
        <v>0</v>
      </c>
      <c r="E306">
        <v>0</v>
      </c>
      <c r="F306">
        <v>2</v>
      </c>
      <c r="G306">
        <v>1.5</v>
      </c>
      <c r="H306">
        <v>119.5</v>
      </c>
      <c r="I306">
        <v>67</v>
      </c>
      <c r="J306">
        <v>0</v>
      </c>
      <c r="K306">
        <v>0.100343</v>
      </c>
      <c r="L306">
        <v>0.36204999999999998</v>
      </c>
      <c r="M306">
        <v>0.195018</v>
      </c>
      <c r="N306">
        <v>0.12114800000000001</v>
      </c>
      <c r="O306">
        <v>0.13617000000000001</v>
      </c>
      <c r="P306">
        <v>6.3283599999999995E-2</v>
      </c>
      <c r="Q306">
        <v>1.47695E-2</v>
      </c>
      <c r="R306">
        <v>5.0588600000000001E-3</v>
      </c>
      <c r="S306">
        <v>1.2599899999999999E-3</v>
      </c>
      <c r="T306">
        <v>2.76538E-4</v>
      </c>
      <c r="U306">
        <v>3.40143E-4</v>
      </c>
      <c r="V306">
        <v>2.8289E-4</v>
      </c>
      <c r="W306" t="s">
        <v>386</v>
      </c>
    </row>
    <row r="307" spans="1:23" x14ac:dyDescent="0.2">
      <c r="A307">
        <v>2014</v>
      </c>
      <c r="B307">
        <v>7</v>
      </c>
      <c r="C307">
        <v>2</v>
      </c>
      <c r="D307">
        <v>0</v>
      </c>
      <c r="E307">
        <v>0</v>
      </c>
      <c r="F307">
        <v>2</v>
      </c>
      <c r="G307">
        <v>1.5</v>
      </c>
      <c r="H307">
        <v>119.5</v>
      </c>
      <c r="I307">
        <v>133</v>
      </c>
      <c r="J307">
        <v>0</v>
      </c>
      <c r="K307">
        <v>0.30665100000000001</v>
      </c>
      <c r="L307">
        <v>0.17902299999999999</v>
      </c>
      <c r="M307">
        <v>0.217115</v>
      </c>
      <c r="N307">
        <v>0.18534300000000001</v>
      </c>
      <c r="O307">
        <v>5.2350599999999997E-2</v>
      </c>
      <c r="P307">
        <v>4.28428E-2</v>
      </c>
      <c r="Q307">
        <v>1.1517700000000001E-2</v>
      </c>
      <c r="R307">
        <v>2.7119700000000002E-3</v>
      </c>
      <c r="S307">
        <v>9.9486999999999991E-4</v>
      </c>
      <c r="T307">
        <v>8.29256E-4</v>
      </c>
      <c r="U307">
        <v>7.2299999999999996E-5</v>
      </c>
      <c r="V307">
        <v>5.4871800000000001E-4</v>
      </c>
      <c r="W307" t="s">
        <v>387</v>
      </c>
    </row>
    <row r="308" spans="1:23" x14ac:dyDescent="0.2">
      <c r="A308">
        <v>2015</v>
      </c>
      <c r="B308">
        <v>7</v>
      </c>
      <c r="C308">
        <v>2</v>
      </c>
      <c r="D308">
        <v>0</v>
      </c>
      <c r="E308">
        <v>0</v>
      </c>
      <c r="F308">
        <v>2</v>
      </c>
      <c r="G308">
        <v>1.5</v>
      </c>
      <c r="H308">
        <v>119.5</v>
      </c>
      <c r="I308">
        <v>81</v>
      </c>
      <c r="J308">
        <v>0</v>
      </c>
      <c r="K308">
        <v>5.8387300000000003E-2</v>
      </c>
      <c r="L308">
        <v>0.42691299999999999</v>
      </c>
      <c r="M308">
        <v>0.20172300000000001</v>
      </c>
      <c r="N308">
        <v>0.19312099999999999</v>
      </c>
      <c r="O308">
        <v>8.3689E-2</v>
      </c>
      <c r="P308">
        <v>1.9808099999999999E-2</v>
      </c>
      <c r="Q308">
        <v>1.23617E-2</v>
      </c>
      <c r="R308">
        <v>2.9844400000000001E-3</v>
      </c>
      <c r="S308">
        <v>4.9360099999999998E-4</v>
      </c>
      <c r="T308">
        <v>2.62322E-4</v>
      </c>
      <c r="U308">
        <v>1.00624E-4</v>
      </c>
      <c r="V308">
        <v>1.5609599999999999E-4</v>
      </c>
      <c r="W308" t="s">
        <v>388</v>
      </c>
    </row>
    <row r="309" spans="1:23" x14ac:dyDescent="0.2">
      <c r="A309">
        <v>2016</v>
      </c>
      <c r="B309">
        <v>7</v>
      </c>
      <c r="C309">
        <v>2</v>
      </c>
      <c r="D309">
        <v>0</v>
      </c>
      <c r="E309">
        <v>0</v>
      </c>
      <c r="F309">
        <v>2</v>
      </c>
      <c r="G309">
        <v>1.5</v>
      </c>
      <c r="H309">
        <v>119.5</v>
      </c>
      <c r="I309">
        <v>154</v>
      </c>
      <c r="J309">
        <v>0</v>
      </c>
      <c r="K309">
        <v>8.6829600000000007E-2</v>
      </c>
      <c r="L309">
        <v>9.1777800000000007E-2</v>
      </c>
      <c r="M309">
        <v>0.34510200000000002</v>
      </c>
      <c r="N309">
        <v>0.229126</v>
      </c>
      <c r="O309">
        <v>0.169403</v>
      </c>
      <c r="P309">
        <v>5.7549099999999999E-2</v>
      </c>
      <c r="Q309">
        <v>1.3481E-2</v>
      </c>
      <c r="R309">
        <v>4.4556400000000003E-3</v>
      </c>
      <c r="S309">
        <v>1.4612399999999999E-3</v>
      </c>
      <c r="T309">
        <v>4.7153400000000002E-4</v>
      </c>
      <c r="U309">
        <v>2.6401899999999999E-4</v>
      </c>
      <c r="V309">
        <v>7.8300000000000006E-5</v>
      </c>
      <c r="W309" t="s">
        <v>389</v>
      </c>
    </row>
    <row r="310" spans="1:23" x14ac:dyDescent="0.2">
      <c r="A310">
        <v>2017</v>
      </c>
      <c r="B310">
        <v>7</v>
      </c>
      <c r="C310">
        <v>2</v>
      </c>
      <c r="D310">
        <v>0</v>
      </c>
      <c r="E310">
        <v>0</v>
      </c>
      <c r="F310">
        <v>2</v>
      </c>
      <c r="G310">
        <v>1.5</v>
      </c>
      <c r="H310">
        <v>119.5</v>
      </c>
      <c r="I310">
        <v>145</v>
      </c>
      <c r="J310" s="1">
        <v>2.0899999999999999E-6</v>
      </c>
      <c r="K310" s="1">
        <v>0.11090999999999999</v>
      </c>
      <c r="L310" s="1">
        <v>0.162409</v>
      </c>
      <c r="M310" s="1">
        <v>0.15584500000000001</v>
      </c>
      <c r="N310" s="1">
        <v>0.28852499999999998</v>
      </c>
      <c r="O310" s="1">
        <v>0.165995</v>
      </c>
      <c r="P310" s="1">
        <v>8.3186700000000002E-2</v>
      </c>
      <c r="Q310" s="1">
        <v>2.48361E-2</v>
      </c>
      <c r="R310" s="1">
        <v>4.0267200000000001E-3</v>
      </c>
      <c r="S310" s="1">
        <v>2.91099E-3</v>
      </c>
      <c r="T310" s="1">
        <v>5.0092500000000005E-4</v>
      </c>
      <c r="U310" s="1">
        <v>4.0955499999999998E-4</v>
      </c>
      <c r="V310" s="1">
        <v>4.4254E-4</v>
      </c>
      <c r="W310" t="s">
        <v>390</v>
      </c>
    </row>
    <row r="311" spans="1:23" x14ac:dyDescent="0.2">
      <c r="A311">
        <v>2018</v>
      </c>
      <c r="B311">
        <v>7</v>
      </c>
      <c r="C311">
        <v>2</v>
      </c>
      <c r="D311">
        <v>0</v>
      </c>
      <c r="E311">
        <v>0</v>
      </c>
      <c r="F311">
        <v>2</v>
      </c>
      <c r="G311">
        <v>1.5</v>
      </c>
      <c r="H311">
        <v>119.5</v>
      </c>
      <c r="I311">
        <v>119</v>
      </c>
      <c r="J311" s="1">
        <v>1.36E-5</v>
      </c>
      <c r="K311" s="1">
        <v>7.3195200000000002E-2</v>
      </c>
      <c r="L311" s="1">
        <v>9.3934199999999995E-2</v>
      </c>
      <c r="M311" s="1">
        <v>0.25121399999999999</v>
      </c>
      <c r="N311" s="1">
        <v>0.16857</v>
      </c>
      <c r="O311" s="1">
        <v>0.290773</v>
      </c>
      <c r="P311" s="1">
        <v>8.7649599999999994E-2</v>
      </c>
      <c r="Q311" s="1">
        <v>2.9377199999999999E-2</v>
      </c>
      <c r="R311" s="1">
        <v>2.70653E-3</v>
      </c>
      <c r="S311" s="1">
        <v>1.68497E-3</v>
      </c>
      <c r="T311" s="1">
        <v>4.7498400000000002E-4</v>
      </c>
      <c r="U311" s="1">
        <v>1.2809400000000001E-4</v>
      </c>
      <c r="V311" s="1">
        <v>2.7862200000000002E-4</v>
      </c>
      <c r="W311" t="s">
        <v>391</v>
      </c>
    </row>
    <row r="312" spans="1:23" x14ac:dyDescent="0.2">
      <c r="A312">
        <v>2019</v>
      </c>
      <c r="B312">
        <v>7</v>
      </c>
      <c r="C312">
        <v>2</v>
      </c>
      <c r="D312">
        <v>0</v>
      </c>
      <c r="E312">
        <v>0</v>
      </c>
      <c r="F312">
        <v>2</v>
      </c>
      <c r="G312">
        <v>1.5</v>
      </c>
      <c r="H312">
        <v>119.5</v>
      </c>
      <c r="I312">
        <v>152</v>
      </c>
      <c r="J312">
        <v>0</v>
      </c>
      <c r="K312">
        <v>0.58948100000000003</v>
      </c>
      <c r="L312">
        <v>8.0713300000000002E-2</v>
      </c>
      <c r="M312">
        <v>7.5161699999999998E-2</v>
      </c>
      <c r="N312">
        <v>7.6175800000000002E-2</v>
      </c>
      <c r="O312">
        <v>6.24976E-2</v>
      </c>
      <c r="P312">
        <v>7.7474399999999999E-2</v>
      </c>
      <c r="Q312">
        <v>2.9610399999999999E-2</v>
      </c>
      <c r="R312">
        <v>6.7103500000000003E-3</v>
      </c>
      <c r="S312">
        <v>1.1390199999999999E-3</v>
      </c>
      <c r="T312">
        <v>3.21403E-4</v>
      </c>
      <c r="U312">
        <v>1.5518199999999999E-4</v>
      </c>
      <c r="V312">
        <v>5.5956300000000001E-4</v>
      </c>
      <c r="W312" t="s">
        <v>392</v>
      </c>
    </row>
    <row r="313" spans="1:23" x14ac:dyDescent="0.2">
      <c r="A313">
        <v>2021</v>
      </c>
      <c r="B313">
        <v>7</v>
      </c>
      <c r="C313">
        <v>2</v>
      </c>
      <c r="D313">
        <v>0</v>
      </c>
      <c r="E313">
        <v>0</v>
      </c>
      <c r="F313">
        <v>2</v>
      </c>
      <c r="G313">
        <v>1.5</v>
      </c>
      <c r="H313">
        <v>119.5</v>
      </c>
      <c r="I313">
        <v>196</v>
      </c>
      <c r="J313">
        <v>1.23226E-3</v>
      </c>
      <c r="K313">
        <v>0.248691</v>
      </c>
      <c r="L313">
        <v>0.13946800000000001</v>
      </c>
      <c r="M313">
        <v>0.28669600000000001</v>
      </c>
      <c r="N313">
        <v>0.15318399999999999</v>
      </c>
      <c r="O313">
        <v>6.1232099999999998E-2</v>
      </c>
      <c r="P313">
        <v>4.9218100000000001E-2</v>
      </c>
      <c r="Q313">
        <v>3.9242100000000002E-2</v>
      </c>
      <c r="R313">
        <v>1.4530100000000001E-2</v>
      </c>
      <c r="S313">
        <v>4.2110100000000003E-3</v>
      </c>
      <c r="T313">
        <v>9.5757000000000004E-4</v>
      </c>
      <c r="U313">
        <v>6.0415899999999995E-4</v>
      </c>
      <c r="V313">
        <v>7.3253800000000003E-4</v>
      </c>
      <c r="W313" t="s">
        <v>393</v>
      </c>
    </row>
    <row r="314" spans="1:23" x14ac:dyDescent="0.2">
      <c r="A314">
        <v>2022</v>
      </c>
      <c r="B314">
        <v>7</v>
      </c>
      <c r="C314">
        <v>2</v>
      </c>
      <c r="D314">
        <v>0</v>
      </c>
      <c r="E314">
        <v>0</v>
      </c>
      <c r="F314">
        <v>2</v>
      </c>
      <c r="G314">
        <v>1.5</v>
      </c>
      <c r="H314">
        <v>119.5</v>
      </c>
      <c r="I314">
        <v>171</v>
      </c>
      <c r="J314" s="1">
        <v>8.2600000000000002E-5</v>
      </c>
      <c r="K314" s="1">
        <v>0.222414</v>
      </c>
      <c r="L314" s="1">
        <v>0.22923099999999999</v>
      </c>
      <c r="M314" s="1">
        <v>0.174925</v>
      </c>
      <c r="N314" s="1">
        <v>0.21870500000000001</v>
      </c>
      <c r="O314" s="1">
        <v>7.00345E-2</v>
      </c>
      <c r="P314" s="1">
        <v>3.4106699999999997E-2</v>
      </c>
      <c r="Q314" s="1">
        <v>2.49325E-2</v>
      </c>
      <c r="R314" s="1">
        <v>1.4369699999999999E-2</v>
      </c>
      <c r="S314" s="1">
        <v>7.1660200000000004E-3</v>
      </c>
      <c r="T314" s="1">
        <v>2.2862E-3</v>
      </c>
      <c r="U314" s="1">
        <v>9.1486200000000001E-4</v>
      </c>
      <c r="V314" s="1">
        <v>8.3106300000000005E-4</v>
      </c>
      <c r="W314" t="s">
        <v>394</v>
      </c>
    </row>
    <row r="315" spans="1:23" x14ac:dyDescent="0.2">
      <c r="A315">
        <v>2023</v>
      </c>
      <c r="B315">
        <v>7</v>
      </c>
      <c r="C315">
        <v>2</v>
      </c>
      <c r="D315">
        <v>0</v>
      </c>
      <c r="E315">
        <v>0</v>
      </c>
      <c r="F315">
        <v>2</v>
      </c>
      <c r="G315">
        <v>1.5</v>
      </c>
      <c r="H315">
        <v>119.5</v>
      </c>
      <c r="I315">
        <v>171</v>
      </c>
      <c r="J315">
        <v>0</v>
      </c>
      <c r="K315">
        <v>0.25686300000000001</v>
      </c>
      <c r="L315">
        <v>0.30945099999999998</v>
      </c>
      <c r="M315">
        <v>0.17371800000000001</v>
      </c>
      <c r="N315">
        <v>0.120425</v>
      </c>
      <c r="O315">
        <v>9.39725E-2</v>
      </c>
      <c r="P315">
        <v>2.1665199999999999E-2</v>
      </c>
      <c r="Q315">
        <v>1.1566E-2</v>
      </c>
      <c r="R315">
        <v>7.4149400000000001E-3</v>
      </c>
      <c r="S315">
        <v>2.4014100000000001E-3</v>
      </c>
      <c r="T315">
        <v>1.87758E-3</v>
      </c>
      <c r="U315">
        <v>3.23049E-4</v>
      </c>
      <c r="V315">
        <v>3.2215899999999998E-4</v>
      </c>
      <c r="W315" t="s">
        <v>395</v>
      </c>
    </row>
    <row r="316" spans="1:23" x14ac:dyDescent="0.2">
      <c r="A316">
        <v>2024</v>
      </c>
      <c r="B316">
        <v>7</v>
      </c>
      <c r="C316">
        <v>-2</v>
      </c>
      <c r="D316">
        <v>0</v>
      </c>
      <c r="E316">
        <v>0</v>
      </c>
      <c r="F316">
        <v>2</v>
      </c>
      <c r="G316">
        <v>1.5</v>
      </c>
      <c r="H316">
        <v>119.5</v>
      </c>
      <c r="I316">
        <v>210</v>
      </c>
      <c r="J316" s="1">
        <v>5.1400000000000003E-5</v>
      </c>
      <c r="K316" s="1">
        <v>0.16125400000000001</v>
      </c>
      <c r="L316" s="1">
        <v>0.21532799999999999</v>
      </c>
      <c r="M316" s="1">
        <v>0.228662</v>
      </c>
      <c r="N316" s="1">
        <v>0.17249999999999999</v>
      </c>
      <c r="O316" s="1">
        <v>0.105332</v>
      </c>
      <c r="P316" s="1">
        <v>6.1568699999999997E-2</v>
      </c>
      <c r="Q316" s="1">
        <v>3.02061E-2</v>
      </c>
      <c r="R316" s="1">
        <v>1.34973E-2</v>
      </c>
      <c r="S316" s="1">
        <v>6.0951E-3</v>
      </c>
      <c r="T316" s="1">
        <v>2.7572199999999999E-3</v>
      </c>
      <c r="U316" s="1">
        <v>1.44736E-3</v>
      </c>
      <c r="V316" s="1">
        <v>1.3001499999999999E-3</v>
      </c>
      <c r="W316" t="s">
        <v>396</v>
      </c>
    </row>
    <row r="317" spans="1:23" x14ac:dyDescent="0.2">
      <c r="A317">
        <v>-9999</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t="s">
        <v>416</v>
      </c>
    </row>
    <row r="318" spans="1:23" x14ac:dyDescent="0.2">
      <c r="A318" t="s">
        <v>99</v>
      </c>
    </row>
    <row r="319" spans="1:23" x14ac:dyDescent="0.2">
      <c r="A319" t="s">
        <v>587</v>
      </c>
    </row>
    <row r="320" spans="1:23" x14ac:dyDescent="0.2">
      <c r="A320">
        <v>0</v>
      </c>
      <c r="B320" t="s">
        <v>588</v>
      </c>
    </row>
    <row r="321" spans="1:51" x14ac:dyDescent="0.2">
      <c r="A321" t="s">
        <v>589</v>
      </c>
      <c r="B321" t="s">
        <v>88</v>
      </c>
      <c r="C321" t="s">
        <v>88</v>
      </c>
      <c r="D321" t="s">
        <v>88</v>
      </c>
      <c r="E321" t="s">
        <v>88</v>
      </c>
      <c r="F321" t="s">
        <v>88</v>
      </c>
      <c r="G321" t="s">
        <v>88</v>
      </c>
      <c r="H321" t="s">
        <v>88</v>
      </c>
      <c r="I321" t="s">
        <v>88</v>
      </c>
      <c r="J321" t="s">
        <v>88</v>
      </c>
      <c r="K321" t="s">
        <v>88</v>
      </c>
      <c r="L321" t="s">
        <v>88</v>
      </c>
      <c r="M321" t="s">
        <v>88</v>
      </c>
      <c r="N321" t="s">
        <v>88</v>
      </c>
      <c r="O321" t="s">
        <v>88</v>
      </c>
      <c r="P321" t="s">
        <v>88</v>
      </c>
      <c r="Q321" t="s">
        <v>88</v>
      </c>
      <c r="R321" t="s">
        <v>88</v>
      </c>
      <c r="S321" t="s">
        <v>88</v>
      </c>
      <c r="T321" t="s">
        <v>88</v>
      </c>
      <c r="U321" t="s">
        <v>88</v>
      </c>
      <c r="V321" t="s">
        <v>88</v>
      </c>
      <c r="W321" t="s">
        <v>88</v>
      </c>
      <c r="X321" t="s">
        <v>88</v>
      </c>
      <c r="Y321" t="s">
        <v>88</v>
      </c>
      <c r="Z321" t="s">
        <v>88</v>
      </c>
      <c r="AA321" t="s">
        <v>88</v>
      </c>
      <c r="AB321" t="s">
        <v>88</v>
      </c>
      <c r="AC321" t="s">
        <v>88</v>
      </c>
      <c r="AD321" t="s">
        <v>88</v>
      </c>
      <c r="AE321" t="s">
        <v>88</v>
      </c>
      <c r="AF321" t="s">
        <v>88</v>
      </c>
      <c r="AG321" t="s">
        <v>88</v>
      </c>
      <c r="AH321" t="s">
        <v>88</v>
      </c>
      <c r="AI321" t="s">
        <v>88</v>
      </c>
      <c r="AJ321" t="s">
        <v>88</v>
      </c>
      <c r="AK321" t="s">
        <v>88</v>
      </c>
      <c r="AL321" t="s">
        <v>88</v>
      </c>
      <c r="AM321" t="s">
        <v>88</v>
      </c>
      <c r="AN321" t="s">
        <v>88</v>
      </c>
      <c r="AO321" t="s">
        <v>88</v>
      </c>
      <c r="AP321" t="s">
        <v>88</v>
      </c>
      <c r="AQ321" t="s">
        <v>88</v>
      </c>
      <c r="AR321" t="s">
        <v>88</v>
      </c>
      <c r="AS321" t="s">
        <v>88</v>
      </c>
      <c r="AT321" t="s">
        <v>88</v>
      </c>
      <c r="AU321" t="s">
        <v>88</v>
      </c>
      <c r="AV321" t="s">
        <v>88</v>
      </c>
      <c r="AW321" t="s">
        <v>88</v>
      </c>
    </row>
    <row r="322" spans="1:51" x14ac:dyDescent="0.2">
      <c r="B322" t="s">
        <v>590</v>
      </c>
      <c r="C322">
        <v>7</v>
      </c>
      <c r="D322">
        <v>-2</v>
      </c>
      <c r="E322">
        <v>0</v>
      </c>
      <c r="F322">
        <v>0</v>
      </c>
      <c r="G322">
        <v>1</v>
      </c>
      <c r="H322">
        <v>999</v>
      </c>
      <c r="I322">
        <v>0</v>
      </c>
      <c r="J322">
        <v>21.470600000000001</v>
      </c>
      <c r="K322">
        <v>30.704799999999999</v>
      </c>
      <c r="L322">
        <v>45</v>
      </c>
      <c r="M322">
        <v>56.88</v>
      </c>
      <c r="N322">
        <v>61.521700000000003</v>
      </c>
      <c r="O322">
        <v>65.760000000000005</v>
      </c>
      <c r="P322">
        <v>70.239999999999995</v>
      </c>
      <c r="Q322">
        <v>72.357100000000003</v>
      </c>
      <c r="R322">
        <v>67.599999999999994</v>
      </c>
      <c r="S322">
        <v>77.599999999999994</v>
      </c>
      <c r="T322">
        <v>0</v>
      </c>
      <c r="U322">
        <v>0</v>
      </c>
      <c r="V322">
        <v>0</v>
      </c>
      <c r="W322">
        <v>0</v>
      </c>
      <c r="X322">
        <v>0</v>
      </c>
      <c r="Y322">
        <v>0</v>
      </c>
      <c r="Z322">
        <v>0</v>
      </c>
      <c r="AA322">
        <v>0</v>
      </c>
      <c r="AB322">
        <v>0</v>
      </c>
      <c r="AC322">
        <v>0</v>
      </c>
      <c r="AD322">
        <v>0</v>
      </c>
      <c r="AE322">
        <v>51</v>
      </c>
      <c r="AF322">
        <v>105</v>
      </c>
      <c r="AG322">
        <v>32</v>
      </c>
      <c r="AH322">
        <v>25</v>
      </c>
      <c r="AI322">
        <v>23</v>
      </c>
      <c r="AJ322">
        <v>25</v>
      </c>
      <c r="AK322">
        <v>25</v>
      </c>
      <c r="AL322">
        <v>14</v>
      </c>
      <c r="AM322">
        <v>5</v>
      </c>
      <c r="AN322">
        <v>5</v>
      </c>
      <c r="AO322">
        <v>0</v>
      </c>
      <c r="AP322">
        <v>0</v>
      </c>
      <c r="AQ322">
        <v>0</v>
      </c>
      <c r="AR322">
        <v>0</v>
      </c>
      <c r="AS322">
        <v>0</v>
      </c>
      <c r="AT322">
        <v>0</v>
      </c>
      <c r="AU322">
        <v>0</v>
      </c>
      <c r="AV322">
        <v>0</v>
      </c>
      <c r="AW322">
        <v>0</v>
      </c>
      <c r="AX322">
        <v>0</v>
      </c>
      <c r="AY322" t="s">
        <v>362</v>
      </c>
    </row>
    <row r="323" spans="1:51" x14ac:dyDescent="0.2">
      <c r="B323" t="s">
        <v>591</v>
      </c>
      <c r="C323">
        <v>7</v>
      </c>
      <c r="D323">
        <v>-2</v>
      </c>
      <c r="E323">
        <v>0</v>
      </c>
      <c r="F323">
        <v>0</v>
      </c>
      <c r="G323">
        <v>1</v>
      </c>
      <c r="H323">
        <v>999</v>
      </c>
      <c r="I323">
        <v>0</v>
      </c>
      <c r="J323">
        <v>23.230799999999999</v>
      </c>
      <c r="K323">
        <v>34.641500000000001</v>
      </c>
      <c r="L323">
        <v>40.7117</v>
      </c>
      <c r="M323">
        <v>49.9236</v>
      </c>
      <c r="N323">
        <v>58.452399999999997</v>
      </c>
      <c r="O323">
        <v>64.240700000000004</v>
      </c>
      <c r="P323">
        <v>70.232600000000005</v>
      </c>
      <c r="Q323">
        <v>74.2727</v>
      </c>
      <c r="R323">
        <v>75.571399999999997</v>
      </c>
      <c r="S323">
        <v>78.25</v>
      </c>
      <c r="T323">
        <v>81.2</v>
      </c>
      <c r="U323">
        <v>78.333299999999994</v>
      </c>
      <c r="V323">
        <v>78</v>
      </c>
      <c r="W323">
        <v>82</v>
      </c>
      <c r="X323">
        <v>0</v>
      </c>
      <c r="Y323">
        <v>0</v>
      </c>
      <c r="Z323">
        <v>0</v>
      </c>
      <c r="AA323">
        <v>0</v>
      </c>
      <c r="AB323">
        <v>0</v>
      </c>
      <c r="AC323">
        <v>0</v>
      </c>
      <c r="AD323">
        <v>0</v>
      </c>
      <c r="AE323">
        <v>26</v>
      </c>
      <c r="AF323">
        <v>53</v>
      </c>
      <c r="AG323">
        <v>111</v>
      </c>
      <c r="AH323">
        <v>144</v>
      </c>
      <c r="AI323">
        <v>126</v>
      </c>
      <c r="AJ323">
        <v>54</v>
      </c>
      <c r="AK323">
        <v>43</v>
      </c>
      <c r="AL323">
        <v>33</v>
      </c>
      <c r="AM323">
        <v>21</v>
      </c>
      <c r="AN323">
        <v>8</v>
      </c>
      <c r="AO323">
        <v>15</v>
      </c>
      <c r="AP323">
        <v>3</v>
      </c>
      <c r="AQ323">
        <v>1</v>
      </c>
      <c r="AR323">
        <v>1</v>
      </c>
      <c r="AS323">
        <v>0</v>
      </c>
      <c r="AT323">
        <v>0</v>
      </c>
      <c r="AU323">
        <v>0</v>
      </c>
      <c r="AV323">
        <v>0</v>
      </c>
      <c r="AW323">
        <v>0</v>
      </c>
      <c r="AX323">
        <v>0</v>
      </c>
      <c r="AY323" t="s">
        <v>363</v>
      </c>
    </row>
    <row r="324" spans="1:51" x14ac:dyDescent="0.2">
      <c r="B324" t="s">
        <v>592</v>
      </c>
      <c r="C324">
        <v>7</v>
      </c>
      <c r="D324">
        <v>-2</v>
      </c>
      <c r="E324">
        <v>0</v>
      </c>
      <c r="F324">
        <v>0</v>
      </c>
      <c r="G324">
        <v>1</v>
      </c>
      <c r="H324">
        <v>999</v>
      </c>
      <c r="I324">
        <v>0</v>
      </c>
      <c r="J324">
        <v>18.5152</v>
      </c>
      <c r="K324">
        <v>33.340000000000003</v>
      </c>
      <c r="L324">
        <v>41.5319</v>
      </c>
      <c r="M324">
        <v>51.417200000000001</v>
      </c>
      <c r="N324">
        <v>58.646700000000003</v>
      </c>
      <c r="O324">
        <v>65.818200000000004</v>
      </c>
      <c r="P324">
        <v>72.255300000000005</v>
      </c>
      <c r="Q324">
        <v>74.864900000000006</v>
      </c>
      <c r="R324">
        <v>78.533299999999997</v>
      </c>
      <c r="S324">
        <v>82.75</v>
      </c>
      <c r="T324">
        <v>85.9</v>
      </c>
      <c r="U324">
        <v>90</v>
      </c>
      <c r="V324">
        <v>88</v>
      </c>
      <c r="W324">
        <v>85</v>
      </c>
      <c r="X324">
        <v>85.333299999999994</v>
      </c>
      <c r="Y324">
        <v>103</v>
      </c>
      <c r="Z324">
        <v>0</v>
      </c>
      <c r="AA324">
        <v>76</v>
      </c>
      <c r="AB324">
        <v>0</v>
      </c>
      <c r="AC324">
        <v>0</v>
      </c>
      <c r="AD324">
        <v>0</v>
      </c>
      <c r="AE324">
        <v>33</v>
      </c>
      <c r="AF324">
        <v>50</v>
      </c>
      <c r="AG324">
        <v>94</v>
      </c>
      <c r="AH324">
        <v>163</v>
      </c>
      <c r="AI324">
        <v>150</v>
      </c>
      <c r="AJ324">
        <v>66</v>
      </c>
      <c r="AK324">
        <v>47</v>
      </c>
      <c r="AL324">
        <v>37</v>
      </c>
      <c r="AM324">
        <v>15</v>
      </c>
      <c r="AN324">
        <v>20</v>
      </c>
      <c r="AO324">
        <v>10</v>
      </c>
      <c r="AP324">
        <v>7</v>
      </c>
      <c r="AQ324">
        <v>5</v>
      </c>
      <c r="AR324">
        <v>1</v>
      </c>
      <c r="AS324">
        <v>3</v>
      </c>
      <c r="AT324">
        <v>1</v>
      </c>
      <c r="AU324">
        <v>0</v>
      </c>
      <c r="AV324">
        <v>1</v>
      </c>
      <c r="AW324">
        <v>0</v>
      </c>
      <c r="AX324">
        <v>0</v>
      </c>
      <c r="AY324" t="s">
        <v>369</v>
      </c>
    </row>
    <row r="325" spans="1:51" x14ac:dyDescent="0.2">
      <c r="B325" t="s">
        <v>593</v>
      </c>
      <c r="C325">
        <v>7</v>
      </c>
      <c r="D325">
        <v>-2</v>
      </c>
      <c r="E325">
        <v>0</v>
      </c>
      <c r="F325">
        <v>0</v>
      </c>
      <c r="G325">
        <v>1</v>
      </c>
      <c r="H325">
        <v>999</v>
      </c>
      <c r="I325">
        <v>0</v>
      </c>
      <c r="J325">
        <v>16.533300000000001</v>
      </c>
      <c r="K325">
        <v>27.021999999999998</v>
      </c>
      <c r="L325">
        <v>35.704000000000001</v>
      </c>
      <c r="M325">
        <v>46.544600000000003</v>
      </c>
      <c r="N325">
        <v>57.020200000000003</v>
      </c>
      <c r="O325">
        <v>64.920900000000003</v>
      </c>
      <c r="P325">
        <v>73.980800000000002</v>
      </c>
      <c r="Q325">
        <v>82.571399999999997</v>
      </c>
      <c r="R325">
        <v>88.363600000000005</v>
      </c>
      <c r="S325">
        <v>87</v>
      </c>
      <c r="T325">
        <v>0</v>
      </c>
      <c r="U325">
        <v>89</v>
      </c>
      <c r="V325">
        <v>103</v>
      </c>
      <c r="W325">
        <v>91</v>
      </c>
      <c r="X325">
        <v>0</v>
      </c>
      <c r="Y325">
        <v>0</v>
      </c>
      <c r="Z325">
        <v>0</v>
      </c>
      <c r="AA325">
        <v>0</v>
      </c>
      <c r="AB325">
        <v>0</v>
      </c>
      <c r="AC325">
        <v>0</v>
      </c>
      <c r="AD325">
        <v>0</v>
      </c>
      <c r="AE325">
        <v>60</v>
      </c>
      <c r="AF325">
        <v>91</v>
      </c>
      <c r="AG325">
        <v>125</v>
      </c>
      <c r="AH325">
        <v>101</v>
      </c>
      <c r="AI325">
        <v>99</v>
      </c>
      <c r="AJ325">
        <v>139</v>
      </c>
      <c r="AK325">
        <v>104</v>
      </c>
      <c r="AL325">
        <v>56</v>
      </c>
      <c r="AM325">
        <v>11</v>
      </c>
      <c r="AN325">
        <v>2</v>
      </c>
      <c r="AO325">
        <v>0</v>
      </c>
      <c r="AP325">
        <v>1</v>
      </c>
      <c r="AQ325">
        <v>1</v>
      </c>
      <c r="AR325">
        <v>3</v>
      </c>
      <c r="AS325">
        <v>0</v>
      </c>
      <c r="AT325">
        <v>0</v>
      </c>
      <c r="AU325">
        <v>0</v>
      </c>
      <c r="AV325">
        <v>0</v>
      </c>
      <c r="AW325">
        <v>0</v>
      </c>
      <c r="AX325">
        <v>0</v>
      </c>
      <c r="AY325" t="s">
        <v>370</v>
      </c>
    </row>
    <row r="326" spans="1:51" x14ac:dyDescent="0.2">
      <c r="B326" t="s">
        <v>594</v>
      </c>
      <c r="C326">
        <v>7</v>
      </c>
      <c r="D326">
        <v>-2</v>
      </c>
      <c r="E326">
        <v>0</v>
      </c>
      <c r="F326">
        <v>0</v>
      </c>
      <c r="G326">
        <v>1</v>
      </c>
      <c r="H326">
        <v>999</v>
      </c>
      <c r="I326">
        <v>0</v>
      </c>
      <c r="J326">
        <v>19.365100000000002</v>
      </c>
      <c r="K326">
        <v>28.992599999999999</v>
      </c>
      <c r="L326">
        <v>36.5732</v>
      </c>
      <c r="M326">
        <v>48.648400000000002</v>
      </c>
      <c r="N326">
        <v>57.551299999999998</v>
      </c>
      <c r="O326">
        <v>65.92</v>
      </c>
      <c r="P326">
        <v>73.783799999999999</v>
      </c>
      <c r="Q326">
        <v>82.047600000000003</v>
      </c>
      <c r="R326">
        <v>87.666700000000006</v>
      </c>
      <c r="S326">
        <v>86.714299999999994</v>
      </c>
      <c r="T326">
        <v>90</v>
      </c>
      <c r="U326">
        <v>92.333299999999994</v>
      </c>
      <c r="V326">
        <v>98</v>
      </c>
      <c r="W326">
        <v>0</v>
      </c>
      <c r="X326">
        <v>0</v>
      </c>
      <c r="Y326">
        <v>0</v>
      </c>
      <c r="Z326">
        <v>0</v>
      </c>
      <c r="AA326">
        <v>0</v>
      </c>
      <c r="AB326">
        <v>0</v>
      </c>
      <c r="AC326">
        <v>0</v>
      </c>
      <c r="AD326">
        <v>0</v>
      </c>
      <c r="AE326">
        <v>63</v>
      </c>
      <c r="AF326">
        <v>136</v>
      </c>
      <c r="AG326">
        <v>164</v>
      </c>
      <c r="AH326">
        <v>91</v>
      </c>
      <c r="AI326">
        <v>78</v>
      </c>
      <c r="AJ326">
        <v>50</v>
      </c>
      <c r="AK326">
        <v>37</v>
      </c>
      <c r="AL326">
        <v>21</v>
      </c>
      <c r="AM326">
        <v>3</v>
      </c>
      <c r="AN326">
        <v>7</v>
      </c>
      <c r="AO326">
        <v>5</v>
      </c>
      <c r="AP326">
        <v>3</v>
      </c>
      <c r="AQ326">
        <v>1</v>
      </c>
      <c r="AR326">
        <v>0</v>
      </c>
      <c r="AS326">
        <v>0</v>
      </c>
      <c r="AT326">
        <v>0</v>
      </c>
      <c r="AU326">
        <v>0</v>
      </c>
      <c r="AV326">
        <v>0</v>
      </c>
      <c r="AW326">
        <v>0</v>
      </c>
      <c r="AX326">
        <v>0</v>
      </c>
      <c r="AY326" t="s">
        <v>371</v>
      </c>
    </row>
    <row r="327" spans="1:51" x14ac:dyDescent="0.2">
      <c r="B327" t="s">
        <v>595</v>
      </c>
      <c r="C327">
        <v>7</v>
      </c>
      <c r="D327">
        <v>-2</v>
      </c>
      <c r="E327">
        <v>0</v>
      </c>
      <c r="F327">
        <v>0</v>
      </c>
      <c r="G327">
        <v>1</v>
      </c>
      <c r="H327">
        <v>999</v>
      </c>
      <c r="I327">
        <v>0</v>
      </c>
      <c r="J327">
        <v>18.485700000000001</v>
      </c>
      <c r="K327">
        <v>25.824100000000001</v>
      </c>
      <c r="L327">
        <v>33.789499999999997</v>
      </c>
      <c r="M327">
        <v>44.300699999999999</v>
      </c>
      <c r="N327">
        <v>53.397599999999997</v>
      </c>
      <c r="O327">
        <v>63.739100000000001</v>
      </c>
      <c r="P327">
        <v>72.761899999999997</v>
      </c>
      <c r="Q327">
        <v>80.599999999999994</v>
      </c>
      <c r="R327">
        <v>86.444400000000002</v>
      </c>
      <c r="S327">
        <v>87.833299999999994</v>
      </c>
      <c r="T327">
        <v>90.181799999999996</v>
      </c>
      <c r="U327">
        <v>98</v>
      </c>
      <c r="V327">
        <v>86</v>
      </c>
      <c r="W327">
        <v>105</v>
      </c>
      <c r="X327">
        <v>0</v>
      </c>
      <c r="Y327">
        <v>0</v>
      </c>
      <c r="Z327">
        <v>0</v>
      </c>
      <c r="AA327">
        <v>0</v>
      </c>
      <c r="AB327">
        <v>0</v>
      </c>
      <c r="AC327">
        <v>0</v>
      </c>
      <c r="AD327">
        <v>0</v>
      </c>
      <c r="AE327">
        <v>70</v>
      </c>
      <c r="AF327">
        <v>108</v>
      </c>
      <c r="AG327">
        <v>152</v>
      </c>
      <c r="AH327">
        <v>143</v>
      </c>
      <c r="AI327">
        <v>83</v>
      </c>
      <c r="AJ327">
        <v>46</v>
      </c>
      <c r="AK327">
        <v>42</v>
      </c>
      <c r="AL327">
        <v>30</v>
      </c>
      <c r="AM327">
        <v>18</v>
      </c>
      <c r="AN327">
        <v>6</v>
      </c>
      <c r="AO327">
        <v>11</v>
      </c>
      <c r="AP327">
        <v>4</v>
      </c>
      <c r="AQ327">
        <v>1</v>
      </c>
      <c r="AR327">
        <v>3</v>
      </c>
      <c r="AS327">
        <v>0</v>
      </c>
      <c r="AT327">
        <v>0</v>
      </c>
      <c r="AU327">
        <v>0</v>
      </c>
      <c r="AV327">
        <v>0</v>
      </c>
      <c r="AW327">
        <v>0</v>
      </c>
      <c r="AX327">
        <v>0</v>
      </c>
      <c r="AY327" t="s">
        <v>372</v>
      </c>
    </row>
    <row r="328" spans="1:51" x14ac:dyDescent="0.2">
      <c r="B328" t="s">
        <v>596</v>
      </c>
      <c r="C328">
        <v>7</v>
      </c>
      <c r="D328">
        <v>-2</v>
      </c>
      <c r="E328">
        <v>0</v>
      </c>
      <c r="F328">
        <v>0</v>
      </c>
      <c r="G328">
        <v>1</v>
      </c>
      <c r="H328">
        <v>999</v>
      </c>
      <c r="I328">
        <v>0</v>
      </c>
      <c r="J328">
        <v>16.396599999999999</v>
      </c>
      <c r="K328">
        <v>27.7333</v>
      </c>
      <c r="L328">
        <v>35.575200000000002</v>
      </c>
      <c r="M328">
        <v>45.027999999999999</v>
      </c>
      <c r="N328">
        <v>53.581800000000001</v>
      </c>
      <c r="O328">
        <v>62.090899999999998</v>
      </c>
      <c r="P328">
        <v>70.6875</v>
      </c>
      <c r="Q328">
        <v>79.357100000000003</v>
      </c>
      <c r="R328">
        <v>84.076899999999995</v>
      </c>
      <c r="S328">
        <v>85.875</v>
      </c>
      <c r="T328">
        <v>86</v>
      </c>
      <c r="U328">
        <v>95.5</v>
      </c>
      <c r="V328">
        <v>0</v>
      </c>
      <c r="W328">
        <v>93</v>
      </c>
      <c r="X328">
        <v>0</v>
      </c>
      <c r="Y328">
        <v>0</v>
      </c>
      <c r="Z328">
        <v>0</v>
      </c>
      <c r="AA328">
        <v>0</v>
      </c>
      <c r="AB328">
        <v>0</v>
      </c>
      <c r="AC328">
        <v>0</v>
      </c>
      <c r="AD328">
        <v>0</v>
      </c>
      <c r="AE328">
        <v>116</v>
      </c>
      <c r="AF328">
        <v>75</v>
      </c>
      <c r="AG328">
        <v>113</v>
      </c>
      <c r="AH328">
        <v>107</v>
      </c>
      <c r="AI328">
        <v>110</v>
      </c>
      <c r="AJ328">
        <v>55</v>
      </c>
      <c r="AK328">
        <v>16</v>
      </c>
      <c r="AL328">
        <v>14</v>
      </c>
      <c r="AM328">
        <v>13</v>
      </c>
      <c r="AN328">
        <v>8</v>
      </c>
      <c r="AO328">
        <v>3</v>
      </c>
      <c r="AP328">
        <v>4</v>
      </c>
      <c r="AQ328">
        <v>0</v>
      </c>
      <c r="AR328">
        <v>1</v>
      </c>
      <c r="AS328">
        <v>0</v>
      </c>
      <c r="AT328">
        <v>0</v>
      </c>
      <c r="AU328">
        <v>0</v>
      </c>
      <c r="AV328">
        <v>0</v>
      </c>
      <c r="AW328">
        <v>0</v>
      </c>
      <c r="AX328">
        <v>0</v>
      </c>
      <c r="AY328" t="s">
        <v>373</v>
      </c>
    </row>
    <row r="329" spans="1:51" x14ac:dyDescent="0.2">
      <c r="B329" t="s">
        <v>597</v>
      </c>
      <c r="C329">
        <v>7</v>
      </c>
      <c r="D329">
        <v>-2</v>
      </c>
      <c r="E329">
        <v>0</v>
      </c>
      <c r="F329">
        <v>0</v>
      </c>
      <c r="G329">
        <v>1</v>
      </c>
      <c r="H329">
        <v>999</v>
      </c>
      <c r="I329">
        <v>0</v>
      </c>
      <c r="J329">
        <v>21.25</v>
      </c>
      <c r="K329">
        <v>31.0657</v>
      </c>
      <c r="L329">
        <v>40.944099999999999</v>
      </c>
      <c r="M329">
        <v>48.853200000000001</v>
      </c>
      <c r="N329">
        <v>57.764000000000003</v>
      </c>
      <c r="O329">
        <v>65.616399999999999</v>
      </c>
      <c r="P329">
        <v>73.192300000000003</v>
      </c>
      <c r="Q329">
        <v>81.333299999999994</v>
      </c>
      <c r="R329">
        <v>87</v>
      </c>
      <c r="S329">
        <v>81</v>
      </c>
      <c r="T329">
        <v>86</v>
      </c>
      <c r="U329">
        <v>0</v>
      </c>
      <c r="V329">
        <v>0</v>
      </c>
      <c r="W329">
        <v>0</v>
      </c>
      <c r="X329">
        <v>0</v>
      </c>
      <c r="Y329">
        <v>0</v>
      </c>
      <c r="Z329">
        <v>0</v>
      </c>
      <c r="AA329">
        <v>0</v>
      </c>
      <c r="AB329">
        <v>0</v>
      </c>
      <c r="AC329">
        <v>0</v>
      </c>
      <c r="AD329">
        <v>0</v>
      </c>
      <c r="AE329">
        <v>40</v>
      </c>
      <c r="AF329">
        <v>213</v>
      </c>
      <c r="AG329">
        <v>143</v>
      </c>
      <c r="AH329">
        <v>109</v>
      </c>
      <c r="AI329">
        <v>89</v>
      </c>
      <c r="AJ329">
        <v>73</v>
      </c>
      <c r="AK329">
        <v>26</v>
      </c>
      <c r="AL329">
        <v>12</v>
      </c>
      <c r="AM329">
        <v>7</v>
      </c>
      <c r="AN329">
        <v>1</v>
      </c>
      <c r="AO329">
        <v>2</v>
      </c>
      <c r="AP329">
        <v>0</v>
      </c>
      <c r="AQ329">
        <v>0</v>
      </c>
      <c r="AR329">
        <v>0</v>
      </c>
      <c r="AS329">
        <v>0</v>
      </c>
      <c r="AT329">
        <v>0</v>
      </c>
      <c r="AU329">
        <v>0</v>
      </c>
      <c r="AV329">
        <v>0</v>
      </c>
      <c r="AW329">
        <v>0</v>
      </c>
      <c r="AX329">
        <v>0</v>
      </c>
      <c r="AY329" t="s">
        <v>374</v>
      </c>
    </row>
    <row r="330" spans="1:51" x14ac:dyDescent="0.2">
      <c r="B330" t="s">
        <v>598</v>
      </c>
      <c r="C330">
        <v>7</v>
      </c>
      <c r="D330">
        <v>-2</v>
      </c>
      <c r="E330">
        <v>0</v>
      </c>
      <c r="F330">
        <v>0</v>
      </c>
      <c r="G330">
        <v>1</v>
      </c>
      <c r="H330">
        <v>999</v>
      </c>
      <c r="I330">
        <v>0</v>
      </c>
      <c r="J330">
        <v>19.869599999999998</v>
      </c>
      <c r="K330">
        <v>31.753599999999999</v>
      </c>
      <c r="L330">
        <v>43.768000000000001</v>
      </c>
      <c r="M330">
        <v>53.4831</v>
      </c>
      <c r="N330">
        <v>62.2545</v>
      </c>
      <c r="O330">
        <v>71.5</v>
      </c>
      <c r="P330">
        <v>76.5</v>
      </c>
      <c r="Q330">
        <v>83.666700000000006</v>
      </c>
      <c r="R330">
        <v>87</v>
      </c>
      <c r="S330">
        <v>90</v>
      </c>
      <c r="T330">
        <v>91</v>
      </c>
      <c r="U330">
        <v>93</v>
      </c>
      <c r="V330">
        <v>111</v>
      </c>
      <c r="W330">
        <v>0</v>
      </c>
      <c r="X330">
        <v>0</v>
      </c>
      <c r="Y330">
        <v>0</v>
      </c>
      <c r="Z330">
        <v>0</v>
      </c>
      <c r="AA330">
        <v>0</v>
      </c>
      <c r="AB330">
        <v>0</v>
      </c>
      <c r="AC330">
        <v>0</v>
      </c>
      <c r="AD330">
        <v>0</v>
      </c>
      <c r="AE330">
        <v>23</v>
      </c>
      <c r="AF330">
        <v>138</v>
      </c>
      <c r="AG330">
        <v>194</v>
      </c>
      <c r="AH330">
        <v>89</v>
      </c>
      <c r="AI330">
        <v>55</v>
      </c>
      <c r="AJ330">
        <v>38</v>
      </c>
      <c r="AK330">
        <v>14</v>
      </c>
      <c r="AL330">
        <v>9</v>
      </c>
      <c r="AM330">
        <v>6</v>
      </c>
      <c r="AN330">
        <v>1</v>
      </c>
      <c r="AO330">
        <v>1</v>
      </c>
      <c r="AP330">
        <v>2</v>
      </c>
      <c r="AQ330">
        <v>1</v>
      </c>
      <c r="AR330">
        <v>0</v>
      </c>
      <c r="AS330">
        <v>0</v>
      </c>
      <c r="AT330">
        <v>0</v>
      </c>
      <c r="AU330">
        <v>0</v>
      </c>
      <c r="AV330">
        <v>0</v>
      </c>
      <c r="AW330">
        <v>0</v>
      </c>
      <c r="AX330">
        <v>0</v>
      </c>
      <c r="AY330" t="s">
        <v>375</v>
      </c>
    </row>
    <row r="331" spans="1:51" x14ac:dyDescent="0.2">
      <c r="B331" t="s">
        <v>599</v>
      </c>
      <c r="C331">
        <v>7</v>
      </c>
      <c r="D331">
        <v>-2</v>
      </c>
      <c r="E331">
        <v>0</v>
      </c>
      <c r="F331">
        <v>0</v>
      </c>
      <c r="G331">
        <v>1</v>
      </c>
      <c r="H331">
        <v>999</v>
      </c>
      <c r="I331">
        <v>0</v>
      </c>
      <c r="J331">
        <v>17.7059</v>
      </c>
      <c r="K331">
        <v>31.7622</v>
      </c>
      <c r="L331">
        <v>40.884099999999997</v>
      </c>
      <c r="M331">
        <v>50.426200000000001</v>
      </c>
      <c r="N331">
        <v>58.485100000000003</v>
      </c>
      <c r="O331">
        <v>68.184600000000003</v>
      </c>
      <c r="P331">
        <v>75.324299999999994</v>
      </c>
      <c r="Q331">
        <v>77.400000000000006</v>
      </c>
      <c r="R331">
        <v>95.5</v>
      </c>
      <c r="S331">
        <v>0</v>
      </c>
      <c r="T331">
        <v>99</v>
      </c>
      <c r="U331">
        <v>96</v>
      </c>
      <c r="V331">
        <v>0</v>
      </c>
      <c r="W331">
        <v>0</v>
      </c>
      <c r="X331">
        <v>0</v>
      </c>
      <c r="Y331">
        <v>0</v>
      </c>
      <c r="Z331">
        <v>0</v>
      </c>
      <c r="AA331">
        <v>0</v>
      </c>
      <c r="AB331">
        <v>0</v>
      </c>
      <c r="AC331">
        <v>0</v>
      </c>
      <c r="AD331">
        <v>0</v>
      </c>
      <c r="AE331">
        <v>34</v>
      </c>
      <c r="AF331">
        <v>143</v>
      </c>
      <c r="AG331">
        <v>138</v>
      </c>
      <c r="AH331">
        <v>183</v>
      </c>
      <c r="AI331">
        <v>101</v>
      </c>
      <c r="AJ331">
        <v>65</v>
      </c>
      <c r="AK331">
        <v>37</v>
      </c>
      <c r="AL331">
        <v>5</v>
      </c>
      <c r="AM331">
        <v>2</v>
      </c>
      <c r="AN331">
        <v>0</v>
      </c>
      <c r="AO331">
        <v>1</v>
      </c>
      <c r="AP331">
        <v>2</v>
      </c>
      <c r="AQ331">
        <v>0</v>
      </c>
      <c r="AR331">
        <v>0</v>
      </c>
      <c r="AS331">
        <v>0</v>
      </c>
      <c r="AT331">
        <v>0</v>
      </c>
      <c r="AU331">
        <v>0</v>
      </c>
      <c r="AV331">
        <v>0</v>
      </c>
      <c r="AW331">
        <v>0</v>
      </c>
      <c r="AX331">
        <v>0</v>
      </c>
      <c r="AY331" t="s">
        <v>376</v>
      </c>
    </row>
    <row r="332" spans="1:51" x14ac:dyDescent="0.2">
      <c r="B332" t="s">
        <v>600</v>
      </c>
      <c r="C332">
        <v>7</v>
      </c>
      <c r="D332">
        <v>-2</v>
      </c>
      <c r="E332">
        <v>0</v>
      </c>
      <c r="F332">
        <v>0</v>
      </c>
      <c r="G332">
        <v>1</v>
      </c>
      <c r="H332">
        <v>999</v>
      </c>
      <c r="I332">
        <v>0</v>
      </c>
      <c r="J332">
        <v>18.9468</v>
      </c>
      <c r="K332">
        <v>32.358699999999999</v>
      </c>
      <c r="L332">
        <v>42.513800000000003</v>
      </c>
      <c r="M332">
        <v>51.584000000000003</v>
      </c>
      <c r="N332">
        <v>61</v>
      </c>
      <c r="O332">
        <v>66.327299999999994</v>
      </c>
      <c r="P332">
        <v>75</v>
      </c>
      <c r="Q332">
        <v>82.047600000000003</v>
      </c>
      <c r="R332">
        <v>86.4</v>
      </c>
      <c r="S332">
        <v>97</v>
      </c>
      <c r="T332">
        <v>96</v>
      </c>
      <c r="U332">
        <v>0</v>
      </c>
      <c r="V332">
        <v>0</v>
      </c>
      <c r="W332">
        <v>0</v>
      </c>
      <c r="X332">
        <v>0</v>
      </c>
      <c r="Y332">
        <v>0</v>
      </c>
      <c r="Z332">
        <v>0</v>
      </c>
      <c r="AA332">
        <v>0</v>
      </c>
      <c r="AB332">
        <v>0</v>
      </c>
      <c r="AC332">
        <v>0</v>
      </c>
      <c r="AD332">
        <v>0</v>
      </c>
      <c r="AE332">
        <v>94</v>
      </c>
      <c r="AF332">
        <v>92</v>
      </c>
      <c r="AG332">
        <v>109</v>
      </c>
      <c r="AH332">
        <v>125</v>
      </c>
      <c r="AI332">
        <v>120</v>
      </c>
      <c r="AJ332">
        <v>110</v>
      </c>
      <c r="AK332">
        <v>38</v>
      </c>
      <c r="AL332">
        <v>21</v>
      </c>
      <c r="AM332">
        <v>5</v>
      </c>
      <c r="AN332">
        <v>3</v>
      </c>
      <c r="AO332">
        <v>2</v>
      </c>
      <c r="AP332">
        <v>0</v>
      </c>
      <c r="AQ332">
        <v>0</v>
      </c>
      <c r="AR332">
        <v>0</v>
      </c>
      <c r="AS332">
        <v>0</v>
      </c>
      <c r="AT332">
        <v>0</v>
      </c>
      <c r="AU332">
        <v>0</v>
      </c>
      <c r="AV332">
        <v>0</v>
      </c>
      <c r="AW332">
        <v>0</v>
      </c>
      <c r="AX332">
        <v>0</v>
      </c>
      <c r="AY332" t="s">
        <v>377</v>
      </c>
    </row>
    <row r="333" spans="1:51" x14ac:dyDescent="0.2">
      <c r="B333" t="s">
        <v>601</v>
      </c>
      <c r="C333">
        <v>7</v>
      </c>
      <c r="D333">
        <v>-2</v>
      </c>
      <c r="E333">
        <v>0</v>
      </c>
      <c r="F333">
        <v>0</v>
      </c>
      <c r="G333">
        <v>1</v>
      </c>
      <c r="H333">
        <v>999</v>
      </c>
      <c r="I333">
        <v>0</v>
      </c>
      <c r="J333">
        <v>16.178599999999999</v>
      </c>
      <c r="K333">
        <v>30.324100000000001</v>
      </c>
      <c r="L333">
        <v>39.329900000000002</v>
      </c>
      <c r="M333">
        <v>50.297899999999998</v>
      </c>
      <c r="N333">
        <v>59.8767</v>
      </c>
      <c r="O333">
        <v>67.306799999999996</v>
      </c>
      <c r="P333">
        <v>71.361699999999999</v>
      </c>
      <c r="Q333">
        <v>79.142899999999997</v>
      </c>
      <c r="R333">
        <v>90.333299999999994</v>
      </c>
      <c r="S333">
        <v>0</v>
      </c>
      <c r="T333">
        <v>94</v>
      </c>
      <c r="U333">
        <v>0</v>
      </c>
      <c r="V333">
        <v>0</v>
      </c>
      <c r="W333">
        <v>0</v>
      </c>
      <c r="X333">
        <v>0</v>
      </c>
      <c r="Y333">
        <v>0</v>
      </c>
      <c r="Z333">
        <v>0</v>
      </c>
      <c r="AA333">
        <v>0</v>
      </c>
      <c r="AB333">
        <v>0</v>
      </c>
      <c r="AC333">
        <v>0</v>
      </c>
      <c r="AD333">
        <v>0</v>
      </c>
      <c r="AE333">
        <v>56</v>
      </c>
      <c r="AF333">
        <v>145</v>
      </c>
      <c r="AG333">
        <v>97</v>
      </c>
      <c r="AH333">
        <v>94</v>
      </c>
      <c r="AI333">
        <v>73</v>
      </c>
      <c r="AJ333">
        <v>88</v>
      </c>
      <c r="AK333">
        <v>47</v>
      </c>
      <c r="AL333">
        <v>28</v>
      </c>
      <c r="AM333">
        <v>6</v>
      </c>
      <c r="AN333">
        <v>0</v>
      </c>
      <c r="AO333">
        <v>1</v>
      </c>
      <c r="AP333">
        <v>0</v>
      </c>
      <c r="AQ333">
        <v>0</v>
      </c>
      <c r="AR333">
        <v>0</v>
      </c>
      <c r="AS333">
        <v>0</v>
      </c>
      <c r="AT333">
        <v>0</v>
      </c>
      <c r="AU333">
        <v>0</v>
      </c>
      <c r="AV333">
        <v>0</v>
      </c>
      <c r="AW333">
        <v>0</v>
      </c>
      <c r="AX333">
        <v>0</v>
      </c>
      <c r="AY333" t="s">
        <v>378</v>
      </c>
    </row>
    <row r="334" spans="1:51" x14ac:dyDescent="0.2">
      <c r="B334" t="s">
        <v>602</v>
      </c>
      <c r="C334">
        <v>7</v>
      </c>
      <c r="D334">
        <v>-2</v>
      </c>
      <c r="E334">
        <v>0</v>
      </c>
      <c r="F334">
        <v>0</v>
      </c>
      <c r="G334">
        <v>1</v>
      </c>
      <c r="H334">
        <v>999</v>
      </c>
      <c r="I334">
        <v>0</v>
      </c>
      <c r="J334">
        <v>17.142900000000001</v>
      </c>
      <c r="K334">
        <v>28.9102</v>
      </c>
      <c r="L334">
        <v>39.553800000000003</v>
      </c>
      <c r="M334">
        <v>47.1235</v>
      </c>
      <c r="N334">
        <v>56.981000000000002</v>
      </c>
      <c r="O334">
        <v>65.883099999999999</v>
      </c>
      <c r="P334">
        <v>71.545500000000004</v>
      </c>
      <c r="Q334">
        <v>79.352900000000005</v>
      </c>
      <c r="R334">
        <v>80.5</v>
      </c>
      <c r="S334">
        <v>0</v>
      </c>
      <c r="T334">
        <v>88</v>
      </c>
      <c r="U334">
        <v>0</v>
      </c>
      <c r="V334">
        <v>0</v>
      </c>
      <c r="W334">
        <v>0</v>
      </c>
      <c r="X334">
        <v>0</v>
      </c>
      <c r="Y334">
        <v>0</v>
      </c>
      <c r="Z334">
        <v>0</v>
      </c>
      <c r="AA334">
        <v>0</v>
      </c>
      <c r="AB334">
        <v>0</v>
      </c>
      <c r="AC334">
        <v>0</v>
      </c>
      <c r="AD334">
        <v>0</v>
      </c>
      <c r="AE334">
        <v>84</v>
      </c>
      <c r="AF334">
        <v>167</v>
      </c>
      <c r="AG334">
        <v>195</v>
      </c>
      <c r="AH334">
        <v>162</v>
      </c>
      <c r="AI334">
        <v>105</v>
      </c>
      <c r="AJ334">
        <v>77</v>
      </c>
      <c r="AK334">
        <v>44</v>
      </c>
      <c r="AL334">
        <v>17</v>
      </c>
      <c r="AM334">
        <v>8</v>
      </c>
      <c r="AN334">
        <v>0</v>
      </c>
      <c r="AO334">
        <v>1</v>
      </c>
      <c r="AP334">
        <v>0</v>
      </c>
      <c r="AQ334">
        <v>0</v>
      </c>
      <c r="AR334">
        <v>0</v>
      </c>
      <c r="AS334">
        <v>0</v>
      </c>
      <c r="AT334">
        <v>0</v>
      </c>
      <c r="AU334">
        <v>0</v>
      </c>
      <c r="AV334">
        <v>0</v>
      </c>
      <c r="AW334">
        <v>0</v>
      </c>
      <c r="AX334">
        <v>0</v>
      </c>
      <c r="AY334" t="s">
        <v>379</v>
      </c>
    </row>
    <row r="335" spans="1:51" x14ac:dyDescent="0.2">
      <c r="B335" t="s">
        <v>603</v>
      </c>
      <c r="C335">
        <v>7</v>
      </c>
      <c r="D335">
        <v>-2</v>
      </c>
      <c r="E335">
        <v>0</v>
      </c>
      <c r="F335">
        <v>0</v>
      </c>
      <c r="G335">
        <v>1</v>
      </c>
      <c r="H335">
        <v>999</v>
      </c>
      <c r="I335">
        <v>0</v>
      </c>
      <c r="J335">
        <v>16.383900000000001</v>
      </c>
      <c r="K335">
        <v>29.597999999999999</v>
      </c>
      <c r="L335">
        <v>38.023099999999999</v>
      </c>
      <c r="M335">
        <v>48.529400000000003</v>
      </c>
      <c r="N335">
        <v>56.079099999999997</v>
      </c>
      <c r="O335">
        <v>61.6098</v>
      </c>
      <c r="P335">
        <v>71.476200000000006</v>
      </c>
      <c r="Q335">
        <v>70.631600000000006</v>
      </c>
      <c r="R335">
        <v>80.333299999999994</v>
      </c>
      <c r="S335">
        <v>80.833299999999994</v>
      </c>
      <c r="T335">
        <v>70</v>
      </c>
      <c r="U335">
        <v>0</v>
      </c>
      <c r="V335">
        <v>0</v>
      </c>
      <c r="W335">
        <v>0</v>
      </c>
      <c r="X335">
        <v>0</v>
      </c>
      <c r="Y335">
        <v>0</v>
      </c>
      <c r="Z335">
        <v>0</v>
      </c>
      <c r="AA335">
        <v>0</v>
      </c>
      <c r="AB335">
        <v>0</v>
      </c>
      <c r="AC335">
        <v>0</v>
      </c>
      <c r="AD335">
        <v>0</v>
      </c>
      <c r="AE335">
        <v>112</v>
      </c>
      <c r="AF335">
        <v>102</v>
      </c>
      <c r="AG335">
        <v>130</v>
      </c>
      <c r="AH335">
        <v>204</v>
      </c>
      <c r="AI335">
        <v>177</v>
      </c>
      <c r="AJ335">
        <v>82</v>
      </c>
      <c r="AK335">
        <v>21</v>
      </c>
      <c r="AL335">
        <v>19</v>
      </c>
      <c r="AM335">
        <v>6</v>
      </c>
      <c r="AN335">
        <v>6</v>
      </c>
      <c r="AO335">
        <v>1</v>
      </c>
      <c r="AP335">
        <v>0</v>
      </c>
      <c r="AQ335">
        <v>0</v>
      </c>
      <c r="AR335">
        <v>0</v>
      </c>
      <c r="AS335">
        <v>0</v>
      </c>
      <c r="AT335">
        <v>0</v>
      </c>
      <c r="AU335">
        <v>0</v>
      </c>
      <c r="AV335">
        <v>0</v>
      </c>
      <c r="AW335">
        <v>0</v>
      </c>
      <c r="AX335">
        <v>0</v>
      </c>
      <c r="AY335" t="s">
        <v>380</v>
      </c>
    </row>
    <row r="336" spans="1:51" x14ac:dyDescent="0.2">
      <c r="B336" t="s">
        <v>604</v>
      </c>
      <c r="C336">
        <v>7</v>
      </c>
      <c r="D336">
        <v>-2</v>
      </c>
      <c r="E336">
        <v>0</v>
      </c>
      <c r="F336">
        <v>0</v>
      </c>
      <c r="G336">
        <v>1</v>
      </c>
      <c r="H336">
        <v>999</v>
      </c>
      <c r="I336">
        <v>0</v>
      </c>
      <c r="J336">
        <v>18.2577</v>
      </c>
      <c r="K336">
        <v>30.288499999999999</v>
      </c>
      <c r="L336">
        <v>38.424799999999998</v>
      </c>
      <c r="M336">
        <v>48.045499999999997</v>
      </c>
      <c r="N336">
        <v>55.782299999999999</v>
      </c>
      <c r="O336">
        <v>62.703400000000002</v>
      </c>
      <c r="P336">
        <v>66.666700000000006</v>
      </c>
      <c r="Q336">
        <v>75.933300000000003</v>
      </c>
      <c r="R336">
        <v>87</v>
      </c>
      <c r="S336">
        <v>78.25</v>
      </c>
      <c r="T336">
        <v>92.4</v>
      </c>
      <c r="U336">
        <v>91</v>
      </c>
      <c r="V336">
        <v>96</v>
      </c>
      <c r="W336">
        <v>0</v>
      </c>
      <c r="X336">
        <v>0</v>
      </c>
      <c r="Y336">
        <v>0</v>
      </c>
      <c r="Z336">
        <v>0</v>
      </c>
      <c r="AA336">
        <v>0</v>
      </c>
      <c r="AB336">
        <v>0</v>
      </c>
      <c r="AC336">
        <v>0</v>
      </c>
      <c r="AD336">
        <v>0</v>
      </c>
      <c r="AE336">
        <v>163</v>
      </c>
      <c r="AF336">
        <v>156</v>
      </c>
      <c r="AG336">
        <v>153</v>
      </c>
      <c r="AH336">
        <v>132</v>
      </c>
      <c r="AI336">
        <v>124</v>
      </c>
      <c r="AJ336">
        <v>118</v>
      </c>
      <c r="AK336">
        <v>42</v>
      </c>
      <c r="AL336">
        <v>15</v>
      </c>
      <c r="AM336">
        <v>6</v>
      </c>
      <c r="AN336">
        <v>4</v>
      </c>
      <c r="AO336">
        <v>5</v>
      </c>
      <c r="AP336">
        <v>1</v>
      </c>
      <c r="AQ336">
        <v>1</v>
      </c>
      <c r="AR336">
        <v>0</v>
      </c>
      <c r="AS336">
        <v>0</v>
      </c>
      <c r="AT336">
        <v>0</v>
      </c>
      <c r="AU336">
        <v>0</v>
      </c>
      <c r="AV336">
        <v>0</v>
      </c>
      <c r="AW336">
        <v>0</v>
      </c>
      <c r="AX336">
        <v>0</v>
      </c>
      <c r="AY336" t="s">
        <v>381</v>
      </c>
    </row>
    <row r="337" spans="2:51" x14ac:dyDescent="0.2">
      <c r="B337" t="s">
        <v>605</v>
      </c>
      <c r="C337">
        <v>7</v>
      </c>
      <c r="D337">
        <v>-2</v>
      </c>
      <c r="E337">
        <v>0</v>
      </c>
      <c r="F337">
        <v>0</v>
      </c>
      <c r="G337">
        <v>1</v>
      </c>
      <c r="H337">
        <v>999</v>
      </c>
      <c r="I337">
        <v>0</v>
      </c>
      <c r="J337">
        <v>16.652799999999999</v>
      </c>
      <c r="K337">
        <v>28.869299999999999</v>
      </c>
      <c r="L337">
        <v>37.014899999999997</v>
      </c>
      <c r="M337">
        <v>47.526899999999998</v>
      </c>
      <c r="N337">
        <v>56.15</v>
      </c>
      <c r="O337">
        <v>63.579500000000003</v>
      </c>
      <c r="P337">
        <v>69.571399999999997</v>
      </c>
      <c r="Q337">
        <v>74.133300000000006</v>
      </c>
      <c r="R337">
        <v>76.5</v>
      </c>
      <c r="S337">
        <v>94.5</v>
      </c>
      <c r="T337">
        <v>0</v>
      </c>
      <c r="U337">
        <v>97</v>
      </c>
      <c r="V337">
        <v>0</v>
      </c>
      <c r="W337">
        <v>0</v>
      </c>
      <c r="X337">
        <v>0</v>
      </c>
      <c r="Y337">
        <v>0</v>
      </c>
      <c r="Z337">
        <v>0</v>
      </c>
      <c r="AA337">
        <v>0</v>
      </c>
      <c r="AB337">
        <v>0</v>
      </c>
      <c r="AC337">
        <v>0</v>
      </c>
      <c r="AD337">
        <v>0</v>
      </c>
      <c r="AE337">
        <v>72</v>
      </c>
      <c r="AF337">
        <v>153</v>
      </c>
      <c r="AG337">
        <v>202</v>
      </c>
      <c r="AH337">
        <v>186</v>
      </c>
      <c r="AI337">
        <v>80</v>
      </c>
      <c r="AJ337">
        <v>88</v>
      </c>
      <c r="AK337">
        <v>63</v>
      </c>
      <c r="AL337">
        <v>15</v>
      </c>
      <c r="AM337">
        <v>6</v>
      </c>
      <c r="AN337">
        <v>2</v>
      </c>
      <c r="AO337">
        <v>0</v>
      </c>
      <c r="AP337">
        <v>2</v>
      </c>
      <c r="AQ337">
        <v>0</v>
      </c>
      <c r="AR337">
        <v>0</v>
      </c>
      <c r="AS337">
        <v>0</v>
      </c>
      <c r="AT337">
        <v>0</v>
      </c>
      <c r="AU337">
        <v>0</v>
      </c>
      <c r="AV337">
        <v>0</v>
      </c>
      <c r="AW337">
        <v>0</v>
      </c>
      <c r="AX337">
        <v>0</v>
      </c>
      <c r="AY337" t="s">
        <v>382</v>
      </c>
    </row>
    <row r="338" spans="2:51" x14ac:dyDescent="0.2">
      <c r="B338" t="s">
        <v>606</v>
      </c>
      <c r="C338">
        <v>7</v>
      </c>
      <c r="D338">
        <v>-2</v>
      </c>
      <c r="E338">
        <v>0</v>
      </c>
      <c r="F338">
        <v>0</v>
      </c>
      <c r="G338">
        <v>1</v>
      </c>
      <c r="H338">
        <v>999</v>
      </c>
      <c r="I338">
        <v>0</v>
      </c>
      <c r="J338">
        <v>17.7669</v>
      </c>
      <c r="K338">
        <v>29.466999999999999</v>
      </c>
      <c r="L338">
        <v>40.738199999999999</v>
      </c>
      <c r="M338">
        <v>49.481499999999997</v>
      </c>
      <c r="N338">
        <v>58.321199999999997</v>
      </c>
      <c r="O338">
        <v>66.503900000000002</v>
      </c>
      <c r="P338">
        <v>72.675700000000006</v>
      </c>
      <c r="Q338">
        <v>77.363600000000005</v>
      </c>
      <c r="R338">
        <v>82.2941</v>
      </c>
      <c r="S338">
        <v>78</v>
      </c>
      <c r="T338">
        <v>85</v>
      </c>
      <c r="U338">
        <v>0</v>
      </c>
      <c r="V338">
        <v>70</v>
      </c>
      <c r="W338">
        <v>89</v>
      </c>
      <c r="X338">
        <v>0</v>
      </c>
      <c r="Y338">
        <v>0</v>
      </c>
      <c r="Z338">
        <v>0</v>
      </c>
      <c r="AA338">
        <v>0</v>
      </c>
      <c r="AB338">
        <v>0</v>
      </c>
      <c r="AC338">
        <v>0</v>
      </c>
      <c r="AD338">
        <v>0</v>
      </c>
      <c r="AE338">
        <v>163</v>
      </c>
      <c r="AF338">
        <v>197</v>
      </c>
      <c r="AG338">
        <v>191</v>
      </c>
      <c r="AH338">
        <v>189</v>
      </c>
      <c r="AI338">
        <v>193</v>
      </c>
      <c r="AJ338">
        <v>129</v>
      </c>
      <c r="AK338">
        <v>111</v>
      </c>
      <c r="AL338">
        <v>66</v>
      </c>
      <c r="AM338">
        <v>17</v>
      </c>
      <c r="AN338">
        <v>1</v>
      </c>
      <c r="AO338">
        <v>4</v>
      </c>
      <c r="AP338">
        <v>0</v>
      </c>
      <c r="AQ338">
        <v>1</v>
      </c>
      <c r="AR338">
        <v>1</v>
      </c>
      <c r="AS338">
        <v>0</v>
      </c>
      <c r="AT338">
        <v>0</v>
      </c>
      <c r="AU338">
        <v>0</v>
      </c>
      <c r="AV338">
        <v>0</v>
      </c>
      <c r="AW338">
        <v>0</v>
      </c>
      <c r="AX338">
        <v>0</v>
      </c>
      <c r="AY338" t="s">
        <v>383</v>
      </c>
    </row>
    <row r="339" spans="2:51" x14ac:dyDescent="0.2">
      <c r="B339" t="s">
        <v>607</v>
      </c>
      <c r="C339">
        <v>7</v>
      </c>
      <c r="D339">
        <v>-2</v>
      </c>
      <c r="E339">
        <v>0</v>
      </c>
      <c r="F339">
        <v>0</v>
      </c>
      <c r="G339">
        <v>1</v>
      </c>
      <c r="H339">
        <v>999</v>
      </c>
      <c r="I339">
        <v>0</v>
      </c>
      <c r="J339">
        <v>17.4681</v>
      </c>
      <c r="K339">
        <v>28.6692</v>
      </c>
      <c r="L339">
        <v>38.690399999999997</v>
      </c>
      <c r="M339">
        <v>49.593800000000002</v>
      </c>
      <c r="N339">
        <v>58.106000000000002</v>
      </c>
      <c r="O339">
        <v>66.550399999999996</v>
      </c>
      <c r="P339">
        <v>71.593199999999996</v>
      </c>
      <c r="Q339">
        <v>74.968800000000002</v>
      </c>
      <c r="R339">
        <v>83.411799999999999</v>
      </c>
      <c r="S339">
        <v>85.75</v>
      </c>
      <c r="T339">
        <v>83.75</v>
      </c>
      <c r="U339">
        <v>0</v>
      </c>
      <c r="V339">
        <v>0</v>
      </c>
      <c r="W339">
        <v>0</v>
      </c>
      <c r="X339">
        <v>0</v>
      </c>
      <c r="Y339">
        <v>0</v>
      </c>
      <c r="Z339">
        <v>0</v>
      </c>
      <c r="AA339">
        <v>0</v>
      </c>
      <c r="AB339">
        <v>0</v>
      </c>
      <c r="AC339">
        <v>0</v>
      </c>
      <c r="AD339">
        <v>0</v>
      </c>
      <c r="AE339">
        <v>141</v>
      </c>
      <c r="AF339">
        <v>133</v>
      </c>
      <c r="AG339">
        <v>197</v>
      </c>
      <c r="AH339">
        <v>128</v>
      </c>
      <c r="AI339">
        <v>151</v>
      </c>
      <c r="AJ339">
        <v>129</v>
      </c>
      <c r="AK339">
        <v>59</v>
      </c>
      <c r="AL339">
        <v>32</v>
      </c>
      <c r="AM339">
        <v>17</v>
      </c>
      <c r="AN339">
        <v>4</v>
      </c>
      <c r="AO339">
        <v>4</v>
      </c>
      <c r="AP339">
        <v>0</v>
      </c>
      <c r="AQ339">
        <v>0</v>
      </c>
      <c r="AR339">
        <v>0</v>
      </c>
      <c r="AS339">
        <v>0</v>
      </c>
      <c r="AT339">
        <v>0</v>
      </c>
      <c r="AU339">
        <v>0</v>
      </c>
      <c r="AV339">
        <v>0</v>
      </c>
      <c r="AW339">
        <v>0</v>
      </c>
      <c r="AX339">
        <v>0</v>
      </c>
      <c r="AY339" t="s">
        <v>384</v>
      </c>
    </row>
    <row r="340" spans="2:51" x14ac:dyDescent="0.2">
      <c r="B340" t="s">
        <v>608</v>
      </c>
      <c r="C340">
        <v>7</v>
      </c>
      <c r="D340">
        <v>-2</v>
      </c>
      <c r="E340">
        <v>0</v>
      </c>
      <c r="F340">
        <v>0</v>
      </c>
      <c r="G340">
        <v>1</v>
      </c>
      <c r="H340">
        <v>999</v>
      </c>
      <c r="I340">
        <v>0</v>
      </c>
      <c r="J340">
        <v>18.340399999999999</v>
      </c>
      <c r="K340">
        <v>27.371600000000001</v>
      </c>
      <c r="L340">
        <v>39.210099999999997</v>
      </c>
      <c r="M340">
        <v>49.134500000000003</v>
      </c>
      <c r="N340">
        <v>57.017899999999997</v>
      </c>
      <c r="O340">
        <v>64.438400000000001</v>
      </c>
      <c r="P340">
        <v>72.661199999999994</v>
      </c>
      <c r="Q340">
        <v>80.452100000000002</v>
      </c>
      <c r="R340">
        <v>84.896600000000007</v>
      </c>
      <c r="S340">
        <v>90.944400000000002</v>
      </c>
      <c r="T340">
        <v>91.1</v>
      </c>
      <c r="U340">
        <v>0</v>
      </c>
      <c r="V340">
        <v>98</v>
      </c>
      <c r="W340">
        <v>96</v>
      </c>
      <c r="X340">
        <v>0</v>
      </c>
      <c r="Y340">
        <v>0</v>
      </c>
      <c r="Z340">
        <v>0</v>
      </c>
      <c r="AA340">
        <v>0</v>
      </c>
      <c r="AB340">
        <v>0</v>
      </c>
      <c r="AC340">
        <v>0</v>
      </c>
      <c r="AD340">
        <v>0</v>
      </c>
      <c r="AE340">
        <v>141</v>
      </c>
      <c r="AF340">
        <v>218</v>
      </c>
      <c r="AG340">
        <v>238</v>
      </c>
      <c r="AH340">
        <v>171</v>
      </c>
      <c r="AI340">
        <v>112</v>
      </c>
      <c r="AJ340">
        <v>146</v>
      </c>
      <c r="AK340">
        <v>121</v>
      </c>
      <c r="AL340">
        <v>73</v>
      </c>
      <c r="AM340">
        <v>29</v>
      </c>
      <c r="AN340">
        <v>18</v>
      </c>
      <c r="AO340">
        <v>10</v>
      </c>
      <c r="AP340">
        <v>0</v>
      </c>
      <c r="AQ340">
        <v>1</v>
      </c>
      <c r="AR340">
        <v>1</v>
      </c>
      <c r="AS340">
        <v>0</v>
      </c>
      <c r="AT340">
        <v>0</v>
      </c>
      <c r="AU340">
        <v>0</v>
      </c>
      <c r="AV340">
        <v>0</v>
      </c>
      <c r="AW340">
        <v>0</v>
      </c>
      <c r="AX340">
        <v>0</v>
      </c>
      <c r="AY340" t="s">
        <v>385</v>
      </c>
    </row>
    <row r="341" spans="2:51" x14ac:dyDescent="0.2">
      <c r="B341" t="s">
        <v>609</v>
      </c>
      <c r="C341">
        <v>7</v>
      </c>
      <c r="D341">
        <v>-2</v>
      </c>
      <c r="E341">
        <v>0</v>
      </c>
      <c r="F341">
        <v>0</v>
      </c>
      <c r="G341">
        <v>1</v>
      </c>
      <c r="H341">
        <v>999</v>
      </c>
      <c r="I341">
        <v>0</v>
      </c>
      <c r="J341">
        <v>16.4146</v>
      </c>
      <c r="K341">
        <v>29.545500000000001</v>
      </c>
      <c r="L341">
        <v>39.279299999999999</v>
      </c>
      <c r="M341">
        <v>47.773800000000001</v>
      </c>
      <c r="N341">
        <v>56.548400000000001</v>
      </c>
      <c r="O341">
        <v>65.292900000000003</v>
      </c>
      <c r="P341">
        <v>74.360900000000001</v>
      </c>
      <c r="Q341">
        <v>82.666700000000006</v>
      </c>
      <c r="R341">
        <v>87.75</v>
      </c>
      <c r="S341">
        <v>87.5</v>
      </c>
      <c r="T341">
        <v>95.25</v>
      </c>
      <c r="U341">
        <v>103</v>
      </c>
      <c r="V341">
        <v>0</v>
      </c>
      <c r="W341">
        <v>0</v>
      </c>
      <c r="X341">
        <v>0</v>
      </c>
      <c r="Y341">
        <v>0</v>
      </c>
      <c r="Z341">
        <v>0</v>
      </c>
      <c r="AA341">
        <v>0</v>
      </c>
      <c r="AB341">
        <v>0</v>
      </c>
      <c r="AC341">
        <v>0</v>
      </c>
      <c r="AD341">
        <v>0</v>
      </c>
      <c r="AE341">
        <v>205</v>
      </c>
      <c r="AF341">
        <v>176</v>
      </c>
      <c r="AG341">
        <v>179</v>
      </c>
      <c r="AH341">
        <v>168</v>
      </c>
      <c r="AI341">
        <v>155</v>
      </c>
      <c r="AJ341">
        <v>140</v>
      </c>
      <c r="AK341">
        <v>133</v>
      </c>
      <c r="AL341">
        <v>93</v>
      </c>
      <c r="AM341">
        <v>36</v>
      </c>
      <c r="AN341">
        <v>10</v>
      </c>
      <c r="AO341">
        <v>4</v>
      </c>
      <c r="AP341">
        <v>1</v>
      </c>
      <c r="AQ341">
        <v>0</v>
      </c>
      <c r="AR341">
        <v>0</v>
      </c>
      <c r="AS341">
        <v>0</v>
      </c>
      <c r="AT341">
        <v>0</v>
      </c>
      <c r="AU341">
        <v>0</v>
      </c>
      <c r="AV341">
        <v>0</v>
      </c>
      <c r="AW341">
        <v>0</v>
      </c>
      <c r="AX341">
        <v>0</v>
      </c>
      <c r="AY341" t="s">
        <v>386</v>
      </c>
    </row>
    <row r="342" spans="2:51" x14ac:dyDescent="0.2">
      <c r="B342" t="s">
        <v>610</v>
      </c>
      <c r="C342">
        <v>7</v>
      </c>
      <c r="D342">
        <v>-2</v>
      </c>
      <c r="E342">
        <v>0</v>
      </c>
      <c r="F342">
        <v>0</v>
      </c>
      <c r="G342">
        <v>1</v>
      </c>
      <c r="H342">
        <v>999</v>
      </c>
      <c r="I342">
        <v>0</v>
      </c>
      <c r="J342">
        <v>17.735099999999999</v>
      </c>
      <c r="K342">
        <v>30.980599999999999</v>
      </c>
      <c r="L342">
        <v>41.837699999999998</v>
      </c>
      <c r="M342">
        <v>51.541899999999998</v>
      </c>
      <c r="N342">
        <v>61.033200000000001</v>
      </c>
      <c r="O342">
        <v>68.259299999999996</v>
      </c>
      <c r="P342">
        <v>76.487399999999994</v>
      </c>
      <c r="Q342">
        <v>83.346699999999998</v>
      </c>
      <c r="R342">
        <v>87.209699999999998</v>
      </c>
      <c r="S342">
        <v>94.381</v>
      </c>
      <c r="T342">
        <v>92.666700000000006</v>
      </c>
      <c r="U342">
        <v>94.714299999999994</v>
      </c>
      <c r="V342">
        <v>89</v>
      </c>
      <c r="W342">
        <v>98.5</v>
      </c>
      <c r="X342">
        <v>0</v>
      </c>
      <c r="Y342">
        <v>0</v>
      </c>
      <c r="Z342">
        <v>91</v>
      </c>
      <c r="AA342">
        <v>0</v>
      </c>
      <c r="AB342">
        <v>0</v>
      </c>
      <c r="AC342">
        <v>0</v>
      </c>
      <c r="AD342">
        <v>0</v>
      </c>
      <c r="AE342">
        <v>268</v>
      </c>
      <c r="AF342">
        <v>206</v>
      </c>
      <c r="AG342">
        <v>191</v>
      </c>
      <c r="AH342">
        <v>155</v>
      </c>
      <c r="AI342">
        <v>211</v>
      </c>
      <c r="AJ342">
        <v>108</v>
      </c>
      <c r="AK342">
        <v>119</v>
      </c>
      <c r="AL342">
        <v>75</v>
      </c>
      <c r="AM342">
        <v>62</v>
      </c>
      <c r="AN342">
        <v>21</v>
      </c>
      <c r="AO342">
        <v>12</v>
      </c>
      <c r="AP342">
        <v>7</v>
      </c>
      <c r="AQ342">
        <v>3</v>
      </c>
      <c r="AR342">
        <v>2</v>
      </c>
      <c r="AS342">
        <v>0</v>
      </c>
      <c r="AT342">
        <v>0</v>
      </c>
      <c r="AU342">
        <v>1</v>
      </c>
      <c r="AV342">
        <v>0</v>
      </c>
      <c r="AW342">
        <v>0</v>
      </c>
      <c r="AX342">
        <v>0</v>
      </c>
      <c r="AY342" t="s">
        <v>387</v>
      </c>
    </row>
    <row r="343" spans="2:51" x14ac:dyDescent="0.2">
      <c r="B343" t="s">
        <v>611</v>
      </c>
      <c r="C343">
        <v>7</v>
      </c>
      <c r="D343">
        <v>-2</v>
      </c>
      <c r="E343">
        <v>0</v>
      </c>
      <c r="F343">
        <v>0</v>
      </c>
      <c r="G343">
        <v>1</v>
      </c>
      <c r="H343">
        <v>999</v>
      </c>
      <c r="I343">
        <v>0</v>
      </c>
      <c r="J343">
        <v>16.922000000000001</v>
      </c>
      <c r="K343">
        <v>30.0229</v>
      </c>
      <c r="L343">
        <v>42.381100000000004</v>
      </c>
      <c r="M343">
        <v>54.5</v>
      </c>
      <c r="N343">
        <v>62.410400000000003</v>
      </c>
      <c r="O343">
        <v>68.092799999999997</v>
      </c>
      <c r="P343">
        <v>76.488900000000001</v>
      </c>
      <c r="Q343">
        <v>82.066699999999997</v>
      </c>
      <c r="R343">
        <v>83.928600000000003</v>
      </c>
      <c r="S343">
        <v>89.461500000000001</v>
      </c>
      <c r="T343">
        <v>97.75</v>
      </c>
      <c r="U343">
        <v>97.833299999999994</v>
      </c>
      <c r="V343">
        <v>91.5</v>
      </c>
      <c r="W343">
        <v>0</v>
      </c>
      <c r="X343">
        <v>0</v>
      </c>
      <c r="Y343">
        <v>0</v>
      </c>
      <c r="Z343">
        <v>0</v>
      </c>
      <c r="AA343">
        <v>0</v>
      </c>
      <c r="AB343">
        <v>0</v>
      </c>
      <c r="AC343">
        <v>0</v>
      </c>
      <c r="AD343">
        <v>0</v>
      </c>
      <c r="AE343">
        <v>141</v>
      </c>
      <c r="AF343">
        <v>262</v>
      </c>
      <c r="AG343">
        <v>244</v>
      </c>
      <c r="AH343">
        <v>188</v>
      </c>
      <c r="AI343">
        <v>134</v>
      </c>
      <c r="AJ343">
        <v>97</v>
      </c>
      <c r="AK343">
        <v>45</v>
      </c>
      <c r="AL343">
        <v>45</v>
      </c>
      <c r="AM343">
        <v>28</v>
      </c>
      <c r="AN343">
        <v>13</v>
      </c>
      <c r="AO343">
        <v>8</v>
      </c>
      <c r="AP343">
        <v>6</v>
      </c>
      <c r="AQ343">
        <v>2</v>
      </c>
      <c r="AR343">
        <v>0</v>
      </c>
      <c r="AS343">
        <v>0</v>
      </c>
      <c r="AT343">
        <v>0</v>
      </c>
      <c r="AU343">
        <v>0</v>
      </c>
      <c r="AV343">
        <v>0</v>
      </c>
      <c r="AW343">
        <v>0</v>
      </c>
      <c r="AX343">
        <v>0</v>
      </c>
      <c r="AY343" t="s">
        <v>388</v>
      </c>
    </row>
    <row r="344" spans="2:51" x14ac:dyDescent="0.2">
      <c r="B344" t="s">
        <v>612</v>
      </c>
      <c r="C344">
        <v>7</v>
      </c>
      <c r="D344">
        <v>-2</v>
      </c>
      <c r="E344">
        <v>0</v>
      </c>
      <c r="F344">
        <v>0</v>
      </c>
      <c r="G344">
        <v>1</v>
      </c>
      <c r="H344">
        <v>999</v>
      </c>
      <c r="I344">
        <v>0</v>
      </c>
      <c r="J344">
        <v>17.0045</v>
      </c>
      <c r="K344">
        <v>30.324300000000001</v>
      </c>
      <c r="L344">
        <v>43.1815</v>
      </c>
      <c r="M344">
        <v>54.374299999999998</v>
      </c>
      <c r="N344">
        <v>61.218000000000004</v>
      </c>
      <c r="O344">
        <v>68.25</v>
      </c>
      <c r="P344">
        <v>73.768299999999996</v>
      </c>
      <c r="Q344">
        <v>78.936199999999999</v>
      </c>
      <c r="R344">
        <v>85.043499999999995</v>
      </c>
      <c r="S344">
        <v>89.230800000000002</v>
      </c>
      <c r="T344">
        <v>89.666700000000006</v>
      </c>
      <c r="U344">
        <v>96</v>
      </c>
      <c r="V344">
        <v>84.333299999999994</v>
      </c>
      <c r="W344">
        <v>92</v>
      </c>
      <c r="X344">
        <v>0</v>
      </c>
      <c r="Y344">
        <v>0</v>
      </c>
      <c r="Z344">
        <v>0</v>
      </c>
      <c r="AA344">
        <v>0</v>
      </c>
      <c r="AB344">
        <v>0</v>
      </c>
      <c r="AC344">
        <v>0</v>
      </c>
      <c r="AD344">
        <v>0</v>
      </c>
      <c r="AE344">
        <v>222</v>
      </c>
      <c r="AF344">
        <v>259</v>
      </c>
      <c r="AG344">
        <v>325</v>
      </c>
      <c r="AH344">
        <v>187</v>
      </c>
      <c r="AI344">
        <v>133</v>
      </c>
      <c r="AJ344">
        <v>100</v>
      </c>
      <c r="AK344">
        <v>82</v>
      </c>
      <c r="AL344">
        <v>47</v>
      </c>
      <c r="AM344">
        <v>23</v>
      </c>
      <c r="AN344">
        <v>13</v>
      </c>
      <c r="AO344">
        <v>12</v>
      </c>
      <c r="AP344">
        <v>4</v>
      </c>
      <c r="AQ344">
        <v>3</v>
      </c>
      <c r="AR344">
        <v>2</v>
      </c>
      <c r="AS344">
        <v>0</v>
      </c>
      <c r="AT344">
        <v>0</v>
      </c>
      <c r="AU344">
        <v>0</v>
      </c>
      <c r="AV344">
        <v>0</v>
      </c>
      <c r="AW344">
        <v>0</v>
      </c>
      <c r="AX344">
        <v>0</v>
      </c>
      <c r="AY344" t="s">
        <v>389</v>
      </c>
    </row>
    <row r="345" spans="2:51" x14ac:dyDescent="0.2">
      <c r="B345" t="s">
        <v>613</v>
      </c>
      <c r="C345">
        <v>7</v>
      </c>
      <c r="D345">
        <v>-2</v>
      </c>
      <c r="E345">
        <v>0</v>
      </c>
      <c r="F345">
        <v>0</v>
      </c>
      <c r="G345">
        <v>1</v>
      </c>
      <c r="H345">
        <v>999</v>
      </c>
      <c r="I345">
        <v>0</v>
      </c>
      <c r="J345">
        <v>15.838200000000001</v>
      </c>
      <c r="K345">
        <v>30.4453</v>
      </c>
      <c r="L345">
        <v>43.1325</v>
      </c>
      <c r="M345">
        <v>55.161099999999998</v>
      </c>
      <c r="N345">
        <v>63.087200000000003</v>
      </c>
      <c r="O345">
        <v>70.117599999999996</v>
      </c>
      <c r="P345">
        <v>74.863600000000005</v>
      </c>
      <c r="Q345">
        <v>80.8767</v>
      </c>
      <c r="R345">
        <v>83.2</v>
      </c>
      <c r="S345">
        <v>87.7</v>
      </c>
      <c r="T345">
        <v>89</v>
      </c>
      <c r="U345">
        <v>86</v>
      </c>
      <c r="V345">
        <v>93</v>
      </c>
      <c r="W345">
        <v>0</v>
      </c>
      <c r="X345">
        <v>0</v>
      </c>
      <c r="Y345">
        <v>0</v>
      </c>
      <c r="Z345">
        <v>0</v>
      </c>
      <c r="AA345">
        <v>0</v>
      </c>
      <c r="AB345">
        <v>0</v>
      </c>
      <c r="AC345">
        <v>0</v>
      </c>
      <c r="AD345">
        <v>0</v>
      </c>
      <c r="AE345">
        <v>136</v>
      </c>
      <c r="AF345">
        <v>375</v>
      </c>
      <c r="AG345">
        <v>234</v>
      </c>
      <c r="AH345">
        <v>298</v>
      </c>
      <c r="AI345">
        <v>149</v>
      </c>
      <c r="AJ345">
        <v>85</v>
      </c>
      <c r="AK345">
        <v>66</v>
      </c>
      <c r="AL345">
        <v>73</v>
      </c>
      <c r="AM345">
        <v>30</v>
      </c>
      <c r="AN345">
        <v>10</v>
      </c>
      <c r="AO345">
        <v>9</v>
      </c>
      <c r="AP345">
        <v>1</v>
      </c>
      <c r="AQ345">
        <v>1</v>
      </c>
      <c r="AR345">
        <v>0</v>
      </c>
      <c r="AS345">
        <v>0</v>
      </c>
      <c r="AT345">
        <v>0</v>
      </c>
      <c r="AU345">
        <v>0</v>
      </c>
      <c r="AV345">
        <v>0</v>
      </c>
      <c r="AW345">
        <v>0</v>
      </c>
      <c r="AX345">
        <v>0</v>
      </c>
      <c r="AY345" t="s">
        <v>390</v>
      </c>
    </row>
    <row r="346" spans="2:51" x14ac:dyDescent="0.2">
      <c r="B346" t="s">
        <v>614</v>
      </c>
      <c r="C346">
        <v>7</v>
      </c>
      <c r="D346">
        <v>-2</v>
      </c>
      <c r="E346">
        <v>0</v>
      </c>
      <c r="F346">
        <v>0</v>
      </c>
      <c r="G346">
        <v>1</v>
      </c>
      <c r="H346">
        <v>999</v>
      </c>
      <c r="I346">
        <v>0</v>
      </c>
      <c r="J346">
        <v>18.7258</v>
      </c>
      <c r="K346">
        <v>31.925699999999999</v>
      </c>
      <c r="L346">
        <v>44.339700000000001</v>
      </c>
      <c r="M346">
        <v>54.971899999999998</v>
      </c>
      <c r="N346">
        <v>64.348600000000005</v>
      </c>
      <c r="O346">
        <v>70.336399999999998</v>
      </c>
      <c r="P346">
        <v>75.25</v>
      </c>
      <c r="Q346">
        <v>79.45</v>
      </c>
      <c r="R346">
        <v>84.333299999999994</v>
      </c>
      <c r="S346">
        <v>87.636399999999995</v>
      </c>
      <c r="T346">
        <v>86.375</v>
      </c>
      <c r="U346">
        <v>87</v>
      </c>
      <c r="V346">
        <v>95.5</v>
      </c>
      <c r="W346">
        <v>101.2</v>
      </c>
      <c r="X346">
        <v>0</v>
      </c>
      <c r="Y346">
        <v>0</v>
      </c>
      <c r="Z346">
        <v>0</v>
      </c>
      <c r="AA346">
        <v>0</v>
      </c>
      <c r="AB346">
        <v>0</v>
      </c>
      <c r="AC346">
        <v>0</v>
      </c>
      <c r="AD346">
        <v>0</v>
      </c>
      <c r="AE346">
        <v>186</v>
      </c>
      <c r="AF346">
        <v>148</v>
      </c>
      <c r="AG346">
        <v>315</v>
      </c>
      <c r="AH346">
        <v>178</v>
      </c>
      <c r="AI346">
        <v>218</v>
      </c>
      <c r="AJ346">
        <v>107</v>
      </c>
      <c r="AK346">
        <v>40</v>
      </c>
      <c r="AL346">
        <v>20</v>
      </c>
      <c r="AM346">
        <v>12</v>
      </c>
      <c r="AN346">
        <v>11</v>
      </c>
      <c r="AO346">
        <v>8</v>
      </c>
      <c r="AP346">
        <v>1</v>
      </c>
      <c r="AQ346">
        <v>4</v>
      </c>
      <c r="AR346">
        <v>5</v>
      </c>
      <c r="AS346">
        <v>0</v>
      </c>
      <c r="AT346">
        <v>0</v>
      </c>
      <c r="AU346">
        <v>0</v>
      </c>
      <c r="AV346">
        <v>0</v>
      </c>
      <c r="AW346">
        <v>0</v>
      </c>
      <c r="AX346">
        <v>0</v>
      </c>
      <c r="AY346" t="s">
        <v>391</v>
      </c>
    </row>
    <row r="347" spans="2:51" x14ac:dyDescent="0.2">
      <c r="B347" t="s">
        <v>615</v>
      </c>
      <c r="C347">
        <v>7</v>
      </c>
      <c r="D347">
        <v>-2</v>
      </c>
      <c r="E347">
        <v>0</v>
      </c>
      <c r="F347">
        <v>0</v>
      </c>
      <c r="G347">
        <v>1</v>
      </c>
      <c r="H347">
        <v>999</v>
      </c>
      <c r="I347">
        <v>0</v>
      </c>
      <c r="J347">
        <v>16.950900000000001</v>
      </c>
      <c r="K347">
        <v>31.764700000000001</v>
      </c>
      <c r="L347">
        <v>43.4923</v>
      </c>
      <c r="M347">
        <v>53.739400000000003</v>
      </c>
      <c r="N347">
        <v>64.515500000000003</v>
      </c>
      <c r="O347">
        <v>71.152299999999997</v>
      </c>
      <c r="P347">
        <v>75.818200000000004</v>
      </c>
      <c r="Q347">
        <v>83.833299999999994</v>
      </c>
      <c r="R347">
        <v>84</v>
      </c>
      <c r="S347">
        <v>93</v>
      </c>
      <c r="T347">
        <v>98</v>
      </c>
      <c r="U347">
        <v>93.5</v>
      </c>
      <c r="V347">
        <v>98</v>
      </c>
      <c r="W347">
        <v>100</v>
      </c>
      <c r="X347">
        <v>0</v>
      </c>
      <c r="Y347">
        <v>0</v>
      </c>
      <c r="Z347">
        <v>0</v>
      </c>
      <c r="AA347">
        <v>0</v>
      </c>
      <c r="AB347">
        <v>0</v>
      </c>
      <c r="AC347">
        <v>0</v>
      </c>
      <c r="AD347">
        <v>0</v>
      </c>
      <c r="AE347">
        <v>163</v>
      </c>
      <c r="AF347">
        <v>289</v>
      </c>
      <c r="AG347">
        <v>130</v>
      </c>
      <c r="AH347">
        <v>284</v>
      </c>
      <c r="AI347">
        <v>161</v>
      </c>
      <c r="AJ347">
        <v>151</v>
      </c>
      <c r="AK347">
        <v>55</v>
      </c>
      <c r="AL347">
        <v>30</v>
      </c>
      <c r="AM347">
        <v>20</v>
      </c>
      <c r="AN347">
        <v>11</v>
      </c>
      <c r="AO347">
        <v>3</v>
      </c>
      <c r="AP347">
        <v>2</v>
      </c>
      <c r="AQ347">
        <v>1</v>
      </c>
      <c r="AR347">
        <v>1</v>
      </c>
      <c r="AS347">
        <v>0</v>
      </c>
      <c r="AT347">
        <v>0</v>
      </c>
      <c r="AU347">
        <v>0</v>
      </c>
      <c r="AV347">
        <v>0</v>
      </c>
      <c r="AW347">
        <v>0</v>
      </c>
      <c r="AX347">
        <v>0</v>
      </c>
      <c r="AY347" t="s">
        <v>392</v>
      </c>
    </row>
    <row r="348" spans="2:51" x14ac:dyDescent="0.2">
      <c r="B348" t="s">
        <v>616</v>
      </c>
      <c r="C348">
        <v>7</v>
      </c>
      <c r="D348">
        <v>-2</v>
      </c>
      <c r="E348">
        <v>0</v>
      </c>
      <c r="F348">
        <v>0</v>
      </c>
      <c r="G348">
        <v>1</v>
      </c>
      <c r="H348">
        <v>999</v>
      </c>
      <c r="I348">
        <v>0</v>
      </c>
      <c r="J348">
        <v>15.609</v>
      </c>
      <c r="K348">
        <v>29.7163</v>
      </c>
      <c r="L348">
        <v>43.496200000000002</v>
      </c>
      <c r="M348">
        <v>51.912300000000002</v>
      </c>
      <c r="N348">
        <v>63.415399999999998</v>
      </c>
      <c r="O348">
        <v>69.423299999999998</v>
      </c>
      <c r="P348">
        <v>79.074100000000001</v>
      </c>
      <c r="Q348">
        <v>80.12</v>
      </c>
      <c r="R348">
        <v>87.1</v>
      </c>
      <c r="S348">
        <v>90.666700000000006</v>
      </c>
      <c r="T348">
        <v>88.25</v>
      </c>
      <c r="U348">
        <v>99</v>
      </c>
      <c r="V348">
        <v>92</v>
      </c>
      <c r="W348">
        <v>0</v>
      </c>
      <c r="X348">
        <v>0</v>
      </c>
      <c r="Y348">
        <v>0</v>
      </c>
      <c r="Z348">
        <v>0</v>
      </c>
      <c r="AA348">
        <v>0</v>
      </c>
      <c r="AB348">
        <v>0</v>
      </c>
      <c r="AC348">
        <v>0</v>
      </c>
      <c r="AD348">
        <v>0</v>
      </c>
      <c r="AE348">
        <v>133</v>
      </c>
      <c r="AF348">
        <v>289</v>
      </c>
      <c r="AG348">
        <v>264</v>
      </c>
      <c r="AH348">
        <v>171</v>
      </c>
      <c r="AI348">
        <v>272</v>
      </c>
      <c r="AJ348">
        <v>163</v>
      </c>
      <c r="AK348">
        <v>81</v>
      </c>
      <c r="AL348">
        <v>25</v>
      </c>
      <c r="AM348">
        <v>10</v>
      </c>
      <c r="AN348">
        <v>3</v>
      </c>
      <c r="AO348">
        <v>4</v>
      </c>
      <c r="AP348">
        <v>2</v>
      </c>
      <c r="AQ348">
        <v>1</v>
      </c>
      <c r="AR348">
        <v>0</v>
      </c>
      <c r="AS348">
        <v>0</v>
      </c>
      <c r="AT348">
        <v>0</v>
      </c>
      <c r="AU348">
        <v>0</v>
      </c>
      <c r="AV348">
        <v>0</v>
      </c>
      <c r="AW348">
        <v>0</v>
      </c>
      <c r="AX348">
        <v>0</v>
      </c>
      <c r="AY348" t="s">
        <v>393</v>
      </c>
    </row>
    <row r="349" spans="2:51" x14ac:dyDescent="0.2">
      <c r="B349" t="s">
        <v>617</v>
      </c>
      <c r="C349">
        <v>7</v>
      </c>
      <c r="D349">
        <v>-2</v>
      </c>
      <c r="E349">
        <v>0</v>
      </c>
      <c r="F349">
        <v>0</v>
      </c>
      <c r="G349">
        <v>1</v>
      </c>
      <c r="H349">
        <v>999</v>
      </c>
      <c r="I349">
        <v>0</v>
      </c>
      <c r="J349">
        <v>18.9071</v>
      </c>
      <c r="K349">
        <v>32.125500000000002</v>
      </c>
      <c r="L349">
        <v>43.980499999999999</v>
      </c>
      <c r="M349">
        <v>53.973300000000002</v>
      </c>
      <c r="N349">
        <v>64.216399999999993</v>
      </c>
      <c r="O349">
        <v>70.843400000000003</v>
      </c>
      <c r="P349">
        <v>75.473699999999994</v>
      </c>
      <c r="Q349">
        <v>84.217399999999998</v>
      </c>
      <c r="R349">
        <v>85.555599999999998</v>
      </c>
      <c r="S349">
        <v>86</v>
      </c>
      <c r="T349">
        <v>0</v>
      </c>
      <c r="U349">
        <v>94.5</v>
      </c>
      <c r="V349">
        <v>0</v>
      </c>
      <c r="W349">
        <v>0</v>
      </c>
      <c r="X349">
        <v>0</v>
      </c>
      <c r="Y349">
        <v>0</v>
      </c>
      <c r="Z349">
        <v>0</v>
      </c>
      <c r="AA349">
        <v>0</v>
      </c>
      <c r="AB349">
        <v>0</v>
      </c>
      <c r="AC349">
        <v>0</v>
      </c>
      <c r="AD349">
        <v>0</v>
      </c>
      <c r="AE349">
        <v>183</v>
      </c>
      <c r="AF349">
        <v>231</v>
      </c>
      <c r="AG349">
        <v>307</v>
      </c>
      <c r="AH349">
        <v>300</v>
      </c>
      <c r="AI349">
        <v>134</v>
      </c>
      <c r="AJ349">
        <v>166</v>
      </c>
      <c r="AK349">
        <v>57</v>
      </c>
      <c r="AL349">
        <v>23</v>
      </c>
      <c r="AM349">
        <v>9</v>
      </c>
      <c r="AN349">
        <v>8</v>
      </c>
      <c r="AO349">
        <v>0</v>
      </c>
      <c r="AP349">
        <v>2</v>
      </c>
      <c r="AQ349">
        <v>0</v>
      </c>
      <c r="AR349">
        <v>0</v>
      </c>
      <c r="AS349">
        <v>0</v>
      </c>
      <c r="AT349">
        <v>0</v>
      </c>
      <c r="AU349">
        <v>0</v>
      </c>
      <c r="AV349">
        <v>0</v>
      </c>
      <c r="AW349">
        <v>0</v>
      </c>
      <c r="AX349">
        <v>0</v>
      </c>
      <c r="AY349" t="s">
        <v>394</v>
      </c>
    </row>
    <row r="350" spans="2:51" x14ac:dyDescent="0.2">
      <c r="B350" t="s">
        <v>618</v>
      </c>
      <c r="C350">
        <v>7</v>
      </c>
      <c r="D350">
        <v>-2</v>
      </c>
      <c r="E350">
        <v>0</v>
      </c>
      <c r="F350">
        <v>0</v>
      </c>
      <c r="G350">
        <v>1</v>
      </c>
      <c r="H350">
        <v>999</v>
      </c>
      <c r="I350">
        <v>0</v>
      </c>
      <c r="J350">
        <v>20.878599999999999</v>
      </c>
      <c r="K350">
        <v>34.625700000000002</v>
      </c>
      <c r="L350">
        <v>45.562899999999999</v>
      </c>
      <c r="M350">
        <v>55.756599999999999</v>
      </c>
      <c r="N350">
        <v>63.846699999999998</v>
      </c>
      <c r="O350">
        <v>72.743600000000001</v>
      </c>
      <c r="P350">
        <v>78.455600000000004</v>
      </c>
      <c r="Q350">
        <v>84.166700000000006</v>
      </c>
      <c r="R350">
        <v>92.833299999999994</v>
      </c>
      <c r="S350">
        <v>94</v>
      </c>
      <c r="T350">
        <v>100</v>
      </c>
      <c r="U350">
        <v>86</v>
      </c>
      <c r="V350">
        <v>103</v>
      </c>
      <c r="W350">
        <v>0</v>
      </c>
      <c r="X350">
        <v>0</v>
      </c>
      <c r="Y350">
        <v>0</v>
      </c>
      <c r="Z350">
        <v>0</v>
      </c>
      <c r="AA350">
        <v>0</v>
      </c>
      <c r="AB350">
        <v>0</v>
      </c>
      <c r="AC350">
        <v>0</v>
      </c>
      <c r="AD350">
        <v>0</v>
      </c>
      <c r="AE350">
        <v>140</v>
      </c>
      <c r="AF350">
        <v>374</v>
      </c>
      <c r="AG350">
        <v>318</v>
      </c>
      <c r="AH350">
        <v>456</v>
      </c>
      <c r="AI350">
        <v>287</v>
      </c>
      <c r="AJ350">
        <v>117</v>
      </c>
      <c r="AK350">
        <v>90</v>
      </c>
      <c r="AL350">
        <v>24</v>
      </c>
      <c r="AM350">
        <v>6</v>
      </c>
      <c r="AN350">
        <v>3</v>
      </c>
      <c r="AO350">
        <v>2</v>
      </c>
      <c r="AP350">
        <v>1</v>
      </c>
      <c r="AQ350">
        <v>1</v>
      </c>
      <c r="AR350">
        <v>0</v>
      </c>
      <c r="AS350">
        <v>0</v>
      </c>
      <c r="AT350">
        <v>0</v>
      </c>
      <c r="AU350">
        <v>0</v>
      </c>
      <c r="AV350">
        <v>0</v>
      </c>
      <c r="AW350">
        <v>0</v>
      </c>
      <c r="AX350">
        <v>0</v>
      </c>
      <c r="AY350" t="s">
        <v>395</v>
      </c>
    </row>
    <row r="351" spans="2:51" x14ac:dyDescent="0.2">
      <c r="B351" t="s">
        <v>619</v>
      </c>
      <c r="C351">
        <v>7</v>
      </c>
      <c r="D351">
        <v>-2</v>
      </c>
      <c r="E351">
        <v>0</v>
      </c>
      <c r="F351">
        <v>0</v>
      </c>
      <c r="G351">
        <v>1</v>
      </c>
      <c r="H351">
        <v>999</v>
      </c>
      <c r="I351">
        <v>0</v>
      </c>
      <c r="J351">
        <v>22.0122</v>
      </c>
      <c r="K351">
        <v>34.881100000000004</v>
      </c>
      <c r="L351">
        <v>45.696199999999997</v>
      </c>
      <c r="M351">
        <v>53.493699999999997</v>
      </c>
      <c r="N351">
        <v>64.127099999999999</v>
      </c>
      <c r="O351">
        <v>70.613500000000002</v>
      </c>
      <c r="P351">
        <v>79.095200000000006</v>
      </c>
      <c r="Q351">
        <v>86.230800000000002</v>
      </c>
      <c r="R351">
        <v>88.083299999999994</v>
      </c>
      <c r="S351">
        <v>97.2</v>
      </c>
      <c r="T351">
        <v>95</v>
      </c>
      <c r="U351">
        <v>0</v>
      </c>
      <c r="V351">
        <v>0</v>
      </c>
      <c r="W351">
        <v>0</v>
      </c>
      <c r="X351">
        <v>0</v>
      </c>
      <c r="Y351">
        <v>0</v>
      </c>
      <c r="Z351">
        <v>0</v>
      </c>
      <c r="AA351">
        <v>0</v>
      </c>
      <c r="AB351">
        <v>0</v>
      </c>
      <c r="AC351">
        <v>0</v>
      </c>
      <c r="AD351">
        <v>0</v>
      </c>
      <c r="AE351">
        <v>164</v>
      </c>
      <c r="AF351">
        <v>143</v>
      </c>
      <c r="AG351">
        <v>372</v>
      </c>
      <c r="AH351">
        <v>318</v>
      </c>
      <c r="AI351">
        <v>354</v>
      </c>
      <c r="AJ351">
        <v>163</v>
      </c>
      <c r="AK351">
        <v>63</v>
      </c>
      <c r="AL351">
        <v>26</v>
      </c>
      <c r="AM351">
        <v>12</v>
      </c>
      <c r="AN351">
        <v>5</v>
      </c>
      <c r="AO351">
        <v>4</v>
      </c>
      <c r="AP351">
        <v>0</v>
      </c>
      <c r="AQ351">
        <v>0</v>
      </c>
      <c r="AR351">
        <v>0</v>
      </c>
      <c r="AS351">
        <v>0</v>
      </c>
      <c r="AT351">
        <v>0</v>
      </c>
      <c r="AU351">
        <v>0</v>
      </c>
      <c r="AV351">
        <v>0</v>
      </c>
      <c r="AW351">
        <v>0</v>
      </c>
      <c r="AX351">
        <v>0</v>
      </c>
      <c r="AY351" t="s">
        <v>396</v>
      </c>
    </row>
    <row r="352" spans="2:51" x14ac:dyDescent="0.2">
      <c r="B352" t="s">
        <v>620</v>
      </c>
      <c r="C352">
        <v>7</v>
      </c>
      <c r="D352">
        <v>-2</v>
      </c>
      <c r="E352">
        <v>0</v>
      </c>
      <c r="F352">
        <v>0</v>
      </c>
      <c r="G352">
        <v>1</v>
      </c>
      <c r="H352">
        <v>999</v>
      </c>
      <c r="I352">
        <v>0</v>
      </c>
      <c r="J352">
        <v>21.579799999999999</v>
      </c>
      <c r="K352">
        <v>35.430100000000003</v>
      </c>
      <c r="L352">
        <v>47.166699999999999</v>
      </c>
      <c r="M352">
        <v>56.3078</v>
      </c>
      <c r="N352">
        <v>63.979799999999997</v>
      </c>
      <c r="O352">
        <v>72.454499999999996</v>
      </c>
      <c r="P352">
        <v>76.243200000000002</v>
      </c>
      <c r="Q352">
        <v>87</v>
      </c>
      <c r="R352">
        <v>81</v>
      </c>
      <c r="S352">
        <v>0</v>
      </c>
      <c r="T352">
        <v>94</v>
      </c>
      <c r="U352">
        <v>0</v>
      </c>
      <c r="V352">
        <v>88</v>
      </c>
      <c r="W352">
        <v>0</v>
      </c>
      <c r="X352">
        <v>0</v>
      </c>
      <c r="Y352">
        <v>0</v>
      </c>
      <c r="Z352">
        <v>0</v>
      </c>
      <c r="AA352">
        <v>0</v>
      </c>
      <c r="AB352">
        <v>0</v>
      </c>
      <c r="AC352">
        <v>0</v>
      </c>
      <c r="AD352">
        <v>0</v>
      </c>
      <c r="AE352">
        <v>119</v>
      </c>
      <c r="AF352">
        <v>193</v>
      </c>
      <c r="AG352">
        <v>228</v>
      </c>
      <c r="AH352">
        <v>523</v>
      </c>
      <c r="AI352">
        <v>347</v>
      </c>
      <c r="AJ352">
        <v>242</v>
      </c>
      <c r="AK352">
        <v>74</v>
      </c>
      <c r="AL352">
        <v>10</v>
      </c>
      <c r="AM352">
        <v>6</v>
      </c>
      <c r="AN352">
        <v>0</v>
      </c>
      <c r="AO352">
        <v>1</v>
      </c>
      <c r="AP352">
        <v>0</v>
      </c>
      <c r="AQ352">
        <v>1</v>
      </c>
      <c r="AR352">
        <v>0</v>
      </c>
      <c r="AS352">
        <v>0</v>
      </c>
      <c r="AT352">
        <v>0</v>
      </c>
      <c r="AU352">
        <v>0</v>
      </c>
      <c r="AV352">
        <v>0</v>
      </c>
      <c r="AW352">
        <v>0</v>
      </c>
      <c r="AX352">
        <v>0</v>
      </c>
      <c r="AY352" t="s">
        <v>397</v>
      </c>
    </row>
    <row r="353" spans="2:51" x14ac:dyDescent="0.2">
      <c r="B353" t="s">
        <v>621</v>
      </c>
      <c r="C353">
        <v>7</v>
      </c>
      <c r="D353">
        <v>-2</v>
      </c>
      <c r="E353">
        <v>0</v>
      </c>
      <c r="F353">
        <v>0</v>
      </c>
      <c r="G353">
        <v>1</v>
      </c>
      <c r="H353">
        <v>999</v>
      </c>
      <c r="I353">
        <v>0</v>
      </c>
      <c r="J353">
        <v>23.4</v>
      </c>
      <c r="K353">
        <v>35.579500000000003</v>
      </c>
      <c r="L353">
        <v>44.746299999999998</v>
      </c>
      <c r="M353">
        <v>56.401800000000001</v>
      </c>
      <c r="N353">
        <v>65.026600000000002</v>
      </c>
      <c r="O353">
        <v>72.92</v>
      </c>
      <c r="P353">
        <v>81.452100000000002</v>
      </c>
      <c r="Q353">
        <v>87.545500000000004</v>
      </c>
      <c r="R353">
        <v>80</v>
      </c>
      <c r="S353">
        <v>99</v>
      </c>
      <c r="T353">
        <v>0</v>
      </c>
      <c r="U353">
        <v>0</v>
      </c>
      <c r="V353">
        <v>0</v>
      </c>
      <c r="W353">
        <v>0</v>
      </c>
      <c r="X353">
        <v>0</v>
      </c>
      <c r="Y353">
        <v>0</v>
      </c>
      <c r="Z353">
        <v>0</v>
      </c>
      <c r="AA353">
        <v>0</v>
      </c>
      <c r="AB353">
        <v>0</v>
      </c>
      <c r="AC353">
        <v>0</v>
      </c>
      <c r="AD353">
        <v>0</v>
      </c>
      <c r="AE353">
        <v>50</v>
      </c>
      <c r="AF353">
        <v>88</v>
      </c>
      <c r="AG353">
        <v>268</v>
      </c>
      <c r="AH353">
        <v>219</v>
      </c>
      <c r="AI353">
        <v>451</v>
      </c>
      <c r="AJ353">
        <v>175</v>
      </c>
      <c r="AK353">
        <v>73</v>
      </c>
      <c r="AL353">
        <v>11</v>
      </c>
      <c r="AM353">
        <v>3</v>
      </c>
      <c r="AN353">
        <v>1</v>
      </c>
      <c r="AO353">
        <v>0</v>
      </c>
      <c r="AP353">
        <v>0</v>
      </c>
      <c r="AQ353">
        <v>0</v>
      </c>
      <c r="AR353">
        <v>0</v>
      </c>
      <c r="AS353">
        <v>0</v>
      </c>
      <c r="AT353">
        <v>0</v>
      </c>
      <c r="AU353">
        <v>0</v>
      </c>
      <c r="AV353">
        <v>0</v>
      </c>
      <c r="AW353">
        <v>0</v>
      </c>
      <c r="AX353">
        <v>0</v>
      </c>
      <c r="AY353" t="s">
        <v>398</v>
      </c>
    </row>
    <row r="354" spans="2:51" x14ac:dyDescent="0.2">
      <c r="B354" t="s">
        <v>622</v>
      </c>
      <c r="C354">
        <v>7</v>
      </c>
      <c r="D354">
        <v>-2</v>
      </c>
      <c r="E354">
        <v>0</v>
      </c>
      <c r="F354">
        <v>0</v>
      </c>
      <c r="G354">
        <v>1</v>
      </c>
      <c r="H354">
        <v>999</v>
      </c>
      <c r="I354">
        <v>0</v>
      </c>
      <c r="J354">
        <v>22.462599999999998</v>
      </c>
      <c r="K354">
        <v>40.539200000000001</v>
      </c>
      <c r="L354">
        <v>51.279899999999998</v>
      </c>
      <c r="M354">
        <v>58.190300000000001</v>
      </c>
      <c r="N354">
        <v>66.047600000000003</v>
      </c>
      <c r="O354">
        <v>72.370099999999994</v>
      </c>
      <c r="P354">
        <v>77.517700000000005</v>
      </c>
      <c r="Q354">
        <v>87.576899999999995</v>
      </c>
      <c r="R354">
        <v>87.25</v>
      </c>
      <c r="S354">
        <v>87</v>
      </c>
      <c r="T354">
        <v>0</v>
      </c>
      <c r="U354">
        <v>76</v>
      </c>
      <c r="V354">
        <v>0</v>
      </c>
      <c r="W354">
        <v>0</v>
      </c>
      <c r="X354">
        <v>0</v>
      </c>
      <c r="Y354">
        <v>0</v>
      </c>
      <c r="Z354">
        <v>0</v>
      </c>
      <c r="AA354">
        <v>0</v>
      </c>
      <c r="AB354">
        <v>0</v>
      </c>
      <c r="AC354">
        <v>0</v>
      </c>
      <c r="AD354">
        <v>0</v>
      </c>
      <c r="AE354">
        <v>281</v>
      </c>
      <c r="AF354">
        <v>204</v>
      </c>
      <c r="AG354">
        <v>268</v>
      </c>
      <c r="AH354">
        <v>310</v>
      </c>
      <c r="AI354">
        <v>252</v>
      </c>
      <c r="AJ354">
        <v>335</v>
      </c>
      <c r="AK354">
        <v>141</v>
      </c>
      <c r="AL354">
        <v>26</v>
      </c>
      <c r="AM354">
        <v>4</v>
      </c>
      <c r="AN354">
        <v>2</v>
      </c>
      <c r="AO354">
        <v>0</v>
      </c>
      <c r="AP354">
        <v>1</v>
      </c>
      <c r="AQ354">
        <v>0</v>
      </c>
      <c r="AR354">
        <v>0</v>
      </c>
      <c r="AS354">
        <v>0</v>
      </c>
      <c r="AT354">
        <v>0</v>
      </c>
      <c r="AU354">
        <v>0</v>
      </c>
      <c r="AV354">
        <v>0</v>
      </c>
      <c r="AW354">
        <v>0</v>
      </c>
      <c r="AX354">
        <v>0</v>
      </c>
      <c r="AY354" t="s">
        <v>399</v>
      </c>
    </row>
    <row r="355" spans="2:51" x14ac:dyDescent="0.2">
      <c r="B355" t="s">
        <v>623</v>
      </c>
      <c r="C355">
        <v>7</v>
      </c>
      <c r="D355">
        <v>-2</v>
      </c>
      <c r="E355">
        <v>0</v>
      </c>
      <c r="F355">
        <v>0</v>
      </c>
      <c r="G355">
        <v>1</v>
      </c>
      <c r="H355">
        <v>999</v>
      </c>
      <c r="I355">
        <v>0</v>
      </c>
      <c r="J355">
        <v>22.371300000000002</v>
      </c>
      <c r="K355">
        <v>37.7654</v>
      </c>
      <c r="L355">
        <v>47.182000000000002</v>
      </c>
      <c r="M355">
        <v>53.248600000000003</v>
      </c>
      <c r="N355">
        <v>65.090900000000005</v>
      </c>
      <c r="O355">
        <v>71.554100000000005</v>
      </c>
      <c r="P355">
        <v>79.777799999999999</v>
      </c>
      <c r="Q355">
        <v>83.12</v>
      </c>
      <c r="R355">
        <v>87.583299999999994</v>
      </c>
      <c r="S355">
        <v>95</v>
      </c>
      <c r="T355">
        <v>0</v>
      </c>
      <c r="U355">
        <v>83</v>
      </c>
      <c r="V355">
        <v>0</v>
      </c>
      <c r="W355">
        <v>0</v>
      </c>
      <c r="X355">
        <v>0</v>
      </c>
      <c r="Y355">
        <v>0</v>
      </c>
      <c r="Z355">
        <v>0</v>
      </c>
      <c r="AA355">
        <v>0</v>
      </c>
      <c r="AB355">
        <v>0</v>
      </c>
      <c r="AC355">
        <v>0</v>
      </c>
      <c r="AD355">
        <v>0</v>
      </c>
      <c r="AE355">
        <v>167</v>
      </c>
      <c r="AF355">
        <v>162</v>
      </c>
      <c r="AG355">
        <v>533</v>
      </c>
      <c r="AH355">
        <v>366</v>
      </c>
      <c r="AI355">
        <v>198</v>
      </c>
      <c r="AJ355">
        <v>157</v>
      </c>
      <c r="AK355">
        <v>108</v>
      </c>
      <c r="AL355">
        <v>50</v>
      </c>
      <c r="AM355">
        <v>12</v>
      </c>
      <c r="AN355">
        <v>2</v>
      </c>
      <c r="AO355">
        <v>0</v>
      </c>
      <c r="AP355">
        <v>1</v>
      </c>
      <c r="AQ355">
        <v>0</v>
      </c>
      <c r="AR355">
        <v>0</v>
      </c>
      <c r="AS355">
        <v>0</v>
      </c>
      <c r="AT355">
        <v>0</v>
      </c>
      <c r="AU355">
        <v>0</v>
      </c>
      <c r="AV355">
        <v>0</v>
      </c>
      <c r="AW355">
        <v>0</v>
      </c>
      <c r="AX355">
        <v>0</v>
      </c>
      <c r="AY355" t="s">
        <v>400</v>
      </c>
    </row>
    <row r="356" spans="2:51" x14ac:dyDescent="0.2">
      <c r="B356" t="s">
        <v>176</v>
      </c>
      <c r="C356">
        <v>7</v>
      </c>
      <c r="D356">
        <v>-2</v>
      </c>
      <c r="E356">
        <v>0</v>
      </c>
      <c r="F356">
        <v>0</v>
      </c>
      <c r="G356">
        <v>1</v>
      </c>
      <c r="H356">
        <v>999</v>
      </c>
      <c r="I356">
        <v>0</v>
      </c>
      <c r="J356">
        <v>18.5486</v>
      </c>
      <c r="K356">
        <v>38.171199999999999</v>
      </c>
      <c r="L356">
        <v>48.453899999999997</v>
      </c>
      <c r="M356">
        <v>56.273800000000001</v>
      </c>
      <c r="N356">
        <v>63.671300000000002</v>
      </c>
      <c r="O356">
        <v>75.0227</v>
      </c>
      <c r="P356">
        <v>81.381399999999999</v>
      </c>
      <c r="Q356">
        <v>85.114800000000002</v>
      </c>
      <c r="R356">
        <v>90.88</v>
      </c>
      <c r="S356">
        <v>91.428600000000003</v>
      </c>
      <c r="T356">
        <v>100</v>
      </c>
      <c r="U356">
        <v>0</v>
      </c>
      <c r="V356">
        <v>0</v>
      </c>
      <c r="W356">
        <v>0</v>
      </c>
      <c r="X356">
        <v>0</v>
      </c>
      <c r="Y356">
        <v>0</v>
      </c>
      <c r="Z356">
        <v>0</v>
      </c>
      <c r="AA356">
        <v>0</v>
      </c>
      <c r="AB356">
        <v>0</v>
      </c>
      <c r="AC356">
        <v>0</v>
      </c>
      <c r="AD356">
        <v>0</v>
      </c>
      <c r="AE356">
        <v>175</v>
      </c>
      <c r="AF356">
        <v>257</v>
      </c>
      <c r="AG356">
        <v>293</v>
      </c>
      <c r="AH356">
        <v>515</v>
      </c>
      <c r="AI356">
        <v>216</v>
      </c>
      <c r="AJ356">
        <v>132</v>
      </c>
      <c r="AK356">
        <v>97</v>
      </c>
      <c r="AL356">
        <v>61</v>
      </c>
      <c r="AM356">
        <v>25</v>
      </c>
      <c r="AN356">
        <v>7</v>
      </c>
      <c r="AO356">
        <v>1</v>
      </c>
      <c r="AP356">
        <v>0</v>
      </c>
      <c r="AQ356">
        <v>0</v>
      </c>
      <c r="AR356">
        <v>0</v>
      </c>
      <c r="AS356">
        <v>0</v>
      </c>
      <c r="AT356">
        <v>0</v>
      </c>
      <c r="AU356">
        <v>0</v>
      </c>
      <c r="AV356">
        <v>0</v>
      </c>
      <c r="AW356">
        <v>0</v>
      </c>
      <c r="AX356">
        <v>0</v>
      </c>
      <c r="AY356" t="s">
        <v>401</v>
      </c>
    </row>
    <row r="357" spans="2:51" x14ac:dyDescent="0.2">
      <c r="B357" t="s">
        <v>624</v>
      </c>
      <c r="C357">
        <v>7</v>
      </c>
      <c r="D357">
        <v>-2</v>
      </c>
      <c r="E357">
        <v>0</v>
      </c>
      <c r="F357">
        <v>0</v>
      </c>
      <c r="G357">
        <v>1</v>
      </c>
      <c r="H357">
        <v>999</v>
      </c>
      <c r="I357">
        <v>0</v>
      </c>
      <c r="J357">
        <v>18.446899999999999</v>
      </c>
      <c r="K357">
        <v>35.3718</v>
      </c>
      <c r="L357">
        <v>49.368000000000002</v>
      </c>
      <c r="M357">
        <v>58.753599999999999</v>
      </c>
      <c r="N357">
        <v>64.709299999999999</v>
      </c>
      <c r="O357">
        <v>76.431799999999996</v>
      </c>
      <c r="P357">
        <v>82.763599999999997</v>
      </c>
      <c r="Q357">
        <v>88.9375</v>
      </c>
      <c r="R357">
        <v>93.25</v>
      </c>
      <c r="S357">
        <v>94.25</v>
      </c>
      <c r="T357">
        <v>0</v>
      </c>
      <c r="U357">
        <v>0</v>
      </c>
      <c r="V357">
        <v>0</v>
      </c>
      <c r="W357">
        <v>0</v>
      </c>
      <c r="X357">
        <v>0</v>
      </c>
      <c r="Y357">
        <v>0</v>
      </c>
      <c r="Z357">
        <v>0</v>
      </c>
      <c r="AA357">
        <v>0</v>
      </c>
      <c r="AB357">
        <v>0</v>
      </c>
      <c r="AC357">
        <v>0</v>
      </c>
      <c r="AD357">
        <v>0</v>
      </c>
      <c r="AE357">
        <v>179</v>
      </c>
      <c r="AF357">
        <v>312</v>
      </c>
      <c r="AG357">
        <v>337</v>
      </c>
      <c r="AH357">
        <v>349</v>
      </c>
      <c r="AI357">
        <v>313</v>
      </c>
      <c r="AJ357">
        <v>88</v>
      </c>
      <c r="AK357">
        <v>55</v>
      </c>
      <c r="AL357">
        <v>32</v>
      </c>
      <c r="AM357">
        <v>8</v>
      </c>
      <c r="AN357">
        <v>4</v>
      </c>
      <c r="AO357">
        <v>0</v>
      </c>
      <c r="AP357">
        <v>0</v>
      </c>
      <c r="AQ357">
        <v>0</v>
      </c>
      <c r="AR357">
        <v>0</v>
      </c>
      <c r="AS357">
        <v>0</v>
      </c>
      <c r="AT357">
        <v>0</v>
      </c>
      <c r="AU357">
        <v>0</v>
      </c>
      <c r="AV357">
        <v>0</v>
      </c>
      <c r="AW357">
        <v>0</v>
      </c>
      <c r="AX357">
        <v>0</v>
      </c>
      <c r="AY357" t="s">
        <v>402</v>
      </c>
    </row>
    <row r="358" spans="2:51" x14ac:dyDescent="0.2">
      <c r="B358" t="s">
        <v>596</v>
      </c>
      <c r="C358">
        <v>7</v>
      </c>
      <c r="D358">
        <v>-2</v>
      </c>
      <c r="E358">
        <v>0</v>
      </c>
      <c r="F358">
        <v>0</v>
      </c>
      <c r="G358">
        <v>-1</v>
      </c>
      <c r="H358">
        <v>999</v>
      </c>
      <c r="I358">
        <v>0</v>
      </c>
      <c r="J358">
        <v>4.1801699999999997E-2</v>
      </c>
      <c r="K358">
        <v>0.22017900000000001</v>
      </c>
      <c r="L358">
        <v>0.48417900000000003</v>
      </c>
      <c r="M358">
        <v>1.0475699999999999</v>
      </c>
      <c r="N358">
        <v>1.74271</v>
      </c>
      <c r="O358">
        <v>2.89025</v>
      </c>
      <c r="P358">
        <v>4.1285699999999999</v>
      </c>
      <c r="Q358">
        <v>6.5681799999999999</v>
      </c>
      <c r="R358">
        <v>7.7518200000000004</v>
      </c>
      <c r="S358">
        <v>8</v>
      </c>
      <c r="T358">
        <v>8.25</v>
      </c>
      <c r="U358">
        <v>9.9733300000000007</v>
      </c>
      <c r="V358">
        <v>0</v>
      </c>
      <c r="W358">
        <v>11.5</v>
      </c>
      <c r="X358">
        <v>0</v>
      </c>
      <c r="Y358">
        <v>0</v>
      </c>
      <c r="Z358">
        <v>0</v>
      </c>
      <c r="AA358">
        <v>0</v>
      </c>
      <c r="AB358">
        <v>0</v>
      </c>
      <c r="AC358">
        <v>0</v>
      </c>
      <c r="AD358">
        <v>0</v>
      </c>
      <c r="AE358">
        <v>116</v>
      </c>
      <c r="AF358">
        <v>67</v>
      </c>
      <c r="AG358">
        <v>95</v>
      </c>
      <c r="AH358">
        <v>90</v>
      </c>
      <c r="AI358">
        <v>102</v>
      </c>
      <c r="AJ358">
        <v>44</v>
      </c>
      <c r="AK358">
        <v>14</v>
      </c>
      <c r="AL358">
        <v>11</v>
      </c>
      <c r="AM358">
        <v>11</v>
      </c>
      <c r="AN358">
        <v>5</v>
      </c>
      <c r="AO358">
        <v>2</v>
      </c>
      <c r="AP358">
        <v>3</v>
      </c>
      <c r="AQ358">
        <v>0</v>
      </c>
      <c r="AR358">
        <v>1</v>
      </c>
      <c r="AS358">
        <v>0</v>
      </c>
      <c r="AT358">
        <v>0</v>
      </c>
      <c r="AU358">
        <v>0</v>
      </c>
      <c r="AV358">
        <v>0</v>
      </c>
      <c r="AW358">
        <v>0</v>
      </c>
      <c r="AX358">
        <v>0</v>
      </c>
      <c r="AY358" t="s">
        <v>403</v>
      </c>
    </row>
    <row r="359" spans="2:51" x14ac:dyDescent="0.2">
      <c r="B359" t="s">
        <v>601</v>
      </c>
      <c r="C359">
        <v>7</v>
      </c>
      <c r="D359">
        <v>-2</v>
      </c>
      <c r="E359">
        <v>0</v>
      </c>
      <c r="F359">
        <v>0</v>
      </c>
      <c r="G359">
        <v>-1</v>
      </c>
      <c r="H359">
        <v>999</v>
      </c>
      <c r="I359">
        <v>0</v>
      </c>
      <c r="J359">
        <v>3.93704E-2</v>
      </c>
      <c r="K359">
        <v>0.296931</v>
      </c>
      <c r="L359">
        <v>0.77591299999999996</v>
      </c>
      <c r="M359">
        <v>1.49272</v>
      </c>
      <c r="N359">
        <v>2.7034500000000001</v>
      </c>
      <c r="O359">
        <v>4.0579599999999996</v>
      </c>
      <c r="P359">
        <v>5.1194800000000003</v>
      </c>
      <c r="Q359">
        <v>7.1760599999999997</v>
      </c>
      <c r="R359">
        <v>9.6850000000000005</v>
      </c>
      <c r="S359">
        <v>0</v>
      </c>
      <c r="T359">
        <v>11.025</v>
      </c>
      <c r="U359">
        <v>0</v>
      </c>
      <c r="V359">
        <v>0</v>
      </c>
      <c r="W359">
        <v>0</v>
      </c>
      <c r="X359">
        <v>0</v>
      </c>
      <c r="Y359">
        <v>0</v>
      </c>
      <c r="Z359">
        <v>0</v>
      </c>
      <c r="AA359">
        <v>0</v>
      </c>
      <c r="AB359">
        <v>0</v>
      </c>
      <c r="AC359">
        <v>0</v>
      </c>
      <c r="AD359">
        <v>0</v>
      </c>
      <c r="AE359">
        <v>27</v>
      </c>
      <c r="AF359">
        <v>58</v>
      </c>
      <c r="AG359">
        <v>46</v>
      </c>
      <c r="AH359">
        <v>47</v>
      </c>
      <c r="AI359">
        <v>40</v>
      </c>
      <c r="AJ359">
        <v>47</v>
      </c>
      <c r="AK359">
        <v>23</v>
      </c>
      <c r="AL359">
        <v>17</v>
      </c>
      <c r="AM359">
        <v>4</v>
      </c>
      <c r="AN359">
        <v>0</v>
      </c>
      <c r="AO359">
        <v>1</v>
      </c>
      <c r="AP359">
        <v>0</v>
      </c>
      <c r="AQ359">
        <v>0</v>
      </c>
      <c r="AR359">
        <v>0</v>
      </c>
      <c r="AS359">
        <v>0</v>
      </c>
      <c r="AT359">
        <v>0</v>
      </c>
      <c r="AU359">
        <v>0</v>
      </c>
      <c r="AV359">
        <v>0</v>
      </c>
      <c r="AW359">
        <v>0</v>
      </c>
      <c r="AX359">
        <v>0</v>
      </c>
      <c r="AY359" t="s">
        <v>404</v>
      </c>
    </row>
    <row r="360" spans="2:51" x14ac:dyDescent="0.2">
      <c r="B360" t="s">
        <v>602</v>
      </c>
      <c r="C360">
        <v>7</v>
      </c>
      <c r="D360">
        <v>-2</v>
      </c>
      <c r="E360">
        <v>0</v>
      </c>
      <c r="F360">
        <v>0</v>
      </c>
      <c r="G360">
        <v>-1</v>
      </c>
      <c r="H360">
        <v>999</v>
      </c>
      <c r="I360">
        <v>0</v>
      </c>
      <c r="J360">
        <v>4.2382700000000002E-2</v>
      </c>
      <c r="K360">
        <v>0.22426499999999999</v>
      </c>
      <c r="L360">
        <v>0.63663800000000004</v>
      </c>
      <c r="M360">
        <v>1.10405</v>
      </c>
      <c r="N360">
        <v>2.0933799999999998</v>
      </c>
      <c r="O360">
        <v>3.4048600000000002</v>
      </c>
      <c r="P360">
        <v>4.4065599999999998</v>
      </c>
      <c r="Q360">
        <v>6.5516199999999998</v>
      </c>
      <c r="R360">
        <v>6.8338799999999997</v>
      </c>
      <c r="S360">
        <v>0</v>
      </c>
      <c r="T360">
        <v>9.65</v>
      </c>
      <c r="U360">
        <v>0</v>
      </c>
      <c r="V360">
        <v>0</v>
      </c>
      <c r="W360">
        <v>0</v>
      </c>
      <c r="X360">
        <v>0</v>
      </c>
      <c r="Y360">
        <v>0</v>
      </c>
      <c r="Z360">
        <v>0</v>
      </c>
      <c r="AA360">
        <v>0</v>
      </c>
      <c r="AB360">
        <v>0</v>
      </c>
      <c r="AC360">
        <v>0</v>
      </c>
      <c r="AD360">
        <v>0</v>
      </c>
      <c r="AE360">
        <v>81</v>
      </c>
      <c r="AF360">
        <v>162</v>
      </c>
      <c r="AG360">
        <v>188</v>
      </c>
      <c r="AH360">
        <v>155</v>
      </c>
      <c r="AI360">
        <v>100</v>
      </c>
      <c r="AJ360">
        <v>70</v>
      </c>
      <c r="AK360">
        <v>43</v>
      </c>
      <c r="AL360">
        <v>16</v>
      </c>
      <c r="AM360">
        <v>8</v>
      </c>
      <c r="AN360">
        <v>0</v>
      </c>
      <c r="AO360">
        <v>1</v>
      </c>
      <c r="AP360">
        <v>0</v>
      </c>
      <c r="AQ360">
        <v>0</v>
      </c>
      <c r="AR360">
        <v>0</v>
      </c>
      <c r="AS360">
        <v>0</v>
      </c>
      <c r="AT360">
        <v>0</v>
      </c>
      <c r="AU360">
        <v>0</v>
      </c>
      <c r="AV360">
        <v>0</v>
      </c>
      <c r="AW360">
        <v>0</v>
      </c>
      <c r="AX360">
        <v>0</v>
      </c>
      <c r="AY360" t="s">
        <v>405</v>
      </c>
    </row>
    <row r="361" spans="2:51" x14ac:dyDescent="0.2">
      <c r="B361" t="s">
        <v>603</v>
      </c>
      <c r="C361">
        <v>7</v>
      </c>
      <c r="D361">
        <v>-2</v>
      </c>
      <c r="E361">
        <v>0</v>
      </c>
      <c r="F361">
        <v>0</v>
      </c>
      <c r="G361">
        <v>-1</v>
      </c>
      <c r="H361">
        <v>999</v>
      </c>
      <c r="I361">
        <v>0</v>
      </c>
      <c r="J361">
        <v>3.8612599999999997E-2</v>
      </c>
      <c r="K361">
        <v>0.25406000000000001</v>
      </c>
      <c r="L361">
        <v>0.60456900000000002</v>
      </c>
      <c r="M361">
        <v>1.2904800000000001</v>
      </c>
      <c r="N361">
        <v>2.1179700000000001</v>
      </c>
      <c r="O361">
        <v>2.8519999999999999</v>
      </c>
      <c r="P361">
        <v>4.2742899999999997</v>
      </c>
      <c r="Q361">
        <v>4.32395</v>
      </c>
      <c r="R361">
        <v>6.5975000000000001</v>
      </c>
      <c r="S361">
        <v>6.6163299999999996</v>
      </c>
      <c r="T361">
        <v>3.1419999999999999</v>
      </c>
      <c r="U361">
        <v>0</v>
      </c>
      <c r="V361">
        <v>0</v>
      </c>
      <c r="W361">
        <v>0</v>
      </c>
      <c r="X361">
        <v>0</v>
      </c>
      <c r="Y361">
        <v>0</v>
      </c>
      <c r="Z361">
        <v>0</v>
      </c>
      <c r="AA361">
        <v>0</v>
      </c>
      <c r="AB361">
        <v>0</v>
      </c>
      <c r="AC361">
        <v>0</v>
      </c>
      <c r="AD361">
        <v>0</v>
      </c>
      <c r="AE361">
        <v>111</v>
      </c>
      <c r="AF361">
        <v>100</v>
      </c>
      <c r="AG361">
        <v>130</v>
      </c>
      <c r="AH361">
        <v>202</v>
      </c>
      <c r="AI361">
        <v>175</v>
      </c>
      <c r="AJ361">
        <v>82</v>
      </c>
      <c r="AK361">
        <v>21</v>
      </c>
      <c r="AL361">
        <v>19</v>
      </c>
      <c r="AM361">
        <v>6</v>
      </c>
      <c r="AN361">
        <v>6</v>
      </c>
      <c r="AO361">
        <v>1</v>
      </c>
      <c r="AP361">
        <v>0</v>
      </c>
      <c r="AQ361">
        <v>0</v>
      </c>
      <c r="AR361">
        <v>0</v>
      </c>
      <c r="AS361">
        <v>0</v>
      </c>
      <c r="AT361">
        <v>0</v>
      </c>
      <c r="AU361">
        <v>0</v>
      </c>
      <c r="AV361">
        <v>0</v>
      </c>
      <c r="AW361">
        <v>0</v>
      </c>
      <c r="AX361">
        <v>0</v>
      </c>
      <c r="AY361" t="s">
        <v>406</v>
      </c>
    </row>
    <row r="362" spans="2:51" x14ac:dyDescent="0.2">
      <c r="B362" t="s">
        <v>604</v>
      </c>
      <c r="C362">
        <v>7</v>
      </c>
      <c r="D362">
        <v>-2</v>
      </c>
      <c r="E362">
        <v>0</v>
      </c>
      <c r="F362">
        <v>0</v>
      </c>
      <c r="G362">
        <v>-1</v>
      </c>
      <c r="H362">
        <v>999</v>
      </c>
      <c r="I362">
        <v>0</v>
      </c>
      <c r="J362">
        <v>5.8073600000000003E-2</v>
      </c>
      <c r="K362">
        <v>0.28339399999999998</v>
      </c>
      <c r="L362">
        <v>0.599908</v>
      </c>
      <c r="M362">
        <v>1.2130000000000001</v>
      </c>
      <c r="N362">
        <v>1.9852799999999999</v>
      </c>
      <c r="O362">
        <v>2.90977</v>
      </c>
      <c r="P362">
        <v>3.5564800000000001</v>
      </c>
      <c r="Q362">
        <v>5.44353</v>
      </c>
      <c r="R362">
        <v>8.2478300000000004</v>
      </c>
      <c r="S362">
        <v>5.8775000000000004</v>
      </c>
      <c r="T362">
        <v>11.169</v>
      </c>
      <c r="U362">
        <v>10.5</v>
      </c>
      <c r="V362">
        <v>10.945</v>
      </c>
      <c r="W362">
        <v>0</v>
      </c>
      <c r="X362">
        <v>0</v>
      </c>
      <c r="Y362">
        <v>0</v>
      </c>
      <c r="Z362">
        <v>0</v>
      </c>
      <c r="AA362">
        <v>0</v>
      </c>
      <c r="AB362">
        <v>0</v>
      </c>
      <c r="AC362">
        <v>0</v>
      </c>
      <c r="AD362">
        <v>0</v>
      </c>
      <c r="AE362">
        <v>163</v>
      </c>
      <c r="AF362">
        <v>155</v>
      </c>
      <c r="AG362">
        <v>153</v>
      </c>
      <c r="AH362">
        <v>132</v>
      </c>
      <c r="AI362">
        <v>123</v>
      </c>
      <c r="AJ362">
        <v>117</v>
      </c>
      <c r="AK362">
        <v>42</v>
      </c>
      <c r="AL362">
        <v>15</v>
      </c>
      <c r="AM362">
        <v>6</v>
      </c>
      <c r="AN362">
        <v>4</v>
      </c>
      <c r="AO362">
        <v>5</v>
      </c>
      <c r="AP362">
        <v>1</v>
      </c>
      <c r="AQ362">
        <v>1</v>
      </c>
      <c r="AR362">
        <v>0</v>
      </c>
      <c r="AS362">
        <v>0</v>
      </c>
      <c r="AT362">
        <v>0</v>
      </c>
      <c r="AU362">
        <v>0</v>
      </c>
      <c r="AV362">
        <v>0</v>
      </c>
      <c r="AW362">
        <v>0</v>
      </c>
      <c r="AX362">
        <v>0</v>
      </c>
      <c r="AY362" t="s">
        <v>407</v>
      </c>
    </row>
    <row r="363" spans="2:51" x14ac:dyDescent="0.2">
      <c r="B363" t="s">
        <v>605</v>
      </c>
      <c r="C363">
        <v>7</v>
      </c>
      <c r="D363">
        <v>-2</v>
      </c>
      <c r="E363">
        <v>0</v>
      </c>
      <c r="F363">
        <v>0</v>
      </c>
      <c r="G363">
        <v>-1</v>
      </c>
      <c r="H363">
        <v>999</v>
      </c>
      <c r="I363">
        <v>1.2E-2</v>
      </c>
      <c r="J363">
        <v>4.2777799999999998E-2</v>
      </c>
      <c r="K363">
        <v>0.23577799999999999</v>
      </c>
      <c r="L363">
        <v>0.52959199999999995</v>
      </c>
      <c r="M363">
        <v>1.1590100000000001</v>
      </c>
      <c r="N363">
        <v>2.0442</v>
      </c>
      <c r="O363">
        <v>3.0618400000000001</v>
      </c>
      <c r="P363">
        <v>4.3510200000000001</v>
      </c>
      <c r="Q363">
        <v>5.1694300000000002</v>
      </c>
      <c r="R363">
        <v>5.8901700000000003</v>
      </c>
      <c r="S363">
        <v>10.2075</v>
      </c>
      <c r="T363">
        <v>0</v>
      </c>
      <c r="U363">
        <v>12.83</v>
      </c>
      <c r="V363">
        <v>0</v>
      </c>
      <c r="W363">
        <v>0</v>
      </c>
      <c r="X363">
        <v>0</v>
      </c>
      <c r="Y363">
        <v>0</v>
      </c>
      <c r="Z363">
        <v>0</v>
      </c>
      <c r="AA363">
        <v>0</v>
      </c>
      <c r="AB363">
        <v>0</v>
      </c>
      <c r="AC363">
        <v>0</v>
      </c>
      <c r="AD363">
        <v>1</v>
      </c>
      <c r="AE363">
        <v>72</v>
      </c>
      <c r="AF363">
        <v>153</v>
      </c>
      <c r="AG363">
        <v>201</v>
      </c>
      <c r="AH363">
        <v>186</v>
      </c>
      <c r="AI363">
        <v>80</v>
      </c>
      <c r="AJ363">
        <v>87</v>
      </c>
      <c r="AK363">
        <v>61</v>
      </c>
      <c r="AL363">
        <v>14</v>
      </c>
      <c r="AM363">
        <v>6</v>
      </c>
      <c r="AN363">
        <v>2</v>
      </c>
      <c r="AO363">
        <v>0</v>
      </c>
      <c r="AP363">
        <v>1</v>
      </c>
      <c r="AQ363">
        <v>0</v>
      </c>
      <c r="AR363">
        <v>0</v>
      </c>
      <c r="AS363">
        <v>0</v>
      </c>
      <c r="AT363">
        <v>0</v>
      </c>
      <c r="AU363">
        <v>0</v>
      </c>
      <c r="AV363">
        <v>0</v>
      </c>
      <c r="AW363">
        <v>0</v>
      </c>
      <c r="AX363">
        <v>0</v>
      </c>
      <c r="AY363" t="s">
        <v>408</v>
      </c>
    </row>
    <row r="364" spans="2:51" x14ac:dyDescent="0.2">
      <c r="B364" t="s">
        <v>606</v>
      </c>
      <c r="C364">
        <v>7</v>
      </c>
      <c r="D364">
        <v>-2</v>
      </c>
      <c r="E364">
        <v>0</v>
      </c>
      <c r="F364">
        <v>0</v>
      </c>
      <c r="G364">
        <v>-1</v>
      </c>
      <c r="H364">
        <v>999</v>
      </c>
      <c r="I364">
        <v>0</v>
      </c>
      <c r="J364">
        <v>5.4362000000000001E-2</v>
      </c>
      <c r="K364">
        <v>0.280223</v>
      </c>
      <c r="L364">
        <v>0.73951299999999998</v>
      </c>
      <c r="M364">
        <v>1.3442000000000001</v>
      </c>
      <c r="N364">
        <v>2.4042599999999998</v>
      </c>
      <c r="O364">
        <v>3.7019299999999999</v>
      </c>
      <c r="P364">
        <v>5.0937900000000003</v>
      </c>
      <c r="Q364">
        <v>6.3100899999999998</v>
      </c>
      <c r="R364">
        <v>7.1537100000000002</v>
      </c>
      <c r="S364">
        <v>6.0250000000000004</v>
      </c>
      <c r="T364">
        <v>8.0425000000000004</v>
      </c>
      <c r="U364">
        <v>0</v>
      </c>
      <c r="V364">
        <v>4.3639999999999999</v>
      </c>
      <c r="W364">
        <v>11.49</v>
      </c>
      <c r="X364">
        <v>0</v>
      </c>
      <c r="Y364">
        <v>0</v>
      </c>
      <c r="Z364">
        <v>0</v>
      </c>
      <c r="AA364">
        <v>0</v>
      </c>
      <c r="AB364">
        <v>0</v>
      </c>
      <c r="AC364">
        <v>0</v>
      </c>
      <c r="AD364">
        <v>0</v>
      </c>
      <c r="AE364">
        <v>163</v>
      </c>
      <c r="AF364">
        <v>197</v>
      </c>
      <c r="AG364">
        <v>191</v>
      </c>
      <c r="AH364">
        <v>189</v>
      </c>
      <c r="AI364">
        <v>191</v>
      </c>
      <c r="AJ364">
        <v>129</v>
      </c>
      <c r="AK364">
        <v>110</v>
      </c>
      <c r="AL364">
        <v>66</v>
      </c>
      <c r="AM364">
        <v>17</v>
      </c>
      <c r="AN364">
        <v>1</v>
      </c>
      <c r="AO364">
        <v>4</v>
      </c>
      <c r="AP364">
        <v>0</v>
      </c>
      <c r="AQ364">
        <v>1</v>
      </c>
      <c r="AR364">
        <v>1</v>
      </c>
      <c r="AS364">
        <v>0</v>
      </c>
      <c r="AT364">
        <v>0</v>
      </c>
      <c r="AU364">
        <v>0</v>
      </c>
      <c r="AV364">
        <v>0</v>
      </c>
      <c r="AW364">
        <v>0</v>
      </c>
      <c r="AX364">
        <v>0</v>
      </c>
      <c r="AY364" t="s">
        <v>409</v>
      </c>
    </row>
    <row r="365" spans="2:51" x14ac:dyDescent="0.2">
      <c r="B365" t="s">
        <v>607</v>
      </c>
      <c r="C365">
        <v>7</v>
      </c>
      <c r="D365">
        <v>-2</v>
      </c>
      <c r="E365">
        <v>0</v>
      </c>
      <c r="F365">
        <v>0</v>
      </c>
      <c r="G365">
        <v>-1</v>
      </c>
      <c r="H365">
        <v>999</v>
      </c>
      <c r="I365">
        <v>0</v>
      </c>
      <c r="J365">
        <v>5.0581599999999997E-2</v>
      </c>
      <c r="K365">
        <v>0.239872</v>
      </c>
      <c r="L365">
        <v>0.61850300000000002</v>
      </c>
      <c r="M365">
        <v>1.3245400000000001</v>
      </c>
      <c r="N365">
        <v>2.3109000000000002</v>
      </c>
      <c r="O365">
        <v>3.7164000000000001</v>
      </c>
      <c r="P365">
        <v>4.75671</v>
      </c>
      <c r="Q365">
        <v>5.4335000000000004</v>
      </c>
      <c r="R365">
        <v>7.8045299999999997</v>
      </c>
      <c r="S365">
        <v>9.3287499999999994</v>
      </c>
      <c r="T365">
        <v>7.5324999999999998</v>
      </c>
      <c r="U365">
        <v>0</v>
      </c>
      <c r="V365">
        <v>0</v>
      </c>
      <c r="W365">
        <v>0</v>
      </c>
      <c r="X365">
        <v>0</v>
      </c>
      <c r="Y365">
        <v>0</v>
      </c>
      <c r="Z365">
        <v>0</v>
      </c>
      <c r="AA365">
        <v>0</v>
      </c>
      <c r="AB365">
        <v>0</v>
      </c>
      <c r="AC365">
        <v>0</v>
      </c>
      <c r="AD365">
        <v>0</v>
      </c>
      <c r="AE365">
        <v>141</v>
      </c>
      <c r="AF365">
        <v>133</v>
      </c>
      <c r="AG365">
        <v>197</v>
      </c>
      <c r="AH365">
        <v>128</v>
      </c>
      <c r="AI365">
        <v>150</v>
      </c>
      <c r="AJ365">
        <v>129</v>
      </c>
      <c r="AK365">
        <v>59</v>
      </c>
      <c r="AL365">
        <v>32</v>
      </c>
      <c r="AM365">
        <v>17</v>
      </c>
      <c r="AN365">
        <v>4</v>
      </c>
      <c r="AO365">
        <v>4</v>
      </c>
      <c r="AP365">
        <v>0</v>
      </c>
      <c r="AQ365">
        <v>0</v>
      </c>
      <c r="AR365">
        <v>0</v>
      </c>
      <c r="AS365">
        <v>0</v>
      </c>
      <c r="AT365">
        <v>0</v>
      </c>
      <c r="AU365">
        <v>0</v>
      </c>
      <c r="AV365">
        <v>0</v>
      </c>
      <c r="AW365">
        <v>0</v>
      </c>
      <c r="AX365">
        <v>0</v>
      </c>
      <c r="AY365" t="s">
        <v>410</v>
      </c>
    </row>
    <row r="366" spans="2:51" x14ac:dyDescent="0.2">
      <c r="B366" t="s">
        <v>608</v>
      </c>
      <c r="C366">
        <v>7</v>
      </c>
      <c r="D366">
        <v>-2</v>
      </c>
      <c r="E366">
        <v>0</v>
      </c>
      <c r="F366">
        <v>0</v>
      </c>
      <c r="G366">
        <v>-1</v>
      </c>
      <c r="H366">
        <v>999</v>
      </c>
      <c r="I366">
        <v>0</v>
      </c>
      <c r="J366">
        <v>5.7077999999999997E-2</v>
      </c>
      <c r="K366">
        <v>0.205624</v>
      </c>
      <c r="L366">
        <v>0.64193299999999998</v>
      </c>
      <c r="M366">
        <v>1.2874000000000001</v>
      </c>
      <c r="N366">
        <v>2.1084299999999998</v>
      </c>
      <c r="O366">
        <v>3.1752799999999999</v>
      </c>
      <c r="P366">
        <v>4.9172599999999997</v>
      </c>
      <c r="Q366">
        <v>6.8100300000000002</v>
      </c>
      <c r="R366">
        <v>8.1817899999999995</v>
      </c>
      <c r="S366">
        <v>10.3825</v>
      </c>
      <c r="T366">
        <v>10.0045</v>
      </c>
      <c r="U366">
        <v>0</v>
      </c>
      <c r="V366">
        <v>13</v>
      </c>
      <c r="W366">
        <v>13.35</v>
      </c>
      <c r="X366">
        <v>0</v>
      </c>
      <c r="Y366">
        <v>0</v>
      </c>
      <c r="Z366">
        <v>0</v>
      </c>
      <c r="AA366">
        <v>0</v>
      </c>
      <c r="AB366">
        <v>0</v>
      </c>
      <c r="AC366">
        <v>0</v>
      </c>
      <c r="AD366">
        <v>0</v>
      </c>
      <c r="AE366">
        <v>141</v>
      </c>
      <c r="AF366">
        <v>218</v>
      </c>
      <c r="AG366">
        <v>238</v>
      </c>
      <c r="AH366">
        <v>171</v>
      </c>
      <c r="AI366">
        <v>112</v>
      </c>
      <c r="AJ366">
        <v>146</v>
      </c>
      <c r="AK366">
        <v>120</v>
      </c>
      <c r="AL366">
        <v>73</v>
      </c>
      <c r="AM366">
        <v>29</v>
      </c>
      <c r="AN366">
        <v>18</v>
      </c>
      <c r="AO366">
        <v>10</v>
      </c>
      <c r="AP366">
        <v>0</v>
      </c>
      <c r="AQ366">
        <v>1</v>
      </c>
      <c r="AR366">
        <v>1</v>
      </c>
      <c r="AS366">
        <v>0</v>
      </c>
      <c r="AT366">
        <v>0</v>
      </c>
      <c r="AU366">
        <v>0</v>
      </c>
      <c r="AV366">
        <v>0</v>
      </c>
      <c r="AW366">
        <v>0</v>
      </c>
      <c r="AX366">
        <v>0</v>
      </c>
      <c r="AY366" t="s">
        <v>411</v>
      </c>
    </row>
    <row r="367" spans="2:51" x14ac:dyDescent="0.2">
      <c r="B367" t="s">
        <v>609</v>
      </c>
      <c r="C367">
        <v>7</v>
      </c>
      <c r="D367">
        <v>-2</v>
      </c>
      <c r="E367">
        <v>0</v>
      </c>
      <c r="F367">
        <v>0</v>
      </c>
      <c r="G367">
        <v>-1</v>
      </c>
      <c r="H367">
        <v>999</v>
      </c>
      <c r="I367">
        <v>0</v>
      </c>
      <c r="J367">
        <v>4.2185399999999998E-2</v>
      </c>
      <c r="K367">
        <v>0.26189200000000001</v>
      </c>
      <c r="L367">
        <v>0.62375400000000003</v>
      </c>
      <c r="M367">
        <v>1.1786099999999999</v>
      </c>
      <c r="N367">
        <v>2.0312800000000002</v>
      </c>
      <c r="O367">
        <v>3.1917300000000002</v>
      </c>
      <c r="P367">
        <v>5.1188900000000004</v>
      </c>
      <c r="Q367">
        <v>7.1547000000000001</v>
      </c>
      <c r="R367">
        <v>8.8145000000000007</v>
      </c>
      <c r="S367">
        <v>8.8976000000000006</v>
      </c>
      <c r="T367">
        <v>10.467499999999999</v>
      </c>
      <c r="U367">
        <v>15.6</v>
      </c>
      <c r="V367">
        <v>0</v>
      </c>
      <c r="W367">
        <v>0</v>
      </c>
      <c r="X367">
        <v>0</v>
      </c>
      <c r="Y367">
        <v>0</v>
      </c>
      <c r="Z367">
        <v>0</v>
      </c>
      <c r="AA367">
        <v>0</v>
      </c>
      <c r="AB367">
        <v>0</v>
      </c>
      <c r="AC367">
        <v>0</v>
      </c>
      <c r="AD367">
        <v>0</v>
      </c>
      <c r="AE367">
        <v>205</v>
      </c>
      <c r="AF367">
        <v>176</v>
      </c>
      <c r="AG367">
        <v>179</v>
      </c>
      <c r="AH367">
        <v>168</v>
      </c>
      <c r="AI367">
        <v>155</v>
      </c>
      <c r="AJ367">
        <v>140</v>
      </c>
      <c r="AK367">
        <v>133</v>
      </c>
      <c r="AL367">
        <v>93</v>
      </c>
      <c r="AM367">
        <v>36</v>
      </c>
      <c r="AN367">
        <v>10</v>
      </c>
      <c r="AO367">
        <v>4</v>
      </c>
      <c r="AP367">
        <v>1</v>
      </c>
      <c r="AQ367">
        <v>0</v>
      </c>
      <c r="AR367">
        <v>0</v>
      </c>
      <c r="AS367">
        <v>0</v>
      </c>
      <c r="AT367">
        <v>0</v>
      </c>
      <c r="AU367">
        <v>0</v>
      </c>
      <c r="AV367">
        <v>0</v>
      </c>
      <c r="AW367">
        <v>0</v>
      </c>
      <c r="AX367">
        <v>0</v>
      </c>
      <c r="AY367" t="s">
        <v>412</v>
      </c>
    </row>
    <row r="368" spans="2:51" x14ac:dyDescent="0.2">
      <c r="B368" t="s">
        <v>610</v>
      </c>
      <c r="C368">
        <v>7</v>
      </c>
      <c r="D368">
        <v>-2</v>
      </c>
      <c r="E368">
        <v>0</v>
      </c>
      <c r="F368">
        <v>0</v>
      </c>
      <c r="G368">
        <v>-1</v>
      </c>
      <c r="H368">
        <v>999</v>
      </c>
      <c r="I368">
        <v>0</v>
      </c>
      <c r="J368">
        <v>5.4686499999999999E-2</v>
      </c>
      <c r="K368">
        <v>0.302118</v>
      </c>
      <c r="L368">
        <v>0.780169</v>
      </c>
      <c r="M368">
        <v>1.5406599999999999</v>
      </c>
      <c r="N368">
        <v>2.69876</v>
      </c>
      <c r="O368">
        <v>3.91839</v>
      </c>
      <c r="P368">
        <v>5.6153300000000002</v>
      </c>
      <c r="Q368">
        <v>7.5184899999999999</v>
      </c>
      <c r="R368">
        <v>9.0928100000000001</v>
      </c>
      <c r="S368">
        <v>10.696</v>
      </c>
      <c r="T368">
        <v>10.998799999999999</v>
      </c>
      <c r="U368">
        <v>10.632099999999999</v>
      </c>
      <c r="V368">
        <v>8.7703299999999995</v>
      </c>
      <c r="W368">
        <v>11.84</v>
      </c>
      <c r="X368">
        <v>0</v>
      </c>
      <c r="Y368">
        <v>0</v>
      </c>
      <c r="Z368">
        <v>9.2349999999999994</v>
      </c>
      <c r="AA368">
        <v>0</v>
      </c>
      <c r="AB368">
        <v>0</v>
      </c>
      <c r="AC368">
        <v>0</v>
      </c>
      <c r="AD368">
        <v>0</v>
      </c>
      <c r="AE368">
        <v>252</v>
      </c>
      <c r="AF368">
        <v>203</v>
      </c>
      <c r="AG368">
        <v>189</v>
      </c>
      <c r="AH368">
        <v>154</v>
      </c>
      <c r="AI368">
        <v>207</v>
      </c>
      <c r="AJ368">
        <v>104</v>
      </c>
      <c r="AK368">
        <v>119</v>
      </c>
      <c r="AL368">
        <v>75</v>
      </c>
      <c r="AM368">
        <v>62</v>
      </c>
      <c r="AN368">
        <v>21</v>
      </c>
      <c r="AO368">
        <v>12</v>
      </c>
      <c r="AP368">
        <v>7</v>
      </c>
      <c r="AQ368">
        <v>3</v>
      </c>
      <c r="AR368">
        <v>2</v>
      </c>
      <c r="AS368">
        <v>0</v>
      </c>
      <c r="AT368">
        <v>0</v>
      </c>
      <c r="AU368">
        <v>1</v>
      </c>
      <c r="AV368">
        <v>0</v>
      </c>
      <c r="AW368">
        <v>0</v>
      </c>
      <c r="AX368">
        <v>0</v>
      </c>
      <c r="AY368" t="s">
        <v>413</v>
      </c>
    </row>
    <row r="369" spans="2:51" x14ac:dyDescent="0.2">
      <c r="B369" t="s">
        <v>611</v>
      </c>
      <c r="C369">
        <v>7</v>
      </c>
      <c r="D369">
        <v>-2</v>
      </c>
      <c r="E369">
        <v>0</v>
      </c>
      <c r="F369">
        <v>0</v>
      </c>
      <c r="G369">
        <v>-1</v>
      </c>
      <c r="H369">
        <v>999</v>
      </c>
      <c r="I369">
        <v>0</v>
      </c>
      <c r="J369">
        <v>4.7092200000000001E-2</v>
      </c>
      <c r="K369">
        <v>0.27044299999999999</v>
      </c>
      <c r="L369">
        <v>0.81079500000000004</v>
      </c>
      <c r="M369">
        <v>1.83338</v>
      </c>
      <c r="N369">
        <v>2.8372799999999998</v>
      </c>
      <c r="O369">
        <v>3.7785799999999998</v>
      </c>
      <c r="P369">
        <v>5.5890700000000004</v>
      </c>
      <c r="Q369">
        <v>6.9216899999999999</v>
      </c>
      <c r="R369">
        <v>7.5561800000000003</v>
      </c>
      <c r="S369">
        <v>9.3040800000000008</v>
      </c>
      <c r="T369">
        <v>12.0738</v>
      </c>
      <c r="U369">
        <v>10.281700000000001</v>
      </c>
      <c r="V369">
        <v>9.7375000000000007</v>
      </c>
      <c r="W369">
        <v>0</v>
      </c>
      <c r="X369">
        <v>0</v>
      </c>
      <c r="Y369">
        <v>0</v>
      </c>
      <c r="Z369">
        <v>0</v>
      </c>
      <c r="AA369">
        <v>0</v>
      </c>
      <c r="AB369">
        <v>0</v>
      </c>
      <c r="AC369">
        <v>0</v>
      </c>
      <c r="AD369">
        <v>0</v>
      </c>
      <c r="AE369">
        <v>141</v>
      </c>
      <c r="AF369">
        <v>262</v>
      </c>
      <c r="AG369">
        <v>244</v>
      </c>
      <c r="AH369">
        <v>188</v>
      </c>
      <c r="AI369">
        <v>134</v>
      </c>
      <c r="AJ369">
        <v>97</v>
      </c>
      <c r="AK369">
        <v>45</v>
      </c>
      <c r="AL369">
        <v>45</v>
      </c>
      <c r="AM369">
        <v>28</v>
      </c>
      <c r="AN369">
        <v>13</v>
      </c>
      <c r="AO369">
        <v>8</v>
      </c>
      <c r="AP369">
        <v>6</v>
      </c>
      <c r="AQ369">
        <v>2</v>
      </c>
      <c r="AR369">
        <v>0</v>
      </c>
      <c r="AS369">
        <v>0</v>
      </c>
      <c r="AT369">
        <v>0</v>
      </c>
      <c r="AU369">
        <v>0</v>
      </c>
      <c r="AV369">
        <v>0</v>
      </c>
      <c r="AW369">
        <v>0</v>
      </c>
      <c r="AX369">
        <v>0</v>
      </c>
      <c r="AY369" t="s">
        <v>414</v>
      </c>
    </row>
    <row r="370" spans="2:51" x14ac:dyDescent="0.2">
      <c r="B370" t="s">
        <v>612</v>
      </c>
      <c r="C370">
        <v>7</v>
      </c>
      <c r="D370">
        <v>-2</v>
      </c>
      <c r="E370">
        <v>0</v>
      </c>
      <c r="F370">
        <v>0</v>
      </c>
      <c r="G370">
        <v>-1</v>
      </c>
      <c r="H370">
        <v>999</v>
      </c>
      <c r="I370">
        <v>0</v>
      </c>
      <c r="J370">
        <v>4.44144E-2</v>
      </c>
      <c r="K370">
        <v>0.27261000000000002</v>
      </c>
      <c r="L370">
        <v>0.86347700000000005</v>
      </c>
      <c r="M370">
        <v>1.79694</v>
      </c>
      <c r="N370">
        <v>2.65374</v>
      </c>
      <c r="O370">
        <v>3.6611400000000001</v>
      </c>
      <c r="P370">
        <v>4.7723800000000001</v>
      </c>
      <c r="Q370">
        <v>5.8343999999999996</v>
      </c>
      <c r="R370">
        <v>7.58596</v>
      </c>
      <c r="S370">
        <v>8.8288499999999992</v>
      </c>
      <c r="T370">
        <v>8.7384199999999996</v>
      </c>
      <c r="U370">
        <v>10.678800000000001</v>
      </c>
      <c r="V370">
        <v>7.0553299999999997</v>
      </c>
      <c r="W370">
        <v>10.185</v>
      </c>
      <c r="X370">
        <v>0</v>
      </c>
      <c r="Y370">
        <v>0</v>
      </c>
      <c r="Z370">
        <v>0</v>
      </c>
      <c r="AA370">
        <v>0</v>
      </c>
      <c r="AB370">
        <v>0</v>
      </c>
      <c r="AC370">
        <v>0</v>
      </c>
      <c r="AD370">
        <v>0</v>
      </c>
      <c r="AE370">
        <v>222</v>
      </c>
      <c r="AF370">
        <v>259</v>
      </c>
      <c r="AG370">
        <v>325</v>
      </c>
      <c r="AH370">
        <v>186</v>
      </c>
      <c r="AI370">
        <v>133</v>
      </c>
      <c r="AJ370">
        <v>100</v>
      </c>
      <c r="AK370">
        <v>81</v>
      </c>
      <c r="AL370">
        <v>47</v>
      </c>
      <c r="AM370">
        <v>23</v>
      </c>
      <c r="AN370">
        <v>13</v>
      </c>
      <c r="AO370">
        <v>12</v>
      </c>
      <c r="AP370">
        <v>4</v>
      </c>
      <c r="AQ370">
        <v>3</v>
      </c>
      <c r="AR370">
        <v>2</v>
      </c>
      <c r="AS370">
        <v>0</v>
      </c>
      <c r="AT370">
        <v>0</v>
      </c>
      <c r="AU370">
        <v>0</v>
      </c>
      <c r="AV370">
        <v>0</v>
      </c>
      <c r="AW370">
        <v>0</v>
      </c>
      <c r="AX370">
        <v>0</v>
      </c>
      <c r="AY370" t="s">
        <v>415</v>
      </c>
    </row>
    <row r="371" spans="2:51" x14ac:dyDescent="0.2">
      <c r="B371" t="s">
        <v>613</v>
      </c>
      <c r="C371">
        <v>7</v>
      </c>
      <c r="D371">
        <v>-2</v>
      </c>
      <c r="E371">
        <v>0</v>
      </c>
      <c r="F371">
        <v>0</v>
      </c>
      <c r="G371">
        <v>-1</v>
      </c>
      <c r="H371">
        <v>999</v>
      </c>
      <c r="I371">
        <v>0</v>
      </c>
      <c r="J371">
        <v>3.8470600000000001E-2</v>
      </c>
      <c r="K371">
        <v>0.29217300000000002</v>
      </c>
      <c r="L371">
        <v>0.86449600000000004</v>
      </c>
      <c r="M371">
        <v>1.9251499999999999</v>
      </c>
      <c r="N371">
        <v>2.8893599999999999</v>
      </c>
      <c r="O371">
        <v>3.99112</v>
      </c>
      <c r="P371">
        <v>5.1530800000000001</v>
      </c>
      <c r="Q371">
        <v>6.7671099999999997</v>
      </c>
      <c r="R371">
        <v>7.3880299999999997</v>
      </c>
      <c r="S371">
        <v>8.4712999999999994</v>
      </c>
      <c r="T371">
        <v>8.8886699999999994</v>
      </c>
      <c r="U371">
        <v>6.49</v>
      </c>
      <c r="V371">
        <v>8.9049999999999994</v>
      </c>
      <c r="W371">
        <v>0</v>
      </c>
      <c r="X371">
        <v>0</v>
      </c>
      <c r="Y371">
        <v>0</v>
      </c>
      <c r="Z371">
        <v>0</v>
      </c>
      <c r="AA371">
        <v>0</v>
      </c>
      <c r="AB371">
        <v>0</v>
      </c>
      <c r="AC371">
        <v>0</v>
      </c>
      <c r="AD371">
        <v>0</v>
      </c>
      <c r="AE371">
        <v>136</v>
      </c>
      <c r="AF371">
        <v>375</v>
      </c>
      <c r="AG371">
        <v>234</v>
      </c>
      <c r="AH371">
        <v>298</v>
      </c>
      <c r="AI371">
        <v>149</v>
      </c>
      <c r="AJ371">
        <v>84</v>
      </c>
      <c r="AK371">
        <v>66</v>
      </c>
      <c r="AL371">
        <v>73</v>
      </c>
      <c r="AM371">
        <v>30</v>
      </c>
      <c r="AN371">
        <v>10</v>
      </c>
      <c r="AO371">
        <v>9</v>
      </c>
      <c r="AP371">
        <v>1</v>
      </c>
      <c r="AQ371">
        <v>1</v>
      </c>
      <c r="AR371">
        <v>0</v>
      </c>
      <c r="AS371">
        <v>0</v>
      </c>
      <c r="AT371">
        <v>0</v>
      </c>
      <c r="AU371">
        <v>0</v>
      </c>
      <c r="AV371">
        <v>0</v>
      </c>
      <c r="AW371">
        <v>0</v>
      </c>
      <c r="AX371">
        <v>0</v>
      </c>
      <c r="AY371" t="s">
        <v>487</v>
      </c>
    </row>
    <row r="372" spans="2:51" x14ac:dyDescent="0.2">
      <c r="B372" t="s">
        <v>614</v>
      </c>
      <c r="C372">
        <v>7</v>
      </c>
      <c r="D372">
        <v>-2</v>
      </c>
      <c r="E372">
        <v>0</v>
      </c>
      <c r="F372">
        <v>0</v>
      </c>
      <c r="G372">
        <v>-1</v>
      </c>
      <c r="H372">
        <v>999</v>
      </c>
      <c r="I372">
        <v>0</v>
      </c>
      <c r="J372">
        <v>6.15676E-2</v>
      </c>
      <c r="K372">
        <v>0.32691900000000002</v>
      </c>
      <c r="L372">
        <v>0.95876499999999998</v>
      </c>
      <c r="M372">
        <v>1.8838299999999999</v>
      </c>
      <c r="N372">
        <v>3.1448499999999999</v>
      </c>
      <c r="O372">
        <v>4.0986500000000001</v>
      </c>
      <c r="P372">
        <v>5.1097200000000003</v>
      </c>
      <c r="Q372">
        <v>6.5037500000000001</v>
      </c>
      <c r="R372">
        <v>7.5269199999999996</v>
      </c>
      <c r="S372">
        <v>8.4059100000000004</v>
      </c>
      <c r="T372">
        <v>8.3783799999999999</v>
      </c>
      <c r="U372">
        <v>9.2750000000000004</v>
      </c>
      <c r="V372">
        <v>10.59</v>
      </c>
      <c r="W372">
        <v>12.651999999999999</v>
      </c>
      <c r="X372">
        <v>0</v>
      </c>
      <c r="Y372">
        <v>0</v>
      </c>
      <c r="Z372">
        <v>0</v>
      </c>
      <c r="AA372">
        <v>0</v>
      </c>
      <c r="AB372">
        <v>0</v>
      </c>
      <c r="AC372">
        <v>0</v>
      </c>
      <c r="AD372">
        <v>0</v>
      </c>
      <c r="AE372">
        <v>185</v>
      </c>
      <c r="AF372">
        <v>148</v>
      </c>
      <c r="AG372">
        <v>315</v>
      </c>
      <c r="AH372">
        <v>178</v>
      </c>
      <c r="AI372">
        <v>218</v>
      </c>
      <c r="AJ372">
        <v>107</v>
      </c>
      <c r="AK372">
        <v>40</v>
      </c>
      <c r="AL372">
        <v>20</v>
      </c>
      <c r="AM372">
        <v>12</v>
      </c>
      <c r="AN372">
        <v>11</v>
      </c>
      <c r="AO372">
        <v>8</v>
      </c>
      <c r="AP372">
        <v>1</v>
      </c>
      <c r="AQ372">
        <v>4</v>
      </c>
      <c r="AR372">
        <v>5</v>
      </c>
      <c r="AS372">
        <v>0</v>
      </c>
      <c r="AT372">
        <v>0</v>
      </c>
      <c r="AU372">
        <v>0</v>
      </c>
      <c r="AV372">
        <v>0</v>
      </c>
      <c r="AW372">
        <v>0</v>
      </c>
      <c r="AX372">
        <v>0</v>
      </c>
      <c r="AY372" t="s">
        <v>488</v>
      </c>
    </row>
    <row r="373" spans="2:51" x14ac:dyDescent="0.2">
      <c r="B373" t="s">
        <v>615</v>
      </c>
      <c r="C373">
        <v>7</v>
      </c>
      <c r="D373">
        <v>-2</v>
      </c>
      <c r="E373">
        <v>0</v>
      </c>
      <c r="F373">
        <v>0</v>
      </c>
      <c r="G373">
        <v>-1</v>
      </c>
      <c r="H373">
        <v>999</v>
      </c>
      <c r="I373">
        <v>0</v>
      </c>
      <c r="J373">
        <v>4.3623500000000003E-2</v>
      </c>
      <c r="K373">
        <v>0.319353</v>
      </c>
      <c r="L373">
        <v>0.844109</v>
      </c>
      <c r="M373">
        <v>1.7368399999999999</v>
      </c>
      <c r="N373">
        <v>3.0020500000000001</v>
      </c>
      <c r="O373">
        <v>4.1463299999999998</v>
      </c>
      <c r="P373">
        <v>4.98224</v>
      </c>
      <c r="Q373">
        <v>7.3248300000000004</v>
      </c>
      <c r="R373">
        <v>7.2354000000000003</v>
      </c>
      <c r="S373">
        <v>10.177300000000001</v>
      </c>
      <c r="T373">
        <v>9.5283300000000004</v>
      </c>
      <c r="U373">
        <v>10.342499999999999</v>
      </c>
      <c r="V373">
        <v>10.49</v>
      </c>
      <c r="W373">
        <v>12.98</v>
      </c>
      <c r="X373">
        <v>0</v>
      </c>
      <c r="Y373">
        <v>0</v>
      </c>
      <c r="Z373">
        <v>0</v>
      </c>
      <c r="AA373">
        <v>0</v>
      </c>
      <c r="AB373">
        <v>0</v>
      </c>
      <c r="AC373">
        <v>0</v>
      </c>
      <c r="AD373">
        <v>0</v>
      </c>
      <c r="AE373">
        <v>162</v>
      </c>
      <c r="AF373">
        <v>289</v>
      </c>
      <c r="AG373">
        <v>129</v>
      </c>
      <c r="AH373">
        <v>284</v>
      </c>
      <c r="AI373">
        <v>161</v>
      </c>
      <c r="AJ373">
        <v>150</v>
      </c>
      <c r="AK373">
        <v>55</v>
      </c>
      <c r="AL373">
        <v>30</v>
      </c>
      <c r="AM373">
        <v>20</v>
      </c>
      <c r="AN373">
        <v>11</v>
      </c>
      <c r="AO373">
        <v>3</v>
      </c>
      <c r="AP373">
        <v>2</v>
      </c>
      <c r="AQ373">
        <v>1</v>
      </c>
      <c r="AR373">
        <v>1</v>
      </c>
      <c r="AS373">
        <v>0</v>
      </c>
      <c r="AT373">
        <v>0</v>
      </c>
      <c r="AU373">
        <v>0</v>
      </c>
      <c r="AV373">
        <v>0</v>
      </c>
      <c r="AW373">
        <v>0</v>
      </c>
      <c r="AX373">
        <v>0</v>
      </c>
      <c r="AY373" t="s">
        <v>489</v>
      </c>
    </row>
    <row r="374" spans="2:51" x14ac:dyDescent="0.2">
      <c r="B374" t="s">
        <v>616</v>
      </c>
      <c r="C374">
        <v>7</v>
      </c>
      <c r="D374">
        <v>-2</v>
      </c>
      <c r="E374">
        <v>0</v>
      </c>
      <c r="F374">
        <v>0</v>
      </c>
      <c r="G374">
        <v>-1</v>
      </c>
      <c r="H374">
        <v>999</v>
      </c>
      <c r="I374">
        <v>0</v>
      </c>
      <c r="J374">
        <v>3.46015E-2</v>
      </c>
      <c r="K374">
        <v>0.26480300000000001</v>
      </c>
      <c r="L374">
        <v>0.88777300000000003</v>
      </c>
      <c r="M374">
        <v>1.54827</v>
      </c>
      <c r="N374">
        <v>2.9756100000000001</v>
      </c>
      <c r="O374">
        <v>4.0041200000000003</v>
      </c>
      <c r="P374">
        <v>6.1160399999999999</v>
      </c>
      <c r="Q374">
        <v>6.5175200000000002</v>
      </c>
      <c r="R374">
        <v>8.3968000000000007</v>
      </c>
      <c r="S374">
        <v>9.2516700000000007</v>
      </c>
      <c r="T374">
        <v>9.0389999999999997</v>
      </c>
      <c r="U374">
        <v>14.275</v>
      </c>
      <c r="V374">
        <v>11.24</v>
      </c>
      <c r="W374">
        <v>0</v>
      </c>
      <c r="X374">
        <v>0</v>
      </c>
      <c r="Y374">
        <v>0</v>
      </c>
      <c r="Z374">
        <v>0</v>
      </c>
      <c r="AA374">
        <v>0</v>
      </c>
      <c r="AB374">
        <v>0</v>
      </c>
      <c r="AC374">
        <v>0</v>
      </c>
      <c r="AD374">
        <v>0</v>
      </c>
      <c r="AE374">
        <v>133</v>
      </c>
      <c r="AF374">
        <v>289</v>
      </c>
      <c r="AG374">
        <v>264</v>
      </c>
      <c r="AH374">
        <v>171</v>
      </c>
      <c r="AI374">
        <v>271</v>
      </c>
      <c r="AJ374">
        <v>163</v>
      </c>
      <c r="AK374">
        <v>81</v>
      </c>
      <c r="AL374">
        <v>25</v>
      </c>
      <c r="AM374">
        <v>10</v>
      </c>
      <c r="AN374">
        <v>3</v>
      </c>
      <c r="AO374">
        <v>4</v>
      </c>
      <c r="AP374">
        <v>2</v>
      </c>
      <c r="AQ374">
        <v>1</v>
      </c>
      <c r="AR374">
        <v>0</v>
      </c>
      <c r="AS374">
        <v>0</v>
      </c>
      <c r="AT374">
        <v>0</v>
      </c>
      <c r="AU374">
        <v>0</v>
      </c>
      <c r="AV374">
        <v>0</v>
      </c>
      <c r="AW374">
        <v>0</v>
      </c>
      <c r="AX374">
        <v>0</v>
      </c>
      <c r="AY374" t="s">
        <v>490</v>
      </c>
    </row>
    <row r="375" spans="2:51" x14ac:dyDescent="0.2">
      <c r="B375" t="s">
        <v>617</v>
      </c>
      <c r="C375">
        <v>7</v>
      </c>
      <c r="D375">
        <v>-2</v>
      </c>
      <c r="E375">
        <v>0</v>
      </c>
      <c r="F375">
        <v>0</v>
      </c>
      <c r="G375">
        <v>-1</v>
      </c>
      <c r="H375">
        <v>999</v>
      </c>
      <c r="I375">
        <v>0</v>
      </c>
      <c r="J375">
        <v>6.1098399999999997E-2</v>
      </c>
      <c r="K375">
        <v>0.33451900000000001</v>
      </c>
      <c r="L375">
        <v>0.92593499999999995</v>
      </c>
      <c r="M375">
        <v>1.8063100000000001</v>
      </c>
      <c r="N375">
        <v>3.07612</v>
      </c>
      <c r="O375">
        <v>4.2140000000000004</v>
      </c>
      <c r="P375">
        <v>5.1103699999999996</v>
      </c>
      <c r="Q375">
        <v>7.24139</v>
      </c>
      <c r="R375">
        <v>7.3957800000000002</v>
      </c>
      <c r="S375">
        <v>8.0122499999999999</v>
      </c>
      <c r="T375">
        <v>0</v>
      </c>
      <c r="U375">
        <v>10.4975</v>
      </c>
      <c r="V375">
        <v>0</v>
      </c>
      <c r="W375">
        <v>0</v>
      </c>
      <c r="X375">
        <v>0</v>
      </c>
      <c r="Y375">
        <v>0</v>
      </c>
      <c r="Z375">
        <v>0</v>
      </c>
      <c r="AA375">
        <v>0</v>
      </c>
      <c r="AB375">
        <v>0</v>
      </c>
      <c r="AC375">
        <v>0</v>
      </c>
      <c r="AD375">
        <v>0</v>
      </c>
      <c r="AE375">
        <v>183</v>
      </c>
      <c r="AF375">
        <v>231</v>
      </c>
      <c r="AG375">
        <v>307</v>
      </c>
      <c r="AH375">
        <v>300</v>
      </c>
      <c r="AI375">
        <v>134</v>
      </c>
      <c r="AJ375">
        <v>166</v>
      </c>
      <c r="AK375">
        <v>57</v>
      </c>
      <c r="AL375">
        <v>23</v>
      </c>
      <c r="AM375">
        <v>9</v>
      </c>
      <c r="AN375">
        <v>8</v>
      </c>
      <c r="AO375">
        <v>0</v>
      </c>
      <c r="AP375">
        <v>2</v>
      </c>
      <c r="AQ375">
        <v>0</v>
      </c>
      <c r="AR375">
        <v>0</v>
      </c>
      <c r="AS375">
        <v>0</v>
      </c>
      <c r="AT375">
        <v>0</v>
      </c>
      <c r="AU375">
        <v>0</v>
      </c>
      <c r="AV375">
        <v>0</v>
      </c>
      <c r="AW375">
        <v>0</v>
      </c>
      <c r="AX375">
        <v>0</v>
      </c>
      <c r="AY375" t="s">
        <v>491</v>
      </c>
    </row>
    <row r="376" spans="2:51" x14ac:dyDescent="0.2">
      <c r="B376" t="s">
        <v>618</v>
      </c>
      <c r="C376">
        <v>7</v>
      </c>
      <c r="D376">
        <v>-2</v>
      </c>
      <c r="E376">
        <v>0</v>
      </c>
      <c r="F376">
        <v>0</v>
      </c>
      <c r="G376">
        <v>-1</v>
      </c>
      <c r="H376">
        <v>999</v>
      </c>
      <c r="I376">
        <v>0</v>
      </c>
      <c r="J376">
        <v>8.7607099999999993E-2</v>
      </c>
      <c r="K376">
        <v>0.41751899999999997</v>
      </c>
      <c r="L376">
        <v>0.99070999999999998</v>
      </c>
      <c r="M376">
        <v>1.86609</v>
      </c>
      <c r="N376">
        <v>2.90469</v>
      </c>
      <c r="O376">
        <v>4.3651600000000004</v>
      </c>
      <c r="P376">
        <v>5.7857399999999997</v>
      </c>
      <c r="Q376">
        <v>7.3367500000000003</v>
      </c>
      <c r="R376">
        <v>10.604200000000001</v>
      </c>
      <c r="S376">
        <v>9.6933299999999996</v>
      </c>
      <c r="T376">
        <v>10.9275</v>
      </c>
      <c r="U376">
        <v>7.335</v>
      </c>
      <c r="V376">
        <v>16.8</v>
      </c>
      <c r="W376">
        <v>0</v>
      </c>
      <c r="X376">
        <v>0</v>
      </c>
      <c r="Y376">
        <v>0</v>
      </c>
      <c r="Z376">
        <v>0</v>
      </c>
      <c r="AA376">
        <v>0</v>
      </c>
      <c r="AB376">
        <v>0</v>
      </c>
      <c r="AC376">
        <v>0</v>
      </c>
      <c r="AD376">
        <v>0</v>
      </c>
      <c r="AE376">
        <v>140</v>
      </c>
      <c r="AF376">
        <v>374</v>
      </c>
      <c r="AG376">
        <v>317</v>
      </c>
      <c r="AH376">
        <v>455</v>
      </c>
      <c r="AI376">
        <v>287</v>
      </c>
      <c r="AJ376">
        <v>117</v>
      </c>
      <c r="AK376">
        <v>90</v>
      </c>
      <c r="AL376">
        <v>24</v>
      </c>
      <c r="AM376">
        <v>6</v>
      </c>
      <c r="AN376">
        <v>3</v>
      </c>
      <c r="AO376">
        <v>2</v>
      </c>
      <c r="AP376">
        <v>1</v>
      </c>
      <c r="AQ376">
        <v>1</v>
      </c>
      <c r="AR376">
        <v>0</v>
      </c>
      <c r="AS376">
        <v>0</v>
      </c>
      <c r="AT376">
        <v>0</v>
      </c>
      <c r="AU376">
        <v>0</v>
      </c>
      <c r="AV376">
        <v>0</v>
      </c>
      <c r="AW376">
        <v>0</v>
      </c>
      <c r="AX376">
        <v>0</v>
      </c>
      <c r="AY376" t="s">
        <v>492</v>
      </c>
    </row>
    <row r="377" spans="2:51" x14ac:dyDescent="0.2">
      <c r="B377" t="s">
        <v>619</v>
      </c>
      <c r="C377">
        <v>7</v>
      </c>
      <c r="D377">
        <v>-2</v>
      </c>
      <c r="E377">
        <v>0</v>
      </c>
      <c r="F377">
        <v>0</v>
      </c>
      <c r="G377">
        <v>-1</v>
      </c>
      <c r="H377">
        <v>999</v>
      </c>
      <c r="I377">
        <v>0</v>
      </c>
      <c r="J377">
        <v>0.11071300000000001</v>
      </c>
      <c r="K377">
        <v>0.448517</v>
      </c>
      <c r="L377">
        <v>1.0409600000000001</v>
      </c>
      <c r="M377">
        <v>1.69425</v>
      </c>
      <c r="N377">
        <v>3.048</v>
      </c>
      <c r="O377">
        <v>4.2211600000000002</v>
      </c>
      <c r="P377">
        <v>6.2112999999999996</v>
      </c>
      <c r="Q377">
        <v>8.10731</v>
      </c>
      <c r="R377">
        <v>8.6218299999999992</v>
      </c>
      <c r="S377">
        <v>11.454000000000001</v>
      </c>
      <c r="T377">
        <v>10.26</v>
      </c>
      <c r="U377">
        <v>0</v>
      </c>
      <c r="V377">
        <v>0</v>
      </c>
      <c r="W377">
        <v>0</v>
      </c>
      <c r="X377">
        <v>0</v>
      </c>
      <c r="Y377">
        <v>0</v>
      </c>
      <c r="Z377">
        <v>0</v>
      </c>
      <c r="AA377">
        <v>0</v>
      </c>
      <c r="AB377">
        <v>0</v>
      </c>
      <c r="AC377">
        <v>0</v>
      </c>
      <c r="AD377">
        <v>0</v>
      </c>
      <c r="AE377">
        <v>164</v>
      </c>
      <c r="AF377">
        <v>143</v>
      </c>
      <c r="AG377">
        <v>372</v>
      </c>
      <c r="AH377">
        <v>318</v>
      </c>
      <c r="AI377">
        <v>354</v>
      </c>
      <c r="AJ377">
        <v>163</v>
      </c>
      <c r="AK377">
        <v>63</v>
      </c>
      <c r="AL377">
        <v>26</v>
      </c>
      <c r="AM377">
        <v>12</v>
      </c>
      <c r="AN377">
        <v>5</v>
      </c>
      <c r="AO377">
        <v>4</v>
      </c>
      <c r="AP377">
        <v>0</v>
      </c>
      <c r="AQ377">
        <v>0</v>
      </c>
      <c r="AR377">
        <v>0</v>
      </c>
      <c r="AS377">
        <v>0</v>
      </c>
      <c r="AT377">
        <v>0</v>
      </c>
      <c r="AU377">
        <v>0</v>
      </c>
      <c r="AV377">
        <v>0</v>
      </c>
      <c r="AW377">
        <v>0</v>
      </c>
      <c r="AX377">
        <v>0</v>
      </c>
      <c r="AY377" t="s">
        <v>493</v>
      </c>
    </row>
    <row r="378" spans="2:51" x14ac:dyDescent="0.2">
      <c r="B378" t="s">
        <v>620</v>
      </c>
      <c r="C378">
        <v>7</v>
      </c>
      <c r="D378">
        <v>-2</v>
      </c>
      <c r="E378">
        <v>0</v>
      </c>
      <c r="F378">
        <v>0</v>
      </c>
      <c r="G378">
        <v>-1</v>
      </c>
      <c r="H378">
        <v>999</v>
      </c>
      <c r="I378">
        <v>0</v>
      </c>
      <c r="J378">
        <v>9.9168099999999995E-2</v>
      </c>
      <c r="K378">
        <v>0.465057</v>
      </c>
      <c r="L378">
        <v>1.11954</v>
      </c>
      <c r="M378">
        <v>1.9759800000000001</v>
      </c>
      <c r="N378">
        <v>3.0200100000000001</v>
      </c>
      <c r="O378">
        <v>4.59375</v>
      </c>
      <c r="P378">
        <v>5.51274</v>
      </c>
      <c r="Q378">
        <v>8.8061000000000007</v>
      </c>
      <c r="R378">
        <v>6.1894999999999998</v>
      </c>
      <c r="S378">
        <v>0</v>
      </c>
      <c r="T378">
        <v>10.4</v>
      </c>
      <c r="U378">
        <v>0</v>
      </c>
      <c r="V378">
        <v>8.6999999999999993</v>
      </c>
      <c r="W378">
        <v>0</v>
      </c>
      <c r="X378">
        <v>0</v>
      </c>
      <c r="Y378">
        <v>0</v>
      </c>
      <c r="Z378">
        <v>0</v>
      </c>
      <c r="AA378">
        <v>0</v>
      </c>
      <c r="AB378">
        <v>0</v>
      </c>
      <c r="AC378">
        <v>0</v>
      </c>
      <c r="AD378">
        <v>0</v>
      </c>
      <c r="AE378">
        <v>119</v>
      </c>
      <c r="AF378">
        <v>193</v>
      </c>
      <c r="AG378">
        <v>228</v>
      </c>
      <c r="AH378">
        <v>523</v>
      </c>
      <c r="AI378">
        <v>347</v>
      </c>
      <c r="AJ378">
        <v>242</v>
      </c>
      <c r="AK378">
        <v>74</v>
      </c>
      <c r="AL378">
        <v>10</v>
      </c>
      <c r="AM378">
        <v>6</v>
      </c>
      <c r="AN378">
        <v>0</v>
      </c>
      <c r="AO378">
        <v>1</v>
      </c>
      <c r="AP378">
        <v>0</v>
      </c>
      <c r="AQ378">
        <v>1</v>
      </c>
      <c r="AR378">
        <v>0</v>
      </c>
      <c r="AS378">
        <v>0</v>
      </c>
      <c r="AT378">
        <v>0</v>
      </c>
      <c r="AU378">
        <v>0</v>
      </c>
      <c r="AV378">
        <v>0</v>
      </c>
      <c r="AW378">
        <v>0</v>
      </c>
      <c r="AX378">
        <v>0</v>
      </c>
      <c r="AY378" t="s">
        <v>494</v>
      </c>
    </row>
    <row r="379" spans="2:51" x14ac:dyDescent="0.2">
      <c r="B379" t="s">
        <v>621</v>
      </c>
      <c r="C379">
        <v>7</v>
      </c>
      <c r="D379">
        <v>-2</v>
      </c>
      <c r="E379">
        <v>0</v>
      </c>
      <c r="F379">
        <v>0</v>
      </c>
      <c r="G379">
        <v>-1</v>
      </c>
      <c r="H379">
        <v>999</v>
      </c>
      <c r="I379">
        <v>0</v>
      </c>
      <c r="J379">
        <v>0.12076000000000001</v>
      </c>
      <c r="K379">
        <v>0.45761400000000002</v>
      </c>
      <c r="L379">
        <v>0.97628400000000004</v>
      </c>
      <c r="M379">
        <v>2.04067</v>
      </c>
      <c r="N379">
        <v>3.2179700000000002</v>
      </c>
      <c r="O379">
        <v>4.6600900000000003</v>
      </c>
      <c r="P379">
        <v>6.6229899999999997</v>
      </c>
      <c r="Q379">
        <v>8.4468200000000007</v>
      </c>
      <c r="R379">
        <v>6.1236699999999997</v>
      </c>
      <c r="S379">
        <v>12.44</v>
      </c>
      <c r="T379">
        <v>0</v>
      </c>
      <c r="U379">
        <v>0</v>
      </c>
      <c r="V379">
        <v>0</v>
      </c>
      <c r="W379">
        <v>0</v>
      </c>
      <c r="X379">
        <v>0</v>
      </c>
      <c r="Y379">
        <v>0</v>
      </c>
      <c r="Z379">
        <v>0</v>
      </c>
      <c r="AA379">
        <v>0</v>
      </c>
      <c r="AB379">
        <v>0</v>
      </c>
      <c r="AC379">
        <v>0</v>
      </c>
      <c r="AD379">
        <v>0</v>
      </c>
      <c r="AE379">
        <v>50</v>
      </c>
      <c r="AF379">
        <v>88</v>
      </c>
      <c r="AG379">
        <v>268</v>
      </c>
      <c r="AH379">
        <v>219</v>
      </c>
      <c r="AI379">
        <v>451</v>
      </c>
      <c r="AJ379">
        <v>175</v>
      </c>
      <c r="AK379">
        <v>73</v>
      </c>
      <c r="AL379">
        <v>11</v>
      </c>
      <c r="AM379">
        <v>3</v>
      </c>
      <c r="AN379">
        <v>1</v>
      </c>
      <c r="AO379">
        <v>0</v>
      </c>
      <c r="AP379">
        <v>0</v>
      </c>
      <c r="AQ379">
        <v>0</v>
      </c>
      <c r="AR379">
        <v>0</v>
      </c>
      <c r="AS379">
        <v>0</v>
      </c>
      <c r="AT379">
        <v>0</v>
      </c>
      <c r="AU379">
        <v>0</v>
      </c>
      <c r="AV379">
        <v>0</v>
      </c>
      <c r="AW379">
        <v>0</v>
      </c>
      <c r="AX379">
        <v>0</v>
      </c>
      <c r="AY379" t="s">
        <v>495</v>
      </c>
    </row>
    <row r="380" spans="2:51" x14ac:dyDescent="0.2">
      <c r="B380" t="s">
        <v>622</v>
      </c>
      <c r="C380">
        <v>7</v>
      </c>
      <c r="D380">
        <v>-2</v>
      </c>
      <c r="E380">
        <v>0</v>
      </c>
      <c r="F380">
        <v>0</v>
      </c>
      <c r="G380">
        <v>-1</v>
      </c>
      <c r="H380">
        <v>999</v>
      </c>
      <c r="I380">
        <v>0</v>
      </c>
      <c r="J380">
        <v>0.115221</v>
      </c>
      <c r="K380">
        <v>0.71792199999999995</v>
      </c>
      <c r="L380">
        <v>1.5126299999999999</v>
      </c>
      <c r="M380">
        <v>2.28491</v>
      </c>
      <c r="N380">
        <v>3.38611</v>
      </c>
      <c r="O380">
        <v>4.5485100000000003</v>
      </c>
      <c r="P380">
        <v>5.8388400000000003</v>
      </c>
      <c r="Q380">
        <v>8.4250000000000007</v>
      </c>
      <c r="R380">
        <v>8.2475000000000005</v>
      </c>
      <c r="S380">
        <v>6.7625000000000002</v>
      </c>
      <c r="T380">
        <v>0</v>
      </c>
      <c r="U380">
        <v>4.92</v>
      </c>
      <c r="V380">
        <v>0</v>
      </c>
      <c r="W380">
        <v>0</v>
      </c>
      <c r="X380">
        <v>0</v>
      </c>
      <c r="Y380">
        <v>0</v>
      </c>
      <c r="Z380">
        <v>0</v>
      </c>
      <c r="AA380">
        <v>0</v>
      </c>
      <c r="AB380">
        <v>0</v>
      </c>
      <c r="AC380">
        <v>0</v>
      </c>
      <c r="AD380">
        <v>0</v>
      </c>
      <c r="AE380">
        <v>281</v>
      </c>
      <c r="AF380">
        <v>204</v>
      </c>
      <c r="AG380">
        <v>268</v>
      </c>
      <c r="AH380">
        <v>309</v>
      </c>
      <c r="AI380">
        <v>252</v>
      </c>
      <c r="AJ380">
        <v>335</v>
      </c>
      <c r="AK380">
        <v>141</v>
      </c>
      <c r="AL380">
        <v>26</v>
      </c>
      <c r="AM380">
        <v>4</v>
      </c>
      <c r="AN380">
        <v>2</v>
      </c>
      <c r="AO380">
        <v>0</v>
      </c>
      <c r="AP380">
        <v>1</v>
      </c>
      <c r="AQ380">
        <v>0</v>
      </c>
      <c r="AR380">
        <v>0</v>
      </c>
      <c r="AS380">
        <v>0</v>
      </c>
      <c r="AT380">
        <v>0</v>
      </c>
      <c r="AU380">
        <v>0</v>
      </c>
      <c r="AV380">
        <v>0</v>
      </c>
      <c r="AW380">
        <v>0</v>
      </c>
      <c r="AX380">
        <v>0</v>
      </c>
      <c r="AY380" t="s">
        <v>496</v>
      </c>
    </row>
    <row r="381" spans="2:51" x14ac:dyDescent="0.2">
      <c r="B381" t="s">
        <v>623</v>
      </c>
      <c r="C381">
        <v>7</v>
      </c>
      <c r="D381">
        <v>-2</v>
      </c>
      <c r="E381">
        <v>0</v>
      </c>
      <c r="F381">
        <v>0</v>
      </c>
      <c r="G381">
        <v>-1</v>
      </c>
      <c r="H381">
        <v>999</v>
      </c>
      <c r="I381">
        <v>5.0000000000000001E-3</v>
      </c>
      <c r="J381">
        <v>0.10430499999999999</v>
      </c>
      <c r="K381">
        <v>0.56695099999999998</v>
      </c>
      <c r="L381">
        <v>1.14828</v>
      </c>
      <c r="M381">
        <v>1.72926</v>
      </c>
      <c r="N381">
        <v>3.2945199999999999</v>
      </c>
      <c r="O381">
        <v>4.3586299999999998</v>
      </c>
      <c r="P381">
        <v>6.1863999999999999</v>
      </c>
      <c r="Q381">
        <v>7.2789799999999998</v>
      </c>
      <c r="R381">
        <v>8.3618299999999994</v>
      </c>
      <c r="S381">
        <v>10.175000000000001</v>
      </c>
      <c r="T381">
        <v>0</v>
      </c>
      <c r="U381">
        <v>5.99</v>
      </c>
      <c r="V381">
        <v>0</v>
      </c>
      <c r="W381">
        <v>0</v>
      </c>
      <c r="X381">
        <v>0</v>
      </c>
      <c r="Y381">
        <v>0</v>
      </c>
      <c r="Z381">
        <v>0</v>
      </c>
      <c r="AA381">
        <v>0</v>
      </c>
      <c r="AB381">
        <v>0</v>
      </c>
      <c r="AC381">
        <v>0</v>
      </c>
      <c r="AD381">
        <v>1</v>
      </c>
      <c r="AE381">
        <v>167</v>
      </c>
      <c r="AF381">
        <v>162</v>
      </c>
      <c r="AG381">
        <v>533</v>
      </c>
      <c r="AH381">
        <v>366</v>
      </c>
      <c r="AI381">
        <v>198</v>
      </c>
      <c r="AJ381">
        <v>156</v>
      </c>
      <c r="AK381">
        <v>108</v>
      </c>
      <c r="AL381">
        <v>50</v>
      </c>
      <c r="AM381">
        <v>12</v>
      </c>
      <c r="AN381">
        <v>2</v>
      </c>
      <c r="AO381">
        <v>0</v>
      </c>
      <c r="AP381">
        <v>1</v>
      </c>
      <c r="AQ381">
        <v>0</v>
      </c>
      <c r="AR381">
        <v>0</v>
      </c>
      <c r="AS381">
        <v>0</v>
      </c>
      <c r="AT381">
        <v>0</v>
      </c>
      <c r="AU381">
        <v>0</v>
      </c>
      <c r="AV381">
        <v>0</v>
      </c>
      <c r="AW381">
        <v>0</v>
      </c>
      <c r="AX381">
        <v>0</v>
      </c>
      <c r="AY381" t="s">
        <v>497</v>
      </c>
    </row>
    <row r="382" spans="2:51" x14ac:dyDescent="0.2">
      <c r="B382" t="s">
        <v>176</v>
      </c>
      <c r="C382">
        <v>7</v>
      </c>
      <c r="D382">
        <v>-2</v>
      </c>
      <c r="E382">
        <v>0</v>
      </c>
      <c r="F382">
        <v>0</v>
      </c>
      <c r="G382">
        <v>-1</v>
      </c>
      <c r="H382">
        <v>999</v>
      </c>
      <c r="I382">
        <v>2E-3</v>
      </c>
      <c r="J382">
        <v>6.0834300000000001E-2</v>
      </c>
      <c r="K382">
        <v>0.57743599999999995</v>
      </c>
      <c r="L382">
        <v>1.2587999999999999</v>
      </c>
      <c r="M382">
        <v>2.0094699999999999</v>
      </c>
      <c r="N382">
        <v>3.0579299999999998</v>
      </c>
      <c r="O382">
        <v>5.2263500000000001</v>
      </c>
      <c r="P382">
        <v>6.7601000000000004</v>
      </c>
      <c r="Q382">
        <v>7.8039699999999996</v>
      </c>
      <c r="R382">
        <v>9.3470399999999998</v>
      </c>
      <c r="S382">
        <v>9.4917099999999994</v>
      </c>
      <c r="T382">
        <v>11.29</v>
      </c>
      <c r="U382">
        <v>0</v>
      </c>
      <c r="V382">
        <v>0</v>
      </c>
      <c r="W382">
        <v>0</v>
      </c>
      <c r="X382">
        <v>0</v>
      </c>
      <c r="Y382">
        <v>0</v>
      </c>
      <c r="Z382">
        <v>0</v>
      </c>
      <c r="AA382">
        <v>0</v>
      </c>
      <c r="AB382">
        <v>0</v>
      </c>
      <c r="AC382">
        <v>0</v>
      </c>
      <c r="AD382">
        <v>2</v>
      </c>
      <c r="AE382">
        <v>175</v>
      </c>
      <c r="AF382">
        <v>257</v>
      </c>
      <c r="AG382">
        <v>293</v>
      </c>
      <c r="AH382">
        <v>515</v>
      </c>
      <c r="AI382">
        <v>216</v>
      </c>
      <c r="AJ382">
        <v>132</v>
      </c>
      <c r="AK382">
        <v>97</v>
      </c>
      <c r="AL382">
        <v>61</v>
      </c>
      <c r="AM382">
        <v>25</v>
      </c>
      <c r="AN382">
        <v>7</v>
      </c>
      <c r="AO382">
        <v>1</v>
      </c>
      <c r="AP382">
        <v>0</v>
      </c>
      <c r="AQ382">
        <v>0</v>
      </c>
      <c r="AR382">
        <v>0</v>
      </c>
      <c r="AS382">
        <v>0</v>
      </c>
      <c r="AT382">
        <v>0</v>
      </c>
      <c r="AU382">
        <v>0</v>
      </c>
      <c r="AV382">
        <v>0</v>
      </c>
      <c r="AW382">
        <v>0</v>
      </c>
      <c r="AX382">
        <v>0</v>
      </c>
      <c r="AY382" t="s">
        <v>498</v>
      </c>
    </row>
    <row r="383" spans="2:51" x14ac:dyDescent="0.2">
      <c r="B383" t="s">
        <v>624</v>
      </c>
      <c r="C383">
        <v>7</v>
      </c>
      <c r="D383">
        <v>-2</v>
      </c>
      <c r="E383">
        <v>0</v>
      </c>
      <c r="F383">
        <v>0</v>
      </c>
      <c r="G383">
        <v>-1</v>
      </c>
      <c r="H383">
        <v>999</v>
      </c>
      <c r="I383">
        <v>0</v>
      </c>
      <c r="J383">
        <v>6.05698E-2</v>
      </c>
      <c r="K383">
        <v>0.46558300000000002</v>
      </c>
      <c r="L383">
        <v>1.3124800000000001</v>
      </c>
      <c r="M383">
        <v>2.3310900000000001</v>
      </c>
      <c r="N383">
        <v>3.2243599999999999</v>
      </c>
      <c r="O383">
        <v>5.5519800000000004</v>
      </c>
      <c r="P383">
        <v>7.12087</v>
      </c>
      <c r="Q383">
        <v>8.5915599999999994</v>
      </c>
      <c r="R383">
        <v>9.6312499999999996</v>
      </c>
      <c r="S383">
        <v>10.6462</v>
      </c>
      <c r="T383">
        <v>0</v>
      </c>
      <c r="U383">
        <v>0</v>
      </c>
      <c r="V383">
        <v>0</v>
      </c>
      <c r="W383">
        <v>0</v>
      </c>
      <c r="X383">
        <v>0</v>
      </c>
      <c r="Y383">
        <v>0</v>
      </c>
      <c r="Z383">
        <v>0</v>
      </c>
      <c r="AA383">
        <v>0</v>
      </c>
      <c r="AB383">
        <v>0</v>
      </c>
      <c r="AC383">
        <v>0</v>
      </c>
      <c r="AD383">
        <v>0</v>
      </c>
      <c r="AE383">
        <v>179</v>
      </c>
      <c r="AF383">
        <v>312</v>
      </c>
      <c r="AG383">
        <v>337</v>
      </c>
      <c r="AH383">
        <v>349</v>
      </c>
      <c r="AI383">
        <v>313</v>
      </c>
      <c r="AJ383">
        <v>88</v>
      </c>
      <c r="AK383">
        <v>55</v>
      </c>
      <c r="AL383">
        <v>32</v>
      </c>
      <c r="AM383">
        <v>8</v>
      </c>
      <c r="AN383">
        <v>4</v>
      </c>
      <c r="AO383">
        <v>0</v>
      </c>
      <c r="AP383">
        <v>0</v>
      </c>
      <c r="AQ383">
        <v>0</v>
      </c>
      <c r="AR383">
        <v>0</v>
      </c>
      <c r="AS383">
        <v>0</v>
      </c>
      <c r="AT383">
        <v>0</v>
      </c>
      <c r="AU383">
        <v>0</v>
      </c>
      <c r="AV383">
        <v>0</v>
      </c>
      <c r="AW383">
        <v>0</v>
      </c>
      <c r="AX383">
        <v>0</v>
      </c>
      <c r="AY383" t="s">
        <v>499</v>
      </c>
    </row>
    <row r="384" spans="2:51" x14ac:dyDescent="0.2">
      <c r="B384" t="s">
        <v>625</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t="s">
        <v>416</v>
      </c>
    </row>
    <row r="385" spans="1:90" x14ac:dyDescent="0.2">
      <c r="A385">
        <v>0</v>
      </c>
      <c r="B385" t="s">
        <v>626</v>
      </c>
    </row>
    <row r="386" spans="1:90" x14ac:dyDescent="0.2">
      <c r="A386">
        <v>0</v>
      </c>
      <c r="B386" t="s">
        <v>627</v>
      </c>
    </row>
    <row r="387" spans="1:90" x14ac:dyDescent="0.2">
      <c r="A387">
        <v>0</v>
      </c>
      <c r="B387" t="s">
        <v>628</v>
      </c>
    </row>
    <row r="388" spans="1:90" x14ac:dyDescent="0.2">
      <c r="A388">
        <v>0</v>
      </c>
      <c r="B388" t="s">
        <v>629</v>
      </c>
    </row>
    <row r="389" spans="1:90" x14ac:dyDescent="0.2">
      <c r="A389">
        <v>0</v>
      </c>
      <c r="B389" t="s">
        <v>630</v>
      </c>
    </row>
    <row r="390" spans="1:90" x14ac:dyDescent="0.2">
      <c r="A390" t="s">
        <v>99</v>
      </c>
    </row>
    <row r="391" spans="1:90" x14ac:dyDescent="0.2">
      <c r="A391">
        <v>999</v>
      </c>
    </row>
    <row r="395" spans="1:90" x14ac:dyDescent="0.2">
      <c r="B395" t="s">
        <v>633</v>
      </c>
      <c r="C395">
        <v>1979</v>
      </c>
      <c r="D395">
        <v>1980</v>
      </c>
      <c r="E395">
        <v>1981</v>
      </c>
      <c r="F395">
        <v>1982</v>
      </c>
      <c r="G395">
        <v>1983</v>
      </c>
      <c r="H395">
        <v>1984</v>
      </c>
      <c r="I395">
        <v>1985</v>
      </c>
      <c r="J395">
        <v>1986</v>
      </c>
      <c r="K395">
        <v>1987</v>
      </c>
      <c r="L395">
        <v>1988</v>
      </c>
      <c r="M395">
        <v>1989</v>
      </c>
      <c r="N395">
        <v>1990</v>
      </c>
      <c r="O395">
        <v>1991</v>
      </c>
      <c r="P395">
        <v>1992</v>
      </c>
      <c r="Q395">
        <v>1993</v>
      </c>
      <c r="R395">
        <v>1994</v>
      </c>
      <c r="S395">
        <v>1995</v>
      </c>
      <c r="T395">
        <v>1996</v>
      </c>
      <c r="U395">
        <v>1997</v>
      </c>
      <c r="V395">
        <v>1998</v>
      </c>
      <c r="W395">
        <v>1999</v>
      </c>
      <c r="X395">
        <v>2000</v>
      </c>
      <c r="Y395">
        <v>2001</v>
      </c>
      <c r="Z395">
        <v>2002</v>
      </c>
      <c r="AA395">
        <v>2003</v>
      </c>
      <c r="AB395">
        <v>2004</v>
      </c>
      <c r="AC395">
        <v>2005</v>
      </c>
      <c r="AD395">
        <v>2006</v>
      </c>
      <c r="AE395">
        <v>2007</v>
      </c>
      <c r="AF395">
        <v>2008</v>
      </c>
      <c r="AG395">
        <v>2009</v>
      </c>
      <c r="AH395">
        <v>2010</v>
      </c>
      <c r="AI395">
        <v>2011</v>
      </c>
      <c r="AJ395">
        <v>2012</v>
      </c>
      <c r="AK395">
        <v>2013</v>
      </c>
      <c r="AL395">
        <v>2014</v>
      </c>
      <c r="AM395">
        <v>2015</v>
      </c>
      <c r="AN395">
        <v>2016</v>
      </c>
      <c r="AO395">
        <v>2017</v>
      </c>
      <c r="AP395">
        <v>2018</v>
      </c>
      <c r="AQ395">
        <v>2019</v>
      </c>
      <c r="AR395">
        <v>2020</v>
      </c>
      <c r="AS395">
        <v>2021</v>
      </c>
      <c r="AT395">
        <v>2022</v>
      </c>
      <c r="AU395">
        <v>2023</v>
      </c>
      <c r="AV395">
        <v>2024</v>
      </c>
      <c r="AW395">
        <v>1982</v>
      </c>
      <c r="AX395">
        <v>1983</v>
      </c>
      <c r="AY395">
        <v>1984</v>
      </c>
      <c r="AZ395">
        <v>1985</v>
      </c>
      <c r="BA395">
        <v>1986</v>
      </c>
      <c r="BB395">
        <v>1987</v>
      </c>
      <c r="BC395">
        <v>1988</v>
      </c>
      <c r="BD395">
        <v>1989</v>
      </c>
      <c r="BE395">
        <v>1990</v>
      </c>
      <c r="BF395">
        <v>1991</v>
      </c>
      <c r="BG395">
        <v>1992</v>
      </c>
      <c r="BH395">
        <v>1993</v>
      </c>
      <c r="BI395">
        <v>1994</v>
      </c>
      <c r="BJ395">
        <v>1995</v>
      </c>
      <c r="BK395">
        <v>1996</v>
      </c>
      <c r="BL395">
        <v>1997</v>
      </c>
      <c r="BM395">
        <v>1998</v>
      </c>
      <c r="BN395">
        <v>1999</v>
      </c>
      <c r="BO395">
        <v>2000</v>
      </c>
      <c r="BP395">
        <v>2001</v>
      </c>
      <c r="BQ395">
        <v>2002</v>
      </c>
      <c r="BR395">
        <v>2003</v>
      </c>
      <c r="BS395">
        <v>2004</v>
      </c>
      <c r="BT395">
        <v>2005</v>
      </c>
      <c r="BU395">
        <v>2006</v>
      </c>
      <c r="BV395">
        <v>2007</v>
      </c>
      <c r="BW395">
        <v>2008</v>
      </c>
      <c r="BX395">
        <v>2009</v>
      </c>
      <c r="BY395">
        <v>2010</v>
      </c>
      <c r="BZ395">
        <v>2011</v>
      </c>
      <c r="CA395">
        <v>2012</v>
      </c>
      <c r="CB395">
        <v>2013</v>
      </c>
      <c r="CC395">
        <v>2014</v>
      </c>
      <c r="CD395">
        <v>2015</v>
      </c>
      <c r="CE395">
        <v>2016</v>
      </c>
      <c r="CF395">
        <v>2017</v>
      </c>
      <c r="CG395">
        <v>2018</v>
      </c>
      <c r="CH395">
        <v>2019</v>
      </c>
      <c r="CI395">
        <v>2021</v>
      </c>
      <c r="CJ395">
        <v>2022</v>
      </c>
      <c r="CK395">
        <v>2023</v>
      </c>
      <c r="CL395">
        <v>2024</v>
      </c>
    </row>
    <row r="396" spans="1:90" x14ac:dyDescent="0.2">
      <c r="B396" t="s">
        <v>631</v>
      </c>
      <c r="C396">
        <v>1</v>
      </c>
      <c r="D396">
        <v>1</v>
      </c>
      <c r="E396">
        <v>1</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c r="AD396">
        <v>1</v>
      </c>
      <c r="AE396">
        <v>1</v>
      </c>
      <c r="AF396">
        <v>1</v>
      </c>
      <c r="AG396">
        <v>1</v>
      </c>
      <c r="AH396">
        <v>1</v>
      </c>
      <c r="AI396">
        <v>1</v>
      </c>
      <c r="AJ396">
        <v>1</v>
      </c>
      <c r="AK396">
        <v>1</v>
      </c>
      <c r="AL396">
        <v>1</v>
      </c>
      <c r="AM396">
        <v>1</v>
      </c>
      <c r="AN396">
        <v>1</v>
      </c>
      <c r="AO396">
        <v>1</v>
      </c>
      <c r="AP396">
        <v>1</v>
      </c>
      <c r="AQ396">
        <v>1</v>
      </c>
      <c r="AR396">
        <v>1</v>
      </c>
      <c r="AS396">
        <v>1</v>
      </c>
      <c r="AT396">
        <v>1</v>
      </c>
      <c r="AU396">
        <v>1</v>
      </c>
      <c r="AV396">
        <v>1</v>
      </c>
      <c r="AW396">
        <v>7</v>
      </c>
      <c r="AX396">
        <v>7</v>
      </c>
      <c r="AY396">
        <v>7</v>
      </c>
      <c r="AZ396">
        <v>7</v>
      </c>
      <c r="BA396">
        <v>7</v>
      </c>
      <c r="BB396">
        <v>7</v>
      </c>
      <c r="BC396">
        <v>7</v>
      </c>
      <c r="BD396">
        <v>7</v>
      </c>
      <c r="BE396">
        <v>7</v>
      </c>
      <c r="BF396">
        <v>7</v>
      </c>
      <c r="BG396">
        <v>7</v>
      </c>
      <c r="BH396">
        <v>7</v>
      </c>
      <c r="BI396">
        <v>7</v>
      </c>
      <c r="BJ396">
        <v>7</v>
      </c>
      <c r="BK396">
        <v>7</v>
      </c>
      <c r="BL396">
        <v>7</v>
      </c>
      <c r="BM396">
        <v>7</v>
      </c>
      <c r="BN396">
        <v>7</v>
      </c>
      <c r="BO396">
        <v>7</v>
      </c>
      <c r="BP396">
        <v>7</v>
      </c>
      <c r="BQ396">
        <v>7</v>
      </c>
      <c r="BR396">
        <v>7</v>
      </c>
      <c r="BS396">
        <v>7</v>
      </c>
      <c r="BT396">
        <v>7</v>
      </c>
      <c r="BU396">
        <v>7</v>
      </c>
      <c r="BV396">
        <v>7</v>
      </c>
      <c r="BW396">
        <v>7</v>
      </c>
      <c r="BX396">
        <v>7</v>
      </c>
      <c r="BY396">
        <v>7</v>
      </c>
      <c r="BZ396">
        <v>7</v>
      </c>
      <c r="CA396">
        <v>7</v>
      </c>
      <c r="CB396">
        <v>7</v>
      </c>
      <c r="CC396">
        <v>7</v>
      </c>
      <c r="CD396">
        <v>7</v>
      </c>
      <c r="CE396">
        <v>7</v>
      </c>
      <c r="CF396">
        <v>7</v>
      </c>
      <c r="CG396">
        <v>7</v>
      </c>
      <c r="CH396">
        <v>7</v>
      </c>
      <c r="CI396">
        <v>7</v>
      </c>
      <c r="CJ396">
        <v>7</v>
      </c>
      <c r="CK396">
        <v>7</v>
      </c>
      <c r="CL396">
        <v>7</v>
      </c>
    </row>
    <row r="397" spans="1:90" x14ac:dyDescent="0.2">
      <c r="B397" t="s">
        <v>632</v>
      </c>
      <c r="C397">
        <v>1</v>
      </c>
      <c r="D397">
        <v>1</v>
      </c>
      <c r="E397">
        <v>1</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c r="AD397">
        <v>1</v>
      </c>
      <c r="AE397">
        <v>1</v>
      </c>
      <c r="AF397">
        <v>1</v>
      </c>
      <c r="AG397">
        <v>1</v>
      </c>
      <c r="AH397">
        <v>1</v>
      </c>
      <c r="AI397">
        <v>1</v>
      </c>
      <c r="AJ397">
        <v>1</v>
      </c>
      <c r="AK397">
        <v>1</v>
      </c>
      <c r="AL397">
        <v>1</v>
      </c>
      <c r="AM397">
        <v>1</v>
      </c>
      <c r="AN397">
        <v>1</v>
      </c>
      <c r="AO397">
        <v>1</v>
      </c>
      <c r="AP397">
        <v>1</v>
      </c>
      <c r="AQ397">
        <v>1</v>
      </c>
      <c r="AR397">
        <v>1</v>
      </c>
      <c r="AS397">
        <v>1</v>
      </c>
      <c r="AT397">
        <v>1</v>
      </c>
      <c r="AU397">
        <v>1</v>
      </c>
      <c r="AV397">
        <v>1</v>
      </c>
      <c r="AW397">
        <v>2</v>
      </c>
      <c r="AX397">
        <v>2</v>
      </c>
      <c r="AY397">
        <v>2</v>
      </c>
      <c r="AZ397">
        <v>2</v>
      </c>
      <c r="BA397">
        <v>2</v>
      </c>
      <c r="BB397">
        <v>2</v>
      </c>
      <c r="BC397">
        <v>2</v>
      </c>
      <c r="BD397">
        <v>2</v>
      </c>
      <c r="BE397">
        <v>2</v>
      </c>
      <c r="BF397">
        <v>2</v>
      </c>
      <c r="BG397">
        <v>2</v>
      </c>
      <c r="BH397">
        <v>2</v>
      </c>
      <c r="BI397">
        <v>2</v>
      </c>
      <c r="BJ397">
        <v>2</v>
      </c>
      <c r="BK397">
        <v>2</v>
      </c>
      <c r="BL397">
        <v>2</v>
      </c>
      <c r="BM397">
        <v>2</v>
      </c>
      <c r="BN397">
        <v>2</v>
      </c>
      <c r="BO397">
        <v>-2</v>
      </c>
      <c r="BP397">
        <v>-2</v>
      </c>
      <c r="BQ397">
        <v>-2</v>
      </c>
      <c r="BR397">
        <v>-2</v>
      </c>
      <c r="BS397">
        <v>-2</v>
      </c>
      <c r="BT397">
        <v>-2</v>
      </c>
      <c r="BU397">
        <v>-2</v>
      </c>
      <c r="BV397">
        <v>-2</v>
      </c>
      <c r="BW397">
        <v>-2</v>
      </c>
      <c r="BX397">
        <v>-2</v>
      </c>
      <c r="BY397">
        <v>-2</v>
      </c>
      <c r="BZ397">
        <v>-2</v>
      </c>
      <c r="CA397">
        <v>-2</v>
      </c>
      <c r="CB397">
        <v>-2</v>
      </c>
      <c r="CC397">
        <v>-2</v>
      </c>
      <c r="CD397">
        <v>-2</v>
      </c>
      <c r="CE397">
        <v>-2</v>
      </c>
      <c r="CF397">
        <v>-2</v>
      </c>
      <c r="CG397">
        <v>-2</v>
      </c>
      <c r="CH397">
        <v>-2</v>
      </c>
      <c r="CI397">
        <v>-2</v>
      </c>
      <c r="CJ397">
        <v>-2</v>
      </c>
      <c r="CK397">
        <v>-2</v>
      </c>
      <c r="CL397">
        <v>2</v>
      </c>
    </row>
    <row r="398" spans="1:90" x14ac:dyDescent="0.2">
      <c r="B398" t="s">
        <v>536</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row>
    <row r="399" spans="1:90" x14ac:dyDescent="0.2">
      <c r="B399" t="s">
        <v>537</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row>
    <row r="400" spans="1:90" x14ac:dyDescent="0.2">
      <c r="B400" t="s">
        <v>249</v>
      </c>
      <c r="C400">
        <v>12</v>
      </c>
      <c r="D400">
        <v>12</v>
      </c>
      <c r="E400">
        <v>14</v>
      </c>
      <c r="F400">
        <v>7</v>
      </c>
      <c r="G400">
        <v>25</v>
      </c>
      <c r="H400">
        <v>30</v>
      </c>
      <c r="I400">
        <v>46</v>
      </c>
      <c r="J400">
        <v>47</v>
      </c>
      <c r="K400">
        <v>86</v>
      </c>
      <c r="L400">
        <v>88</v>
      </c>
      <c r="M400">
        <v>40</v>
      </c>
      <c r="N400">
        <v>42</v>
      </c>
      <c r="O400">
        <v>341</v>
      </c>
      <c r="P400">
        <v>336</v>
      </c>
      <c r="Q400">
        <v>199</v>
      </c>
      <c r="R400">
        <v>313</v>
      </c>
      <c r="S400">
        <v>340</v>
      </c>
      <c r="T400">
        <v>440</v>
      </c>
      <c r="U400">
        <v>467</v>
      </c>
      <c r="V400">
        <v>446</v>
      </c>
      <c r="W400">
        <v>593</v>
      </c>
      <c r="X400">
        <v>645</v>
      </c>
      <c r="Y400">
        <v>684</v>
      </c>
      <c r="Z400">
        <v>751</v>
      </c>
      <c r="AA400">
        <v>936</v>
      </c>
      <c r="AB400">
        <v>785</v>
      </c>
      <c r="AC400">
        <v>753</v>
      </c>
      <c r="AD400">
        <v>587</v>
      </c>
      <c r="AE400">
        <v>460</v>
      </c>
      <c r="AF400">
        <v>545</v>
      </c>
      <c r="AG400">
        <v>483</v>
      </c>
      <c r="AH400">
        <v>430</v>
      </c>
      <c r="AI400">
        <v>565</v>
      </c>
      <c r="AJ400">
        <v>604</v>
      </c>
      <c r="AK400">
        <v>718</v>
      </c>
      <c r="AL400">
        <v>784</v>
      </c>
      <c r="AM400">
        <v>724</v>
      </c>
      <c r="AN400">
        <v>614</v>
      </c>
      <c r="AO400">
        <v>538</v>
      </c>
      <c r="AP400">
        <v>413</v>
      </c>
      <c r="AQ400">
        <v>298</v>
      </c>
      <c r="AR400">
        <v>228</v>
      </c>
      <c r="AS400">
        <v>187</v>
      </c>
      <c r="AT400">
        <v>252</v>
      </c>
      <c r="AU400">
        <v>245</v>
      </c>
      <c r="AV400">
        <v>201</v>
      </c>
      <c r="AW400">
        <v>2415</v>
      </c>
      <c r="AX400">
        <v>1153</v>
      </c>
      <c r="AY400">
        <v>2484</v>
      </c>
      <c r="AZ400">
        <v>863</v>
      </c>
      <c r="BA400">
        <v>2016</v>
      </c>
      <c r="BB400">
        <v>2092</v>
      </c>
      <c r="BC400">
        <v>1597</v>
      </c>
      <c r="BD400">
        <v>1187</v>
      </c>
      <c r="BE400">
        <v>1206</v>
      </c>
      <c r="BF400">
        <v>1178</v>
      </c>
      <c r="BG400">
        <v>802</v>
      </c>
      <c r="BH400">
        <v>787</v>
      </c>
      <c r="BI400">
        <v>1296</v>
      </c>
      <c r="BJ400">
        <v>1942</v>
      </c>
      <c r="BK400">
        <v>1413</v>
      </c>
      <c r="BL400">
        <v>1371</v>
      </c>
      <c r="BM400">
        <v>2143</v>
      </c>
      <c r="BN400">
        <v>2053</v>
      </c>
      <c r="BO400">
        <v>1373</v>
      </c>
      <c r="BP400">
        <v>1754</v>
      </c>
      <c r="BQ400">
        <v>2136</v>
      </c>
      <c r="BR400">
        <v>1011</v>
      </c>
      <c r="BS400">
        <v>1918</v>
      </c>
      <c r="BT400">
        <v>1142</v>
      </c>
      <c r="BU400">
        <v>2563</v>
      </c>
      <c r="BV400">
        <v>278</v>
      </c>
      <c r="BW400">
        <v>1756</v>
      </c>
      <c r="BX400">
        <v>922</v>
      </c>
      <c r="BY400">
        <v>1188</v>
      </c>
      <c r="BZ400">
        <v>1357</v>
      </c>
      <c r="CA400">
        <v>859</v>
      </c>
      <c r="CB400">
        <v>870</v>
      </c>
      <c r="CC400">
        <v>1063</v>
      </c>
      <c r="CD400">
        <v>2116</v>
      </c>
      <c r="CE400">
        <v>3109</v>
      </c>
      <c r="CF400">
        <v>3918</v>
      </c>
      <c r="CG400">
        <v>2955</v>
      </c>
      <c r="CH400">
        <v>1741</v>
      </c>
      <c r="CI400">
        <v>3973</v>
      </c>
      <c r="CJ400">
        <v>2978</v>
      </c>
      <c r="CK400">
        <v>2181</v>
      </c>
      <c r="CL400">
        <v>2556</v>
      </c>
    </row>
    <row r="401" spans="2:90" x14ac:dyDescent="0.2">
      <c r="B401">
        <v>0.5</v>
      </c>
      <c r="C401">
        <v>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row>
    <row r="402" spans="2:90" x14ac:dyDescent="0.2">
      <c r="B402">
        <v>1.5</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row>
    <row r="403" spans="2:90" x14ac:dyDescent="0.2">
      <c r="B403">
        <v>2.5</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row>
    <row r="404" spans="2:90" x14ac:dyDescent="0.2">
      <c r="B404">
        <v>3.5</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1.7799999999999999E-6</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3.4400000000000003E-5</v>
      </c>
      <c r="BY404">
        <v>0</v>
      </c>
      <c r="BZ404">
        <v>0</v>
      </c>
      <c r="CA404">
        <v>0</v>
      </c>
      <c r="CB404">
        <v>0</v>
      </c>
      <c r="CC404">
        <v>0</v>
      </c>
      <c r="CD404">
        <v>0</v>
      </c>
      <c r="CE404">
        <v>0</v>
      </c>
      <c r="CF404">
        <v>0</v>
      </c>
      <c r="CG404">
        <v>0</v>
      </c>
      <c r="CH404">
        <v>0</v>
      </c>
      <c r="CI404">
        <v>0</v>
      </c>
      <c r="CJ404">
        <v>0</v>
      </c>
      <c r="CK404">
        <v>0</v>
      </c>
      <c r="CL404">
        <v>0</v>
      </c>
    </row>
    <row r="405" spans="2:90" x14ac:dyDescent="0.2">
      <c r="B405">
        <v>4.5</v>
      </c>
      <c r="C405">
        <v>0</v>
      </c>
      <c r="D405">
        <v>0</v>
      </c>
      <c r="E405">
        <v>0</v>
      </c>
      <c r="F405">
        <v>0</v>
      </c>
      <c r="G405">
        <v>0</v>
      </c>
      <c r="H405">
        <v>0</v>
      </c>
      <c r="I405">
        <v>0</v>
      </c>
      <c r="J405">
        <v>0</v>
      </c>
      <c r="K405">
        <v>0</v>
      </c>
      <c r="L405">
        <v>4.2400000000000001E-5</v>
      </c>
      <c r="M405">
        <v>0</v>
      </c>
      <c r="N405">
        <v>0</v>
      </c>
      <c r="O405">
        <v>0</v>
      </c>
      <c r="P405">
        <v>0</v>
      </c>
      <c r="Q405">
        <v>0</v>
      </c>
      <c r="R405">
        <v>0</v>
      </c>
      <c r="S405">
        <v>0</v>
      </c>
      <c r="T405">
        <v>0</v>
      </c>
      <c r="U405">
        <v>1.3200000000000001E-6</v>
      </c>
      <c r="V405">
        <v>0</v>
      </c>
      <c r="W405">
        <v>8.4300000000000002E-7</v>
      </c>
      <c r="X405">
        <v>4.8400000000000002E-6</v>
      </c>
      <c r="Y405">
        <v>2.1399999999999998E-6</v>
      </c>
      <c r="Z405">
        <v>5.8200000000000002E-6</v>
      </c>
      <c r="AA405">
        <v>7.7999999999999999E-6</v>
      </c>
      <c r="AB405">
        <v>0</v>
      </c>
      <c r="AC405">
        <v>3.7100000000000001E-6</v>
      </c>
      <c r="AD405">
        <v>0</v>
      </c>
      <c r="AE405">
        <v>0</v>
      </c>
      <c r="AF405">
        <v>1.0699999999999999E-5</v>
      </c>
      <c r="AG405">
        <v>0</v>
      </c>
      <c r="AH405">
        <v>0</v>
      </c>
      <c r="AI405">
        <v>1.7799999999999999E-6</v>
      </c>
      <c r="AJ405">
        <v>0</v>
      </c>
      <c r="AK405">
        <v>8.2199999999999992E-6</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1.40505E-4</v>
      </c>
      <c r="BT405">
        <v>0</v>
      </c>
      <c r="BU405">
        <v>6.8399999999999996E-5</v>
      </c>
      <c r="BV405">
        <v>0</v>
      </c>
      <c r="BW405">
        <v>0</v>
      </c>
      <c r="BX405">
        <v>0</v>
      </c>
      <c r="BY405">
        <v>1.84E-5</v>
      </c>
      <c r="BZ405">
        <v>0</v>
      </c>
      <c r="CA405">
        <v>0</v>
      </c>
      <c r="CB405">
        <v>0</v>
      </c>
      <c r="CC405">
        <v>0</v>
      </c>
      <c r="CD405">
        <v>0</v>
      </c>
      <c r="CE405">
        <v>0</v>
      </c>
      <c r="CF405">
        <v>0</v>
      </c>
      <c r="CG405">
        <v>0</v>
      </c>
      <c r="CH405">
        <v>0</v>
      </c>
      <c r="CI405">
        <v>0</v>
      </c>
      <c r="CJ405">
        <v>0</v>
      </c>
      <c r="CK405">
        <v>0</v>
      </c>
      <c r="CL405">
        <v>0</v>
      </c>
    </row>
    <row r="406" spans="2:90" x14ac:dyDescent="0.2">
      <c r="B406">
        <v>5.5</v>
      </c>
      <c r="C406">
        <v>0</v>
      </c>
      <c r="D406">
        <v>0</v>
      </c>
      <c r="E406">
        <v>0</v>
      </c>
      <c r="F406">
        <v>0</v>
      </c>
      <c r="G406">
        <v>0</v>
      </c>
      <c r="H406">
        <v>0</v>
      </c>
      <c r="I406">
        <v>0</v>
      </c>
      <c r="J406">
        <v>0</v>
      </c>
      <c r="K406">
        <v>0</v>
      </c>
      <c r="L406">
        <v>0</v>
      </c>
      <c r="M406">
        <v>0</v>
      </c>
      <c r="N406">
        <v>0</v>
      </c>
      <c r="O406">
        <v>0</v>
      </c>
      <c r="P406">
        <v>0</v>
      </c>
      <c r="Q406">
        <v>0</v>
      </c>
      <c r="R406">
        <v>0</v>
      </c>
      <c r="S406">
        <v>0</v>
      </c>
      <c r="T406">
        <v>0</v>
      </c>
      <c r="U406">
        <v>3.32E-6</v>
      </c>
      <c r="V406">
        <v>0</v>
      </c>
      <c r="W406">
        <v>2.2099999999999998E-5</v>
      </c>
      <c r="X406">
        <v>8.9299999999999992E-6</v>
      </c>
      <c r="Y406">
        <v>1.38E-5</v>
      </c>
      <c r="Z406">
        <v>1.63E-5</v>
      </c>
      <c r="AA406">
        <v>1.2099999999999999E-5</v>
      </c>
      <c r="AB406">
        <v>5.0300000000000001E-6</v>
      </c>
      <c r="AC406">
        <v>1.42E-6</v>
      </c>
      <c r="AD406">
        <v>8.3999999999999992E-6</v>
      </c>
      <c r="AE406">
        <v>5.0799999999999996E-6</v>
      </c>
      <c r="AF406">
        <v>0</v>
      </c>
      <c r="AG406">
        <v>0</v>
      </c>
      <c r="AH406">
        <v>0</v>
      </c>
      <c r="AI406">
        <v>0</v>
      </c>
      <c r="AJ406">
        <v>0</v>
      </c>
      <c r="AK406">
        <v>0</v>
      </c>
      <c r="AL406">
        <v>0</v>
      </c>
      <c r="AM406">
        <v>0</v>
      </c>
      <c r="AN406">
        <v>0</v>
      </c>
      <c r="AO406">
        <v>0</v>
      </c>
      <c r="AP406">
        <v>0</v>
      </c>
      <c r="AQ406">
        <v>1.0699999999999999E-5</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9.8999999999999994E-5</v>
      </c>
      <c r="BS406">
        <v>0</v>
      </c>
      <c r="BT406">
        <v>0</v>
      </c>
      <c r="BU406">
        <v>0</v>
      </c>
      <c r="BV406">
        <v>0</v>
      </c>
      <c r="BW406">
        <v>5.6100000000000002E-5</v>
      </c>
      <c r="BX406">
        <v>2.7399999999999999E-5</v>
      </c>
      <c r="BY406">
        <v>0</v>
      </c>
      <c r="BZ406">
        <v>0</v>
      </c>
      <c r="CA406">
        <v>4.4139E-4</v>
      </c>
      <c r="CB406">
        <v>0</v>
      </c>
      <c r="CC406">
        <v>0</v>
      </c>
      <c r="CD406">
        <v>0</v>
      </c>
      <c r="CE406">
        <v>0</v>
      </c>
      <c r="CF406">
        <v>0</v>
      </c>
      <c r="CG406">
        <v>0</v>
      </c>
      <c r="CH406">
        <v>0</v>
      </c>
      <c r="CI406">
        <v>4.0568599999999999E-4</v>
      </c>
      <c r="CJ406">
        <v>0</v>
      </c>
      <c r="CK406">
        <v>0</v>
      </c>
      <c r="CL406">
        <v>0</v>
      </c>
    </row>
    <row r="407" spans="2:90" x14ac:dyDescent="0.2">
      <c r="B407">
        <v>6.5</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7.5299999999999999E-6</v>
      </c>
      <c r="X407">
        <v>6.6900000000000003E-6</v>
      </c>
      <c r="Y407">
        <v>0</v>
      </c>
      <c r="Z407">
        <v>7.7100000000000007E-6</v>
      </c>
      <c r="AA407">
        <v>2.05E-5</v>
      </c>
      <c r="AB407">
        <v>4.7100000000000002E-7</v>
      </c>
      <c r="AC407">
        <v>1.36E-5</v>
      </c>
      <c r="AD407">
        <v>1.27E-5</v>
      </c>
      <c r="AE407">
        <v>2.3099999999999999E-6</v>
      </c>
      <c r="AF407">
        <v>0</v>
      </c>
      <c r="AG407">
        <v>0</v>
      </c>
      <c r="AH407">
        <v>0</v>
      </c>
      <c r="AI407">
        <v>0</v>
      </c>
      <c r="AJ407">
        <v>0</v>
      </c>
      <c r="AK407">
        <v>0</v>
      </c>
      <c r="AL407">
        <v>0</v>
      </c>
      <c r="AM407">
        <v>6.2400000000000004E-6</v>
      </c>
      <c r="AN407">
        <v>0</v>
      </c>
      <c r="AO407">
        <v>1.2E-5</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3.2138199999999999E-4</v>
      </c>
      <c r="BP407">
        <v>0</v>
      </c>
      <c r="BQ407">
        <v>0</v>
      </c>
      <c r="BR407">
        <v>0</v>
      </c>
      <c r="BS407">
        <v>0</v>
      </c>
      <c r="BT407">
        <v>0</v>
      </c>
      <c r="BU407">
        <v>3.5183399999999998E-4</v>
      </c>
      <c r="BV407">
        <v>0</v>
      </c>
      <c r="BW407">
        <v>0</v>
      </c>
      <c r="BX407">
        <v>4.1961899999999998E-4</v>
      </c>
      <c r="BY407">
        <v>0</v>
      </c>
      <c r="BZ407">
        <v>0</v>
      </c>
      <c r="CA407">
        <v>0</v>
      </c>
      <c r="CB407">
        <v>0</v>
      </c>
      <c r="CC407">
        <v>7.5300000000000001E-5</v>
      </c>
      <c r="CD407">
        <v>0</v>
      </c>
      <c r="CE407">
        <v>0</v>
      </c>
      <c r="CF407">
        <v>0</v>
      </c>
      <c r="CG407">
        <v>0</v>
      </c>
      <c r="CH407">
        <v>0</v>
      </c>
      <c r="CI407">
        <v>1.1302700000000001E-3</v>
      </c>
      <c r="CJ407">
        <v>3.3099999999999998E-5</v>
      </c>
      <c r="CK407">
        <v>0</v>
      </c>
      <c r="CL407">
        <v>0</v>
      </c>
    </row>
    <row r="408" spans="2:90" x14ac:dyDescent="0.2">
      <c r="B408">
        <v>7.5</v>
      </c>
      <c r="C408">
        <v>0</v>
      </c>
      <c r="D408">
        <v>0</v>
      </c>
      <c r="E408">
        <v>0</v>
      </c>
      <c r="F408">
        <v>0</v>
      </c>
      <c r="G408">
        <v>0</v>
      </c>
      <c r="H408">
        <v>0</v>
      </c>
      <c r="I408">
        <v>0</v>
      </c>
      <c r="J408">
        <v>0</v>
      </c>
      <c r="K408">
        <v>0</v>
      </c>
      <c r="L408">
        <v>0</v>
      </c>
      <c r="M408">
        <v>0</v>
      </c>
      <c r="N408">
        <v>0</v>
      </c>
      <c r="O408">
        <v>0</v>
      </c>
      <c r="P408">
        <v>0</v>
      </c>
      <c r="Q408">
        <v>9.9300000000000006E-7</v>
      </c>
      <c r="R408">
        <v>0</v>
      </c>
      <c r="S408">
        <v>0</v>
      </c>
      <c r="T408">
        <v>0</v>
      </c>
      <c r="U408">
        <v>2.7399999999999999E-5</v>
      </c>
      <c r="V408">
        <v>0</v>
      </c>
      <c r="W408">
        <v>3.6199999999999999E-5</v>
      </c>
      <c r="X408">
        <v>5.3900000000000001E-6</v>
      </c>
      <c r="Y408">
        <v>3.4400000000000001E-6</v>
      </c>
      <c r="Z408">
        <v>0</v>
      </c>
      <c r="AA408">
        <v>0</v>
      </c>
      <c r="AB408">
        <v>2.2199999999999999E-6</v>
      </c>
      <c r="AC408">
        <v>0</v>
      </c>
      <c r="AD408">
        <v>1.99E-6</v>
      </c>
      <c r="AE408">
        <v>1.47E-5</v>
      </c>
      <c r="AF408">
        <v>0</v>
      </c>
      <c r="AG408">
        <v>0</v>
      </c>
      <c r="AH408">
        <v>0</v>
      </c>
      <c r="AI408">
        <v>0</v>
      </c>
      <c r="AJ408">
        <v>0</v>
      </c>
      <c r="AK408">
        <v>1.6699999999999999E-5</v>
      </c>
      <c r="AL408">
        <v>0</v>
      </c>
      <c r="AM408">
        <v>0</v>
      </c>
      <c r="AN408">
        <v>0</v>
      </c>
      <c r="AO408">
        <v>0</v>
      </c>
      <c r="AP408">
        <v>0</v>
      </c>
      <c r="AQ408">
        <v>0</v>
      </c>
      <c r="AR408">
        <v>0</v>
      </c>
      <c r="AS408">
        <v>0</v>
      </c>
      <c r="AT408">
        <v>6.3899999999999998E-6</v>
      </c>
      <c r="AU408">
        <v>0</v>
      </c>
      <c r="AV408">
        <v>0</v>
      </c>
      <c r="AW408">
        <v>0</v>
      </c>
      <c r="AX408">
        <v>0</v>
      </c>
      <c r="AY408">
        <v>0</v>
      </c>
      <c r="AZ408">
        <v>0</v>
      </c>
      <c r="BA408">
        <v>3.5200000000000002E-5</v>
      </c>
      <c r="BB408">
        <v>0</v>
      </c>
      <c r="BC408">
        <v>0</v>
      </c>
      <c r="BD408">
        <v>0</v>
      </c>
      <c r="BE408">
        <v>0</v>
      </c>
      <c r="BF408">
        <v>0</v>
      </c>
      <c r="BG408">
        <v>0</v>
      </c>
      <c r="BH408">
        <v>7.1500000000000003E-5</v>
      </c>
      <c r="BI408">
        <v>0</v>
      </c>
      <c r="BJ408">
        <v>3.79E-5</v>
      </c>
      <c r="BK408">
        <v>0</v>
      </c>
      <c r="BL408">
        <v>0</v>
      </c>
      <c r="BM408">
        <v>0</v>
      </c>
      <c r="BN408">
        <v>0</v>
      </c>
      <c r="BO408">
        <v>8.08364E-4</v>
      </c>
      <c r="BP408">
        <v>2.40129E-4</v>
      </c>
      <c r="BQ408">
        <v>5.1400000000000003E-5</v>
      </c>
      <c r="BR408">
        <v>5.41E-5</v>
      </c>
      <c r="BS408">
        <v>0</v>
      </c>
      <c r="BT408">
        <v>0</v>
      </c>
      <c r="BU408">
        <v>5.9626600000000003E-4</v>
      </c>
      <c r="BV408">
        <v>5.7097199999999999E-4</v>
      </c>
      <c r="BW408">
        <v>0</v>
      </c>
      <c r="BX408">
        <v>2.1510499999999998E-3</v>
      </c>
      <c r="BY408">
        <v>0</v>
      </c>
      <c r="BZ408">
        <v>0</v>
      </c>
      <c r="CA408">
        <v>3.7700000000000002E-5</v>
      </c>
      <c r="CB408">
        <v>3.82E-5</v>
      </c>
      <c r="CC408">
        <v>0</v>
      </c>
      <c r="CD408">
        <v>0</v>
      </c>
      <c r="CE408">
        <v>4.5300000000000003E-5</v>
      </c>
      <c r="CF408">
        <v>0</v>
      </c>
      <c r="CG408">
        <v>0</v>
      </c>
      <c r="CH408">
        <v>0</v>
      </c>
      <c r="CI408">
        <v>1.8178599999999999E-3</v>
      </c>
      <c r="CJ408">
        <v>2.8900000000000001E-5</v>
      </c>
      <c r="CK408">
        <v>0</v>
      </c>
      <c r="CL408">
        <v>0</v>
      </c>
    </row>
    <row r="409" spans="2:90" x14ac:dyDescent="0.2">
      <c r="B409">
        <v>8.5</v>
      </c>
      <c r="C409">
        <v>0</v>
      </c>
      <c r="D409">
        <v>0</v>
      </c>
      <c r="E409">
        <v>0</v>
      </c>
      <c r="F409">
        <v>0</v>
      </c>
      <c r="G409">
        <v>0</v>
      </c>
      <c r="H409">
        <v>0</v>
      </c>
      <c r="I409">
        <v>0</v>
      </c>
      <c r="J409">
        <v>0</v>
      </c>
      <c r="K409">
        <v>0</v>
      </c>
      <c r="L409">
        <v>1.36E-5</v>
      </c>
      <c r="M409">
        <v>0</v>
      </c>
      <c r="N409">
        <v>0</v>
      </c>
      <c r="O409">
        <v>0</v>
      </c>
      <c r="P409">
        <v>0</v>
      </c>
      <c r="Q409">
        <v>0</v>
      </c>
      <c r="R409">
        <v>0</v>
      </c>
      <c r="S409">
        <v>0</v>
      </c>
      <c r="T409">
        <v>1.2699999999999999E-6</v>
      </c>
      <c r="U409">
        <v>0</v>
      </c>
      <c r="V409">
        <v>2.6399999999999998E-7</v>
      </c>
      <c r="W409">
        <v>1.9999999999999999E-6</v>
      </c>
      <c r="X409">
        <v>3.3100000000000001E-6</v>
      </c>
      <c r="Y409">
        <v>0</v>
      </c>
      <c r="Z409">
        <v>6.8700000000000003E-6</v>
      </c>
      <c r="AA409">
        <v>0</v>
      </c>
      <c r="AB409">
        <v>1.13E-6</v>
      </c>
      <c r="AC409">
        <v>5.5599999999999995E-7</v>
      </c>
      <c r="AD409">
        <v>0</v>
      </c>
      <c r="AE409">
        <v>5.3399999999999997E-6</v>
      </c>
      <c r="AF409">
        <v>3.02818E-4</v>
      </c>
      <c r="AG409">
        <v>0</v>
      </c>
      <c r="AH409">
        <v>0</v>
      </c>
      <c r="AI409">
        <v>0</v>
      </c>
      <c r="AJ409">
        <v>0</v>
      </c>
      <c r="AK409">
        <v>0</v>
      </c>
      <c r="AL409">
        <v>0</v>
      </c>
      <c r="AM409">
        <v>0</v>
      </c>
      <c r="AN409">
        <v>0</v>
      </c>
      <c r="AO409">
        <v>0</v>
      </c>
      <c r="AP409">
        <v>0</v>
      </c>
      <c r="AQ409">
        <v>0</v>
      </c>
      <c r="AR409">
        <v>0</v>
      </c>
      <c r="AS409">
        <v>0</v>
      </c>
      <c r="AT409">
        <v>0</v>
      </c>
      <c r="AU409">
        <v>0</v>
      </c>
      <c r="AV409">
        <v>1.9700000000000001E-5</v>
      </c>
      <c r="AW409">
        <v>6.05E-5</v>
      </c>
      <c r="AX409">
        <v>5.4465299999999998E-4</v>
      </c>
      <c r="AY409">
        <v>5.2749100000000005E-4</v>
      </c>
      <c r="AZ409">
        <v>2.609E-4</v>
      </c>
      <c r="BA409">
        <v>1.4851599999999999E-3</v>
      </c>
      <c r="BB409">
        <v>0</v>
      </c>
      <c r="BC409">
        <v>0</v>
      </c>
      <c r="BD409">
        <v>2.6170700000000002E-4</v>
      </c>
      <c r="BE409">
        <v>4.5165200000000004E-3</v>
      </c>
      <c r="BF409">
        <v>8.8608100000000004E-4</v>
      </c>
      <c r="BG409">
        <v>0</v>
      </c>
      <c r="BH409">
        <v>2.3645900000000001E-4</v>
      </c>
      <c r="BI409">
        <v>2.36469E-4</v>
      </c>
      <c r="BJ409">
        <v>3.4509599999999998E-4</v>
      </c>
      <c r="BK409">
        <v>1.04021E-4</v>
      </c>
      <c r="BL409">
        <v>9.2264599999999995E-4</v>
      </c>
      <c r="BM409">
        <v>1.3255E-4</v>
      </c>
      <c r="BN409">
        <v>6.3399999999999996E-5</v>
      </c>
      <c r="BO409">
        <v>1.85075E-3</v>
      </c>
      <c r="BP409">
        <v>3.1525100000000001E-4</v>
      </c>
      <c r="BQ409">
        <v>2.3197699999999999E-4</v>
      </c>
      <c r="BR409">
        <v>2.21664E-4</v>
      </c>
      <c r="BS409">
        <v>6.9200000000000002E-5</v>
      </c>
      <c r="BT409">
        <v>0</v>
      </c>
      <c r="BU409">
        <v>3.2782900000000001E-3</v>
      </c>
      <c r="BV409">
        <v>5.7040900000000002E-4</v>
      </c>
      <c r="BW409">
        <v>4.2522700000000003E-4</v>
      </c>
      <c r="BX409">
        <v>6.3313800000000002E-3</v>
      </c>
      <c r="BY409">
        <v>9.0600000000000007E-5</v>
      </c>
      <c r="BZ409">
        <v>3.6160800000000002E-4</v>
      </c>
      <c r="CA409">
        <v>5.6407899999999997E-3</v>
      </c>
      <c r="CB409">
        <v>4.9596700000000004E-4</v>
      </c>
      <c r="CC409">
        <v>2.7800000000000001E-5</v>
      </c>
      <c r="CD409">
        <v>0</v>
      </c>
      <c r="CE409">
        <v>0</v>
      </c>
      <c r="CF409">
        <v>0</v>
      </c>
      <c r="CG409">
        <v>0</v>
      </c>
      <c r="CH409">
        <v>0</v>
      </c>
      <c r="CI409">
        <v>1.6862400000000001E-3</v>
      </c>
      <c r="CJ409">
        <v>0</v>
      </c>
      <c r="CK409">
        <v>0</v>
      </c>
      <c r="CL409">
        <v>0</v>
      </c>
    </row>
    <row r="410" spans="2:90" x14ac:dyDescent="0.2">
      <c r="B410">
        <v>9.5</v>
      </c>
      <c r="C410">
        <v>0</v>
      </c>
      <c r="D410">
        <v>0</v>
      </c>
      <c r="E410">
        <v>0</v>
      </c>
      <c r="F410">
        <v>0</v>
      </c>
      <c r="G410">
        <v>0</v>
      </c>
      <c r="H410">
        <v>0</v>
      </c>
      <c r="I410">
        <v>0</v>
      </c>
      <c r="J410">
        <v>0</v>
      </c>
      <c r="K410">
        <v>0</v>
      </c>
      <c r="L410">
        <v>0</v>
      </c>
      <c r="M410">
        <v>0</v>
      </c>
      <c r="N410">
        <v>0</v>
      </c>
      <c r="O410">
        <v>0</v>
      </c>
      <c r="P410">
        <v>0</v>
      </c>
      <c r="Q410">
        <v>0</v>
      </c>
      <c r="R410">
        <v>0</v>
      </c>
      <c r="S410">
        <v>0</v>
      </c>
      <c r="T410">
        <v>0</v>
      </c>
      <c r="U410">
        <v>1.6700000000000001E-6</v>
      </c>
      <c r="V410">
        <v>0</v>
      </c>
      <c r="W410">
        <v>2.6100000000000001E-5</v>
      </c>
      <c r="X410">
        <v>0</v>
      </c>
      <c r="Y410">
        <v>0</v>
      </c>
      <c r="Z410">
        <v>0</v>
      </c>
      <c r="AA410">
        <v>1.95E-6</v>
      </c>
      <c r="AB410">
        <v>0</v>
      </c>
      <c r="AC410">
        <v>0</v>
      </c>
      <c r="AD410">
        <v>0</v>
      </c>
      <c r="AE410">
        <v>0</v>
      </c>
      <c r="AF410">
        <v>0</v>
      </c>
      <c r="AG410">
        <v>0</v>
      </c>
      <c r="AH410">
        <v>0</v>
      </c>
      <c r="AI410">
        <v>0</v>
      </c>
      <c r="AJ410">
        <v>0</v>
      </c>
      <c r="AK410">
        <v>0</v>
      </c>
      <c r="AL410">
        <v>0</v>
      </c>
      <c r="AM410">
        <v>1.3499999999999999E-5</v>
      </c>
      <c r="AN410">
        <v>0</v>
      </c>
      <c r="AO410">
        <v>2.61E-6</v>
      </c>
      <c r="AP410">
        <v>0</v>
      </c>
      <c r="AQ410">
        <v>8.3900000000000004E-7</v>
      </c>
      <c r="AR410">
        <v>0</v>
      </c>
      <c r="AS410">
        <v>0</v>
      </c>
      <c r="AT410">
        <v>1.5400000000000002E-5</v>
      </c>
      <c r="AU410">
        <v>0</v>
      </c>
      <c r="AV410">
        <v>0</v>
      </c>
      <c r="AW410">
        <v>7.4451400000000005E-4</v>
      </c>
      <c r="AX410">
        <v>7.3001000000000003E-3</v>
      </c>
      <c r="AY410">
        <v>2.0489200000000001E-3</v>
      </c>
      <c r="AZ410">
        <v>3.3309799999999999E-3</v>
      </c>
      <c r="BA410">
        <v>2.4818900000000001E-3</v>
      </c>
      <c r="BB410">
        <v>1.2694200000000001E-3</v>
      </c>
      <c r="BC410">
        <v>5.2800000000000003E-5</v>
      </c>
      <c r="BD410">
        <v>2.6170700000000002E-4</v>
      </c>
      <c r="BE410">
        <v>1.2525700000000001E-2</v>
      </c>
      <c r="BF410">
        <v>4.2660299999999996E-3</v>
      </c>
      <c r="BG410">
        <v>7.5300000000000001E-5</v>
      </c>
      <c r="BH410">
        <v>2.7978899999999999E-3</v>
      </c>
      <c r="BI410">
        <v>7.0697800000000003E-4</v>
      </c>
      <c r="BJ410">
        <v>1.27031E-3</v>
      </c>
      <c r="BK410">
        <v>1.6674100000000001E-4</v>
      </c>
      <c r="BL410">
        <v>1.90766E-3</v>
      </c>
      <c r="BM410">
        <v>4.5173400000000002E-4</v>
      </c>
      <c r="BN410">
        <v>1.2251600000000001E-3</v>
      </c>
      <c r="BO410">
        <v>4.0981999999999998E-3</v>
      </c>
      <c r="BP410">
        <v>1.35794E-3</v>
      </c>
      <c r="BQ410">
        <v>4.7584400000000001E-4</v>
      </c>
      <c r="BR410">
        <v>4.1760199999999999E-4</v>
      </c>
      <c r="BS410">
        <v>3.51584E-4</v>
      </c>
      <c r="BT410">
        <v>7.25E-5</v>
      </c>
      <c r="BU410">
        <v>8.2093900000000004E-3</v>
      </c>
      <c r="BV410">
        <v>9.9716200000000005E-3</v>
      </c>
      <c r="BW410">
        <v>4.13745E-3</v>
      </c>
      <c r="BX410">
        <v>2.40539E-2</v>
      </c>
      <c r="BY410">
        <v>6.7816800000000004E-4</v>
      </c>
      <c r="BZ410">
        <v>9.4164900000000002E-4</v>
      </c>
      <c r="CA410">
        <v>2.9083399999999999E-2</v>
      </c>
      <c r="CB410">
        <v>2.6609099999999998E-3</v>
      </c>
      <c r="CC410">
        <v>5.2672699999999995E-4</v>
      </c>
      <c r="CD410">
        <v>5.6680599999999999E-4</v>
      </c>
      <c r="CE410">
        <v>3.0554999999999997E-4</v>
      </c>
      <c r="CF410">
        <v>1.48078E-4</v>
      </c>
      <c r="CG410">
        <v>0</v>
      </c>
      <c r="CH410">
        <v>0</v>
      </c>
      <c r="CI410">
        <v>6.5111900000000003E-4</v>
      </c>
      <c r="CJ410">
        <v>3.0063399999999998E-4</v>
      </c>
      <c r="CK410">
        <v>5.3722799999999995E-4</v>
      </c>
      <c r="CL410">
        <v>2.8655299999999999E-4</v>
      </c>
    </row>
    <row r="411" spans="2:90" x14ac:dyDescent="0.2">
      <c r="B411">
        <v>10.5</v>
      </c>
      <c r="C411">
        <v>0</v>
      </c>
      <c r="D411">
        <v>0</v>
      </c>
      <c r="E411">
        <v>0</v>
      </c>
      <c r="F411">
        <v>0</v>
      </c>
      <c r="G411">
        <v>0</v>
      </c>
      <c r="H411">
        <v>0</v>
      </c>
      <c r="I411">
        <v>0</v>
      </c>
      <c r="J411">
        <v>0</v>
      </c>
      <c r="K411">
        <v>0</v>
      </c>
      <c r="L411">
        <v>0</v>
      </c>
      <c r="M411">
        <v>0</v>
      </c>
      <c r="N411">
        <v>0</v>
      </c>
      <c r="O411">
        <v>1.17E-5</v>
      </c>
      <c r="P411">
        <v>0</v>
      </c>
      <c r="Q411">
        <v>0</v>
      </c>
      <c r="R411">
        <v>0</v>
      </c>
      <c r="S411">
        <v>0</v>
      </c>
      <c r="T411">
        <v>0</v>
      </c>
      <c r="U411">
        <v>0</v>
      </c>
      <c r="V411">
        <v>0</v>
      </c>
      <c r="W411">
        <v>2.7900000000000001E-5</v>
      </c>
      <c r="X411">
        <v>2.1699999999999999E-5</v>
      </c>
      <c r="Y411">
        <v>0</v>
      </c>
      <c r="Z411">
        <v>0</v>
      </c>
      <c r="AA411">
        <v>0</v>
      </c>
      <c r="AB411">
        <v>0</v>
      </c>
      <c r="AC411">
        <v>0</v>
      </c>
      <c r="AD411">
        <v>0</v>
      </c>
      <c r="AE411">
        <v>0</v>
      </c>
      <c r="AF411">
        <v>3.4199999999999999E-6</v>
      </c>
      <c r="AG411">
        <v>0</v>
      </c>
      <c r="AH411">
        <v>0</v>
      </c>
      <c r="AI411">
        <v>0</v>
      </c>
      <c r="AJ411">
        <v>0</v>
      </c>
      <c r="AK411">
        <v>0</v>
      </c>
      <c r="AL411">
        <v>0</v>
      </c>
      <c r="AM411">
        <v>0</v>
      </c>
      <c r="AN411">
        <v>0</v>
      </c>
      <c r="AO411">
        <v>0</v>
      </c>
      <c r="AP411">
        <v>0</v>
      </c>
      <c r="AQ411">
        <v>0</v>
      </c>
      <c r="AR411">
        <v>0</v>
      </c>
      <c r="AS411">
        <v>0</v>
      </c>
      <c r="AT411">
        <v>0</v>
      </c>
      <c r="AU411">
        <v>0</v>
      </c>
      <c r="AV411">
        <v>0</v>
      </c>
      <c r="AW411">
        <v>8.5966700000000005E-4</v>
      </c>
      <c r="AX411">
        <v>2.21435E-2</v>
      </c>
      <c r="AY411">
        <v>2.9839300000000001E-3</v>
      </c>
      <c r="AZ411">
        <v>6.0536000000000001E-3</v>
      </c>
      <c r="BA411">
        <v>6.0888799999999996E-3</v>
      </c>
      <c r="BB411">
        <v>3.4359100000000002E-4</v>
      </c>
      <c r="BC411">
        <v>7.8293299999999998E-4</v>
      </c>
      <c r="BD411">
        <v>1.88708E-3</v>
      </c>
      <c r="BE411">
        <v>1.8247699999999999E-2</v>
      </c>
      <c r="BF411">
        <v>1.2980200000000001E-2</v>
      </c>
      <c r="BG411">
        <v>1.7359700000000001E-3</v>
      </c>
      <c r="BH411">
        <v>7.7679100000000003E-3</v>
      </c>
      <c r="BI411">
        <v>3.86513E-4</v>
      </c>
      <c r="BJ411">
        <v>1.6141300000000001E-3</v>
      </c>
      <c r="BK411">
        <v>1.2112799999999999E-3</v>
      </c>
      <c r="BL411">
        <v>7.1170399999999998E-3</v>
      </c>
      <c r="BM411">
        <v>2.4269299999999999E-3</v>
      </c>
      <c r="BN411">
        <v>4.35915E-3</v>
      </c>
      <c r="BO411">
        <v>7.9051599999999996E-3</v>
      </c>
      <c r="BP411">
        <v>3.1783900000000001E-3</v>
      </c>
      <c r="BQ411">
        <v>1.74989E-3</v>
      </c>
      <c r="BR411">
        <v>9.16886E-4</v>
      </c>
      <c r="BS411">
        <v>1.80714E-3</v>
      </c>
      <c r="BT411">
        <v>3.46671E-4</v>
      </c>
      <c r="BU411">
        <v>2.7352399999999999E-2</v>
      </c>
      <c r="BV411">
        <v>3.7142799999999997E-2</v>
      </c>
      <c r="BW411">
        <v>1.2872700000000001E-2</v>
      </c>
      <c r="BX411">
        <v>5.8320200000000003E-2</v>
      </c>
      <c r="BY411">
        <v>2.37491E-3</v>
      </c>
      <c r="BZ411">
        <v>3.6434000000000002E-3</v>
      </c>
      <c r="CA411">
        <v>5.2627599999999997E-2</v>
      </c>
      <c r="CB411">
        <v>6.1855E-3</v>
      </c>
      <c r="CC411">
        <v>5.0084300000000003E-3</v>
      </c>
      <c r="CD411">
        <v>2.1702700000000002E-3</v>
      </c>
      <c r="CE411">
        <v>9.6757400000000002E-4</v>
      </c>
      <c r="CF411">
        <v>1.4971099999999999E-4</v>
      </c>
      <c r="CG411">
        <v>0</v>
      </c>
      <c r="CH411">
        <v>8.9244499999999996E-4</v>
      </c>
      <c r="CI411">
        <v>6.7717700000000005E-4</v>
      </c>
      <c r="CJ411">
        <v>5.3058000000000001E-4</v>
      </c>
      <c r="CK411">
        <v>2.3142900000000001E-3</v>
      </c>
      <c r="CL411">
        <v>1.3878E-3</v>
      </c>
    </row>
    <row r="412" spans="2:90" x14ac:dyDescent="0.2">
      <c r="B412">
        <v>11.5</v>
      </c>
      <c r="C412">
        <v>0</v>
      </c>
      <c r="D412">
        <v>0</v>
      </c>
      <c r="E412">
        <v>0</v>
      </c>
      <c r="F412">
        <v>0</v>
      </c>
      <c r="G412">
        <v>0</v>
      </c>
      <c r="H412">
        <v>1.5668799999999999E-4</v>
      </c>
      <c r="I412">
        <v>0</v>
      </c>
      <c r="J412">
        <v>3.5599999999999998E-6</v>
      </c>
      <c r="K412">
        <v>0</v>
      </c>
      <c r="L412">
        <v>0</v>
      </c>
      <c r="M412">
        <v>0</v>
      </c>
      <c r="N412">
        <v>0</v>
      </c>
      <c r="O412">
        <v>0</v>
      </c>
      <c r="P412">
        <v>6.7100000000000001E-6</v>
      </c>
      <c r="Q412">
        <v>0</v>
      </c>
      <c r="R412">
        <v>0</v>
      </c>
      <c r="S412">
        <v>0</v>
      </c>
      <c r="T412">
        <v>3.3900000000000002E-6</v>
      </c>
      <c r="U412">
        <v>1.8300000000000001E-6</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1.20018E-4</v>
      </c>
      <c r="AU412">
        <v>0</v>
      </c>
      <c r="AV412">
        <v>0</v>
      </c>
      <c r="AW412">
        <v>1.8155599999999999E-3</v>
      </c>
      <c r="AX412">
        <v>3.4666599999999999E-2</v>
      </c>
      <c r="AY412">
        <v>4.5113899999999997E-3</v>
      </c>
      <c r="AZ412">
        <v>1.0688599999999999E-2</v>
      </c>
      <c r="BA412">
        <v>8.7213800000000008E-3</v>
      </c>
      <c r="BB412">
        <v>6.7136799999999999E-4</v>
      </c>
      <c r="BC412">
        <v>7.4221900000000002E-4</v>
      </c>
      <c r="BD412">
        <v>4.6891099999999998E-3</v>
      </c>
      <c r="BE412">
        <v>2.6925899999999999E-2</v>
      </c>
      <c r="BF412">
        <v>1.55283E-2</v>
      </c>
      <c r="BG412">
        <v>8.4537299999999996E-3</v>
      </c>
      <c r="BH412">
        <v>1.8350200000000001E-2</v>
      </c>
      <c r="BI412">
        <v>1.8931499999999999E-3</v>
      </c>
      <c r="BJ412">
        <v>1.43805E-3</v>
      </c>
      <c r="BK412">
        <v>1.00643E-3</v>
      </c>
      <c r="BL412">
        <v>1.2457299999999999E-2</v>
      </c>
      <c r="BM412">
        <v>5.5325699999999997E-3</v>
      </c>
      <c r="BN412">
        <v>8.1575999999999992E-3</v>
      </c>
      <c r="BO412">
        <v>1.08921E-2</v>
      </c>
      <c r="BP412">
        <v>6.4403100000000003E-3</v>
      </c>
      <c r="BQ412">
        <v>3.5351599999999999E-3</v>
      </c>
      <c r="BR412">
        <v>4.4822400000000002E-3</v>
      </c>
      <c r="BS412">
        <v>4.1714999999999999E-3</v>
      </c>
      <c r="BT412">
        <v>1.97634E-3</v>
      </c>
      <c r="BU412">
        <v>3.29051E-2</v>
      </c>
      <c r="BV412">
        <v>8.9873700000000001E-2</v>
      </c>
      <c r="BW412">
        <v>2.6654600000000001E-2</v>
      </c>
      <c r="BX412">
        <v>6.3486799999999996E-2</v>
      </c>
      <c r="BY412">
        <v>3.2072300000000002E-3</v>
      </c>
      <c r="BZ412">
        <v>6.8572599999999996E-3</v>
      </c>
      <c r="CA412">
        <v>5.6111099999999997E-2</v>
      </c>
      <c r="CB412">
        <v>7.8083099999999997E-3</v>
      </c>
      <c r="CC412">
        <v>6.5174100000000004E-3</v>
      </c>
      <c r="CD412">
        <v>2.1795600000000001E-3</v>
      </c>
      <c r="CE412">
        <v>1.5404100000000001E-3</v>
      </c>
      <c r="CF412">
        <v>9.5317199999999996E-4</v>
      </c>
      <c r="CG412">
        <v>3.1850500000000001E-4</v>
      </c>
      <c r="CH412">
        <v>2.19039E-3</v>
      </c>
      <c r="CI412">
        <v>1.25194E-3</v>
      </c>
      <c r="CJ412">
        <v>3.9097899999999998E-3</v>
      </c>
      <c r="CK412">
        <v>6.2163899999999996E-3</v>
      </c>
      <c r="CL412">
        <v>4.2543299999999997E-3</v>
      </c>
    </row>
    <row r="413" spans="2:90" x14ac:dyDescent="0.2">
      <c r="B413">
        <v>12.5</v>
      </c>
      <c r="C413">
        <v>0</v>
      </c>
      <c r="D413">
        <v>0</v>
      </c>
      <c r="E413">
        <v>0</v>
      </c>
      <c r="F413">
        <v>0</v>
      </c>
      <c r="G413">
        <v>0</v>
      </c>
      <c r="H413">
        <v>0</v>
      </c>
      <c r="I413">
        <v>0</v>
      </c>
      <c r="J413">
        <v>3.5599999999999998E-6</v>
      </c>
      <c r="K413">
        <v>0</v>
      </c>
      <c r="L413">
        <v>6.1099999999999994E-5</v>
      </c>
      <c r="M413">
        <v>0</v>
      </c>
      <c r="N413">
        <v>0</v>
      </c>
      <c r="O413">
        <v>1.1599999999999999E-6</v>
      </c>
      <c r="P413">
        <v>0</v>
      </c>
      <c r="Q413">
        <v>0</v>
      </c>
      <c r="R413">
        <v>3.5600000000000001E-7</v>
      </c>
      <c r="S413">
        <v>0</v>
      </c>
      <c r="T413">
        <v>3.2799999999999999E-6</v>
      </c>
      <c r="U413">
        <v>8.9900000000000003E-6</v>
      </c>
      <c r="V413">
        <v>1.9400000000000001E-6</v>
      </c>
      <c r="W413">
        <v>0</v>
      </c>
      <c r="X413">
        <v>1.29E-5</v>
      </c>
      <c r="Y413">
        <v>0</v>
      </c>
      <c r="Z413">
        <v>0</v>
      </c>
      <c r="AA413">
        <v>0</v>
      </c>
      <c r="AB413">
        <v>0</v>
      </c>
      <c r="AC413">
        <v>0</v>
      </c>
      <c r="AD413">
        <v>0</v>
      </c>
      <c r="AE413">
        <v>0</v>
      </c>
      <c r="AF413">
        <v>0</v>
      </c>
      <c r="AG413">
        <v>0</v>
      </c>
      <c r="AH413">
        <v>0</v>
      </c>
      <c r="AI413">
        <v>0</v>
      </c>
      <c r="AJ413">
        <v>0</v>
      </c>
      <c r="AK413">
        <v>0</v>
      </c>
      <c r="AL413">
        <v>0</v>
      </c>
      <c r="AM413">
        <v>0</v>
      </c>
      <c r="AN413">
        <v>0</v>
      </c>
      <c r="AO413">
        <v>1.88E-6</v>
      </c>
      <c r="AP413">
        <v>0</v>
      </c>
      <c r="AQ413">
        <v>0</v>
      </c>
      <c r="AR413">
        <v>0</v>
      </c>
      <c r="AS413">
        <v>0</v>
      </c>
      <c r="AT413">
        <v>2.11547E-4</v>
      </c>
      <c r="AU413">
        <v>0</v>
      </c>
      <c r="AV413">
        <v>0</v>
      </c>
      <c r="AW413">
        <v>2.4727600000000001E-3</v>
      </c>
      <c r="AX413">
        <v>3.4898999999999999E-2</v>
      </c>
      <c r="AY413">
        <v>3.5962300000000002E-3</v>
      </c>
      <c r="AZ413">
        <v>8.6103399999999993E-3</v>
      </c>
      <c r="BA413">
        <v>8.4959000000000007E-3</v>
      </c>
      <c r="BB413">
        <v>2.2721199999999999E-3</v>
      </c>
      <c r="BC413">
        <v>2.8042100000000001E-3</v>
      </c>
      <c r="BD413">
        <v>3.6472100000000001E-3</v>
      </c>
      <c r="BE413">
        <v>2.62949E-2</v>
      </c>
      <c r="BF413">
        <v>1.9349100000000001E-2</v>
      </c>
      <c r="BG413">
        <v>1.9100200000000001E-2</v>
      </c>
      <c r="BH413">
        <v>4.0828000000000003E-2</v>
      </c>
      <c r="BI413">
        <v>2.97876E-3</v>
      </c>
      <c r="BJ413">
        <v>2.0726299999999998E-3</v>
      </c>
      <c r="BK413">
        <v>2.4394600000000001E-3</v>
      </c>
      <c r="BL413">
        <v>1.8202800000000002E-2</v>
      </c>
      <c r="BM413">
        <v>8.7609999999999997E-3</v>
      </c>
      <c r="BN413">
        <v>8.9248699999999997E-3</v>
      </c>
      <c r="BO413">
        <v>2.3740899999999999E-2</v>
      </c>
      <c r="BP413">
        <v>1.03468E-2</v>
      </c>
      <c r="BQ413">
        <v>5.1537400000000004E-3</v>
      </c>
      <c r="BR413">
        <v>7.4186599999999997E-3</v>
      </c>
      <c r="BS413">
        <v>7.9420099999999993E-3</v>
      </c>
      <c r="BT413">
        <v>3.8169599999999999E-3</v>
      </c>
      <c r="BU413">
        <v>3.4713300000000002E-2</v>
      </c>
      <c r="BV413">
        <v>0.11025699999999999</v>
      </c>
      <c r="BW413">
        <v>2.8927000000000001E-2</v>
      </c>
      <c r="BX413">
        <v>6.5198800000000001E-2</v>
      </c>
      <c r="BY413">
        <v>4.0446900000000001E-3</v>
      </c>
      <c r="BZ413">
        <v>1.2432500000000001E-2</v>
      </c>
      <c r="CA413">
        <v>4.3119299999999999E-2</v>
      </c>
      <c r="CB413">
        <v>1.1039200000000001E-2</v>
      </c>
      <c r="CC413">
        <v>1.3335899999999999E-2</v>
      </c>
      <c r="CD413">
        <v>4.4375300000000003E-3</v>
      </c>
      <c r="CE413">
        <v>3.1366499999999999E-3</v>
      </c>
      <c r="CF413">
        <v>2.6319400000000001E-3</v>
      </c>
      <c r="CG413">
        <v>5.6007300000000002E-4</v>
      </c>
      <c r="CH413">
        <v>4.8441700000000001E-3</v>
      </c>
      <c r="CI413">
        <v>1.6825500000000001E-3</v>
      </c>
      <c r="CJ413">
        <v>9.9242800000000006E-3</v>
      </c>
      <c r="CK413">
        <v>9.4312100000000006E-3</v>
      </c>
      <c r="CL413">
        <v>5.6857599999999998E-3</v>
      </c>
    </row>
    <row r="414" spans="2:90" x14ac:dyDescent="0.2">
      <c r="B414">
        <v>13.5</v>
      </c>
      <c r="C414">
        <v>0</v>
      </c>
      <c r="D414">
        <v>0</v>
      </c>
      <c r="E414">
        <v>0</v>
      </c>
      <c r="F414">
        <v>0</v>
      </c>
      <c r="G414">
        <v>0</v>
      </c>
      <c r="H414">
        <v>1.91E-5</v>
      </c>
      <c r="I414">
        <v>0</v>
      </c>
      <c r="J414">
        <v>7.1199999999999996E-6</v>
      </c>
      <c r="K414">
        <v>1.4800000000000001E-5</v>
      </c>
      <c r="L414">
        <v>6.1099999999999994E-5</v>
      </c>
      <c r="M414">
        <v>0</v>
      </c>
      <c r="N414">
        <v>0</v>
      </c>
      <c r="O414">
        <v>9.7100000000000011E-7</v>
      </c>
      <c r="P414">
        <v>1.34E-5</v>
      </c>
      <c r="Q414">
        <v>0</v>
      </c>
      <c r="R414">
        <v>0</v>
      </c>
      <c r="S414">
        <v>0</v>
      </c>
      <c r="T414">
        <v>4.0600000000000001E-6</v>
      </c>
      <c r="U414">
        <v>0</v>
      </c>
      <c r="V414">
        <v>0</v>
      </c>
      <c r="W414">
        <v>0</v>
      </c>
      <c r="X414">
        <v>0</v>
      </c>
      <c r="Y414">
        <v>0</v>
      </c>
      <c r="Z414">
        <v>6.46E-6</v>
      </c>
      <c r="AA414">
        <v>1.0200000000000001E-5</v>
      </c>
      <c r="AB414">
        <v>2.2799999999999999E-5</v>
      </c>
      <c r="AC414">
        <v>0</v>
      </c>
      <c r="AD414">
        <v>0</v>
      </c>
      <c r="AE414">
        <v>4.4700000000000002E-5</v>
      </c>
      <c r="AF414">
        <v>0</v>
      </c>
      <c r="AG414">
        <v>0</v>
      </c>
      <c r="AH414">
        <v>0</v>
      </c>
      <c r="AI414">
        <v>0</v>
      </c>
      <c r="AJ414">
        <v>0</v>
      </c>
      <c r="AK414">
        <v>0</v>
      </c>
      <c r="AL414">
        <v>1.2500000000000001E-5</v>
      </c>
      <c r="AM414">
        <v>0</v>
      </c>
      <c r="AN414">
        <v>0</v>
      </c>
      <c r="AO414">
        <v>0</v>
      </c>
      <c r="AP414">
        <v>0</v>
      </c>
      <c r="AQ414">
        <v>0</v>
      </c>
      <c r="AR414">
        <v>0</v>
      </c>
      <c r="AS414">
        <v>0</v>
      </c>
      <c r="AT414">
        <v>0</v>
      </c>
      <c r="AU414">
        <v>0</v>
      </c>
      <c r="AV414">
        <v>6.8600000000000004E-6</v>
      </c>
      <c r="AW414">
        <v>4.9548099999999996E-3</v>
      </c>
      <c r="AX414">
        <v>3.68799E-2</v>
      </c>
      <c r="AY414">
        <v>2.2482499999999998E-3</v>
      </c>
      <c r="AZ414">
        <v>1.2841699999999999E-2</v>
      </c>
      <c r="BA414">
        <v>1.31655E-2</v>
      </c>
      <c r="BB414">
        <v>3.5466600000000001E-3</v>
      </c>
      <c r="BC414">
        <v>1.3436699999999999E-3</v>
      </c>
      <c r="BD414">
        <v>6.8869400000000002E-3</v>
      </c>
      <c r="BE414">
        <v>3.2433200000000002E-2</v>
      </c>
      <c r="BF414">
        <v>1.88608E-2</v>
      </c>
      <c r="BG414">
        <v>1.9823E-2</v>
      </c>
      <c r="BH414">
        <v>2.8181600000000001E-2</v>
      </c>
      <c r="BI414">
        <v>5.4575400000000003E-3</v>
      </c>
      <c r="BJ414">
        <v>4.4874199999999998E-3</v>
      </c>
      <c r="BK414">
        <v>3.5584700000000002E-3</v>
      </c>
      <c r="BL414">
        <v>2.0982899999999999E-2</v>
      </c>
      <c r="BM414">
        <v>1.2170800000000001E-2</v>
      </c>
      <c r="BN414">
        <v>9.9183099999999996E-3</v>
      </c>
      <c r="BO414">
        <v>3.81721E-2</v>
      </c>
      <c r="BP414">
        <v>1.5760300000000001E-2</v>
      </c>
      <c r="BQ414">
        <v>6.4879400000000002E-3</v>
      </c>
      <c r="BR414">
        <v>1.10169E-2</v>
      </c>
      <c r="BS414">
        <v>1.40769E-2</v>
      </c>
      <c r="BT414">
        <v>7.6443500000000003E-3</v>
      </c>
      <c r="BU414">
        <v>3.6879299999999997E-2</v>
      </c>
      <c r="BV414">
        <v>0.108235</v>
      </c>
      <c r="BW414">
        <v>2.96855E-2</v>
      </c>
      <c r="BX414">
        <v>5.2590499999999998E-2</v>
      </c>
      <c r="BY414">
        <v>6.81585E-3</v>
      </c>
      <c r="BZ414">
        <v>1.47829E-2</v>
      </c>
      <c r="CA414">
        <v>3.2425599999999999E-2</v>
      </c>
      <c r="CB414">
        <v>1.1822600000000001E-2</v>
      </c>
      <c r="CC414">
        <v>1.9021199999999999E-2</v>
      </c>
      <c r="CD414">
        <v>4.0076199999999999E-3</v>
      </c>
      <c r="CE414">
        <v>3.5276499999999998E-3</v>
      </c>
      <c r="CF414">
        <v>3.8144699999999999E-3</v>
      </c>
      <c r="CG414">
        <v>6.24359E-4</v>
      </c>
      <c r="CH414">
        <v>8.8338199999999992E-3</v>
      </c>
      <c r="CI414">
        <v>4.2685300000000004E-3</v>
      </c>
      <c r="CJ414">
        <v>1.1487900000000001E-2</v>
      </c>
      <c r="CK414">
        <v>1.5780099999999998E-2</v>
      </c>
      <c r="CL414">
        <v>8.6426999999999997E-3</v>
      </c>
    </row>
    <row r="415" spans="2:90" x14ac:dyDescent="0.2">
      <c r="B415">
        <v>14.5</v>
      </c>
      <c r="C415">
        <v>0</v>
      </c>
      <c r="D415">
        <v>0</v>
      </c>
      <c r="E415">
        <v>0</v>
      </c>
      <c r="F415">
        <v>0</v>
      </c>
      <c r="G415">
        <v>0</v>
      </c>
      <c r="H415">
        <v>0</v>
      </c>
      <c r="I415">
        <v>6.1E-6</v>
      </c>
      <c r="J415">
        <v>7.1199999999999996E-6</v>
      </c>
      <c r="K415">
        <v>7.4200000000000001E-6</v>
      </c>
      <c r="L415">
        <v>6.1099999999999994E-5</v>
      </c>
      <c r="M415">
        <v>0</v>
      </c>
      <c r="N415">
        <v>0</v>
      </c>
      <c r="O415">
        <v>2.9000000000000002E-6</v>
      </c>
      <c r="P415">
        <v>6.9299999999999997E-6</v>
      </c>
      <c r="Q415">
        <v>2.23E-7</v>
      </c>
      <c r="R415">
        <v>1.1999999999999999E-6</v>
      </c>
      <c r="S415">
        <v>0</v>
      </c>
      <c r="T415">
        <v>6.6699999999999997E-6</v>
      </c>
      <c r="U415">
        <v>2.5600000000000001E-6</v>
      </c>
      <c r="V415">
        <v>5.9599999999999997E-6</v>
      </c>
      <c r="W415">
        <v>0</v>
      </c>
      <c r="X415">
        <v>0</v>
      </c>
      <c r="Y415">
        <v>0</v>
      </c>
      <c r="Z415">
        <v>7.2699999999999999E-6</v>
      </c>
      <c r="AA415">
        <v>1.6200000000000001E-5</v>
      </c>
      <c r="AB415">
        <v>2.44E-5</v>
      </c>
      <c r="AC415">
        <v>0</v>
      </c>
      <c r="AD415">
        <v>0</v>
      </c>
      <c r="AE415">
        <v>8.7499999999999999E-5</v>
      </c>
      <c r="AF415">
        <v>0</v>
      </c>
      <c r="AG415">
        <v>0</v>
      </c>
      <c r="AH415">
        <v>0</v>
      </c>
      <c r="AI415">
        <v>0</v>
      </c>
      <c r="AJ415">
        <v>0</v>
      </c>
      <c r="AK415">
        <v>0</v>
      </c>
      <c r="AL415">
        <v>0</v>
      </c>
      <c r="AM415">
        <v>0</v>
      </c>
      <c r="AN415">
        <v>0</v>
      </c>
      <c r="AO415">
        <v>0</v>
      </c>
      <c r="AP415">
        <v>0</v>
      </c>
      <c r="AQ415">
        <v>0</v>
      </c>
      <c r="AR415">
        <v>0</v>
      </c>
      <c r="AS415">
        <v>0</v>
      </c>
      <c r="AT415">
        <v>1.0668299999999999E-4</v>
      </c>
      <c r="AU415">
        <v>0</v>
      </c>
      <c r="AV415">
        <v>0</v>
      </c>
      <c r="AW415">
        <v>5.6266700000000003E-3</v>
      </c>
      <c r="AX415">
        <v>3.5181900000000002E-2</v>
      </c>
      <c r="AY415">
        <v>2.0766999999999999E-3</v>
      </c>
      <c r="AZ415">
        <v>1.70832E-2</v>
      </c>
      <c r="BA415">
        <v>1.13826E-2</v>
      </c>
      <c r="BB415">
        <v>5.6720399999999997E-3</v>
      </c>
      <c r="BC415">
        <v>2.82153E-3</v>
      </c>
      <c r="BD415">
        <v>8.4972299999999997E-3</v>
      </c>
      <c r="BE415">
        <v>4.1317199999999998E-2</v>
      </c>
      <c r="BF415">
        <v>2.2589999999999999E-2</v>
      </c>
      <c r="BG415">
        <v>1.8186000000000001E-2</v>
      </c>
      <c r="BH415">
        <v>3.88096E-2</v>
      </c>
      <c r="BI415">
        <v>6.4927099999999996E-3</v>
      </c>
      <c r="BJ415">
        <v>4.0366000000000004E-3</v>
      </c>
      <c r="BK415">
        <v>5.1434100000000002E-3</v>
      </c>
      <c r="BL415">
        <v>2.08658E-2</v>
      </c>
      <c r="BM415">
        <v>1.0858400000000001E-2</v>
      </c>
      <c r="BN415">
        <v>7.6182200000000002E-3</v>
      </c>
      <c r="BO415">
        <v>4.6430899999999997E-2</v>
      </c>
      <c r="BP415">
        <v>2.27377E-2</v>
      </c>
      <c r="BQ415">
        <v>8.3691000000000008E-3</v>
      </c>
      <c r="BR415">
        <v>1.64277E-2</v>
      </c>
      <c r="BS415">
        <v>9.7812000000000003E-3</v>
      </c>
      <c r="BT415">
        <v>1.21101E-2</v>
      </c>
      <c r="BU415">
        <v>3.2645100000000003E-2</v>
      </c>
      <c r="BV415">
        <v>8.8379899999999997E-2</v>
      </c>
      <c r="BW415">
        <v>2.6710100000000001E-2</v>
      </c>
      <c r="BX415">
        <v>4.4555200000000003E-2</v>
      </c>
      <c r="BY415">
        <v>6.7891499999999999E-3</v>
      </c>
      <c r="BZ415">
        <v>1.85904E-2</v>
      </c>
      <c r="CA415">
        <v>3.19317E-2</v>
      </c>
      <c r="CB415">
        <v>1.51247E-2</v>
      </c>
      <c r="CC415">
        <v>2.59828E-2</v>
      </c>
      <c r="CD415">
        <v>2.7158400000000002E-3</v>
      </c>
      <c r="CE415">
        <v>2.3279899999999998E-3</v>
      </c>
      <c r="CF415">
        <v>3.5994899999999999E-3</v>
      </c>
      <c r="CG415">
        <v>2.1647699999999999E-3</v>
      </c>
      <c r="CH415">
        <v>2.1626099999999999E-2</v>
      </c>
      <c r="CI415">
        <v>5.5478200000000002E-3</v>
      </c>
      <c r="CJ415">
        <v>1.9649300000000001E-2</v>
      </c>
      <c r="CK415">
        <v>2.1630699999999999E-2</v>
      </c>
      <c r="CL415">
        <v>9.1077599999999995E-3</v>
      </c>
    </row>
    <row r="416" spans="2:90" x14ac:dyDescent="0.2">
      <c r="B416">
        <v>15.5</v>
      </c>
      <c r="C416">
        <v>0</v>
      </c>
      <c r="D416">
        <v>0</v>
      </c>
      <c r="E416">
        <v>0</v>
      </c>
      <c r="F416">
        <v>0</v>
      </c>
      <c r="G416">
        <v>0</v>
      </c>
      <c r="H416">
        <v>4.3999999999999999E-5</v>
      </c>
      <c r="I416">
        <v>6.1E-6</v>
      </c>
      <c r="J416">
        <v>1.5299999999999999E-5</v>
      </c>
      <c r="K416">
        <v>7.7200000000000006E-5</v>
      </c>
      <c r="L416">
        <v>6.7899999999999997E-5</v>
      </c>
      <c r="M416">
        <v>0</v>
      </c>
      <c r="N416">
        <v>0</v>
      </c>
      <c r="O416">
        <v>1.77E-5</v>
      </c>
      <c r="P416">
        <v>1.95E-5</v>
      </c>
      <c r="Q416">
        <v>2.4499999999999998E-6</v>
      </c>
      <c r="R416">
        <v>6.7899999999999998E-7</v>
      </c>
      <c r="S416">
        <v>1.13E-5</v>
      </c>
      <c r="T416">
        <v>8.1499999999999999E-6</v>
      </c>
      <c r="U416">
        <v>9.6199999999999994E-6</v>
      </c>
      <c r="V416">
        <v>4.9100000000000004E-6</v>
      </c>
      <c r="W416">
        <v>6.7100000000000001E-6</v>
      </c>
      <c r="X416">
        <v>0</v>
      </c>
      <c r="Y416">
        <v>3.0000000000000001E-5</v>
      </c>
      <c r="Z416">
        <v>0</v>
      </c>
      <c r="AA416">
        <v>1.0499999999999999E-5</v>
      </c>
      <c r="AB416">
        <v>1.29E-5</v>
      </c>
      <c r="AC416">
        <v>5.5799999999999999E-6</v>
      </c>
      <c r="AD416">
        <v>5.4199999999999998E-6</v>
      </c>
      <c r="AE416">
        <v>8.5099999999999998E-6</v>
      </c>
      <c r="AF416">
        <v>3.3599999999999997E-5</v>
      </c>
      <c r="AG416">
        <v>6.0999999999999999E-5</v>
      </c>
      <c r="AH416">
        <v>0</v>
      </c>
      <c r="AI416">
        <v>0</v>
      </c>
      <c r="AJ416">
        <v>0</v>
      </c>
      <c r="AK416">
        <v>0</v>
      </c>
      <c r="AL416">
        <v>4.71E-5</v>
      </c>
      <c r="AM416">
        <v>0</v>
      </c>
      <c r="AN416">
        <v>0</v>
      </c>
      <c r="AO416">
        <v>0</v>
      </c>
      <c r="AP416">
        <v>0</v>
      </c>
      <c r="AQ416">
        <v>0</v>
      </c>
      <c r="AR416">
        <v>0</v>
      </c>
      <c r="AS416">
        <v>0</v>
      </c>
      <c r="AT416">
        <v>1.04864E-4</v>
      </c>
      <c r="AU416">
        <v>0</v>
      </c>
      <c r="AV416">
        <v>0</v>
      </c>
      <c r="AW416">
        <v>1.03692E-2</v>
      </c>
      <c r="AX416">
        <v>3.3039399999999997E-2</v>
      </c>
      <c r="AY416">
        <v>2.1081300000000002E-3</v>
      </c>
      <c r="AZ416">
        <v>1.80979E-2</v>
      </c>
      <c r="BA416">
        <v>1.15382E-2</v>
      </c>
      <c r="BB416">
        <v>7.5635099999999999E-3</v>
      </c>
      <c r="BC416">
        <v>2.6310000000000001E-3</v>
      </c>
      <c r="BD416">
        <v>1.0612099999999999E-2</v>
      </c>
      <c r="BE416">
        <v>4.54011E-2</v>
      </c>
      <c r="BF416">
        <v>1.8324400000000001E-2</v>
      </c>
      <c r="BG416">
        <v>1.5624600000000001E-2</v>
      </c>
      <c r="BH416">
        <v>3.4032800000000002E-2</v>
      </c>
      <c r="BI416">
        <v>7.08605E-3</v>
      </c>
      <c r="BJ416">
        <v>4.5694799999999999E-3</v>
      </c>
      <c r="BK416">
        <v>6.8344499999999997E-3</v>
      </c>
      <c r="BL416">
        <v>2.1410200000000001E-2</v>
      </c>
      <c r="BM416">
        <v>1.4177E-2</v>
      </c>
      <c r="BN416">
        <v>9.2112300000000008E-3</v>
      </c>
      <c r="BO416">
        <v>3.52494E-2</v>
      </c>
      <c r="BP416">
        <v>3.3283399999999998E-2</v>
      </c>
      <c r="BQ416">
        <v>1.2957700000000001E-2</v>
      </c>
      <c r="BR416">
        <v>1.8612E-2</v>
      </c>
      <c r="BS416">
        <v>1.7950000000000001E-2</v>
      </c>
      <c r="BT416">
        <v>1.76223E-2</v>
      </c>
      <c r="BU416">
        <v>2.7924899999999999E-2</v>
      </c>
      <c r="BV416">
        <v>5.6715399999999999E-2</v>
      </c>
      <c r="BW416">
        <v>2.37307E-2</v>
      </c>
      <c r="BX416">
        <v>3.8888499999999999E-2</v>
      </c>
      <c r="BY416">
        <v>7.4308999999999998E-3</v>
      </c>
      <c r="BZ416">
        <v>1.98744E-2</v>
      </c>
      <c r="CA416">
        <v>2.3734700000000001E-2</v>
      </c>
      <c r="CB416">
        <v>1.28611E-2</v>
      </c>
      <c r="CC416">
        <v>2.89267E-2</v>
      </c>
      <c r="CD416">
        <v>2.4549300000000001E-3</v>
      </c>
      <c r="CE416">
        <v>1.31693E-3</v>
      </c>
      <c r="CF416">
        <v>5.0036400000000002E-3</v>
      </c>
      <c r="CG416">
        <v>2.2050799999999999E-3</v>
      </c>
      <c r="CH416">
        <v>2.9456699999999999E-2</v>
      </c>
      <c r="CI416">
        <v>5.65608E-3</v>
      </c>
      <c r="CJ416">
        <v>1.75984E-2</v>
      </c>
      <c r="CK416">
        <v>2.4120800000000001E-2</v>
      </c>
      <c r="CL416">
        <v>1.21417E-2</v>
      </c>
    </row>
    <row r="417" spans="2:90" x14ac:dyDescent="0.2">
      <c r="B417">
        <v>16.5</v>
      </c>
      <c r="C417">
        <v>0</v>
      </c>
      <c r="D417">
        <v>0</v>
      </c>
      <c r="E417">
        <v>7.8100000000000001E-5</v>
      </c>
      <c r="F417">
        <v>0</v>
      </c>
      <c r="G417">
        <v>0</v>
      </c>
      <c r="H417">
        <v>9.5000000000000005E-5</v>
      </c>
      <c r="I417">
        <v>0</v>
      </c>
      <c r="J417">
        <v>3.6199999999999999E-5</v>
      </c>
      <c r="K417">
        <v>2.87E-5</v>
      </c>
      <c r="L417">
        <v>1.2225699999999999E-4</v>
      </c>
      <c r="M417">
        <v>5.9200000000000002E-5</v>
      </c>
      <c r="N417">
        <v>0</v>
      </c>
      <c r="O417">
        <v>1.15E-5</v>
      </c>
      <c r="P417">
        <v>6.7100000000000001E-6</v>
      </c>
      <c r="Q417">
        <v>3.8399999999999997E-6</v>
      </c>
      <c r="R417">
        <v>0</v>
      </c>
      <c r="S417">
        <v>1.6500000000000001E-5</v>
      </c>
      <c r="T417">
        <v>4.2200000000000003E-6</v>
      </c>
      <c r="U417">
        <v>1.9700000000000001E-5</v>
      </c>
      <c r="V417">
        <v>7.8900000000000007E-6</v>
      </c>
      <c r="W417">
        <v>0</v>
      </c>
      <c r="X417">
        <v>0</v>
      </c>
      <c r="Y417">
        <v>5.4299999999999998E-5</v>
      </c>
      <c r="Z417">
        <v>5.8699999999999997E-6</v>
      </c>
      <c r="AA417">
        <v>0</v>
      </c>
      <c r="AB417">
        <v>2.6699999999999998E-5</v>
      </c>
      <c r="AC417">
        <v>5.5799999999999999E-6</v>
      </c>
      <c r="AD417">
        <v>0</v>
      </c>
      <c r="AE417">
        <v>0</v>
      </c>
      <c r="AF417">
        <v>6.2512099999999997E-4</v>
      </c>
      <c r="AG417">
        <v>0</v>
      </c>
      <c r="AH417">
        <v>0</v>
      </c>
      <c r="AI417">
        <v>0</v>
      </c>
      <c r="AJ417">
        <v>0</v>
      </c>
      <c r="AK417">
        <v>0</v>
      </c>
      <c r="AL417">
        <v>1.66E-5</v>
      </c>
      <c r="AM417">
        <v>0</v>
      </c>
      <c r="AN417">
        <v>0</v>
      </c>
      <c r="AO417">
        <v>0</v>
      </c>
      <c r="AP417">
        <v>0</v>
      </c>
      <c r="AQ417">
        <v>0</v>
      </c>
      <c r="AR417">
        <v>6.02E-6</v>
      </c>
      <c r="AS417">
        <v>0</v>
      </c>
      <c r="AT417">
        <v>0</v>
      </c>
      <c r="AU417">
        <v>0</v>
      </c>
      <c r="AV417">
        <v>6.0800000000000001E-5</v>
      </c>
      <c r="AW417">
        <v>6.3006800000000003E-3</v>
      </c>
      <c r="AX417">
        <v>3.0036500000000001E-2</v>
      </c>
      <c r="AY417">
        <v>2.4761800000000001E-3</v>
      </c>
      <c r="AZ417">
        <v>2.2092000000000001E-2</v>
      </c>
      <c r="BA417">
        <v>9.77804E-3</v>
      </c>
      <c r="BB417">
        <v>1.0124299999999999E-2</v>
      </c>
      <c r="BC417">
        <v>2.2894999999999999E-3</v>
      </c>
      <c r="BD417">
        <v>1.03585E-2</v>
      </c>
      <c r="BE417">
        <v>3.6038100000000003E-2</v>
      </c>
      <c r="BF417">
        <v>1.8820099999999999E-2</v>
      </c>
      <c r="BG417">
        <v>2.05702E-2</v>
      </c>
      <c r="BH417">
        <v>3.0769399999999999E-2</v>
      </c>
      <c r="BI417">
        <v>7.1364599999999999E-3</v>
      </c>
      <c r="BJ417">
        <v>6.05377E-3</v>
      </c>
      <c r="BK417">
        <v>5.7038000000000002E-3</v>
      </c>
      <c r="BL417">
        <v>2.3019600000000001E-2</v>
      </c>
      <c r="BM417">
        <v>9.46958E-3</v>
      </c>
      <c r="BN417">
        <v>6.3741900000000001E-3</v>
      </c>
      <c r="BO417">
        <v>2.2151799999999999E-2</v>
      </c>
      <c r="BP417">
        <v>3.5874000000000003E-2</v>
      </c>
      <c r="BQ417">
        <v>9.1148099999999992E-3</v>
      </c>
      <c r="BR417">
        <v>1.64949E-2</v>
      </c>
      <c r="BS417">
        <v>1.7316499999999999E-2</v>
      </c>
      <c r="BT417">
        <v>2.17982E-2</v>
      </c>
      <c r="BU417">
        <v>2.6761099999999999E-2</v>
      </c>
      <c r="BV417">
        <v>5.5563099999999997E-2</v>
      </c>
      <c r="BW417">
        <v>1.7262400000000001E-2</v>
      </c>
      <c r="BX417">
        <v>2.9020600000000001E-2</v>
      </c>
      <c r="BY417">
        <v>6.1846499999999999E-3</v>
      </c>
      <c r="BZ417">
        <v>2.86941E-2</v>
      </c>
      <c r="CA417">
        <v>3.1286500000000002E-2</v>
      </c>
      <c r="CB417">
        <v>9.5304900000000008E-3</v>
      </c>
      <c r="CC417">
        <v>3.6625600000000001E-2</v>
      </c>
      <c r="CD417">
        <v>2.9562799999999999E-3</v>
      </c>
      <c r="CE417">
        <v>3.0189100000000001E-3</v>
      </c>
      <c r="CF417">
        <v>4.5556199999999998E-3</v>
      </c>
      <c r="CG417">
        <v>4.2950999999999996E-3</v>
      </c>
      <c r="CH417">
        <v>4.3727500000000002E-2</v>
      </c>
      <c r="CI417">
        <v>8.5740899999999995E-3</v>
      </c>
      <c r="CJ417">
        <v>2.1253299999999999E-2</v>
      </c>
      <c r="CK417">
        <v>2.5504300000000001E-2</v>
      </c>
      <c r="CL417">
        <v>1.3727E-2</v>
      </c>
    </row>
    <row r="418" spans="2:90" x14ac:dyDescent="0.2">
      <c r="B418">
        <v>17.5</v>
      </c>
      <c r="C418">
        <v>0</v>
      </c>
      <c r="D418">
        <v>0</v>
      </c>
      <c r="E418">
        <v>0</v>
      </c>
      <c r="F418">
        <v>0</v>
      </c>
      <c r="G418">
        <v>0</v>
      </c>
      <c r="H418">
        <v>1.6117900000000001E-4</v>
      </c>
      <c r="I418">
        <v>0</v>
      </c>
      <c r="J418">
        <v>9.0000000000000006E-5</v>
      </c>
      <c r="K418">
        <v>1.90879E-4</v>
      </c>
      <c r="L418">
        <v>2.21721E-4</v>
      </c>
      <c r="M418">
        <v>7.0500000000000003E-6</v>
      </c>
      <c r="N418">
        <v>7.7000000000000008E-6</v>
      </c>
      <c r="O418">
        <v>7.1699999999999997E-7</v>
      </c>
      <c r="P418">
        <v>1.7900000000000001E-5</v>
      </c>
      <c r="Q418">
        <v>5.10562E-4</v>
      </c>
      <c r="R418">
        <v>3.6100000000000002E-6</v>
      </c>
      <c r="S418">
        <v>2.27E-5</v>
      </c>
      <c r="T418">
        <v>1.5800000000000001E-5</v>
      </c>
      <c r="U418">
        <v>5.41E-5</v>
      </c>
      <c r="V418">
        <v>6.6499999999999999E-6</v>
      </c>
      <c r="W418">
        <v>4.2899999999999996E-6</v>
      </c>
      <c r="X418">
        <v>5.9968499999999998E-4</v>
      </c>
      <c r="Y418">
        <v>3.6199999999999999E-5</v>
      </c>
      <c r="Z418">
        <v>2.34E-5</v>
      </c>
      <c r="AA418">
        <v>1.5099999999999999E-5</v>
      </c>
      <c r="AB418">
        <v>0</v>
      </c>
      <c r="AC418">
        <v>2.0400000000000001E-5</v>
      </c>
      <c r="AD418">
        <v>1.2099999999999999E-5</v>
      </c>
      <c r="AE418">
        <v>1.1567599999999999E-4</v>
      </c>
      <c r="AF418">
        <v>0</v>
      </c>
      <c r="AG418">
        <v>1.9700000000000001E-5</v>
      </c>
      <c r="AH418">
        <v>0</v>
      </c>
      <c r="AI418">
        <v>0</v>
      </c>
      <c r="AJ418">
        <v>0</v>
      </c>
      <c r="AK418">
        <v>0</v>
      </c>
      <c r="AL418">
        <v>1.4438299999999999E-4</v>
      </c>
      <c r="AM418">
        <v>0</v>
      </c>
      <c r="AN418">
        <v>2.41E-5</v>
      </c>
      <c r="AO418">
        <v>0</v>
      </c>
      <c r="AP418">
        <v>0</v>
      </c>
      <c r="AQ418">
        <v>3.3899999999999997E-5</v>
      </c>
      <c r="AR418">
        <v>0</v>
      </c>
      <c r="AS418">
        <v>0</v>
      </c>
      <c r="AT418">
        <v>0</v>
      </c>
      <c r="AU418">
        <v>0</v>
      </c>
      <c r="AV418">
        <v>0</v>
      </c>
      <c r="AW418">
        <v>4.8054200000000004E-3</v>
      </c>
      <c r="AX418">
        <v>1.9213299999999999E-2</v>
      </c>
      <c r="AY418">
        <v>3.7908400000000002E-3</v>
      </c>
      <c r="AZ418">
        <v>2.989E-2</v>
      </c>
      <c r="BA418">
        <v>6.03361E-3</v>
      </c>
      <c r="BB418">
        <v>1.129E-2</v>
      </c>
      <c r="BC418">
        <v>4.1921800000000002E-3</v>
      </c>
      <c r="BD418">
        <v>9.9265699999999991E-3</v>
      </c>
      <c r="BE418">
        <v>2.6254599999999999E-2</v>
      </c>
      <c r="BF418">
        <v>1.7713699999999999E-2</v>
      </c>
      <c r="BG418">
        <v>2.30052E-2</v>
      </c>
      <c r="BH418">
        <v>3.05689E-2</v>
      </c>
      <c r="BI418">
        <v>8.3208199999999996E-3</v>
      </c>
      <c r="BJ418">
        <v>6.4425999999999997E-3</v>
      </c>
      <c r="BK418">
        <v>7.1033399999999997E-3</v>
      </c>
      <c r="BL418">
        <v>3.0924799999999999E-2</v>
      </c>
      <c r="BM418">
        <v>4.7384999999999997E-3</v>
      </c>
      <c r="BN418">
        <v>3.4147299999999999E-3</v>
      </c>
      <c r="BO418">
        <v>2.1845E-2</v>
      </c>
      <c r="BP418">
        <v>3.8649700000000002E-2</v>
      </c>
      <c r="BQ418">
        <v>1.3501300000000001E-2</v>
      </c>
      <c r="BR418">
        <v>1.9964200000000001E-2</v>
      </c>
      <c r="BS418">
        <v>1.98493E-2</v>
      </c>
      <c r="BT418">
        <v>2.6698E-2</v>
      </c>
      <c r="BU418">
        <v>2.9156999999999999E-2</v>
      </c>
      <c r="BV418">
        <v>4.0262800000000001E-2</v>
      </c>
      <c r="BW418">
        <v>1.1454199999999999E-2</v>
      </c>
      <c r="BX418">
        <v>2.75765E-2</v>
      </c>
      <c r="BY418">
        <v>4.0534400000000002E-3</v>
      </c>
      <c r="BZ418">
        <v>3.01616E-2</v>
      </c>
      <c r="CA418">
        <v>3.0224999999999998E-2</v>
      </c>
      <c r="CB418">
        <v>6.7416799999999999E-3</v>
      </c>
      <c r="CC418">
        <v>2.7751499999999998E-2</v>
      </c>
      <c r="CD418">
        <v>2.97497E-3</v>
      </c>
      <c r="CE418">
        <v>3.8016E-3</v>
      </c>
      <c r="CF418">
        <v>5.3284300000000003E-3</v>
      </c>
      <c r="CG418">
        <v>3.9260800000000002E-3</v>
      </c>
      <c r="CH418">
        <v>3.7831799999999999E-2</v>
      </c>
      <c r="CI418">
        <v>1.4828300000000001E-2</v>
      </c>
      <c r="CJ418">
        <v>2.3618299999999998E-2</v>
      </c>
      <c r="CK418">
        <v>2.5341200000000001E-2</v>
      </c>
      <c r="CL418">
        <v>1.73619E-2</v>
      </c>
    </row>
    <row r="419" spans="2:90" x14ac:dyDescent="0.2">
      <c r="B419">
        <v>18.5</v>
      </c>
      <c r="C419">
        <v>0</v>
      </c>
      <c r="D419">
        <v>0</v>
      </c>
      <c r="E419">
        <v>1.5627800000000001E-4</v>
      </c>
      <c r="F419">
        <v>0</v>
      </c>
      <c r="G419">
        <v>0</v>
      </c>
      <c r="H419">
        <v>1.7331900000000001E-4</v>
      </c>
      <c r="I419">
        <v>0</v>
      </c>
      <c r="J419">
        <v>7.1899999999999999E-5</v>
      </c>
      <c r="K419">
        <v>3.5970899999999999E-4</v>
      </c>
      <c r="L419">
        <v>1.28734E-4</v>
      </c>
      <c r="M419">
        <v>0</v>
      </c>
      <c r="N419">
        <v>0</v>
      </c>
      <c r="O419">
        <v>6.4500000000000001E-6</v>
      </c>
      <c r="P419">
        <v>1.3599999999999999E-6</v>
      </c>
      <c r="Q419">
        <v>5.1115000000000004E-4</v>
      </c>
      <c r="R419">
        <v>1.3400000000000001E-6</v>
      </c>
      <c r="S419">
        <v>2.2200000000000001E-5</v>
      </c>
      <c r="T419">
        <v>1.22E-5</v>
      </c>
      <c r="U419">
        <v>1.0831199999999999E-3</v>
      </c>
      <c r="V419">
        <v>1.39E-6</v>
      </c>
      <c r="W419">
        <v>5.0899999999999997E-5</v>
      </c>
      <c r="X419">
        <v>0</v>
      </c>
      <c r="Y419">
        <v>7.6699999999999994E-5</v>
      </c>
      <c r="Z419">
        <v>6.3399999999999996E-5</v>
      </c>
      <c r="AA419">
        <v>8.8799999999999997E-6</v>
      </c>
      <c r="AB419">
        <v>8.5900000000000001E-5</v>
      </c>
      <c r="AC419">
        <v>7.0899999999999999E-6</v>
      </c>
      <c r="AD419">
        <v>0</v>
      </c>
      <c r="AE419">
        <v>1.1021700000000001E-4</v>
      </c>
      <c r="AF419">
        <v>6.4599999999999998E-5</v>
      </c>
      <c r="AG419">
        <v>1.9700000000000001E-5</v>
      </c>
      <c r="AH419">
        <v>0</v>
      </c>
      <c r="AI419">
        <v>0</v>
      </c>
      <c r="AJ419">
        <v>0</v>
      </c>
      <c r="AK419">
        <v>5.2200000000000002E-5</v>
      </c>
      <c r="AL419">
        <v>7.8399999999999995E-5</v>
      </c>
      <c r="AM419">
        <v>0</v>
      </c>
      <c r="AN419">
        <v>0</v>
      </c>
      <c r="AO419">
        <v>1.8899999999999999E-6</v>
      </c>
      <c r="AP419">
        <v>0</v>
      </c>
      <c r="AQ419">
        <v>0</v>
      </c>
      <c r="AR419">
        <v>1.1858800000000001E-3</v>
      </c>
      <c r="AS419">
        <v>0</v>
      </c>
      <c r="AT419">
        <v>4.6E-5</v>
      </c>
      <c r="AU419">
        <v>0</v>
      </c>
      <c r="AV419">
        <v>7.3799999999999996E-6</v>
      </c>
      <c r="AW419">
        <v>4.9204299999999999E-3</v>
      </c>
      <c r="AX419">
        <v>1.9014699999999999E-2</v>
      </c>
      <c r="AY419">
        <v>2.5958999999999999E-3</v>
      </c>
      <c r="AZ419">
        <v>3.0105400000000001E-2</v>
      </c>
      <c r="BA419">
        <v>2.2403200000000001E-3</v>
      </c>
      <c r="BB419">
        <v>1.1269599999999999E-2</v>
      </c>
      <c r="BC419">
        <v>2.80678E-3</v>
      </c>
      <c r="BD419">
        <v>6.4662000000000001E-3</v>
      </c>
      <c r="BE419">
        <v>2.0606300000000001E-2</v>
      </c>
      <c r="BF419">
        <v>1.4784200000000001E-2</v>
      </c>
      <c r="BG419">
        <v>2.4267199999999999E-2</v>
      </c>
      <c r="BH419">
        <v>3.3051700000000003E-2</v>
      </c>
      <c r="BI419">
        <v>9.75554E-3</v>
      </c>
      <c r="BJ419">
        <v>8.7778500000000002E-3</v>
      </c>
      <c r="BK419">
        <v>7.3769500000000002E-3</v>
      </c>
      <c r="BL419">
        <v>2.45136E-2</v>
      </c>
      <c r="BM419">
        <v>2.3082699999999999E-3</v>
      </c>
      <c r="BN419">
        <v>2.4108200000000002E-3</v>
      </c>
      <c r="BO419">
        <v>1.13197E-2</v>
      </c>
      <c r="BP419">
        <v>3.42569E-2</v>
      </c>
      <c r="BQ419">
        <v>9.0313500000000005E-3</v>
      </c>
      <c r="BR419">
        <v>2.0322699999999999E-2</v>
      </c>
      <c r="BS419">
        <v>1.9414600000000001E-2</v>
      </c>
      <c r="BT419">
        <v>2.49482E-2</v>
      </c>
      <c r="BU419">
        <v>2.2818100000000001E-2</v>
      </c>
      <c r="BV419">
        <v>2.5929799999999999E-2</v>
      </c>
      <c r="BW419">
        <v>5.71814E-3</v>
      </c>
      <c r="BX419">
        <v>1.9122900000000002E-2</v>
      </c>
      <c r="BY419">
        <v>1.9820300000000001E-3</v>
      </c>
      <c r="BZ419">
        <v>4.35346E-2</v>
      </c>
      <c r="CA419">
        <v>1.5879399999999998E-2</v>
      </c>
      <c r="CB419">
        <v>1.8893099999999999E-3</v>
      </c>
      <c r="CC419">
        <v>3.3857400000000003E-2</v>
      </c>
      <c r="CD419">
        <v>3.1183000000000001E-3</v>
      </c>
      <c r="CE419">
        <v>5.7349699999999998E-3</v>
      </c>
      <c r="CF419">
        <v>6.4792000000000001E-3</v>
      </c>
      <c r="CG419">
        <v>6.1514600000000001E-3</v>
      </c>
      <c r="CH419">
        <v>4.4242299999999998E-2</v>
      </c>
      <c r="CI419">
        <v>2.1227699999999999E-2</v>
      </c>
      <c r="CJ419">
        <v>2.6079100000000001E-2</v>
      </c>
      <c r="CK419">
        <v>2.26851E-2</v>
      </c>
      <c r="CL419">
        <v>2.05364E-2</v>
      </c>
    </row>
    <row r="420" spans="2:90" x14ac:dyDescent="0.2">
      <c r="B420">
        <v>19.5</v>
      </c>
      <c r="C420">
        <v>0</v>
      </c>
      <c r="D420">
        <v>0</v>
      </c>
      <c r="E420">
        <v>5.3199999999999999E-5</v>
      </c>
      <c r="F420">
        <v>0</v>
      </c>
      <c r="G420">
        <v>0</v>
      </c>
      <c r="H420">
        <v>8.2507499999999998E-4</v>
      </c>
      <c r="I420">
        <v>0</v>
      </c>
      <c r="J420">
        <v>1.84E-5</v>
      </c>
      <c r="K420">
        <v>3.0732300000000003E-4</v>
      </c>
      <c r="L420">
        <v>8.4699999999999999E-5</v>
      </c>
      <c r="M420">
        <v>1.27088E-4</v>
      </c>
      <c r="N420">
        <v>0</v>
      </c>
      <c r="O420">
        <v>1.08E-5</v>
      </c>
      <c r="P420">
        <v>2.1999999999999999E-5</v>
      </c>
      <c r="Q420">
        <v>5.3221200000000001E-4</v>
      </c>
      <c r="R420">
        <v>1.7799999999999999E-5</v>
      </c>
      <c r="S420">
        <v>2.6699999999999998E-5</v>
      </c>
      <c r="T420">
        <v>1.6399999999999999E-5</v>
      </c>
      <c r="U420">
        <v>7.3876900000000001E-4</v>
      </c>
      <c r="V420">
        <v>3.8999999999999999E-6</v>
      </c>
      <c r="W420">
        <v>1.84E-5</v>
      </c>
      <c r="X420">
        <v>9.38E-6</v>
      </c>
      <c r="Y420">
        <v>5.2099999999999999E-5</v>
      </c>
      <c r="Z420">
        <v>1.05902E-4</v>
      </c>
      <c r="AA420">
        <v>2.1100000000000001E-5</v>
      </c>
      <c r="AB420">
        <v>8.7899999999999995E-5</v>
      </c>
      <c r="AC420">
        <v>0</v>
      </c>
      <c r="AD420">
        <v>1.6099999999999998E-5</v>
      </c>
      <c r="AE420">
        <v>4.7599999999999998E-5</v>
      </c>
      <c r="AF420">
        <v>6.3499999999999999E-5</v>
      </c>
      <c r="AG420">
        <v>4.5599999999999997E-5</v>
      </c>
      <c r="AH420">
        <v>0</v>
      </c>
      <c r="AI420">
        <v>0</v>
      </c>
      <c r="AJ420">
        <v>9.4299999999999995E-6</v>
      </c>
      <c r="AK420">
        <v>0</v>
      </c>
      <c r="AL420">
        <v>2.48E-5</v>
      </c>
      <c r="AM420">
        <v>0</v>
      </c>
      <c r="AN420">
        <v>0</v>
      </c>
      <c r="AO420">
        <v>1.3900000000000001E-5</v>
      </c>
      <c r="AP420">
        <v>0</v>
      </c>
      <c r="AQ420">
        <v>0</v>
      </c>
      <c r="AR420">
        <v>1.0000000000000001E-5</v>
      </c>
      <c r="AS420">
        <v>0</v>
      </c>
      <c r="AT420">
        <v>3.8399999999999997E-6</v>
      </c>
      <c r="AU420">
        <v>3.1300000000000002E-5</v>
      </c>
      <c r="AV420">
        <v>1.3900000000000001E-5</v>
      </c>
      <c r="AW420">
        <v>4.3576099999999996E-3</v>
      </c>
      <c r="AX420">
        <v>9.1231999999999997E-3</v>
      </c>
      <c r="AY420">
        <v>5.2643799999999999E-3</v>
      </c>
      <c r="AZ420">
        <v>3.1257300000000002E-2</v>
      </c>
      <c r="BA420">
        <v>1.725E-3</v>
      </c>
      <c r="BB420">
        <v>1.4344900000000001E-2</v>
      </c>
      <c r="BC420">
        <v>1.84366E-3</v>
      </c>
      <c r="BD420">
        <v>3.86908E-3</v>
      </c>
      <c r="BE420">
        <v>1.5741100000000001E-2</v>
      </c>
      <c r="BF420">
        <v>1.8592999999999998E-2</v>
      </c>
      <c r="BG420">
        <v>2.5686E-2</v>
      </c>
      <c r="BH420">
        <v>2.98433E-2</v>
      </c>
      <c r="BI420">
        <v>7.9216000000000009E-3</v>
      </c>
      <c r="BJ420">
        <v>7.4060300000000001E-3</v>
      </c>
      <c r="BK420">
        <v>6.8264800000000002E-3</v>
      </c>
      <c r="BL420">
        <v>2.3638800000000001E-2</v>
      </c>
      <c r="BM420">
        <v>6.6740300000000001E-4</v>
      </c>
      <c r="BN420">
        <v>3.4750800000000002E-3</v>
      </c>
      <c r="BO420">
        <v>6.9523900000000001E-3</v>
      </c>
      <c r="BP420">
        <v>3.3438700000000002E-2</v>
      </c>
      <c r="BQ420">
        <v>5.8075499999999999E-3</v>
      </c>
      <c r="BR420">
        <v>2.2575600000000001E-2</v>
      </c>
      <c r="BS420">
        <v>1.24382E-2</v>
      </c>
      <c r="BT420">
        <v>2.6446600000000001E-2</v>
      </c>
      <c r="BU420">
        <v>1.9808900000000001E-2</v>
      </c>
      <c r="BV420">
        <v>3.1543500000000002E-2</v>
      </c>
      <c r="BW420">
        <v>3.0370000000000002E-3</v>
      </c>
      <c r="BX420">
        <v>1.31629E-2</v>
      </c>
      <c r="BY420">
        <v>2.16395E-3</v>
      </c>
      <c r="BZ420">
        <v>4.2579499999999999E-2</v>
      </c>
      <c r="CA420">
        <v>9.8150000000000008E-3</v>
      </c>
      <c r="CB420">
        <v>1.14068E-3</v>
      </c>
      <c r="CC420">
        <v>2.7312400000000001E-2</v>
      </c>
      <c r="CD420">
        <v>3.83067E-3</v>
      </c>
      <c r="CE420">
        <v>8.7713900000000004E-3</v>
      </c>
      <c r="CF420">
        <v>7.3261400000000001E-3</v>
      </c>
      <c r="CG420">
        <v>5.2121600000000004E-3</v>
      </c>
      <c r="CH420">
        <v>5.0780800000000001E-2</v>
      </c>
      <c r="CI420">
        <v>2.5467299999999998E-2</v>
      </c>
      <c r="CJ420">
        <v>2.5663700000000001E-2</v>
      </c>
      <c r="CK420">
        <v>2.4910499999999999E-2</v>
      </c>
      <c r="CL420">
        <v>2.3249300000000001E-2</v>
      </c>
    </row>
    <row r="421" spans="2:90" x14ac:dyDescent="0.2">
      <c r="B421">
        <v>20.5</v>
      </c>
      <c r="C421">
        <v>0</v>
      </c>
      <c r="D421">
        <v>0</v>
      </c>
      <c r="E421">
        <v>9.9099999999999996E-5</v>
      </c>
      <c r="F421">
        <v>0</v>
      </c>
      <c r="G421">
        <v>0</v>
      </c>
      <c r="H421">
        <v>1.0973599999999999E-3</v>
      </c>
      <c r="I421">
        <v>0</v>
      </c>
      <c r="J421">
        <v>6.3100000000000002E-5</v>
      </c>
      <c r="K421">
        <v>4.6601800000000001E-4</v>
      </c>
      <c r="L421">
        <v>6.9200000000000002E-5</v>
      </c>
      <c r="M421">
        <v>0</v>
      </c>
      <c r="N421">
        <v>1.8300000000000001E-5</v>
      </c>
      <c r="O421">
        <v>1.6500000000000001E-5</v>
      </c>
      <c r="P421">
        <v>1.19E-5</v>
      </c>
      <c r="Q421">
        <v>2.4000000000000001E-5</v>
      </c>
      <c r="R421">
        <v>4.2699999999999998E-6</v>
      </c>
      <c r="S421">
        <v>3.6900000000000002E-5</v>
      </c>
      <c r="T421">
        <v>9.3400000000000004E-6</v>
      </c>
      <c r="U421">
        <v>7.1000000000000005E-5</v>
      </c>
      <c r="V421">
        <v>2.4199999999999999E-5</v>
      </c>
      <c r="W421">
        <v>3.4E-5</v>
      </c>
      <c r="X421">
        <v>1.4399999999999999E-5</v>
      </c>
      <c r="Y421">
        <v>4.0339500000000002E-4</v>
      </c>
      <c r="Z421">
        <v>9.6100000000000005E-5</v>
      </c>
      <c r="AA421">
        <v>3.7499999999999997E-5</v>
      </c>
      <c r="AB421">
        <v>0</v>
      </c>
      <c r="AC421">
        <v>7.36E-5</v>
      </c>
      <c r="AD421">
        <v>2.4199999999999999E-5</v>
      </c>
      <c r="AE421">
        <v>1.34657E-4</v>
      </c>
      <c r="AF421">
        <v>4.5900000000000001E-6</v>
      </c>
      <c r="AG421">
        <v>0</v>
      </c>
      <c r="AH421">
        <v>7.6000000000000004E-5</v>
      </c>
      <c r="AI421">
        <v>0</v>
      </c>
      <c r="AJ421">
        <v>0</v>
      </c>
      <c r="AK421">
        <v>0</v>
      </c>
      <c r="AL421">
        <v>0</v>
      </c>
      <c r="AM421">
        <v>0</v>
      </c>
      <c r="AN421">
        <v>0</v>
      </c>
      <c r="AO421">
        <v>0</v>
      </c>
      <c r="AP421">
        <v>0</v>
      </c>
      <c r="AQ421">
        <v>0</v>
      </c>
      <c r="AR421">
        <v>1.4080500000000001E-3</v>
      </c>
      <c r="AS421">
        <v>1.0900000000000001E-5</v>
      </c>
      <c r="AT421">
        <v>0</v>
      </c>
      <c r="AU421">
        <v>9.6399999999999999E-5</v>
      </c>
      <c r="AV421">
        <v>4.57E-5</v>
      </c>
      <c r="AW421">
        <v>1.84935E-3</v>
      </c>
      <c r="AX421">
        <v>5.6355600000000004E-3</v>
      </c>
      <c r="AY421">
        <v>5.9032299999999998E-3</v>
      </c>
      <c r="AZ421">
        <v>3.8399000000000003E-2</v>
      </c>
      <c r="BA421">
        <v>1.3145699999999999E-3</v>
      </c>
      <c r="BB421">
        <v>1.1557400000000001E-2</v>
      </c>
      <c r="BC421">
        <v>2.6604100000000002E-3</v>
      </c>
      <c r="BD421">
        <v>1.8943199999999999E-3</v>
      </c>
      <c r="BE421">
        <v>1.0004600000000001E-2</v>
      </c>
      <c r="BF421">
        <v>1.1880399999999999E-2</v>
      </c>
      <c r="BG421">
        <v>2.23299E-2</v>
      </c>
      <c r="BH421">
        <v>3.0783600000000001E-2</v>
      </c>
      <c r="BI421">
        <v>7.4197000000000004E-3</v>
      </c>
      <c r="BJ421">
        <v>3.7478300000000002E-3</v>
      </c>
      <c r="BK421">
        <v>5.81074E-3</v>
      </c>
      <c r="BL421">
        <v>2.4471400000000001E-2</v>
      </c>
      <c r="BM421">
        <v>4.44998E-4</v>
      </c>
      <c r="BN421">
        <v>4.0807100000000004E-3</v>
      </c>
      <c r="BO421">
        <v>2.6023800000000001E-3</v>
      </c>
      <c r="BP421">
        <v>2.2214899999999999E-2</v>
      </c>
      <c r="BQ421">
        <v>4.20098E-3</v>
      </c>
      <c r="BR421">
        <v>2.01712E-2</v>
      </c>
      <c r="BS421">
        <v>1.3292099999999999E-2</v>
      </c>
      <c r="BT421">
        <v>2.5380699999999999E-2</v>
      </c>
      <c r="BU421">
        <v>1.1874300000000001E-2</v>
      </c>
      <c r="BV421">
        <v>1.8021100000000002E-2</v>
      </c>
      <c r="BW421">
        <v>1.58215E-3</v>
      </c>
      <c r="BX421">
        <v>6.8659599999999999E-3</v>
      </c>
      <c r="BY421">
        <v>1.3205199999999999E-3</v>
      </c>
      <c r="BZ421">
        <v>4.1008999999999997E-2</v>
      </c>
      <c r="CA421">
        <v>3.63789E-3</v>
      </c>
      <c r="CB421">
        <v>3.3851799999999998E-3</v>
      </c>
      <c r="CC421">
        <v>2.9026099999999999E-2</v>
      </c>
      <c r="CD421">
        <v>4.4039099999999996E-3</v>
      </c>
      <c r="CE421">
        <v>1.3163599999999999E-2</v>
      </c>
      <c r="CF421">
        <v>9.4138899999999994E-3</v>
      </c>
      <c r="CG421">
        <v>6.36588E-3</v>
      </c>
      <c r="CH421">
        <v>5.9062099999999999E-2</v>
      </c>
      <c r="CI421">
        <v>2.5182599999999999E-2</v>
      </c>
      <c r="CJ421">
        <v>2.1994900000000001E-2</v>
      </c>
      <c r="CK421">
        <v>2.3121300000000001E-2</v>
      </c>
      <c r="CL421">
        <v>2.4069900000000002E-2</v>
      </c>
    </row>
    <row r="422" spans="2:90" x14ac:dyDescent="0.2">
      <c r="B422">
        <v>21.5</v>
      </c>
      <c r="C422">
        <v>0</v>
      </c>
      <c r="D422">
        <v>0</v>
      </c>
      <c r="E422">
        <v>5.6100000000000002E-5</v>
      </c>
      <c r="F422">
        <v>0</v>
      </c>
      <c r="G422">
        <v>0</v>
      </c>
      <c r="H422">
        <v>1.20027E-3</v>
      </c>
      <c r="I422">
        <v>1.3900000000000001E-5</v>
      </c>
      <c r="J422">
        <v>4.1E-5</v>
      </c>
      <c r="K422">
        <v>8.4926700000000001E-4</v>
      </c>
      <c r="L422">
        <v>9.5999999999999996E-6</v>
      </c>
      <c r="M422">
        <v>8.7299999999999994E-6</v>
      </c>
      <c r="N422">
        <v>0</v>
      </c>
      <c r="O422">
        <v>4.9499999999999997E-5</v>
      </c>
      <c r="P422">
        <v>3.5099999999999999E-5</v>
      </c>
      <c r="Q422">
        <v>3.5500000000000002E-5</v>
      </c>
      <c r="R422">
        <v>2.1100000000000001E-5</v>
      </c>
      <c r="S422">
        <v>3.7400000000000001E-5</v>
      </c>
      <c r="T422">
        <v>1.3699999999999999E-5</v>
      </c>
      <c r="U422">
        <v>7.4300000000000004E-5</v>
      </c>
      <c r="V422">
        <v>7.0400000000000004E-6</v>
      </c>
      <c r="W422">
        <v>0</v>
      </c>
      <c r="X422">
        <v>2.2900000000000001E-6</v>
      </c>
      <c r="Y422">
        <v>6.3E-5</v>
      </c>
      <c r="Z422">
        <v>4.4199999999999997E-5</v>
      </c>
      <c r="AA422">
        <v>7.7400000000000004E-6</v>
      </c>
      <c r="AB422">
        <v>2.3499999999999999E-5</v>
      </c>
      <c r="AC422">
        <v>2.73E-5</v>
      </c>
      <c r="AD422">
        <v>2.5599999999999999E-5</v>
      </c>
      <c r="AE422">
        <v>1.7099999999999999E-5</v>
      </c>
      <c r="AF422">
        <v>2.7800000000000001E-5</v>
      </c>
      <c r="AG422">
        <v>1.9099999999999999E-6</v>
      </c>
      <c r="AH422">
        <v>1.7099999999999999E-5</v>
      </c>
      <c r="AI422">
        <v>1.3900000000000001E-5</v>
      </c>
      <c r="AJ422">
        <v>5.2299999999999999E-6</v>
      </c>
      <c r="AK422">
        <v>0</v>
      </c>
      <c r="AL422">
        <v>2.8500000000000002E-5</v>
      </c>
      <c r="AM422">
        <v>2.8799999999999999E-5</v>
      </c>
      <c r="AN422">
        <v>0</v>
      </c>
      <c r="AO422">
        <v>1.03131E-4</v>
      </c>
      <c r="AP422">
        <v>0</v>
      </c>
      <c r="AQ422">
        <v>0</v>
      </c>
      <c r="AR422">
        <v>1.62711E-3</v>
      </c>
      <c r="AS422">
        <v>0</v>
      </c>
      <c r="AT422">
        <v>0</v>
      </c>
      <c r="AU422">
        <v>9.6399999999999999E-5</v>
      </c>
      <c r="AV422">
        <v>0</v>
      </c>
      <c r="AW422">
        <v>8.0406399999999995E-4</v>
      </c>
      <c r="AX422">
        <v>3.36893E-3</v>
      </c>
      <c r="AY422">
        <v>7.4093900000000001E-3</v>
      </c>
      <c r="AZ422">
        <v>3.31918E-2</v>
      </c>
      <c r="BA422">
        <v>1.41625E-3</v>
      </c>
      <c r="BB422">
        <v>7.4945300000000001E-3</v>
      </c>
      <c r="BC422">
        <v>3.4581099999999999E-3</v>
      </c>
      <c r="BD422">
        <v>2.11151E-3</v>
      </c>
      <c r="BE422">
        <v>6.1390300000000002E-3</v>
      </c>
      <c r="BF422">
        <v>9.9299000000000002E-3</v>
      </c>
      <c r="BG422">
        <v>2.34755E-2</v>
      </c>
      <c r="BH422">
        <v>2.0625500000000001E-2</v>
      </c>
      <c r="BI422">
        <v>6.6618800000000002E-3</v>
      </c>
      <c r="BJ422">
        <v>2.6028900000000001E-3</v>
      </c>
      <c r="BK422">
        <v>3.8349E-3</v>
      </c>
      <c r="BL422">
        <v>1.92645E-2</v>
      </c>
      <c r="BM422">
        <v>1.9108199999999999E-3</v>
      </c>
      <c r="BN422">
        <v>3.3756400000000001E-3</v>
      </c>
      <c r="BO422">
        <v>7.2554300000000004E-4</v>
      </c>
      <c r="BP422">
        <v>1.7700799999999999E-2</v>
      </c>
      <c r="BQ422">
        <v>2.8281000000000001E-3</v>
      </c>
      <c r="BR422">
        <v>1.9064399999999999E-2</v>
      </c>
      <c r="BS422">
        <v>1.02296E-2</v>
      </c>
      <c r="BT422">
        <v>3.1799099999999997E-2</v>
      </c>
      <c r="BU422">
        <v>8.6124500000000007E-3</v>
      </c>
      <c r="BV422">
        <v>9.4597099999999996E-3</v>
      </c>
      <c r="BW422">
        <v>3.0248200000000001E-3</v>
      </c>
      <c r="BX422">
        <v>2.0652800000000001E-3</v>
      </c>
      <c r="BY422">
        <v>1.8264100000000001E-3</v>
      </c>
      <c r="BZ422">
        <v>2.5752799999999999E-2</v>
      </c>
      <c r="CA422">
        <v>2.3838399999999999E-3</v>
      </c>
      <c r="CB422">
        <v>4.5828700000000002E-3</v>
      </c>
      <c r="CC422">
        <v>1.7187399999999999E-2</v>
      </c>
      <c r="CD422">
        <v>3.5966800000000001E-3</v>
      </c>
      <c r="CE422">
        <v>1.5970399999999999E-2</v>
      </c>
      <c r="CF422">
        <v>1.0053400000000001E-2</v>
      </c>
      <c r="CG422">
        <v>1.0932900000000001E-2</v>
      </c>
      <c r="CH422">
        <v>5.8509699999999998E-2</v>
      </c>
      <c r="CI422">
        <v>2.9059999999999999E-2</v>
      </c>
      <c r="CJ422">
        <v>1.9416300000000001E-2</v>
      </c>
      <c r="CK422">
        <v>2.5785599999999999E-2</v>
      </c>
      <c r="CL422">
        <v>1.49193E-2</v>
      </c>
    </row>
    <row r="423" spans="2:90" x14ac:dyDescent="0.2">
      <c r="B423">
        <v>22.5</v>
      </c>
      <c r="C423">
        <v>0</v>
      </c>
      <c r="D423">
        <v>0</v>
      </c>
      <c r="E423">
        <v>9.4300000000000002E-5</v>
      </c>
      <c r="F423">
        <v>0</v>
      </c>
      <c r="G423">
        <v>7.8700000000000002E-5</v>
      </c>
      <c r="H423">
        <v>2.0445799999999998E-3</v>
      </c>
      <c r="I423">
        <v>7.2599999999999999E-6</v>
      </c>
      <c r="J423">
        <v>3.8466999999999999E-4</v>
      </c>
      <c r="K423">
        <v>2.9174499999999999E-4</v>
      </c>
      <c r="L423">
        <v>1.91E-5</v>
      </c>
      <c r="M423">
        <v>0</v>
      </c>
      <c r="N423">
        <v>0</v>
      </c>
      <c r="O423">
        <v>1.0900000000000001E-5</v>
      </c>
      <c r="P423">
        <v>3.1300000000000002E-5</v>
      </c>
      <c r="Q423">
        <v>3.2199999999999997E-5</v>
      </c>
      <c r="R423">
        <v>9.5000000000000005E-6</v>
      </c>
      <c r="S423">
        <v>4.3099999999999997E-5</v>
      </c>
      <c r="T423">
        <v>7.0299999999999996E-6</v>
      </c>
      <c r="U423">
        <v>6.1131200000000003E-4</v>
      </c>
      <c r="V423">
        <v>9.4599999999999992E-6</v>
      </c>
      <c r="W423">
        <v>3.3800000000000002E-5</v>
      </c>
      <c r="X423">
        <v>0</v>
      </c>
      <c r="Y423">
        <v>7.6899999999999992E-6</v>
      </c>
      <c r="Z423">
        <v>1.1716400000000001E-4</v>
      </c>
      <c r="AA423">
        <v>4.7999999999999998E-6</v>
      </c>
      <c r="AB423">
        <v>2.6800000000000001E-5</v>
      </c>
      <c r="AC423">
        <v>1.2960399999999999E-4</v>
      </c>
      <c r="AD423">
        <v>2.1100000000000001E-5</v>
      </c>
      <c r="AE423">
        <v>1.34108E-4</v>
      </c>
      <c r="AF423">
        <v>3.4100000000000002E-5</v>
      </c>
      <c r="AG423">
        <v>1.73E-6</v>
      </c>
      <c r="AH423">
        <v>3.01E-5</v>
      </c>
      <c r="AI423">
        <v>3.5899999999999999E-6</v>
      </c>
      <c r="AJ423">
        <v>2.2099999999999998E-5</v>
      </c>
      <c r="AK423">
        <v>1.6700000000000001E-6</v>
      </c>
      <c r="AL423">
        <v>0</v>
      </c>
      <c r="AM423">
        <v>7.5799999999999999E-5</v>
      </c>
      <c r="AN423">
        <v>0</v>
      </c>
      <c r="AO423">
        <v>5.3300000000000001E-5</v>
      </c>
      <c r="AP423">
        <v>0</v>
      </c>
      <c r="AQ423">
        <v>1.2300000000000001E-5</v>
      </c>
      <c r="AR423">
        <v>8.9199999999999993E-6</v>
      </c>
      <c r="AS423">
        <v>8.8700000000000001E-5</v>
      </c>
      <c r="AT423">
        <v>2.8700000000000001E-6</v>
      </c>
      <c r="AU423">
        <v>2.01573E-4</v>
      </c>
      <c r="AV423">
        <v>1.1349399999999999E-4</v>
      </c>
      <c r="AW423">
        <v>8.3144600000000001E-4</v>
      </c>
      <c r="AX423">
        <v>2.1719E-3</v>
      </c>
      <c r="AY423">
        <v>1.0234699999999999E-2</v>
      </c>
      <c r="AZ423">
        <v>3.2945700000000001E-2</v>
      </c>
      <c r="BA423">
        <v>4.6549900000000003E-3</v>
      </c>
      <c r="BB423">
        <v>5.6844499999999997E-3</v>
      </c>
      <c r="BC423">
        <v>4.73245E-3</v>
      </c>
      <c r="BD423">
        <v>2.9434800000000001E-3</v>
      </c>
      <c r="BE423">
        <v>7.3109899999999998E-3</v>
      </c>
      <c r="BF423">
        <v>9.9589699999999993E-3</v>
      </c>
      <c r="BG423">
        <v>1.1672699999999999E-2</v>
      </c>
      <c r="BH423">
        <v>1.2854000000000001E-2</v>
      </c>
      <c r="BI423">
        <v>9.7428600000000008E-3</v>
      </c>
      <c r="BJ423">
        <v>2.04389E-3</v>
      </c>
      <c r="BK423">
        <v>2.1591900000000001E-3</v>
      </c>
      <c r="BL423">
        <v>1.13638E-2</v>
      </c>
      <c r="BM423">
        <v>2.5350199999999998E-3</v>
      </c>
      <c r="BN423">
        <v>4.7826700000000002E-3</v>
      </c>
      <c r="BO423">
        <v>9.6783700000000004E-4</v>
      </c>
      <c r="BP423">
        <v>1.1093199999999999E-2</v>
      </c>
      <c r="BQ423">
        <v>1.4366299999999999E-3</v>
      </c>
      <c r="BR423">
        <v>1.5924399999999998E-2</v>
      </c>
      <c r="BS423">
        <v>6.0983000000000001E-3</v>
      </c>
      <c r="BT423">
        <v>3.1754900000000003E-2</v>
      </c>
      <c r="BU423">
        <v>5.30541E-3</v>
      </c>
      <c r="BV423">
        <v>9.5229700000000004E-3</v>
      </c>
      <c r="BW423">
        <v>5.5125E-3</v>
      </c>
      <c r="BX423">
        <v>1.6538099999999999E-3</v>
      </c>
      <c r="BY423">
        <v>4.1552500000000001E-3</v>
      </c>
      <c r="BZ423">
        <v>1.3789600000000001E-2</v>
      </c>
      <c r="CA423">
        <v>7.8972600000000003E-4</v>
      </c>
      <c r="CB423">
        <v>1.42921E-2</v>
      </c>
      <c r="CC423">
        <v>1.21604E-2</v>
      </c>
      <c r="CD423">
        <v>4.0120599999999996E-3</v>
      </c>
      <c r="CE423">
        <v>1.5063200000000001E-2</v>
      </c>
      <c r="CF423">
        <v>1.19238E-2</v>
      </c>
      <c r="CG423">
        <v>1.17336E-2</v>
      </c>
      <c r="CH423">
        <v>5.5621999999999998E-2</v>
      </c>
      <c r="CI423">
        <v>2.9759399999999998E-2</v>
      </c>
      <c r="CJ423">
        <v>1.39813E-2</v>
      </c>
      <c r="CK423">
        <v>2.5747900000000001E-2</v>
      </c>
      <c r="CL423">
        <v>1.5847900000000002E-2</v>
      </c>
    </row>
    <row r="424" spans="2:90" x14ac:dyDescent="0.2">
      <c r="B424">
        <v>23.5</v>
      </c>
      <c r="C424">
        <v>0</v>
      </c>
      <c r="D424">
        <v>0</v>
      </c>
      <c r="E424">
        <v>9.9099999999999996E-5</v>
      </c>
      <c r="F424">
        <v>2.3744E-4</v>
      </c>
      <c r="G424">
        <v>2.7032299999999999E-4</v>
      </c>
      <c r="H424">
        <v>2.6062899999999998E-3</v>
      </c>
      <c r="I424">
        <v>0</v>
      </c>
      <c r="J424">
        <v>6.2399999999999999E-5</v>
      </c>
      <c r="K424">
        <v>3.2015800000000002E-4</v>
      </c>
      <c r="L424">
        <v>1.4830600000000001E-4</v>
      </c>
      <c r="M424">
        <v>0</v>
      </c>
      <c r="N424">
        <v>0</v>
      </c>
      <c r="O424">
        <v>1.4399999999999999E-5</v>
      </c>
      <c r="P424">
        <v>9.4500000000000007E-5</v>
      </c>
      <c r="Q424">
        <v>5.6700000000000003E-5</v>
      </c>
      <c r="R424">
        <v>2.3E-5</v>
      </c>
      <c r="S424">
        <v>5.3399999999999997E-5</v>
      </c>
      <c r="T424">
        <v>1.36E-5</v>
      </c>
      <c r="U424">
        <v>3.8000000000000002E-5</v>
      </c>
      <c r="V424">
        <v>7.4100000000000002E-6</v>
      </c>
      <c r="W424">
        <v>8.0400000000000003E-5</v>
      </c>
      <c r="X424">
        <v>5.9900000000000002E-6</v>
      </c>
      <c r="Y424">
        <v>4.99E-5</v>
      </c>
      <c r="Z424">
        <v>1.7349800000000001E-4</v>
      </c>
      <c r="AA424">
        <v>1.43E-5</v>
      </c>
      <c r="AB424">
        <v>6.0999999999999999E-5</v>
      </c>
      <c r="AC424">
        <v>1.2977900000000001E-4</v>
      </c>
      <c r="AD424">
        <v>5.2399999999999998E-6</v>
      </c>
      <c r="AE424">
        <v>1.4391E-4</v>
      </c>
      <c r="AF424">
        <v>1.0219599999999999E-3</v>
      </c>
      <c r="AG424">
        <v>5.7799999999999997E-6</v>
      </c>
      <c r="AH424">
        <v>3.8999999999999999E-5</v>
      </c>
      <c r="AI424">
        <v>5.3900000000000002E-5</v>
      </c>
      <c r="AJ424">
        <v>0</v>
      </c>
      <c r="AK424">
        <v>7.9342599999999996E-4</v>
      </c>
      <c r="AL424">
        <v>1.13E-6</v>
      </c>
      <c r="AM424">
        <v>1.4668999999999999E-4</v>
      </c>
      <c r="AN424">
        <v>5.1100000000000002E-5</v>
      </c>
      <c r="AO424">
        <v>1.2945E-4</v>
      </c>
      <c r="AP424">
        <v>6.9400000000000006E-5</v>
      </c>
      <c r="AQ424">
        <v>6.0599999999999996E-6</v>
      </c>
      <c r="AR424">
        <v>9.6165499999999995E-4</v>
      </c>
      <c r="AS424">
        <v>0</v>
      </c>
      <c r="AT424">
        <v>5.8E-5</v>
      </c>
      <c r="AU424">
        <v>9.9099999999999996E-5</v>
      </c>
      <c r="AV424">
        <v>0</v>
      </c>
      <c r="AW424">
        <v>1.9343E-4</v>
      </c>
      <c r="AX424">
        <v>6.6287699999999998E-4</v>
      </c>
      <c r="AY424">
        <v>1.8969799999999998E-2</v>
      </c>
      <c r="AZ424">
        <v>1.90606E-2</v>
      </c>
      <c r="BA424">
        <v>7.4257799999999999E-3</v>
      </c>
      <c r="BB424">
        <v>4.3970299999999997E-3</v>
      </c>
      <c r="BC424">
        <v>6.90567E-3</v>
      </c>
      <c r="BD424">
        <v>3.4445400000000001E-4</v>
      </c>
      <c r="BE424">
        <v>7.5471999999999996E-3</v>
      </c>
      <c r="BF424">
        <v>1.09395E-2</v>
      </c>
      <c r="BG424">
        <v>1.23786E-2</v>
      </c>
      <c r="BH424">
        <v>9.3248800000000007E-3</v>
      </c>
      <c r="BI424">
        <v>8.9130300000000006E-3</v>
      </c>
      <c r="BJ424">
        <v>4.0074999999999998E-3</v>
      </c>
      <c r="BK424">
        <v>2.3926799999999999E-3</v>
      </c>
      <c r="BL424">
        <v>6.25239E-3</v>
      </c>
      <c r="BM424">
        <v>6.0180299999999997E-3</v>
      </c>
      <c r="BN424">
        <v>9.2579399999999992E-3</v>
      </c>
      <c r="BO424">
        <v>1.9519800000000001E-3</v>
      </c>
      <c r="BP424">
        <v>7.0002700000000003E-3</v>
      </c>
      <c r="BQ424">
        <v>3.4570600000000001E-3</v>
      </c>
      <c r="BR424">
        <v>1.7459499999999999E-2</v>
      </c>
      <c r="BS424">
        <v>5.1854099999999997E-3</v>
      </c>
      <c r="BT424">
        <v>3.40559E-2</v>
      </c>
      <c r="BU424">
        <v>4.41684E-3</v>
      </c>
      <c r="BV424">
        <v>3.2720599999999998E-3</v>
      </c>
      <c r="BW424">
        <v>1.2494999999999999E-2</v>
      </c>
      <c r="BX424">
        <v>2.0412400000000002E-3</v>
      </c>
      <c r="BY424">
        <v>8.0007099999999994E-3</v>
      </c>
      <c r="BZ424">
        <v>5.28145E-3</v>
      </c>
      <c r="CA424">
        <v>2.15591E-3</v>
      </c>
      <c r="CB424">
        <v>2.12637E-2</v>
      </c>
      <c r="CC424">
        <v>6.1698400000000002E-3</v>
      </c>
      <c r="CD424">
        <v>3.9150799999999996E-3</v>
      </c>
      <c r="CE424">
        <v>1.32298E-2</v>
      </c>
      <c r="CF424">
        <v>1.37947E-2</v>
      </c>
      <c r="CG424">
        <v>1.49128E-2</v>
      </c>
      <c r="CH424">
        <v>5.9981699999999999E-2</v>
      </c>
      <c r="CI424">
        <v>2.2815999999999999E-2</v>
      </c>
      <c r="CJ424">
        <v>7.6656299999999997E-3</v>
      </c>
      <c r="CK424">
        <v>2.0231499999999999E-2</v>
      </c>
      <c r="CL424">
        <v>7.9206699999999994E-3</v>
      </c>
    </row>
    <row r="425" spans="2:90" x14ac:dyDescent="0.2">
      <c r="B425">
        <v>24.5</v>
      </c>
      <c r="C425">
        <v>0</v>
      </c>
      <c r="D425">
        <v>0</v>
      </c>
      <c r="E425">
        <v>1.1893899999999999E-4</v>
      </c>
      <c r="F425">
        <v>5.0300000000000001E-6</v>
      </c>
      <c r="G425">
        <v>2.82143E-4</v>
      </c>
      <c r="H425">
        <v>4.5331099999999999E-3</v>
      </c>
      <c r="I425">
        <v>0</v>
      </c>
      <c r="J425">
        <v>2.14255E-3</v>
      </c>
      <c r="K425">
        <v>3.07662E-4</v>
      </c>
      <c r="L425">
        <v>2.12263E-4</v>
      </c>
      <c r="M425">
        <v>0</v>
      </c>
      <c r="N425">
        <v>4.5200000000000001E-5</v>
      </c>
      <c r="O425">
        <v>6.6500000000000004E-5</v>
      </c>
      <c r="P425">
        <v>9.6700000000000006E-5</v>
      </c>
      <c r="Q425">
        <v>6.7399999999999998E-5</v>
      </c>
      <c r="R425">
        <v>1.0004E-4</v>
      </c>
      <c r="S425">
        <v>1.4806300000000001E-4</v>
      </c>
      <c r="T425">
        <v>3.1699999999999998E-5</v>
      </c>
      <c r="U425">
        <v>9.1299999999999997E-5</v>
      </c>
      <c r="V425">
        <v>8.7000000000000001E-5</v>
      </c>
      <c r="W425">
        <v>3.29E-5</v>
      </c>
      <c r="X425">
        <v>1.9000000000000001E-5</v>
      </c>
      <c r="Y425">
        <v>4.4302000000000002E-4</v>
      </c>
      <c r="Z425">
        <v>7.2100000000000004E-5</v>
      </c>
      <c r="AA425">
        <v>1.9400000000000001E-6</v>
      </c>
      <c r="AB425">
        <v>1.7900000000000001E-5</v>
      </c>
      <c r="AC425">
        <v>5.5000000000000002E-5</v>
      </c>
      <c r="AD425">
        <v>3.4199999999999998E-5</v>
      </c>
      <c r="AE425">
        <v>1.2294199999999999E-3</v>
      </c>
      <c r="AF425">
        <v>4.9264899999999995E-4</v>
      </c>
      <c r="AG425">
        <v>2.0744900000000001E-4</v>
      </c>
      <c r="AH425">
        <v>1.64533E-3</v>
      </c>
      <c r="AI425">
        <v>1.8617500000000001E-4</v>
      </c>
      <c r="AJ425">
        <v>5.49E-6</v>
      </c>
      <c r="AK425">
        <v>6.8488299999999995E-4</v>
      </c>
      <c r="AL425">
        <v>2.96E-6</v>
      </c>
      <c r="AM425">
        <v>1.31E-5</v>
      </c>
      <c r="AN425">
        <v>5.7299999999999996E-7</v>
      </c>
      <c r="AO425">
        <v>3.5200000000000002E-5</v>
      </c>
      <c r="AP425">
        <v>0</v>
      </c>
      <c r="AQ425">
        <v>0</v>
      </c>
      <c r="AR425">
        <v>7.2454300000000002E-4</v>
      </c>
      <c r="AS425">
        <v>0</v>
      </c>
      <c r="AT425">
        <v>6.5300000000000002E-5</v>
      </c>
      <c r="AU425">
        <v>0</v>
      </c>
      <c r="AV425">
        <v>1.07446E-4</v>
      </c>
      <c r="AW425">
        <v>7.5966800000000002E-4</v>
      </c>
      <c r="AX425">
        <v>3.8990699999999999E-4</v>
      </c>
      <c r="AY425">
        <v>2.5664099999999999E-2</v>
      </c>
      <c r="AZ425">
        <v>1.2592900000000001E-2</v>
      </c>
      <c r="BA425">
        <v>1.42092E-2</v>
      </c>
      <c r="BB425">
        <v>5.9358500000000003E-3</v>
      </c>
      <c r="BC425">
        <v>7.7268299999999996E-3</v>
      </c>
      <c r="BD425">
        <v>1.50523E-3</v>
      </c>
      <c r="BE425">
        <v>5.8950499999999998E-3</v>
      </c>
      <c r="BF425">
        <v>1.3802200000000001E-2</v>
      </c>
      <c r="BG425">
        <v>1.4127199999999999E-2</v>
      </c>
      <c r="BH425">
        <v>5.89004E-3</v>
      </c>
      <c r="BI425">
        <v>1.2915899999999999E-2</v>
      </c>
      <c r="BJ425">
        <v>5.07903E-3</v>
      </c>
      <c r="BK425">
        <v>2.52542E-3</v>
      </c>
      <c r="BL425">
        <v>4.4549500000000001E-3</v>
      </c>
      <c r="BM425">
        <v>7.5395799999999997E-3</v>
      </c>
      <c r="BN425">
        <v>9.5204799999999996E-3</v>
      </c>
      <c r="BO425">
        <v>3.0820000000000001E-3</v>
      </c>
      <c r="BP425">
        <v>5.7957900000000003E-3</v>
      </c>
      <c r="BQ425">
        <v>5.2209300000000004E-3</v>
      </c>
      <c r="BR425">
        <v>1.23228E-2</v>
      </c>
      <c r="BS425">
        <v>6.7574799999999997E-3</v>
      </c>
      <c r="BT425">
        <v>3.3036200000000002E-2</v>
      </c>
      <c r="BU425">
        <v>4.74516E-3</v>
      </c>
      <c r="BV425">
        <v>3.565E-3</v>
      </c>
      <c r="BW425">
        <v>2.3481999999999999E-2</v>
      </c>
      <c r="BX425">
        <v>4.9100000000000003E-3</v>
      </c>
      <c r="BY425">
        <v>1.66894E-2</v>
      </c>
      <c r="BZ425">
        <v>1.7578699999999999E-3</v>
      </c>
      <c r="CA425">
        <v>2.8407599999999999E-3</v>
      </c>
      <c r="CB425">
        <v>3.4861700000000002E-2</v>
      </c>
      <c r="CC425">
        <v>5.6906500000000002E-3</v>
      </c>
      <c r="CD425">
        <v>4.0452600000000002E-3</v>
      </c>
      <c r="CE425">
        <v>8.9224400000000002E-3</v>
      </c>
      <c r="CF425">
        <v>1.37752E-2</v>
      </c>
      <c r="CG425">
        <v>1.1620200000000001E-2</v>
      </c>
      <c r="CH425">
        <v>5.4536000000000001E-2</v>
      </c>
      <c r="CI425">
        <v>2.0031E-2</v>
      </c>
      <c r="CJ425">
        <v>4.5175600000000003E-3</v>
      </c>
      <c r="CK425">
        <v>1.69704E-2</v>
      </c>
      <c r="CL425">
        <v>4.9108199999999998E-3</v>
      </c>
    </row>
    <row r="426" spans="2:90" x14ac:dyDescent="0.2">
      <c r="B426">
        <v>25.5</v>
      </c>
      <c r="C426">
        <v>0</v>
      </c>
      <c r="D426">
        <v>0</v>
      </c>
      <c r="E426">
        <v>2.2760200000000001E-4</v>
      </c>
      <c r="F426">
        <v>0</v>
      </c>
      <c r="G426">
        <v>4.8589400000000001E-4</v>
      </c>
      <c r="H426">
        <v>6.00513E-3</v>
      </c>
      <c r="I426">
        <v>0</v>
      </c>
      <c r="J426">
        <v>1.2231099999999999E-3</v>
      </c>
      <c r="K426">
        <v>5.7636999999999999E-4</v>
      </c>
      <c r="L426">
        <v>3.9499999999999998E-5</v>
      </c>
      <c r="M426">
        <v>0</v>
      </c>
      <c r="N426">
        <v>3.6727800000000002E-4</v>
      </c>
      <c r="O426">
        <v>1.4629700000000001E-4</v>
      </c>
      <c r="P426">
        <v>1.5029099999999999E-4</v>
      </c>
      <c r="Q426">
        <v>1.2199400000000001E-3</v>
      </c>
      <c r="R426">
        <v>2.1963000000000001E-4</v>
      </c>
      <c r="S426">
        <v>1.8452799999999999E-4</v>
      </c>
      <c r="T426">
        <v>9.1399999999999999E-5</v>
      </c>
      <c r="U426">
        <v>1.08312E-4</v>
      </c>
      <c r="V426">
        <v>1.60975E-4</v>
      </c>
      <c r="W426">
        <v>2.9799999999999999E-5</v>
      </c>
      <c r="X426">
        <v>1.1901899999999999E-4</v>
      </c>
      <c r="Y426">
        <v>3.9100000000000002E-5</v>
      </c>
      <c r="Z426">
        <v>2.4809799999999998E-4</v>
      </c>
      <c r="AA426">
        <v>2.5999999999999998E-5</v>
      </c>
      <c r="AB426">
        <v>2.8667599999999998E-4</v>
      </c>
      <c r="AC426">
        <v>6.3700000000000003E-5</v>
      </c>
      <c r="AD426">
        <v>0</v>
      </c>
      <c r="AE426">
        <v>5.1321600000000004E-4</v>
      </c>
      <c r="AF426">
        <v>3.8094399999999999E-3</v>
      </c>
      <c r="AG426">
        <v>7.2100000000000004E-5</v>
      </c>
      <c r="AH426">
        <v>4.3650299999999998E-3</v>
      </c>
      <c r="AI426">
        <v>4.8379899999999998E-4</v>
      </c>
      <c r="AJ426">
        <v>1.22581E-4</v>
      </c>
      <c r="AK426">
        <v>2.7924500000000001E-4</v>
      </c>
      <c r="AL426">
        <v>7.7299999999999995E-5</v>
      </c>
      <c r="AM426">
        <v>4.99E-5</v>
      </c>
      <c r="AN426">
        <v>0</v>
      </c>
      <c r="AO426">
        <v>0</v>
      </c>
      <c r="AP426">
        <v>0</v>
      </c>
      <c r="AQ426">
        <v>0</v>
      </c>
      <c r="AR426">
        <v>0</v>
      </c>
      <c r="AS426">
        <v>0</v>
      </c>
      <c r="AT426">
        <v>2.2399999999999999E-5</v>
      </c>
      <c r="AU426">
        <v>0</v>
      </c>
      <c r="AV426">
        <v>4.4199999999999997E-5</v>
      </c>
      <c r="AW426">
        <v>1.6944499999999999E-3</v>
      </c>
      <c r="AX426">
        <v>1.3707599999999999E-3</v>
      </c>
      <c r="AY426">
        <v>3.12395E-2</v>
      </c>
      <c r="AZ426">
        <v>7.7243600000000004E-3</v>
      </c>
      <c r="BA426">
        <v>2.3452899999999999E-2</v>
      </c>
      <c r="BB426">
        <v>7.15104E-3</v>
      </c>
      <c r="BC426">
        <v>8.7907100000000002E-3</v>
      </c>
      <c r="BD426">
        <v>1.53217E-3</v>
      </c>
      <c r="BE426">
        <v>8.4329699999999997E-3</v>
      </c>
      <c r="BF426">
        <v>1.37115E-2</v>
      </c>
      <c r="BG426">
        <v>1.9147899999999999E-2</v>
      </c>
      <c r="BH426">
        <v>5.3256299999999996E-3</v>
      </c>
      <c r="BI426">
        <v>1.1587E-2</v>
      </c>
      <c r="BJ426">
        <v>9.6659999999999992E-3</v>
      </c>
      <c r="BK426">
        <v>6.2057700000000002E-3</v>
      </c>
      <c r="BL426">
        <v>4.4136000000000002E-3</v>
      </c>
      <c r="BM426">
        <v>1.9164299999999999E-2</v>
      </c>
      <c r="BN426">
        <v>1.6579799999999999E-2</v>
      </c>
      <c r="BO426">
        <v>6.1963000000000001E-3</v>
      </c>
      <c r="BP426">
        <v>8.2034399999999993E-3</v>
      </c>
      <c r="BQ426">
        <v>8.7303599999999995E-3</v>
      </c>
      <c r="BR426">
        <v>9.5914999999999993E-3</v>
      </c>
      <c r="BS426">
        <v>8.5066299999999994E-3</v>
      </c>
      <c r="BT426">
        <v>2.5267899999999999E-2</v>
      </c>
      <c r="BU426">
        <v>4.5111500000000002E-3</v>
      </c>
      <c r="BV426">
        <v>5.1814199999999999E-3</v>
      </c>
      <c r="BW426">
        <v>3.6625199999999997E-2</v>
      </c>
      <c r="BX426">
        <v>5.6282800000000003E-3</v>
      </c>
      <c r="BY426">
        <v>2.54121E-2</v>
      </c>
      <c r="BZ426">
        <v>1.79328E-3</v>
      </c>
      <c r="CA426">
        <v>4.5143800000000001E-3</v>
      </c>
      <c r="CB426">
        <v>4.1907699999999999E-2</v>
      </c>
      <c r="CC426">
        <v>5.0269900000000003E-3</v>
      </c>
      <c r="CD426">
        <v>4.2163299999999999E-3</v>
      </c>
      <c r="CE426">
        <v>6.3076599999999997E-3</v>
      </c>
      <c r="CF426">
        <v>1.30101E-2</v>
      </c>
      <c r="CG426">
        <v>9.4769199999999998E-3</v>
      </c>
      <c r="CH426">
        <v>4.5291999999999999E-2</v>
      </c>
      <c r="CI426">
        <v>1.5643199999999999E-2</v>
      </c>
      <c r="CJ426">
        <v>1.2781699999999999E-3</v>
      </c>
      <c r="CK426">
        <v>1.18294E-2</v>
      </c>
      <c r="CL426">
        <v>4.2474100000000001E-3</v>
      </c>
    </row>
    <row r="427" spans="2:90" x14ac:dyDescent="0.2">
      <c r="B427">
        <v>26.5</v>
      </c>
      <c r="C427">
        <v>1.64069E-4</v>
      </c>
      <c r="D427">
        <v>1.2500000000000001E-5</v>
      </c>
      <c r="E427">
        <v>3.9057000000000002E-4</v>
      </c>
      <c r="F427">
        <v>0</v>
      </c>
      <c r="G427">
        <v>1.4804600000000001E-4</v>
      </c>
      <c r="H427">
        <v>7.21238E-3</v>
      </c>
      <c r="I427">
        <v>0</v>
      </c>
      <c r="J427">
        <v>3.6039100000000001E-3</v>
      </c>
      <c r="K427">
        <v>6.2295500000000001E-4</v>
      </c>
      <c r="L427">
        <v>9.31E-5</v>
      </c>
      <c r="M427">
        <v>4.6699999999999997E-5</v>
      </c>
      <c r="N427">
        <v>5.7531599999999998E-4</v>
      </c>
      <c r="O427">
        <v>2.0966E-4</v>
      </c>
      <c r="P427">
        <v>1.89932E-4</v>
      </c>
      <c r="Q427">
        <v>1.95863E-4</v>
      </c>
      <c r="R427">
        <v>3.3454200000000001E-4</v>
      </c>
      <c r="S427">
        <v>2.0016200000000001E-4</v>
      </c>
      <c r="T427">
        <v>1.19961E-4</v>
      </c>
      <c r="U427">
        <v>9.30134E-4</v>
      </c>
      <c r="V427">
        <v>2.9950300000000001E-4</v>
      </c>
      <c r="W427">
        <v>2.4812800000000002E-4</v>
      </c>
      <c r="X427">
        <v>1.5242700000000001E-4</v>
      </c>
      <c r="Y427">
        <v>7.5988800000000001E-4</v>
      </c>
      <c r="Z427">
        <v>2.3430599999999999E-4</v>
      </c>
      <c r="AA427">
        <v>3.3000000000000003E-5</v>
      </c>
      <c r="AB427">
        <v>2.7336100000000001E-4</v>
      </c>
      <c r="AC427">
        <v>1.9120699999999999E-4</v>
      </c>
      <c r="AD427">
        <v>0</v>
      </c>
      <c r="AE427">
        <v>1.8054599999999999E-4</v>
      </c>
      <c r="AF427">
        <v>2.1998299999999998E-3</v>
      </c>
      <c r="AG427">
        <v>1.45811E-4</v>
      </c>
      <c r="AH427">
        <v>6.2377999999999999E-3</v>
      </c>
      <c r="AI427">
        <v>9.2699999999999993E-6</v>
      </c>
      <c r="AJ427">
        <v>5.9745100000000004E-4</v>
      </c>
      <c r="AK427">
        <v>1.42544E-3</v>
      </c>
      <c r="AL427">
        <v>2.18567E-4</v>
      </c>
      <c r="AM427">
        <v>1.7099999999999999E-5</v>
      </c>
      <c r="AN427">
        <v>0</v>
      </c>
      <c r="AO427">
        <v>0</v>
      </c>
      <c r="AP427">
        <v>0</v>
      </c>
      <c r="AQ427">
        <v>6.0599999999999996E-6</v>
      </c>
      <c r="AR427">
        <v>3.03286E-4</v>
      </c>
      <c r="AS427">
        <v>0</v>
      </c>
      <c r="AT427">
        <v>5.3000000000000001E-5</v>
      </c>
      <c r="AU427">
        <v>0</v>
      </c>
      <c r="AV427">
        <v>9.6899999999999997E-5</v>
      </c>
      <c r="AW427">
        <v>2.3449600000000001E-3</v>
      </c>
      <c r="AX427">
        <v>2.57764E-3</v>
      </c>
      <c r="AY427">
        <v>3.7969700000000002E-2</v>
      </c>
      <c r="AZ427">
        <v>5.3871300000000004E-3</v>
      </c>
      <c r="BA427">
        <v>2.9271700000000001E-2</v>
      </c>
      <c r="BB427">
        <v>1.10746E-2</v>
      </c>
      <c r="BC427">
        <v>8.6310399999999995E-3</v>
      </c>
      <c r="BD427">
        <v>3.4738600000000001E-3</v>
      </c>
      <c r="BE427">
        <v>1.3504800000000001E-2</v>
      </c>
      <c r="BF427">
        <v>2.3240899999999998E-2</v>
      </c>
      <c r="BG427">
        <v>2.7649E-2</v>
      </c>
      <c r="BH427">
        <v>6.37231E-3</v>
      </c>
      <c r="BI427">
        <v>1.53899E-2</v>
      </c>
      <c r="BJ427">
        <v>1.1768600000000001E-2</v>
      </c>
      <c r="BK427">
        <v>6.8872500000000001E-3</v>
      </c>
      <c r="BL427">
        <v>3.74925E-3</v>
      </c>
      <c r="BM427">
        <v>2.87811E-2</v>
      </c>
      <c r="BN427">
        <v>1.8745000000000001E-2</v>
      </c>
      <c r="BO427">
        <v>9.4505000000000006E-3</v>
      </c>
      <c r="BP427">
        <v>1.1508600000000001E-2</v>
      </c>
      <c r="BQ427">
        <v>1.31606E-2</v>
      </c>
      <c r="BR427">
        <v>5.37435E-3</v>
      </c>
      <c r="BS427">
        <v>9.6883200000000003E-3</v>
      </c>
      <c r="BT427">
        <v>1.8303199999999999E-2</v>
      </c>
      <c r="BU427">
        <v>5.2138799999999997E-3</v>
      </c>
      <c r="BV427">
        <v>6.8826599999999996E-3</v>
      </c>
      <c r="BW427">
        <v>4.1977599999999997E-2</v>
      </c>
      <c r="BX427">
        <v>1.0369400000000001E-2</v>
      </c>
      <c r="BY427">
        <v>3.1810199999999997E-2</v>
      </c>
      <c r="BZ427">
        <v>2.68082E-3</v>
      </c>
      <c r="CA427">
        <v>6.4639500000000004E-3</v>
      </c>
      <c r="CB427">
        <v>5.2399300000000003E-2</v>
      </c>
      <c r="CC427">
        <v>3.9605600000000001E-3</v>
      </c>
      <c r="CD427">
        <v>6.3036699999999999E-3</v>
      </c>
      <c r="CE427">
        <v>3.3226000000000002E-3</v>
      </c>
      <c r="CF427">
        <v>1.1326599999999999E-2</v>
      </c>
      <c r="CG427">
        <v>4.7842700000000002E-3</v>
      </c>
      <c r="CH427">
        <v>3.6030100000000002E-2</v>
      </c>
      <c r="CI427">
        <v>8.9214700000000008E-3</v>
      </c>
      <c r="CJ427">
        <v>8.4852099999999998E-4</v>
      </c>
      <c r="CK427">
        <v>9.1838100000000006E-3</v>
      </c>
      <c r="CL427">
        <v>6.3876599999999999E-3</v>
      </c>
    </row>
    <row r="428" spans="2:90" x14ac:dyDescent="0.2">
      <c r="B428">
        <v>27.5</v>
      </c>
      <c r="C428">
        <v>0</v>
      </c>
      <c r="D428">
        <v>0</v>
      </c>
      <c r="E428">
        <v>5.60182E-4</v>
      </c>
      <c r="F428">
        <v>0</v>
      </c>
      <c r="G428">
        <v>7.1208600000000001E-4</v>
      </c>
      <c r="H428">
        <v>8.7114900000000006E-3</v>
      </c>
      <c r="I428">
        <v>0</v>
      </c>
      <c r="J428">
        <v>3.3786699999999999E-3</v>
      </c>
      <c r="K428">
        <v>1.31562E-3</v>
      </c>
      <c r="L428">
        <v>3.4227599999999997E-4</v>
      </c>
      <c r="M428">
        <v>1.0580499999999999E-4</v>
      </c>
      <c r="N428">
        <v>1.3360100000000001E-3</v>
      </c>
      <c r="O428">
        <v>4.3682900000000002E-4</v>
      </c>
      <c r="P428">
        <v>2.4877200000000002E-4</v>
      </c>
      <c r="Q428">
        <v>2.42088E-4</v>
      </c>
      <c r="R428">
        <v>8.8932699999999998E-4</v>
      </c>
      <c r="S428">
        <v>4.2821800000000001E-4</v>
      </c>
      <c r="T428">
        <v>2.7585000000000001E-4</v>
      </c>
      <c r="U428">
        <v>3.4539500000000002E-4</v>
      </c>
      <c r="V428">
        <v>5.43105E-4</v>
      </c>
      <c r="W428">
        <v>3.6028900000000002E-4</v>
      </c>
      <c r="X428">
        <v>3.7856700000000001E-4</v>
      </c>
      <c r="Y428">
        <v>9.3399999999999993E-5</v>
      </c>
      <c r="Z428">
        <v>4.8774700000000002E-4</v>
      </c>
      <c r="AA428">
        <v>4.3699999999999998E-5</v>
      </c>
      <c r="AB428">
        <v>3.9112899999999999E-4</v>
      </c>
      <c r="AC428">
        <v>7.1199999999999996E-5</v>
      </c>
      <c r="AD428">
        <v>2.0458999999999999E-4</v>
      </c>
      <c r="AE428">
        <v>4.5273600000000002E-4</v>
      </c>
      <c r="AF428">
        <v>1.9694399999999998E-3</v>
      </c>
      <c r="AG428">
        <v>1.3823000000000001E-4</v>
      </c>
      <c r="AH428">
        <v>5.4043099999999998E-3</v>
      </c>
      <c r="AI428">
        <v>7.4999999999999993E-5</v>
      </c>
      <c r="AJ428">
        <v>6.5796699999999997E-4</v>
      </c>
      <c r="AK428">
        <v>1.3453199999999999E-3</v>
      </c>
      <c r="AL428">
        <v>4.5152099999999998E-4</v>
      </c>
      <c r="AM428">
        <v>8.1600000000000005E-5</v>
      </c>
      <c r="AN428">
        <v>7.47E-5</v>
      </c>
      <c r="AO428">
        <v>0</v>
      </c>
      <c r="AP428">
        <v>0</v>
      </c>
      <c r="AQ428">
        <v>3.19E-6</v>
      </c>
      <c r="AR428">
        <v>1.0097699999999999E-2</v>
      </c>
      <c r="AS428">
        <v>1.1600000000000001E-5</v>
      </c>
      <c r="AT428">
        <v>3.01E-5</v>
      </c>
      <c r="AU428">
        <v>1.8518199999999999E-4</v>
      </c>
      <c r="AV428">
        <v>3.3399999999999999E-5</v>
      </c>
      <c r="AW428">
        <v>3.7474000000000001E-3</v>
      </c>
      <c r="AX428">
        <v>3.4886399999999999E-3</v>
      </c>
      <c r="AY428">
        <v>4.7408499999999999E-2</v>
      </c>
      <c r="AZ428">
        <v>5.94028E-3</v>
      </c>
      <c r="BA428">
        <v>4.5427799999999997E-2</v>
      </c>
      <c r="BB428">
        <v>1.1572300000000001E-2</v>
      </c>
      <c r="BC428">
        <v>1.0972900000000001E-2</v>
      </c>
      <c r="BD428">
        <v>1.3183299999999999E-3</v>
      </c>
      <c r="BE428">
        <v>1.3591900000000001E-2</v>
      </c>
      <c r="BF428">
        <v>2.68042E-2</v>
      </c>
      <c r="BG428">
        <v>2.9994900000000001E-2</v>
      </c>
      <c r="BH428">
        <v>8.28074E-3</v>
      </c>
      <c r="BI428">
        <v>2.3371300000000001E-2</v>
      </c>
      <c r="BJ428">
        <v>1.7184000000000001E-2</v>
      </c>
      <c r="BK428">
        <v>1.38271E-2</v>
      </c>
      <c r="BL428">
        <v>7.6144699999999999E-3</v>
      </c>
      <c r="BM428">
        <v>3.9775699999999997E-2</v>
      </c>
      <c r="BN428">
        <v>1.83491E-2</v>
      </c>
      <c r="BO428">
        <v>1.3543100000000001E-2</v>
      </c>
      <c r="BP428">
        <v>1.5963700000000001E-2</v>
      </c>
      <c r="BQ428">
        <v>1.9719400000000002E-2</v>
      </c>
      <c r="BR428">
        <v>4.6257E-3</v>
      </c>
      <c r="BS428">
        <v>1.7267299999999999E-2</v>
      </c>
      <c r="BT428">
        <v>1.20827E-2</v>
      </c>
      <c r="BU428">
        <v>7.0958799999999997E-3</v>
      </c>
      <c r="BV428">
        <v>9.66704E-3</v>
      </c>
      <c r="BW428">
        <v>5.4228199999999997E-2</v>
      </c>
      <c r="BX428">
        <v>1.52192E-2</v>
      </c>
      <c r="BY428">
        <v>4.6742300000000001E-2</v>
      </c>
      <c r="BZ428">
        <v>2.3352799999999999E-3</v>
      </c>
      <c r="CA428">
        <v>1.36153E-2</v>
      </c>
      <c r="CB428">
        <v>5.7436099999999997E-2</v>
      </c>
      <c r="CC428">
        <v>5.2960899999999998E-3</v>
      </c>
      <c r="CD428">
        <v>9.2025500000000003E-3</v>
      </c>
      <c r="CE428">
        <v>2.0710300000000002E-3</v>
      </c>
      <c r="CF428">
        <v>9.0964600000000007E-3</v>
      </c>
      <c r="CG428">
        <v>4.8018499999999999E-3</v>
      </c>
      <c r="CH428">
        <v>2.2825100000000001E-2</v>
      </c>
      <c r="CI428">
        <v>6.6833099999999996E-3</v>
      </c>
      <c r="CJ428">
        <v>8.0803899999999998E-4</v>
      </c>
      <c r="CK428">
        <v>7.4618100000000001E-3</v>
      </c>
      <c r="CL428">
        <v>1.0120000000000001E-2</v>
      </c>
    </row>
    <row r="429" spans="2:90" x14ac:dyDescent="0.2">
      <c r="B429">
        <v>28.5</v>
      </c>
      <c r="C429">
        <v>0</v>
      </c>
      <c r="D429">
        <v>8.9475600000000002E-4</v>
      </c>
      <c r="E429">
        <v>4.9660000000000004E-4</v>
      </c>
      <c r="F429">
        <v>5.0300000000000001E-6</v>
      </c>
      <c r="G429">
        <v>1.00161E-3</v>
      </c>
      <c r="H429">
        <v>9.1086899999999991E-3</v>
      </c>
      <c r="I429">
        <v>4.8099999999999997E-6</v>
      </c>
      <c r="J429">
        <v>5.13277E-3</v>
      </c>
      <c r="K429">
        <v>1.3221000000000001E-3</v>
      </c>
      <c r="L429">
        <v>4.7347099999999999E-4</v>
      </c>
      <c r="M429">
        <v>7.8023100000000005E-4</v>
      </c>
      <c r="N429">
        <v>2.1361599999999998E-3</v>
      </c>
      <c r="O429">
        <v>6.9477500000000001E-4</v>
      </c>
      <c r="P429">
        <v>6.8149699999999998E-4</v>
      </c>
      <c r="Q429">
        <v>1.00409E-3</v>
      </c>
      <c r="R429">
        <v>9.6226500000000002E-4</v>
      </c>
      <c r="S429">
        <v>9.5025399999999999E-4</v>
      </c>
      <c r="T429">
        <v>4.0990800000000001E-4</v>
      </c>
      <c r="U429">
        <v>5.1665999999999995E-4</v>
      </c>
      <c r="V429">
        <v>1.036E-3</v>
      </c>
      <c r="W429">
        <v>7.53855E-4</v>
      </c>
      <c r="X429">
        <v>5.4990900000000001E-4</v>
      </c>
      <c r="Y429">
        <v>3.5917300000000001E-4</v>
      </c>
      <c r="Z429">
        <v>1.4109000000000001E-3</v>
      </c>
      <c r="AA429">
        <v>1.23452E-4</v>
      </c>
      <c r="AB429">
        <v>4.8189100000000003E-4</v>
      </c>
      <c r="AC429">
        <v>1.3061299999999999E-4</v>
      </c>
      <c r="AD429">
        <v>4.9499999999999997E-5</v>
      </c>
      <c r="AE429">
        <v>5.2185000000000003E-4</v>
      </c>
      <c r="AF429">
        <v>3.7006399999999998E-3</v>
      </c>
      <c r="AG429">
        <v>4.9588099999999999E-4</v>
      </c>
      <c r="AH429">
        <v>2.0692900000000001E-3</v>
      </c>
      <c r="AI429">
        <v>2.3891799999999999E-3</v>
      </c>
      <c r="AJ429">
        <v>9.1455200000000001E-4</v>
      </c>
      <c r="AK429">
        <v>2.1849E-3</v>
      </c>
      <c r="AL429">
        <v>9.6570900000000003E-4</v>
      </c>
      <c r="AM429">
        <v>3.3860800000000001E-4</v>
      </c>
      <c r="AN429">
        <v>4.88E-5</v>
      </c>
      <c r="AO429">
        <v>5.4999999999999999E-6</v>
      </c>
      <c r="AP429">
        <v>0</v>
      </c>
      <c r="AQ429">
        <v>0</v>
      </c>
      <c r="AR429">
        <v>1.03946E-2</v>
      </c>
      <c r="AS429">
        <v>1.3700600000000001E-4</v>
      </c>
      <c r="AT429">
        <v>3.7299999999999999E-6</v>
      </c>
      <c r="AU429">
        <v>2.9300000000000001E-5</v>
      </c>
      <c r="AV429">
        <v>2.68285E-4</v>
      </c>
      <c r="AW429">
        <v>6.3500500000000003E-3</v>
      </c>
      <c r="AX429">
        <v>4.2462899999999998E-3</v>
      </c>
      <c r="AY429">
        <v>4.9524800000000001E-2</v>
      </c>
      <c r="AZ429">
        <v>6.3055799999999999E-3</v>
      </c>
      <c r="BA429">
        <v>4.0971899999999999E-2</v>
      </c>
      <c r="BB429">
        <v>1.86792E-2</v>
      </c>
      <c r="BC429">
        <v>8.3193199999999998E-3</v>
      </c>
      <c r="BD429">
        <v>3.3140299999999999E-3</v>
      </c>
      <c r="BE429">
        <v>1.7034899999999999E-2</v>
      </c>
      <c r="BF429">
        <v>3.7051099999999997E-2</v>
      </c>
      <c r="BG429">
        <v>3.1527600000000003E-2</v>
      </c>
      <c r="BH429">
        <v>9.03436E-3</v>
      </c>
      <c r="BI429">
        <v>3.12599E-2</v>
      </c>
      <c r="BJ429">
        <v>2.1093600000000001E-2</v>
      </c>
      <c r="BK429">
        <v>1.7434700000000001E-2</v>
      </c>
      <c r="BL429">
        <v>1.17815E-2</v>
      </c>
      <c r="BM429">
        <v>5.13908E-2</v>
      </c>
      <c r="BN429">
        <v>2.5562499999999998E-2</v>
      </c>
      <c r="BO429">
        <v>1.5689700000000001E-2</v>
      </c>
      <c r="BP429">
        <v>1.8627100000000001E-2</v>
      </c>
      <c r="BQ429">
        <v>2.1942400000000001E-2</v>
      </c>
      <c r="BR429">
        <v>4.7324200000000002E-3</v>
      </c>
      <c r="BS429">
        <v>1.8084099999999999E-2</v>
      </c>
      <c r="BT429">
        <v>1.1967200000000001E-2</v>
      </c>
      <c r="BU429">
        <v>9.4331399999999996E-3</v>
      </c>
      <c r="BV429">
        <v>9.2482799999999993E-3</v>
      </c>
      <c r="BW429">
        <v>5.7242099999999997E-2</v>
      </c>
      <c r="BX429">
        <v>2.0194400000000001E-2</v>
      </c>
      <c r="BY429">
        <v>5.6612099999999999E-2</v>
      </c>
      <c r="BZ429">
        <v>2.74216E-3</v>
      </c>
      <c r="CA429">
        <v>1.97366E-2</v>
      </c>
      <c r="CB429">
        <v>4.4760800000000003E-2</v>
      </c>
      <c r="CC429">
        <v>1.22358E-2</v>
      </c>
      <c r="CD429">
        <v>1.43812E-2</v>
      </c>
      <c r="CE429">
        <v>2.2918700000000001E-3</v>
      </c>
      <c r="CF429">
        <v>9.0097000000000007E-3</v>
      </c>
      <c r="CG429">
        <v>4.9747000000000003E-3</v>
      </c>
      <c r="CH429">
        <v>8.2521899999999995E-3</v>
      </c>
      <c r="CI429">
        <v>4.3130099999999999E-3</v>
      </c>
      <c r="CJ429">
        <v>1.0613199999999999E-3</v>
      </c>
      <c r="CK429">
        <v>8.0229399999999992E-3</v>
      </c>
      <c r="CL429">
        <v>1.15421E-2</v>
      </c>
    </row>
    <row r="430" spans="2:90" x14ac:dyDescent="0.2">
      <c r="B430">
        <v>29.5</v>
      </c>
      <c r="C430">
        <v>1.07643E-3</v>
      </c>
      <c r="D430">
        <v>2.31971E-3</v>
      </c>
      <c r="E430">
        <v>1.4493399999999999E-3</v>
      </c>
      <c r="F430">
        <v>2.42468E-4</v>
      </c>
      <c r="G430">
        <v>4.0139100000000002E-4</v>
      </c>
      <c r="H430">
        <v>1.30525E-2</v>
      </c>
      <c r="I430">
        <v>9.7100000000000002E-5</v>
      </c>
      <c r="J430">
        <v>5.0640099999999999E-3</v>
      </c>
      <c r="K430">
        <v>2.5685500000000002E-3</v>
      </c>
      <c r="L430">
        <v>7.4126900000000002E-4</v>
      </c>
      <c r="M430">
        <v>6.3328099999999997E-4</v>
      </c>
      <c r="N430">
        <v>2.5809499999999998E-3</v>
      </c>
      <c r="O430">
        <v>9.7237699999999996E-4</v>
      </c>
      <c r="P430">
        <v>9.4660299999999996E-4</v>
      </c>
      <c r="Q430">
        <v>8.0759500000000004E-4</v>
      </c>
      <c r="R430">
        <v>1.3473199999999999E-3</v>
      </c>
      <c r="S430">
        <v>6.2520700000000002E-4</v>
      </c>
      <c r="T430">
        <v>5.7341300000000005E-4</v>
      </c>
      <c r="U430">
        <v>8.4285399999999998E-4</v>
      </c>
      <c r="V430">
        <v>9.9463000000000004E-4</v>
      </c>
      <c r="W430">
        <v>1.6129899999999999E-3</v>
      </c>
      <c r="X430">
        <v>6.8884100000000004E-4</v>
      </c>
      <c r="Y430">
        <v>1.8564300000000001E-4</v>
      </c>
      <c r="Z430">
        <v>1.23832E-3</v>
      </c>
      <c r="AA430">
        <v>1.45957E-4</v>
      </c>
      <c r="AB430">
        <v>1.44125E-3</v>
      </c>
      <c r="AC430">
        <v>6.7008699999999998E-4</v>
      </c>
      <c r="AD430">
        <v>8.3900000000000006E-5</v>
      </c>
      <c r="AE430">
        <v>1.24884E-3</v>
      </c>
      <c r="AF430">
        <v>2.0317099999999999E-3</v>
      </c>
      <c r="AG430">
        <v>1.56032E-3</v>
      </c>
      <c r="AH430">
        <v>4.8727500000000003E-3</v>
      </c>
      <c r="AI430">
        <v>4.8999999999999998E-4</v>
      </c>
      <c r="AJ430">
        <v>7.0950099999999997E-4</v>
      </c>
      <c r="AK430">
        <v>5.5875600000000001E-3</v>
      </c>
      <c r="AL430">
        <v>1.11225E-3</v>
      </c>
      <c r="AM430">
        <v>4.5977700000000003E-4</v>
      </c>
      <c r="AN430">
        <v>3.7400000000000001E-5</v>
      </c>
      <c r="AO430">
        <v>0</v>
      </c>
      <c r="AP430">
        <v>0</v>
      </c>
      <c r="AQ430">
        <v>5.1900000000000001E-5</v>
      </c>
      <c r="AR430">
        <v>8.6871699999999993E-3</v>
      </c>
      <c r="AS430">
        <v>1.33759E-4</v>
      </c>
      <c r="AT430">
        <v>2.3583799999999999E-4</v>
      </c>
      <c r="AU430">
        <v>6.0652600000000003E-4</v>
      </c>
      <c r="AV430">
        <v>2.0849700000000001E-4</v>
      </c>
      <c r="AW430">
        <v>8.1890599999999997E-3</v>
      </c>
      <c r="AX430">
        <v>7.6643299999999996E-3</v>
      </c>
      <c r="AY430">
        <v>5.3433300000000003E-2</v>
      </c>
      <c r="AZ430">
        <v>9.4272000000000002E-3</v>
      </c>
      <c r="BA430">
        <v>4.0163699999999997E-2</v>
      </c>
      <c r="BB430">
        <v>2.5728399999999998E-2</v>
      </c>
      <c r="BC430">
        <v>1.2512799999999999E-2</v>
      </c>
      <c r="BD430">
        <v>2.9919500000000002E-3</v>
      </c>
      <c r="BE430">
        <v>1.8215700000000001E-2</v>
      </c>
      <c r="BF430">
        <v>3.9632500000000001E-2</v>
      </c>
      <c r="BG430">
        <v>3.6413000000000001E-2</v>
      </c>
      <c r="BH430">
        <v>1.6642199999999999E-2</v>
      </c>
      <c r="BI430">
        <v>4.0053100000000001E-2</v>
      </c>
      <c r="BJ430">
        <v>2.4873599999999999E-2</v>
      </c>
      <c r="BK430">
        <v>2.0710099999999999E-2</v>
      </c>
      <c r="BL430">
        <v>1.1162099999999999E-2</v>
      </c>
      <c r="BM430">
        <v>6.2409100000000002E-2</v>
      </c>
      <c r="BN430">
        <v>2.2346000000000001E-2</v>
      </c>
      <c r="BO430">
        <v>1.7643800000000001E-2</v>
      </c>
      <c r="BP430">
        <v>2.57439E-2</v>
      </c>
      <c r="BQ430">
        <v>3.5372899999999999E-2</v>
      </c>
      <c r="BR430">
        <v>6.3452999999999999E-3</v>
      </c>
      <c r="BS430">
        <v>2.0149400000000001E-2</v>
      </c>
      <c r="BT430">
        <v>1.2518700000000001E-2</v>
      </c>
      <c r="BU430">
        <v>1.37833E-2</v>
      </c>
      <c r="BV430">
        <v>1.2064699999999999E-2</v>
      </c>
      <c r="BW430">
        <v>5.5553600000000002E-2</v>
      </c>
      <c r="BX430">
        <v>2.3754999999999998E-2</v>
      </c>
      <c r="BY430">
        <v>5.5171600000000001E-2</v>
      </c>
      <c r="BZ430">
        <v>3.5218300000000001E-3</v>
      </c>
      <c r="CA430">
        <v>2.0532000000000002E-2</v>
      </c>
      <c r="CB430">
        <v>4.8416599999999997E-2</v>
      </c>
      <c r="CC430">
        <v>1.36293E-2</v>
      </c>
      <c r="CD430">
        <v>1.99277E-2</v>
      </c>
      <c r="CE430">
        <v>3.9294899999999999E-3</v>
      </c>
      <c r="CF430">
        <v>9.5453199999999995E-3</v>
      </c>
      <c r="CG430">
        <v>4.5540299999999997E-3</v>
      </c>
      <c r="CH430">
        <v>4.4776499999999997E-3</v>
      </c>
      <c r="CI430">
        <v>4.9600299999999998E-3</v>
      </c>
      <c r="CJ430">
        <v>1.64171E-3</v>
      </c>
      <c r="CK430">
        <v>8.7234400000000007E-3</v>
      </c>
      <c r="CL430">
        <v>1.47171E-2</v>
      </c>
    </row>
    <row r="431" spans="2:90" x14ac:dyDescent="0.2">
      <c r="B431">
        <v>30.5</v>
      </c>
      <c r="C431">
        <v>2.8807000000000003E-4</v>
      </c>
      <c r="D431">
        <v>2.9345199999999999E-3</v>
      </c>
      <c r="E431">
        <v>3.5474899999999999E-3</v>
      </c>
      <c r="F431">
        <v>1.27E-5</v>
      </c>
      <c r="G431">
        <v>9.1774700000000001E-4</v>
      </c>
      <c r="H431">
        <v>1.22611E-2</v>
      </c>
      <c r="I431">
        <v>1.09139E-4</v>
      </c>
      <c r="J431">
        <v>5.4038300000000001E-3</v>
      </c>
      <c r="K431">
        <v>3.55748E-3</v>
      </c>
      <c r="L431">
        <v>2.4724399999999998E-3</v>
      </c>
      <c r="M431">
        <v>1.23394E-3</v>
      </c>
      <c r="N431">
        <v>3.7665099999999998E-3</v>
      </c>
      <c r="O431">
        <v>1.33931E-3</v>
      </c>
      <c r="P431">
        <v>1.0146000000000001E-3</v>
      </c>
      <c r="Q431">
        <v>1.71076E-3</v>
      </c>
      <c r="R431">
        <v>2.1206799999999998E-3</v>
      </c>
      <c r="S431">
        <v>8.0037999999999995E-4</v>
      </c>
      <c r="T431">
        <v>7.0252900000000002E-4</v>
      </c>
      <c r="U431">
        <v>1.3272799999999999E-3</v>
      </c>
      <c r="V431">
        <v>1.1649399999999999E-3</v>
      </c>
      <c r="W431">
        <v>1.8757299999999999E-3</v>
      </c>
      <c r="X431">
        <v>7.3758000000000005E-4</v>
      </c>
      <c r="Y431">
        <v>4.8798199999999998E-4</v>
      </c>
      <c r="Z431">
        <v>2.22164E-3</v>
      </c>
      <c r="AA431">
        <v>5.0707499999999995E-4</v>
      </c>
      <c r="AB431">
        <v>1.5650600000000001E-3</v>
      </c>
      <c r="AC431">
        <v>9.0524599999999996E-4</v>
      </c>
      <c r="AD431">
        <v>6.51083E-4</v>
      </c>
      <c r="AE431">
        <v>1.7959600000000001E-3</v>
      </c>
      <c r="AF431">
        <v>6.0721899999999999E-3</v>
      </c>
      <c r="AG431">
        <v>1.52768E-3</v>
      </c>
      <c r="AH431">
        <v>1.1244600000000001E-3</v>
      </c>
      <c r="AI431">
        <v>4.2391599999999998E-4</v>
      </c>
      <c r="AJ431">
        <v>1.7884400000000001E-3</v>
      </c>
      <c r="AK431">
        <v>3.4594500000000002E-3</v>
      </c>
      <c r="AL431">
        <v>1.5497200000000001E-3</v>
      </c>
      <c r="AM431">
        <v>8.8681299999999997E-4</v>
      </c>
      <c r="AN431">
        <v>2.0100000000000001E-5</v>
      </c>
      <c r="AO431">
        <v>2.1800000000000001E-5</v>
      </c>
      <c r="AP431">
        <v>2.8099999999999999E-5</v>
      </c>
      <c r="AQ431">
        <v>2.5840800000000001E-4</v>
      </c>
      <c r="AR431">
        <v>1.43625E-3</v>
      </c>
      <c r="AS431">
        <v>4.1742199999999998E-4</v>
      </c>
      <c r="AT431">
        <v>9.9199999999999999E-5</v>
      </c>
      <c r="AU431">
        <v>4.6935899999999998E-4</v>
      </c>
      <c r="AV431">
        <v>5.4383399999999998E-4</v>
      </c>
      <c r="AW431">
        <v>1.1648499999999999E-2</v>
      </c>
      <c r="AX431">
        <v>9.5500099999999994E-3</v>
      </c>
      <c r="AY431">
        <v>4.7029899999999999E-2</v>
      </c>
      <c r="AZ431">
        <v>1.3011699999999999E-2</v>
      </c>
      <c r="BA431">
        <v>4.1571700000000003E-2</v>
      </c>
      <c r="BB431">
        <v>2.8319199999999999E-2</v>
      </c>
      <c r="BC431">
        <v>1.21855E-2</v>
      </c>
      <c r="BD431">
        <v>2.5772500000000001E-3</v>
      </c>
      <c r="BE431">
        <v>1.72602E-2</v>
      </c>
      <c r="BF431">
        <v>4.4911800000000002E-2</v>
      </c>
      <c r="BG431">
        <v>3.87225E-2</v>
      </c>
      <c r="BH431">
        <v>1.98376E-2</v>
      </c>
      <c r="BI431">
        <v>4.6176500000000002E-2</v>
      </c>
      <c r="BJ431">
        <v>2.36665E-2</v>
      </c>
      <c r="BK431">
        <v>2.4447E-2</v>
      </c>
      <c r="BL431">
        <v>1.6588599999999998E-2</v>
      </c>
      <c r="BM431">
        <v>6.5145599999999998E-2</v>
      </c>
      <c r="BN431">
        <v>2.4142799999999999E-2</v>
      </c>
      <c r="BO431">
        <v>2.06673E-2</v>
      </c>
      <c r="BP431">
        <v>3.3232600000000001E-2</v>
      </c>
      <c r="BQ431">
        <v>3.8668899999999999E-2</v>
      </c>
      <c r="BR431">
        <v>4.6410799999999997E-3</v>
      </c>
      <c r="BS431">
        <v>2.1874500000000002E-2</v>
      </c>
      <c r="BT431">
        <v>1.01688E-2</v>
      </c>
      <c r="BU431">
        <v>1.5587E-2</v>
      </c>
      <c r="BV431">
        <v>9.4934400000000006E-3</v>
      </c>
      <c r="BW431">
        <v>5.2376100000000002E-2</v>
      </c>
      <c r="BX431">
        <v>2.8027900000000001E-2</v>
      </c>
      <c r="BY431">
        <v>5.1761500000000002E-2</v>
      </c>
      <c r="BZ431">
        <v>5.8449599999999997E-3</v>
      </c>
      <c r="CA431">
        <v>2.7297700000000001E-2</v>
      </c>
      <c r="CB431">
        <v>3.46997E-2</v>
      </c>
      <c r="CC431">
        <v>2.3216799999999999E-2</v>
      </c>
      <c r="CD431">
        <v>2.7125199999999999E-2</v>
      </c>
      <c r="CE431">
        <v>5.01053E-3</v>
      </c>
      <c r="CF431">
        <v>1.1358200000000001E-2</v>
      </c>
      <c r="CG431">
        <v>5.0655700000000001E-3</v>
      </c>
      <c r="CH431">
        <v>2.52096E-3</v>
      </c>
      <c r="CI431">
        <v>5.2902100000000001E-3</v>
      </c>
      <c r="CJ431">
        <v>2.9747900000000002E-3</v>
      </c>
      <c r="CK431">
        <v>1.03973E-2</v>
      </c>
      <c r="CL431">
        <v>1.71351E-2</v>
      </c>
    </row>
    <row r="432" spans="2:90" x14ac:dyDescent="0.2">
      <c r="B432">
        <v>31.5</v>
      </c>
      <c r="C432">
        <v>1.4136299999999999E-3</v>
      </c>
      <c r="D432">
        <v>3.1322500000000001E-3</v>
      </c>
      <c r="E432">
        <v>4.0411900000000001E-3</v>
      </c>
      <c r="F432">
        <v>3.7380399999999999E-4</v>
      </c>
      <c r="G432">
        <v>6.7853900000000003E-4</v>
      </c>
      <c r="H432">
        <v>1.0906799999999999E-2</v>
      </c>
      <c r="I432">
        <v>8.3031100000000003E-4</v>
      </c>
      <c r="J432">
        <v>7.6404000000000003E-3</v>
      </c>
      <c r="K432">
        <v>4.1650999999999997E-3</v>
      </c>
      <c r="L432">
        <v>2.59815E-3</v>
      </c>
      <c r="M432">
        <v>1.1587699999999999E-3</v>
      </c>
      <c r="N432">
        <v>2.7290600000000002E-3</v>
      </c>
      <c r="O432">
        <v>1.4502899999999999E-3</v>
      </c>
      <c r="P432">
        <v>8.6360300000000001E-4</v>
      </c>
      <c r="Q432">
        <v>2.5886799999999999E-3</v>
      </c>
      <c r="R432">
        <v>2.1410600000000002E-3</v>
      </c>
      <c r="S432">
        <v>1.3027399999999999E-3</v>
      </c>
      <c r="T432">
        <v>9.8420600000000006E-4</v>
      </c>
      <c r="U432">
        <v>1.74661E-3</v>
      </c>
      <c r="V432">
        <v>1.2539300000000001E-3</v>
      </c>
      <c r="W432">
        <v>2.0492700000000002E-3</v>
      </c>
      <c r="X432">
        <v>1.4242199999999999E-3</v>
      </c>
      <c r="Y432">
        <v>3.3386800000000002E-4</v>
      </c>
      <c r="Z432">
        <v>3.9606499999999996E-3</v>
      </c>
      <c r="AA432">
        <v>6.2795600000000004E-4</v>
      </c>
      <c r="AB432">
        <v>1.3707599999999999E-3</v>
      </c>
      <c r="AC432">
        <v>1.22839E-3</v>
      </c>
      <c r="AD432">
        <v>7.5830500000000003E-4</v>
      </c>
      <c r="AE432">
        <v>1.58724E-3</v>
      </c>
      <c r="AF432">
        <v>3.1030200000000002E-3</v>
      </c>
      <c r="AG432">
        <v>2.42093E-3</v>
      </c>
      <c r="AH432">
        <v>1.10056E-3</v>
      </c>
      <c r="AI432">
        <v>2.4074999999999999E-3</v>
      </c>
      <c r="AJ432">
        <v>1.8058499999999999E-3</v>
      </c>
      <c r="AK432">
        <v>5.7608499999999997E-3</v>
      </c>
      <c r="AL432">
        <v>2.4142199999999999E-3</v>
      </c>
      <c r="AM432">
        <v>1.47054E-3</v>
      </c>
      <c r="AN432">
        <v>2.6339100000000003E-4</v>
      </c>
      <c r="AO432">
        <v>1.4E-5</v>
      </c>
      <c r="AP432">
        <v>1.9794600000000001E-4</v>
      </c>
      <c r="AQ432">
        <v>2.95323E-4</v>
      </c>
      <c r="AR432">
        <v>8.7653999999999998E-4</v>
      </c>
      <c r="AS432">
        <v>2.9543199999999999E-4</v>
      </c>
      <c r="AT432">
        <v>4.60447E-4</v>
      </c>
      <c r="AU432">
        <v>1.5348E-3</v>
      </c>
      <c r="AV432">
        <v>6.4992499999999998E-4</v>
      </c>
      <c r="AW432">
        <v>1.8289799999999998E-2</v>
      </c>
      <c r="AX432">
        <v>1.11132E-2</v>
      </c>
      <c r="AY432">
        <v>3.9385400000000001E-2</v>
      </c>
      <c r="AZ432">
        <v>1.2792599999999999E-2</v>
      </c>
      <c r="BA432">
        <v>4.2553300000000002E-2</v>
      </c>
      <c r="BB432">
        <v>3.0459199999999999E-2</v>
      </c>
      <c r="BC432">
        <v>1.3693800000000001E-2</v>
      </c>
      <c r="BD432">
        <v>3.2518099999999999E-3</v>
      </c>
      <c r="BE432">
        <v>1.6262599999999999E-2</v>
      </c>
      <c r="BF432">
        <v>3.98844E-2</v>
      </c>
      <c r="BG432">
        <v>3.6292199999999997E-2</v>
      </c>
      <c r="BH432">
        <v>2.23381E-2</v>
      </c>
      <c r="BI432">
        <v>5.2542499999999999E-2</v>
      </c>
      <c r="BJ432">
        <v>2.6664299999999998E-2</v>
      </c>
      <c r="BK432">
        <v>2.93286E-2</v>
      </c>
      <c r="BL432">
        <v>2.4176099999999999E-2</v>
      </c>
      <c r="BM432">
        <v>6.3889600000000005E-2</v>
      </c>
      <c r="BN432">
        <v>2.5245400000000001E-2</v>
      </c>
      <c r="BO432">
        <v>2.4279599999999998E-2</v>
      </c>
      <c r="BP432">
        <v>4.2044499999999999E-2</v>
      </c>
      <c r="BQ432">
        <v>4.51738E-2</v>
      </c>
      <c r="BR432">
        <v>9.2924600000000007E-3</v>
      </c>
      <c r="BS432">
        <v>2.52497E-2</v>
      </c>
      <c r="BT432">
        <v>1.39404E-2</v>
      </c>
      <c r="BU432">
        <v>2.0075200000000001E-2</v>
      </c>
      <c r="BV432">
        <v>1.07972E-2</v>
      </c>
      <c r="BW432">
        <v>4.2982300000000001E-2</v>
      </c>
      <c r="BX432">
        <v>2.61359E-2</v>
      </c>
      <c r="BY432">
        <v>5.1828600000000002E-2</v>
      </c>
      <c r="BZ432">
        <v>6.5920199999999997E-3</v>
      </c>
      <c r="CA432">
        <v>2.6907899999999998E-2</v>
      </c>
      <c r="CB432">
        <v>3.5039899999999999E-2</v>
      </c>
      <c r="CC432">
        <v>1.8361700000000002E-2</v>
      </c>
      <c r="CD432">
        <v>3.73748E-2</v>
      </c>
      <c r="CE432">
        <v>6.0666000000000001E-3</v>
      </c>
      <c r="CF432">
        <v>9.9029099999999991E-3</v>
      </c>
      <c r="CG432">
        <v>8.7626000000000006E-3</v>
      </c>
      <c r="CH432">
        <v>2.3175100000000001E-3</v>
      </c>
      <c r="CI432">
        <v>6.1768600000000002E-3</v>
      </c>
      <c r="CJ432">
        <v>5.9293699999999998E-3</v>
      </c>
      <c r="CK432">
        <v>1.27463E-2</v>
      </c>
      <c r="CL432">
        <v>1.8433399999999999E-2</v>
      </c>
    </row>
    <row r="433" spans="2:90" x14ac:dyDescent="0.2">
      <c r="B433">
        <v>32.5</v>
      </c>
      <c r="C433">
        <v>8.43503E-4</v>
      </c>
      <c r="D433">
        <v>5.42239E-3</v>
      </c>
      <c r="E433">
        <v>7.0718400000000002E-3</v>
      </c>
      <c r="F433">
        <v>1.0098500000000001E-3</v>
      </c>
      <c r="G433">
        <v>5.5863199999999999E-4</v>
      </c>
      <c r="H433">
        <v>1.1497E-2</v>
      </c>
      <c r="I433">
        <v>2.2969200000000001E-4</v>
      </c>
      <c r="J433">
        <v>1.1207399999999999E-2</v>
      </c>
      <c r="K433">
        <v>5.6733499999999997E-3</v>
      </c>
      <c r="L433">
        <v>5.0051799999999997E-3</v>
      </c>
      <c r="M433">
        <v>2.1978200000000001E-3</v>
      </c>
      <c r="N433">
        <v>2.9556299999999999E-3</v>
      </c>
      <c r="O433">
        <v>1.55237E-3</v>
      </c>
      <c r="P433">
        <v>2.0802199999999998E-3</v>
      </c>
      <c r="Q433">
        <v>2.7829600000000001E-3</v>
      </c>
      <c r="R433">
        <v>2.4120399999999998E-3</v>
      </c>
      <c r="S433">
        <v>1.47382E-3</v>
      </c>
      <c r="T433">
        <v>8.7927299999999997E-4</v>
      </c>
      <c r="U433">
        <v>2.3711399999999999E-3</v>
      </c>
      <c r="V433">
        <v>1.2139200000000001E-3</v>
      </c>
      <c r="W433">
        <v>1.6237700000000001E-3</v>
      </c>
      <c r="X433">
        <v>1.0254699999999999E-3</v>
      </c>
      <c r="Y433">
        <v>1.65514E-3</v>
      </c>
      <c r="Z433">
        <v>4.6968599999999998E-3</v>
      </c>
      <c r="AA433">
        <v>1.14127E-3</v>
      </c>
      <c r="AB433">
        <v>1.68819E-3</v>
      </c>
      <c r="AC433">
        <v>1.11586E-3</v>
      </c>
      <c r="AD433">
        <v>1.13148E-3</v>
      </c>
      <c r="AE433">
        <v>2.20907E-3</v>
      </c>
      <c r="AF433">
        <v>4.9956499999999999E-3</v>
      </c>
      <c r="AG433">
        <v>9.0900300000000002E-4</v>
      </c>
      <c r="AH433">
        <v>3.3214199999999998E-3</v>
      </c>
      <c r="AI433">
        <v>5.8211199999999997E-4</v>
      </c>
      <c r="AJ433">
        <v>1.9024599999999999E-3</v>
      </c>
      <c r="AK433">
        <v>4.3903099999999997E-3</v>
      </c>
      <c r="AL433">
        <v>2.71652E-3</v>
      </c>
      <c r="AM433">
        <v>1.7366E-3</v>
      </c>
      <c r="AN433">
        <v>5.3229600000000003E-4</v>
      </c>
      <c r="AO433">
        <v>3.96E-5</v>
      </c>
      <c r="AP433">
        <v>1.22323E-4</v>
      </c>
      <c r="AQ433">
        <v>2.9854299999999999E-3</v>
      </c>
      <c r="AR433">
        <v>5.0215600000000004E-3</v>
      </c>
      <c r="AS433">
        <v>2.7937799999999999E-4</v>
      </c>
      <c r="AT433">
        <v>7.3972600000000001E-4</v>
      </c>
      <c r="AU433">
        <v>1.9485500000000001E-3</v>
      </c>
      <c r="AV433">
        <v>6.3570300000000005E-4</v>
      </c>
      <c r="AW433">
        <v>2.0935200000000001E-2</v>
      </c>
      <c r="AX433">
        <v>1.3239000000000001E-2</v>
      </c>
      <c r="AY433">
        <v>3.2525900000000003E-2</v>
      </c>
      <c r="AZ433">
        <v>1.6110900000000001E-2</v>
      </c>
      <c r="BA433">
        <v>3.7752899999999999E-2</v>
      </c>
      <c r="BB433">
        <v>2.7320299999999999E-2</v>
      </c>
      <c r="BC433">
        <v>1.79624E-2</v>
      </c>
      <c r="BD433">
        <v>3.64826E-3</v>
      </c>
      <c r="BE433">
        <v>2.08045E-2</v>
      </c>
      <c r="BF433">
        <v>5.13657E-2</v>
      </c>
      <c r="BG433">
        <v>3.2319000000000001E-2</v>
      </c>
      <c r="BH433">
        <v>2.7878300000000002E-2</v>
      </c>
      <c r="BI433">
        <v>5.4924000000000001E-2</v>
      </c>
      <c r="BJ433">
        <v>2.4512699999999998E-2</v>
      </c>
      <c r="BK433">
        <v>2.5274100000000001E-2</v>
      </c>
      <c r="BL433">
        <v>2.5009400000000001E-2</v>
      </c>
      <c r="BM433">
        <v>5.3289499999999997E-2</v>
      </c>
      <c r="BN433">
        <v>1.98097E-2</v>
      </c>
      <c r="BO433">
        <v>1.7754800000000001E-2</v>
      </c>
      <c r="BP433">
        <v>4.1742899999999999E-2</v>
      </c>
      <c r="BQ433">
        <v>4.4998900000000001E-2</v>
      </c>
      <c r="BR433">
        <v>1.15564E-2</v>
      </c>
      <c r="BS433">
        <v>2.7640000000000001E-2</v>
      </c>
      <c r="BT433">
        <v>1.5675399999999999E-2</v>
      </c>
      <c r="BU433">
        <v>2.0103900000000001E-2</v>
      </c>
      <c r="BV433">
        <v>1.13746E-2</v>
      </c>
      <c r="BW433">
        <v>3.5800999999999999E-2</v>
      </c>
      <c r="BX433">
        <v>2.03343E-2</v>
      </c>
      <c r="BY433">
        <v>4.2486500000000003E-2</v>
      </c>
      <c r="BZ433">
        <v>9.0813300000000003E-3</v>
      </c>
      <c r="CA433">
        <v>2.9671400000000001E-2</v>
      </c>
      <c r="CB433">
        <v>2.2113000000000001E-2</v>
      </c>
      <c r="CC433">
        <v>2.6894100000000001E-2</v>
      </c>
      <c r="CD433">
        <v>4.6903E-2</v>
      </c>
      <c r="CE433">
        <v>7.60307E-3</v>
      </c>
      <c r="CF433">
        <v>1.0855500000000001E-2</v>
      </c>
      <c r="CG433">
        <v>1.04969E-2</v>
      </c>
      <c r="CH433">
        <v>1.9819600000000001E-3</v>
      </c>
      <c r="CI433">
        <v>6.2906400000000001E-3</v>
      </c>
      <c r="CJ433">
        <v>7.6600000000000001E-3</v>
      </c>
      <c r="CK433">
        <v>1.7205000000000002E-2</v>
      </c>
      <c r="CL433">
        <v>1.9441E-2</v>
      </c>
    </row>
    <row r="434" spans="2:90" x14ac:dyDescent="0.2">
      <c r="B434">
        <v>33.5</v>
      </c>
      <c r="C434">
        <v>1.46645E-3</v>
      </c>
      <c r="D434">
        <v>1.0744099999999999E-2</v>
      </c>
      <c r="E434">
        <v>1.29672E-2</v>
      </c>
      <c r="F434">
        <v>1.2454199999999999E-3</v>
      </c>
      <c r="G434">
        <v>1.3635200000000001E-4</v>
      </c>
      <c r="H434">
        <v>8.4674799999999995E-3</v>
      </c>
      <c r="I434">
        <v>2.1100400000000001E-3</v>
      </c>
      <c r="J434">
        <v>1.48025E-2</v>
      </c>
      <c r="K434">
        <v>7.12314E-3</v>
      </c>
      <c r="L434">
        <v>5.8254200000000004E-3</v>
      </c>
      <c r="M434">
        <v>2.5635599999999999E-3</v>
      </c>
      <c r="N434">
        <v>2.6668799999999999E-3</v>
      </c>
      <c r="O434">
        <v>1.4532600000000001E-3</v>
      </c>
      <c r="P434">
        <v>2.1926799999999998E-3</v>
      </c>
      <c r="Q434">
        <v>1.65902E-3</v>
      </c>
      <c r="R434">
        <v>2.4713299999999999E-3</v>
      </c>
      <c r="S434">
        <v>1.92168E-3</v>
      </c>
      <c r="T434">
        <v>1.33921E-3</v>
      </c>
      <c r="U434">
        <v>2.2832299999999998E-3</v>
      </c>
      <c r="V434">
        <v>1.21688E-3</v>
      </c>
      <c r="W434">
        <v>1.6288800000000001E-3</v>
      </c>
      <c r="X434">
        <v>7.8820500000000005E-4</v>
      </c>
      <c r="Y434">
        <v>1.7545600000000001E-3</v>
      </c>
      <c r="Z434">
        <v>5.2610599999999997E-3</v>
      </c>
      <c r="AA434">
        <v>1.4015099999999999E-3</v>
      </c>
      <c r="AB434">
        <v>2.56726E-3</v>
      </c>
      <c r="AC434">
        <v>2.0627100000000002E-3</v>
      </c>
      <c r="AD434">
        <v>1.8758900000000001E-3</v>
      </c>
      <c r="AE434">
        <v>3.6874099999999999E-3</v>
      </c>
      <c r="AF434">
        <v>9.6982400000000003E-3</v>
      </c>
      <c r="AG434">
        <v>2.2472299999999998E-3</v>
      </c>
      <c r="AH434">
        <v>3.81511E-3</v>
      </c>
      <c r="AI434">
        <v>1.4114900000000001E-3</v>
      </c>
      <c r="AJ434">
        <v>2.4518999999999999E-3</v>
      </c>
      <c r="AK434">
        <v>4.6901199999999999E-3</v>
      </c>
      <c r="AL434">
        <v>3.2119000000000002E-3</v>
      </c>
      <c r="AM434">
        <v>2.4186099999999999E-3</v>
      </c>
      <c r="AN434">
        <v>2.8647299999999998E-4</v>
      </c>
      <c r="AO434">
        <v>3.6300000000000001E-5</v>
      </c>
      <c r="AP434">
        <v>1.00726E-4</v>
      </c>
      <c r="AQ434">
        <v>6.1972899999999996E-4</v>
      </c>
      <c r="AR434">
        <v>4.0368299999999999E-3</v>
      </c>
      <c r="AS434">
        <v>3.7771099999999998E-4</v>
      </c>
      <c r="AT434">
        <v>9.2848500000000005E-4</v>
      </c>
      <c r="AU434">
        <v>2.8487899999999999E-3</v>
      </c>
      <c r="AV434">
        <v>3.0030999999999998E-4</v>
      </c>
      <c r="AW434">
        <v>2.27598E-2</v>
      </c>
      <c r="AX434">
        <v>1.2623199999999999E-2</v>
      </c>
      <c r="AY434">
        <v>2.8486500000000001E-2</v>
      </c>
      <c r="AZ434">
        <v>1.7755099999999999E-2</v>
      </c>
      <c r="BA434">
        <v>3.6284200000000003E-2</v>
      </c>
      <c r="BB434">
        <v>2.63696E-2</v>
      </c>
      <c r="BC434">
        <v>1.9038099999999999E-2</v>
      </c>
      <c r="BD434">
        <v>7.0089899999999997E-3</v>
      </c>
      <c r="BE434">
        <v>2.1763299999999999E-2</v>
      </c>
      <c r="BF434">
        <v>4.2449899999999999E-2</v>
      </c>
      <c r="BG434">
        <v>3.1574499999999998E-2</v>
      </c>
      <c r="BH434">
        <v>3.0338299999999999E-2</v>
      </c>
      <c r="BI434">
        <v>4.8203999999999997E-2</v>
      </c>
      <c r="BJ434">
        <v>2.15739E-2</v>
      </c>
      <c r="BK434">
        <v>2.6693700000000001E-2</v>
      </c>
      <c r="BL434">
        <v>2.4054099999999998E-2</v>
      </c>
      <c r="BM434">
        <v>5.5781499999999998E-2</v>
      </c>
      <c r="BN434">
        <v>1.8960500000000002E-2</v>
      </c>
      <c r="BO434">
        <v>1.5684099999999999E-2</v>
      </c>
      <c r="BP434">
        <v>4.6468500000000003E-2</v>
      </c>
      <c r="BQ434">
        <v>4.2366300000000003E-2</v>
      </c>
      <c r="BR434">
        <v>2.5176199999999999E-2</v>
      </c>
      <c r="BS434">
        <v>2.9142100000000001E-2</v>
      </c>
      <c r="BT434">
        <v>1.7355300000000001E-2</v>
      </c>
      <c r="BU434">
        <v>2.1589500000000001E-2</v>
      </c>
      <c r="BV434">
        <v>9.5786499999999993E-3</v>
      </c>
      <c r="BW434">
        <v>2.6290399999999998E-2</v>
      </c>
      <c r="BX434">
        <v>1.83053E-2</v>
      </c>
      <c r="BY434">
        <v>3.5423799999999998E-2</v>
      </c>
      <c r="BZ434">
        <v>7.8883900000000003E-3</v>
      </c>
      <c r="CA434">
        <v>2.1457799999999999E-2</v>
      </c>
      <c r="CB434">
        <v>1.6514399999999999E-2</v>
      </c>
      <c r="CC434">
        <v>2.56159E-2</v>
      </c>
      <c r="CD434">
        <v>5.4633899999999999E-2</v>
      </c>
      <c r="CE434">
        <v>1.0373800000000001E-2</v>
      </c>
      <c r="CF434">
        <v>1.12113E-2</v>
      </c>
      <c r="CG434">
        <v>1.2454399999999999E-2</v>
      </c>
      <c r="CH434">
        <v>1.9208700000000001E-3</v>
      </c>
      <c r="CI434">
        <v>7.1044599999999999E-3</v>
      </c>
      <c r="CJ434">
        <v>1.55628E-2</v>
      </c>
      <c r="CK434">
        <v>2.2844900000000001E-2</v>
      </c>
      <c r="CL434">
        <v>2.6939100000000001E-2</v>
      </c>
    </row>
    <row r="435" spans="2:90" x14ac:dyDescent="0.2">
      <c r="B435">
        <v>34.5</v>
      </c>
      <c r="C435">
        <v>1.41888E-3</v>
      </c>
      <c r="D435">
        <v>1.2199E-2</v>
      </c>
      <c r="E435">
        <v>1.61104E-2</v>
      </c>
      <c r="F435">
        <v>3.6178199999999999E-3</v>
      </c>
      <c r="G435">
        <v>8.0025400000000003E-4</v>
      </c>
      <c r="H435">
        <v>9.5293099999999992E-3</v>
      </c>
      <c r="I435">
        <v>1.7645600000000001E-2</v>
      </c>
      <c r="J435">
        <v>1.53571E-2</v>
      </c>
      <c r="K435">
        <v>8.3522400000000004E-3</v>
      </c>
      <c r="L435">
        <v>5.7975099999999996E-3</v>
      </c>
      <c r="M435">
        <v>3.8003799999999999E-3</v>
      </c>
      <c r="N435">
        <v>1.8656300000000001E-3</v>
      </c>
      <c r="O435">
        <v>1.36163E-3</v>
      </c>
      <c r="P435">
        <v>2.9442499999999998E-3</v>
      </c>
      <c r="Q435">
        <v>3.2642499999999998E-3</v>
      </c>
      <c r="R435">
        <v>2.6241699999999999E-3</v>
      </c>
      <c r="S435">
        <v>1.88842E-3</v>
      </c>
      <c r="T435">
        <v>1.19422E-3</v>
      </c>
      <c r="U435">
        <v>2.73077E-3</v>
      </c>
      <c r="V435">
        <v>1.66669E-3</v>
      </c>
      <c r="W435">
        <v>2.06821E-3</v>
      </c>
      <c r="X435">
        <v>9.3225299999999997E-4</v>
      </c>
      <c r="Y435">
        <v>1.0578E-3</v>
      </c>
      <c r="Z435">
        <v>4.7948299999999999E-3</v>
      </c>
      <c r="AA435">
        <v>1.68742E-3</v>
      </c>
      <c r="AB435">
        <v>2.4127900000000002E-3</v>
      </c>
      <c r="AC435">
        <v>2.5147699999999999E-3</v>
      </c>
      <c r="AD435">
        <v>1.3589100000000001E-3</v>
      </c>
      <c r="AE435">
        <v>5.1767799999999997E-3</v>
      </c>
      <c r="AF435">
        <v>9.3774800000000005E-3</v>
      </c>
      <c r="AG435">
        <v>2.3439300000000001E-3</v>
      </c>
      <c r="AH435">
        <v>2.9130900000000001E-3</v>
      </c>
      <c r="AI435">
        <v>8.4206099999999996E-4</v>
      </c>
      <c r="AJ435">
        <v>2.1914299999999999E-3</v>
      </c>
      <c r="AK435">
        <v>5.4391600000000002E-3</v>
      </c>
      <c r="AL435">
        <v>2.8596799999999999E-3</v>
      </c>
      <c r="AM435">
        <v>2.4951499999999998E-3</v>
      </c>
      <c r="AN435">
        <v>6.2760099999999998E-4</v>
      </c>
      <c r="AO435">
        <v>5.2833700000000003E-4</v>
      </c>
      <c r="AP435">
        <v>2.44646E-4</v>
      </c>
      <c r="AQ435">
        <v>3.6303799999999999E-3</v>
      </c>
      <c r="AR435">
        <v>6.1291999999999996E-3</v>
      </c>
      <c r="AS435">
        <v>1.09658E-3</v>
      </c>
      <c r="AT435">
        <v>1.4012899999999999E-3</v>
      </c>
      <c r="AU435">
        <v>4.5610599999999996E-3</v>
      </c>
      <c r="AV435">
        <v>1.0127000000000001E-3</v>
      </c>
      <c r="AW435">
        <v>2.89564E-2</v>
      </c>
      <c r="AX435">
        <v>1.62471E-2</v>
      </c>
      <c r="AY435">
        <v>2.4337299999999999E-2</v>
      </c>
      <c r="AZ435">
        <v>1.8275099999999999E-2</v>
      </c>
      <c r="BA435">
        <v>2.9152399999999998E-2</v>
      </c>
      <c r="BB435">
        <v>1.9451099999999999E-2</v>
      </c>
      <c r="BC435">
        <v>2.68697E-2</v>
      </c>
      <c r="BD435">
        <v>3.26246E-3</v>
      </c>
      <c r="BE435">
        <v>1.401E-2</v>
      </c>
      <c r="BF435">
        <v>3.4586899999999997E-2</v>
      </c>
      <c r="BG435">
        <v>2.52555E-2</v>
      </c>
      <c r="BH435">
        <v>2.2973400000000001E-2</v>
      </c>
      <c r="BI435">
        <v>4.5957100000000001E-2</v>
      </c>
      <c r="BJ435">
        <v>1.6873900000000001E-2</v>
      </c>
      <c r="BK435">
        <v>2.03599E-2</v>
      </c>
      <c r="BL435">
        <v>1.8974600000000001E-2</v>
      </c>
      <c r="BM435">
        <v>3.5972900000000002E-2</v>
      </c>
      <c r="BN435">
        <v>1.73408E-2</v>
      </c>
      <c r="BO435">
        <v>1.47291E-2</v>
      </c>
      <c r="BP435">
        <v>4.0719600000000002E-2</v>
      </c>
      <c r="BQ435">
        <v>3.10532E-2</v>
      </c>
      <c r="BR435">
        <v>1.72678E-2</v>
      </c>
      <c r="BS435">
        <v>2.8542499999999998E-2</v>
      </c>
      <c r="BT435">
        <v>1.7189099999999999E-2</v>
      </c>
      <c r="BU435">
        <v>2.0443699999999999E-2</v>
      </c>
      <c r="BV435">
        <v>8.8238899999999992E-3</v>
      </c>
      <c r="BW435">
        <v>2.1734E-2</v>
      </c>
      <c r="BX435">
        <v>1.3210100000000001E-2</v>
      </c>
      <c r="BY435">
        <v>2.42058E-2</v>
      </c>
      <c r="BZ435">
        <v>1.12128E-2</v>
      </c>
      <c r="CA435">
        <v>2.3548800000000002E-2</v>
      </c>
      <c r="CB435">
        <v>1.2792400000000001E-2</v>
      </c>
      <c r="CC435">
        <v>2.7734399999999999E-2</v>
      </c>
      <c r="CD435">
        <v>5.7682900000000002E-2</v>
      </c>
      <c r="CE435">
        <v>9.4824200000000001E-3</v>
      </c>
      <c r="CF435">
        <v>1.07835E-2</v>
      </c>
      <c r="CG435">
        <v>1.7036800000000001E-2</v>
      </c>
      <c r="CH435">
        <v>1.9839499999999999E-3</v>
      </c>
      <c r="CI435">
        <v>1.13502E-2</v>
      </c>
      <c r="CJ435">
        <v>1.9652800000000002E-2</v>
      </c>
      <c r="CK435">
        <v>2.8739799999999999E-2</v>
      </c>
      <c r="CL435">
        <v>2.8654599999999999E-2</v>
      </c>
    </row>
    <row r="436" spans="2:90" x14ac:dyDescent="0.2">
      <c r="B436">
        <v>35.5</v>
      </c>
      <c r="C436">
        <v>1.9578999999999998E-3</v>
      </c>
      <c r="D436">
        <v>1.3416600000000001E-2</v>
      </c>
      <c r="E436">
        <v>1.6152199999999999E-2</v>
      </c>
      <c r="F436">
        <v>5.2058499999999997E-3</v>
      </c>
      <c r="G436">
        <v>9.78783E-4</v>
      </c>
      <c r="H436">
        <v>9.1799499999999992E-3</v>
      </c>
      <c r="I436">
        <v>3.0332100000000002E-3</v>
      </c>
      <c r="J436">
        <v>1.94936E-2</v>
      </c>
      <c r="K436">
        <v>8.3552399999999999E-3</v>
      </c>
      <c r="L436">
        <v>1.00026E-2</v>
      </c>
      <c r="M436">
        <v>4.2162600000000003E-3</v>
      </c>
      <c r="N436">
        <v>1.91899E-3</v>
      </c>
      <c r="O436">
        <v>1.5974400000000001E-3</v>
      </c>
      <c r="P436">
        <v>3.3256700000000002E-3</v>
      </c>
      <c r="Q436">
        <v>2.4631800000000001E-3</v>
      </c>
      <c r="R436">
        <v>3.03127E-3</v>
      </c>
      <c r="S436">
        <v>1.93027E-3</v>
      </c>
      <c r="T436">
        <v>9.960259999999999E-4</v>
      </c>
      <c r="U436">
        <v>3.0745799999999999E-3</v>
      </c>
      <c r="V436">
        <v>1.1195700000000001E-3</v>
      </c>
      <c r="W436">
        <v>1.25051E-3</v>
      </c>
      <c r="X436">
        <v>9.924790000000001E-4</v>
      </c>
      <c r="Y436">
        <v>1.1700300000000001E-3</v>
      </c>
      <c r="Z436">
        <v>5.4357299999999997E-3</v>
      </c>
      <c r="AA436">
        <v>2.2550500000000002E-3</v>
      </c>
      <c r="AB436">
        <v>3.4207E-3</v>
      </c>
      <c r="AC436">
        <v>2.4884500000000001E-3</v>
      </c>
      <c r="AD436">
        <v>2.4947099999999998E-3</v>
      </c>
      <c r="AE436">
        <v>4.06399E-3</v>
      </c>
      <c r="AF436">
        <v>1.2716099999999999E-2</v>
      </c>
      <c r="AG436">
        <v>2.9860500000000001E-3</v>
      </c>
      <c r="AH436">
        <v>4.1403400000000002E-3</v>
      </c>
      <c r="AI436">
        <v>8.9504999999999999E-4</v>
      </c>
      <c r="AJ436">
        <v>4.0424900000000001E-3</v>
      </c>
      <c r="AK436">
        <v>4.7011500000000003E-3</v>
      </c>
      <c r="AL436">
        <v>1.81431E-3</v>
      </c>
      <c r="AM436">
        <v>2.35024E-3</v>
      </c>
      <c r="AN436">
        <v>4.3370399999999998E-4</v>
      </c>
      <c r="AO436">
        <v>1.16718E-4</v>
      </c>
      <c r="AP436">
        <v>1.5777099999999999E-4</v>
      </c>
      <c r="AQ436">
        <v>2.5296699999999999E-4</v>
      </c>
      <c r="AR436">
        <v>8.2988100000000002E-3</v>
      </c>
      <c r="AS436">
        <v>5.06431E-4</v>
      </c>
      <c r="AT436">
        <v>9.0047599999999999E-4</v>
      </c>
      <c r="AU436">
        <v>4.0578699999999999E-3</v>
      </c>
      <c r="AV436">
        <v>5.1733900000000001E-4</v>
      </c>
      <c r="AW436">
        <v>3.00536E-2</v>
      </c>
      <c r="AX436">
        <v>1.1081300000000001E-2</v>
      </c>
      <c r="AY436">
        <v>1.81551E-2</v>
      </c>
      <c r="AZ436">
        <v>1.8445900000000001E-2</v>
      </c>
      <c r="BA436">
        <v>2.61622E-2</v>
      </c>
      <c r="BB436">
        <v>2.1940299999999999E-2</v>
      </c>
      <c r="BC436">
        <v>2.1550799999999998E-2</v>
      </c>
      <c r="BD436">
        <v>1.0608599999999999E-2</v>
      </c>
      <c r="BE436">
        <v>1.9947099999999999E-2</v>
      </c>
      <c r="BF436">
        <v>3.5961399999999998E-2</v>
      </c>
      <c r="BG436">
        <v>2.2649599999999999E-2</v>
      </c>
      <c r="BH436">
        <v>2.3585800000000001E-2</v>
      </c>
      <c r="BI436">
        <v>3.3669699999999997E-2</v>
      </c>
      <c r="BJ436">
        <v>2.3545900000000002E-2</v>
      </c>
      <c r="BK436">
        <v>2.12959E-2</v>
      </c>
      <c r="BL436">
        <v>1.7198999999999999E-2</v>
      </c>
      <c r="BM436">
        <v>2.7048099999999999E-2</v>
      </c>
      <c r="BN436">
        <v>1.75792E-2</v>
      </c>
      <c r="BO436">
        <v>1.50589E-2</v>
      </c>
      <c r="BP436">
        <v>3.5306700000000003E-2</v>
      </c>
      <c r="BQ436">
        <v>3.24908E-2</v>
      </c>
      <c r="BR436">
        <v>2.5514999999999999E-2</v>
      </c>
      <c r="BS436">
        <v>3.0956399999999999E-2</v>
      </c>
      <c r="BT436">
        <v>1.8155899999999999E-2</v>
      </c>
      <c r="BU436">
        <v>2.5147300000000001E-2</v>
      </c>
      <c r="BV436">
        <v>7.19909E-3</v>
      </c>
      <c r="BW436">
        <v>1.52376E-2</v>
      </c>
      <c r="BX436">
        <v>1.2808699999999999E-2</v>
      </c>
      <c r="BY436">
        <v>2.1878000000000002E-2</v>
      </c>
      <c r="BZ436">
        <v>1.0989499999999999E-2</v>
      </c>
      <c r="CA436">
        <v>1.44894E-2</v>
      </c>
      <c r="CB436">
        <v>9.5761800000000001E-3</v>
      </c>
      <c r="CC436">
        <v>1.94135E-2</v>
      </c>
      <c r="CD436">
        <v>5.1105499999999998E-2</v>
      </c>
      <c r="CE436">
        <v>1.32643E-2</v>
      </c>
      <c r="CF436">
        <v>1.09877E-2</v>
      </c>
      <c r="CG436">
        <v>1.9097900000000001E-2</v>
      </c>
      <c r="CH436">
        <v>2.2758399999999999E-3</v>
      </c>
      <c r="CI436">
        <v>1.39752E-2</v>
      </c>
      <c r="CJ436">
        <v>2.5563599999999999E-2</v>
      </c>
      <c r="CK436">
        <v>3.4882999999999997E-2</v>
      </c>
      <c r="CL436">
        <v>2.3568200000000001E-2</v>
      </c>
    </row>
    <row r="437" spans="2:90" x14ac:dyDescent="0.2">
      <c r="B437">
        <v>36.5</v>
      </c>
      <c r="C437">
        <v>3.0175599999999999E-3</v>
      </c>
      <c r="D437">
        <v>1.9809199999999999E-2</v>
      </c>
      <c r="E437">
        <v>2.02338E-2</v>
      </c>
      <c r="F437">
        <v>5.7184200000000001E-3</v>
      </c>
      <c r="G437">
        <v>1.91566E-4</v>
      </c>
      <c r="H437">
        <v>1.10086E-2</v>
      </c>
      <c r="I437">
        <v>6.1637899999999997E-3</v>
      </c>
      <c r="J437">
        <v>1.4499E-2</v>
      </c>
      <c r="K437">
        <v>1.12386E-2</v>
      </c>
      <c r="L437">
        <v>6.8054999999999999E-3</v>
      </c>
      <c r="M437">
        <v>4.2184400000000004E-3</v>
      </c>
      <c r="N437">
        <v>1.26424E-3</v>
      </c>
      <c r="O437">
        <v>1.39478E-3</v>
      </c>
      <c r="P437">
        <v>6.85924E-3</v>
      </c>
      <c r="Q437">
        <v>1.7664200000000001E-3</v>
      </c>
      <c r="R437">
        <v>3.0395299999999999E-3</v>
      </c>
      <c r="S437">
        <v>1.9819899999999999E-3</v>
      </c>
      <c r="T437">
        <v>1.25172E-3</v>
      </c>
      <c r="U437">
        <v>3.14022E-3</v>
      </c>
      <c r="V437">
        <v>1.3245799999999999E-3</v>
      </c>
      <c r="W437">
        <v>1.7038800000000001E-3</v>
      </c>
      <c r="X437">
        <v>1.83012E-3</v>
      </c>
      <c r="Y437">
        <v>1.59797E-3</v>
      </c>
      <c r="Z437">
        <v>5.3001200000000002E-3</v>
      </c>
      <c r="AA437">
        <v>2.4827500000000001E-3</v>
      </c>
      <c r="AB437">
        <v>2.6445000000000001E-3</v>
      </c>
      <c r="AC437">
        <v>2.77319E-3</v>
      </c>
      <c r="AD437">
        <v>3.2981099999999999E-3</v>
      </c>
      <c r="AE437">
        <v>3.75597E-3</v>
      </c>
      <c r="AF437">
        <v>1.46423E-2</v>
      </c>
      <c r="AG437">
        <v>2.5881300000000001E-3</v>
      </c>
      <c r="AH437">
        <v>8.0083700000000008E-3</v>
      </c>
      <c r="AI437">
        <v>3.31854E-3</v>
      </c>
      <c r="AJ437">
        <v>7.4120599999999998E-3</v>
      </c>
      <c r="AK437">
        <v>5.8659899999999997E-3</v>
      </c>
      <c r="AL437">
        <v>2.8044300000000001E-3</v>
      </c>
      <c r="AM437">
        <v>2.6543600000000001E-3</v>
      </c>
      <c r="AN437">
        <v>1.24697E-3</v>
      </c>
      <c r="AO437">
        <v>7.6426900000000004E-4</v>
      </c>
      <c r="AP437">
        <v>8.22707E-4</v>
      </c>
      <c r="AQ437">
        <v>2.80146E-3</v>
      </c>
      <c r="AR437">
        <v>7.0830700000000003E-3</v>
      </c>
      <c r="AS437">
        <v>2.1613800000000001E-3</v>
      </c>
      <c r="AT437">
        <v>7.87555E-4</v>
      </c>
      <c r="AU437">
        <v>3.8215599999999999E-3</v>
      </c>
      <c r="AV437">
        <v>1.3269E-3</v>
      </c>
      <c r="AW437">
        <v>2.24666E-2</v>
      </c>
      <c r="AX437">
        <v>9.6843599999999995E-3</v>
      </c>
      <c r="AY437">
        <v>1.27268E-2</v>
      </c>
      <c r="AZ437">
        <v>1.7026800000000002E-2</v>
      </c>
      <c r="BA437">
        <v>2.2709699999999999E-2</v>
      </c>
      <c r="BB437">
        <v>1.8838299999999999E-2</v>
      </c>
      <c r="BC437">
        <v>1.9528299999999998E-2</v>
      </c>
      <c r="BD437">
        <v>1.0973200000000001E-2</v>
      </c>
      <c r="BE437">
        <v>1.6812400000000002E-2</v>
      </c>
      <c r="BF437">
        <v>2.6938900000000002E-2</v>
      </c>
      <c r="BG437">
        <v>1.8458700000000001E-2</v>
      </c>
      <c r="BH437">
        <v>2.1736499999999999E-2</v>
      </c>
      <c r="BI437">
        <v>2.5923100000000001E-2</v>
      </c>
      <c r="BJ437">
        <v>2.69818E-2</v>
      </c>
      <c r="BK437">
        <v>1.7895899999999999E-2</v>
      </c>
      <c r="BL437">
        <v>1.68471E-2</v>
      </c>
      <c r="BM437">
        <v>2.3677900000000002E-2</v>
      </c>
      <c r="BN437">
        <v>2.2420200000000001E-2</v>
      </c>
      <c r="BO437">
        <v>1.3824700000000001E-2</v>
      </c>
      <c r="BP437">
        <v>2.59005E-2</v>
      </c>
      <c r="BQ437">
        <v>2.54168E-2</v>
      </c>
      <c r="BR437">
        <v>1.93095E-2</v>
      </c>
      <c r="BS437">
        <v>2.87771E-2</v>
      </c>
      <c r="BT437">
        <v>2.0186900000000001E-2</v>
      </c>
      <c r="BU437">
        <v>2.1695800000000001E-2</v>
      </c>
      <c r="BV437">
        <v>7.2378900000000003E-3</v>
      </c>
      <c r="BW437">
        <v>1.2611199999999999E-2</v>
      </c>
      <c r="BX437">
        <v>1.28258E-2</v>
      </c>
      <c r="BY437">
        <v>1.40406E-2</v>
      </c>
      <c r="BZ437">
        <v>1.3125100000000001E-2</v>
      </c>
      <c r="CA437">
        <v>1.2004799999999999E-2</v>
      </c>
      <c r="CB437">
        <v>9.2625099999999998E-3</v>
      </c>
      <c r="CC437">
        <v>1.7318500000000001E-2</v>
      </c>
      <c r="CD437">
        <v>4.8605700000000002E-2</v>
      </c>
      <c r="CE437">
        <v>1.45054E-2</v>
      </c>
      <c r="CF437">
        <v>1.3067E-2</v>
      </c>
      <c r="CG437">
        <v>2.1139999999999999E-2</v>
      </c>
      <c r="CH437">
        <v>2.2952099999999998E-3</v>
      </c>
      <c r="CI437">
        <v>1.8865699999999999E-2</v>
      </c>
      <c r="CJ437">
        <v>3.2005800000000001E-2</v>
      </c>
      <c r="CK437">
        <v>3.4139900000000001E-2</v>
      </c>
      <c r="CL437">
        <v>2.8514899999999999E-2</v>
      </c>
    </row>
    <row r="438" spans="2:90" x14ac:dyDescent="0.2">
      <c r="B438">
        <v>37.5</v>
      </c>
      <c r="C438">
        <v>4.6182799999999998E-3</v>
      </c>
      <c r="D438">
        <v>2.2031200000000001E-2</v>
      </c>
      <c r="E438">
        <v>1.7692599999999999E-2</v>
      </c>
      <c r="F438">
        <v>7.4614800000000004E-3</v>
      </c>
      <c r="G438">
        <v>1.3366400000000001E-3</v>
      </c>
      <c r="H438">
        <v>1.3436099999999999E-2</v>
      </c>
      <c r="I438">
        <v>5.4726899999999997E-3</v>
      </c>
      <c r="J438">
        <v>1.41786E-2</v>
      </c>
      <c r="K438">
        <v>7.7134300000000003E-3</v>
      </c>
      <c r="L438">
        <v>6.9475800000000001E-3</v>
      </c>
      <c r="M438">
        <v>4.6995800000000001E-3</v>
      </c>
      <c r="N438">
        <v>7.9148E-4</v>
      </c>
      <c r="O438">
        <v>1.4392999999999999E-3</v>
      </c>
      <c r="P438">
        <v>1.9603800000000001E-2</v>
      </c>
      <c r="Q438">
        <v>6.7059199999999998E-3</v>
      </c>
      <c r="R438">
        <v>2.4832299999999999E-3</v>
      </c>
      <c r="S438">
        <v>4.0222699999999997E-3</v>
      </c>
      <c r="T438">
        <v>1.0072799999999999E-3</v>
      </c>
      <c r="U438">
        <v>2.7467500000000001E-3</v>
      </c>
      <c r="V438">
        <v>1.3547399999999999E-3</v>
      </c>
      <c r="W438">
        <v>2.2617900000000001E-3</v>
      </c>
      <c r="X438">
        <v>1.74511E-3</v>
      </c>
      <c r="Y438">
        <v>2.7120600000000001E-3</v>
      </c>
      <c r="Z438">
        <v>5.5873700000000004E-3</v>
      </c>
      <c r="AA438">
        <v>2.48672E-3</v>
      </c>
      <c r="AB438">
        <v>3.0033199999999999E-3</v>
      </c>
      <c r="AC438">
        <v>3.0631E-3</v>
      </c>
      <c r="AD438">
        <v>3.58261E-3</v>
      </c>
      <c r="AE438">
        <v>6.9696799999999998E-3</v>
      </c>
      <c r="AF438">
        <v>1.651E-2</v>
      </c>
      <c r="AG438">
        <v>5.00908E-3</v>
      </c>
      <c r="AH438">
        <v>8.6009699999999994E-3</v>
      </c>
      <c r="AI438">
        <v>3.1158900000000001E-3</v>
      </c>
      <c r="AJ438">
        <v>4.1678399999999999E-3</v>
      </c>
      <c r="AK438">
        <v>6.0416999999999997E-3</v>
      </c>
      <c r="AL438">
        <v>3.8470599999999998E-3</v>
      </c>
      <c r="AM438">
        <v>3.4368599999999999E-3</v>
      </c>
      <c r="AN438">
        <v>8.7618500000000003E-4</v>
      </c>
      <c r="AO438">
        <v>6.2589199999999996E-4</v>
      </c>
      <c r="AP438">
        <v>2.1586399999999999E-3</v>
      </c>
      <c r="AQ438">
        <v>2.0606299999999999E-3</v>
      </c>
      <c r="AR438">
        <v>5.2827899999999999E-3</v>
      </c>
      <c r="AS438">
        <v>1.2143E-3</v>
      </c>
      <c r="AT438">
        <v>9.7371299999999997E-4</v>
      </c>
      <c r="AU438">
        <v>5.2874999999999997E-3</v>
      </c>
      <c r="AV438">
        <v>9.2824599999999998E-4</v>
      </c>
      <c r="AW438">
        <v>1.86336E-2</v>
      </c>
      <c r="AX438">
        <v>8.1731300000000007E-3</v>
      </c>
      <c r="AY438">
        <v>8.7854200000000004E-3</v>
      </c>
      <c r="AZ438">
        <v>2.02805E-2</v>
      </c>
      <c r="BA438">
        <v>2.1600399999999999E-2</v>
      </c>
      <c r="BB438">
        <v>1.6305E-2</v>
      </c>
      <c r="BC438">
        <v>2.1060800000000001E-2</v>
      </c>
      <c r="BD438">
        <v>1.3991699999999999E-2</v>
      </c>
      <c r="BE438">
        <v>1.1780000000000001E-2</v>
      </c>
      <c r="BF438">
        <v>2.3794900000000001E-2</v>
      </c>
      <c r="BG438">
        <v>1.5573200000000001E-2</v>
      </c>
      <c r="BH438">
        <v>1.88042E-2</v>
      </c>
      <c r="BI438">
        <v>2.0651699999999999E-2</v>
      </c>
      <c r="BJ438">
        <v>2.59752E-2</v>
      </c>
      <c r="BK438">
        <v>1.6774500000000001E-2</v>
      </c>
      <c r="BL438">
        <v>1.49354E-2</v>
      </c>
      <c r="BM438">
        <v>1.7206599999999999E-2</v>
      </c>
      <c r="BN438">
        <v>2.8304099999999999E-2</v>
      </c>
      <c r="BO438">
        <v>1.5839599999999999E-2</v>
      </c>
      <c r="BP438">
        <v>2.0807699999999998E-2</v>
      </c>
      <c r="BQ438">
        <v>2.3948299999999999E-2</v>
      </c>
      <c r="BR438">
        <v>2.1953799999999999E-2</v>
      </c>
      <c r="BS438">
        <v>2.9987300000000001E-2</v>
      </c>
      <c r="BT438">
        <v>2.5225600000000001E-2</v>
      </c>
      <c r="BU438">
        <v>2.4484800000000001E-2</v>
      </c>
      <c r="BV438">
        <v>5.8606999999999999E-3</v>
      </c>
      <c r="BW438">
        <v>1.1706299999999999E-2</v>
      </c>
      <c r="BX438">
        <v>1.3507099999999999E-2</v>
      </c>
      <c r="BY438">
        <v>1.2563299999999999E-2</v>
      </c>
      <c r="BZ438">
        <v>1.38104E-2</v>
      </c>
      <c r="CA438">
        <v>7.5228999999999999E-3</v>
      </c>
      <c r="CB438">
        <v>7.7053800000000004E-3</v>
      </c>
      <c r="CC438">
        <v>1.02221E-2</v>
      </c>
      <c r="CD438">
        <v>3.9661599999999998E-2</v>
      </c>
      <c r="CE438">
        <v>1.7227599999999999E-2</v>
      </c>
      <c r="CF438">
        <v>1.1881299999999999E-2</v>
      </c>
      <c r="CG438">
        <v>2.05404E-2</v>
      </c>
      <c r="CH438">
        <v>3.3247900000000002E-3</v>
      </c>
      <c r="CI438">
        <v>2.0491700000000002E-2</v>
      </c>
      <c r="CJ438">
        <v>3.2248100000000002E-2</v>
      </c>
      <c r="CK438">
        <v>3.0232200000000001E-2</v>
      </c>
      <c r="CL438">
        <v>2.48179E-2</v>
      </c>
    </row>
    <row r="439" spans="2:90" x14ac:dyDescent="0.2">
      <c r="B439">
        <v>38.5</v>
      </c>
      <c r="C439">
        <v>8.6014300000000002E-3</v>
      </c>
      <c r="D439">
        <v>3.1327399999999998E-2</v>
      </c>
      <c r="E439">
        <v>1.3709300000000001E-2</v>
      </c>
      <c r="F439">
        <v>5.2757000000000004E-3</v>
      </c>
      <c r="G439">
        <v>3.0039300000000001E-3</v>
      </c>
      <c r="H439">
        <v>1.4772199999999999E-2</v>
      </c>
      <c r="I439">
        <v>1.32839E-2</v>
      </c>
      <c r="J439">
        <v>1.50014E-2</v>
      </c>
      <c r="K439">
        <v>7.4776599999999997E-3</v>
      </c>
      <c r="L439">
        <v>5.8350600000000004E-3</v>
      </c>
      <c r="M439">
        <v>4.6679199999999999E-3</v>
      </c>
      <c r="N439">
        <v>9.9231699999999994E-4</v>
      </c>
      <c r="O439">
        <v>1.7068000000000001E-3</v>
      </c>
      <c r="P439">
        <v>2.4521899999999999E-2</v>
      </c>
      <c r="Q439">
        <v>1.0671999999999999E-2</v>
      </c>
      <c r="R439">
        <v>2.2116100000000001E-3</v>
      </c>
      <c r="S439">
        <v>6.7832400000000003E-3</v>
      </c>
      <c r="T439">
        <v>1.17936E-3</v>
      </c>
      <c r="U439">
        <v>2.4899800000000001E-3</v>
      </c>
      <c r="V439">
        <v>2.02045E-3</v>
      </c>
      <c r="W439">
        <v>3.4402399999999998E-3</v>
      </c>
      <c r="X439">
        <v>3.6695899999999999E-3</v>
      </c>
      <c r="Y439">
        <v>2.24326E-3</v>
      </c>
      <c r="Z439">
        <v>7.0010599999999999E-3</v>
      </c>
      <c r="AA439">
        <v>3.3727599999999998E-3</v>
      </c>
      <c r="AB439">
        <v>2.6922299999999999E-3</v>
      </c>
      <c r="AC439">
        <v>2.9761200000000001E-3</v>
      </c>
      <c r="AD439">
        <v>3.6175999999999999E-3</v>
      </c>
      <c r="AE439">
        <v>1.06652E-2</v>
      </c>
      <c r="AF439">
        <v>1.5952999999999998E-2</v>
      </c>
      <c r="AG439">
        <v>6.3730899999999997E-3</v>
      </c>
      <c r="AH439">
        <v>1.03079E-2</v>
      </c>
      <c r="AI439">
        <v>6.10649E-3</v>
      </c>
      <c r="AJ439">
        <v>7.8104100000000003E-3</v>
      </c>
      <c r="AK439">
        <v>6.5463700000000001E-3</v>
      </c>
      <c r="AL439">
        <v>4.72589E-3</v>
      </c>
      <c r="AM439">
        <v>3.08786E-3</v>
      </c>
      <c r="AN439">
        <v>1.9674499999999999E-3</v>
      </c>
      <c r="AO439">
        <v>3.9816299999999999E-4</v>
      </c>
      <c r="AP439">
        <v>6.1852000000000001E-4</v>
      </c>
      <c r="AQ439">
        <v>5.8265699999999999E-4</v>
      </c>
      <c r="AR439">
        <v>1.23362E-2</v>
      </c>
      <c r="AS439">
        <v>2.0483200000000002E-3</v>
      </c>
      <c r="AT439">
        <v>1.28382E-3</v>
      </c>
      <c r="AU439">
        <v>2.9920699999999999E-3</v>
      </c>
      <c r="AV439">
        <v>1.22266E-3</v>
      </c>
      <c r="AW439">
        <v>1.3643300000000001E-2</v>
      </c>
      <c r="AX439">
        <v>4.62643E-3</v>
      </c>
      <c r="AY439">
        <v>8.3662100000000007E-3</v>
      </c>
      <c r="AZ439">
        <v>2.0779800000000001E-2</v>
      </c>
      <c r="BA439">
        <v>1.43295E-2</v>
      </c>
      <c r="BB439">
        <v>1.7919000000000001E-2</v>
      </c>
      <c r="BC439">
        <v>1.41102E-2</v>
      </c>
      <c r="BD439">
        <v>1.14746E-2</v>
      </c>
      <c r="BE439">
        <v>1.00319E-2</v>
      </c>
      <c r="BF439">
        <v>1.9620800000000001E-2</v>
      </c>
      <c r="BG439">
        <v>1.31021E-2</v>
      </c>
      <c r="BH439">
        <v>1.46348E-2</v>
      </c>
      <c r="BI439">
        <v>1.4076999999999999E-2</v>
      </c>
      <c r="BJ439">
        <v>3.4284000000000002E-2</v>
      </c>
      <c r="BK439">
        <v>1.77813E-2</v>
      </c>
      <c r="BL439">
        <v>1.57565E-2</v>
      </c>
      <c r="BM439">
        <v>1.5236700000000001E-2</v>
      </c>
      <c r="BN439">
        <v>2.7777900000000001E-2</v>
      </c>
      <c r="BO439">
        <v>1.7742600000000001E-2</v>
      </c>
      <c r="BP439">
        <v>1.5198100000000001E-2</v>
      </c>
      <c r="BQ439">
        <v>2.0322099999999999E-2</v>
      </c>
      <c r="BR439">
        <v>2.3297700000000001E-2</v>
      </c>
      <c r="BS439">
        <v>2.3408499999999999E-2</v>
      </c>
      <c r="BT439">
        <v>2.2096600000000001E-2</v>
      </c>
      <c r="BU439">
        <v>2.11113E-2</v>
      </c>
      <c r="BV439">
        <v>4.73873E-3</v>
      </c>
      <c r="BW439">
        <v>1.0370300000000001E-2</v>
      </c>
      <c r="BX439">
        <v>1.8037500000000001E-2</v>
      </c>
      <c r="BY439">
        <v>8.6110300000000004E-3</v>
      </c>
      <c r="BZ439">
        <v>1.9406300000000001E-2</v>
      </c>
      <c r="CA439">
        <v>6.1749800000000001E-3</v>
      </c>
      <c r="CB439">
        <v>6.6584599999999997E-3</v>
      </c>
      <c r="CC439">
        <v>1.05919E-2</v>
      </c>
      <c r="CD439">
        <v>2.98561E-2</v>
      </c>
      <c r="CE439">
        <v>1.64434E-2</v>
      </c>
      <c r="CF439">
        <v>1.20073E-2</v>
      </c>
      <c r="CG439">
        <v>2.6207600000000001E-2</v>
      </c>
      <c r="CH439">
        <v>3.51513E-3</v>
      </c>
      <c r="CI439">
        <v>2.8137499999999999E-2</v>
      </c>
      <c r="CJ439">
        <v>3.1930500000000001E-2</v>
      </c>
      <c r="CK439">
        <v>3.34051E-2</v>
      </c>
      <c r="CL439">
        <v>2.32067E-2</v>
      </c>
    </row>
    <row r="440" spans="2:90" x14ac:dyDescent="0.2">
      <c r="B440">
        <v>39.5</v>
      </c>
      <c r="C440">
        <v>1.16706E-2</v>
      </c>
      <c r="D440">
        <v>4.0146099999999997E-2</v>
      </c>
      <c r="E440">
        <v>1.4949E-2</v>
      </c>
      <c r="F440">
        <v>3.4755300000000001E-3</v>
      </c>
      <c r="G440">
        <v>5.2291000000000004E-3</v>
      </c>
      <c r="H440">
        <v>1.2956499999999999E-2</v>
      </c>
      <c r="I440">
        <v>1.42515E-2</v>
      </c>
      <c r="J440">
        <v>1.6009200000000001E-2</v>
      </c>
      <c r="K440">
        <v>8.1882299999999995E-3</v>
      </c>
      <c r="L440">
        <v>7.1719100000000001E-3</v>
      </c>
      <c r="M440">
        <v>3.2058400000000002E-3</v>
      </c>
      <c r="N440">
        <v>1.22528E-3</v>
      </c>
      <c r="O440">
        <v>1.9959000000000001E-3</v>
      </c>
      <c r="P440">
        <v>2.1865300000000001E-2</v>
      </c>
      <c r="Q440">
        <v>6.9746000000000001E-3</v>
      </c>
      <c r="R440">
        <v>3.6899200000000002E-3</v>
      </c>
      <c r="S440">
        <v>1.08117E-2</v>
      </c>
      <c r="T440">
        <v>1.3566699999999999E-3</v>
      </c>
      <c r="U440">
        <v>2.4160100000000001E-3</v>
      </c>
      <c r="V440">
        <v>2.6767700000000002E-3</v>
      </c>
      <c r="W440">
        <v>6.1656300000000001E-3</v>
      </c>
      <c r="X440">
        <v>4.8022100000000003E-3</v>
      </c>
      <c r="Y440">
        <v>2.82219E-3</v>
      </c>
      <c r="Z440">
        <v>6.9794000000000002E-3</v>
      </c>
      <c r="AA440">
        <v>4.2256200000000002E-3</v>
      </c>
      <c r="AB440">
        <v>3.3354299999999999E-3</v>
      </c>
      <c r="AC440">
        <v>3.2471499999999999E-3</v>
      </c>
      <c r="AD440">
        <v>3.9680499999999999E-3</v>
      </c>
      <c r="AE440">
        <v>5.8261900000000002E-3</v>
      </c>
      <c r="AF440">
        <v>1.5895800000000002E-2</v>
      </c>
      <c r="AG440">
        <v>8.4569099999999998E-3</v>
      </c>
      <c r="AH440">
        <v>1.2592900000000001E-2</v>
      </c>
      <c r="AI440">
        <v>6.8762199999999997E-3</v>
      </c>
      <c r="AJ440">
        <v>8.0410199999999994E-3</v>
      </c>
      <c r="AK440">
        <v>6.7871900000000002E-3</v>
      </c>
      <c r="AL440">
        <v>7.7685599999999999E-3</v>
      </c>
      <c r="AM440">
        <v>2.6866799999999999E-3</v>
      </c>
      <c r="AN440">
        <v>2.6842699999999999E-3</v>
      </c>
      <c r="AO440">
        <v>8.2041600000000003E-4</v>
      </c>
      <c r="AP440">
        <v>5.2258199999999999E-3</v>
      </c>
      <c r="AQ440">
        <v>6.7744799999999998E-4</v>
      </c>
      <c r="AR440">
        <v>6.5144900000000004E-3</v>
      </c>
      <c r="AS440">
        <v>2.6688300000000001E-3</v>
      </c>
      <c r="AT440">
        <v>1.86937E-3</v>
      </c>
      <c r="AU440">
        <v>2.7637899999999999E-3</v>
      </c>
      <c r="AV440">
        <v>1.7025199999999999E-3</v>
      </c>
      <c r="AW440">
        <v>1.3812400000000001E-2</v>
      </c>
      <c r="AX440">
        <v>4.7169999999999998E-3</v>
      </c>
      <c r="AY440">
        <v>7.25064E-3</v>
      </c>
      <c r="AZ440">
        <v>2.30245E-2</v>
      </c>
      <c r="BA440">
        <v>1.26208E-2</v>
      </c>
      <c r="BB440">
        <v>2.1299599999999998E-2</v>
      </c>
      <c r="BC440">
        <v>1.8317799999999999E-2</v>
      </c>
      <c r="BD440">
        <v>1.2555500000000001E-2</v>
      </c>
      <c r="BE440">
        <v>1.1769E-2</v>
      </c>
      <c r="BF440">
        <v>1.6309299999999999E-2</v>
      </c>
      <c r="BG440">
        <v>1.8955400000000001E-2</v>
      </c>
      <c r="BH440">
        <v>1.54447E-2</v>
      </c>
      <c r="BI440">
        <v>8.3266599999999996E-3</v>
      </c>
      <c r="BJ440">
        <v>4.0954900000000002E-2</v>
      </c>
      <c r="BK440">
        <v>1.64078E-2</v>
      </c>
      <c r="BL440">
        <v>1.47598E-2</v>
      </c>
      <c r="BM440">
        <v>1.39224E-2</v>
      </c>
      <c r="BN440">
        <v>3.5110799999999998E-2</v>
      </c>
      <c r="BO440">
        <v>2.0372600000000001E-2</v>
      </c>
      <c r="BP440">
        <v>1.10752E-2</v>
      </c>
      <c r="BQ440">
        <v>2.35911E-2</v>
      </c>
      <c r="BR440">
        <v>2.5623300000000002E-2</v>
      </c>
      <c r="BS440">
        <v>2.2494799999999999E-2</v>
      </c>
      <c r="BT440">
        <v>1.81307E-2</v>
      </c>
      <c r="BU440">
        <v>2.0058900000000001E-2</v>
      </c>
      <c r="BV440">
        <v>5.7150100000000004E-3</v>
      </c>
      <c r="BW440">
        <v>1.00251E-2</v>
      </c>
      <c r="BX440">
        <v>1.82078E-2</v>
      </c>
      <c r="BY440">
        <v>9.8942600000000002E-3</v>
      </c>
      <c r="BZ440">
        <v>2.20086E-2</v>
      </c>
      <c r="CA440">
        <v>4.7071700000000001E-3</v>
      </c>
      <c r="CB440">
        <v>9.7911100000000004E-3</v>
      </c>
      <c r="CC440">
        <v>8.08211E-3</v>
      </c>
      <c r="CD440">
        <v>2.56902E-2</v>
      </c>
      <c r="CE440">
        <v>1.92406E-2</v>
      </c>
      <c r="CF440">
        <v>1.31279E-2</v>
      </c>
      <c r="CG440">
        <v>2.4812399999999998E-2</v>
      </c>
      <c r="CH440">
        <v>5.3072700000000002E-3</v>
      </c>
      <c r="CI440">
        <v>2.9011200000000001E-2</v>
      </c>
      <c r="CJ440">
        <v>3.22881E-2</v>
      </c>
      <c r="CK440">
        <v>2.4404700000000001E-2</v>
      </c>
      <c r="CL440">
        <v>2.0142799999999999E-2</v>
      </c>
    </row>
    <row r="441" spans="2:90" x14ac:dyDescent="0.2">
      <c r="B441">
        <v>40.5</v>
      </c>
      <c r="C441">
        <v>1.05126E-2</v>
      </c>
      <c r="D441">
        <v>4.6273399999999999E-2</v>
      </c>
      <c r="E441">
        <v>1.1314100000000001E-2</v>
      </c>
      <c r="F441">
        <v>1.94932E-3</v>
      </c>
      <c r="G441">
        <v>9.0084399999999995E-3</v>
      </c>
      <c r="H441">
        <v>1.7384299999999998E-2</v>
      </c>
      <c r="I441">
        <v>1.21511E-2</v>
      </c>
      <c r="J441">
        <v>1.3582199999999999E-2</v>
      </c>
      <c r="K441">
        <v>6.5239E-3</v>
      </c>
      <c r="L441">
        <v>8.4318199999999996E-3</v>
      </c>
      <c r="M441">
        <v>3.62628E-3</v>
      </c>
      <c r="N441">
        <v>4.26716E-4</v>
      </c>
      <c r="O441">
        <v>1.81094E-3</v>
      </c>
      <c r="P441">
        <v>1.7892999999999999E-2</v>
      </c>
      <c r="Q441">
        <v>1.25684E-2</v>
      </c>
      <c r="R441">
        <v>3.76824E-3</v>
      </c>
      <c r="S441">
        <v>1.3746599999999999E-2</v>
      </c>
      <c r="T441">
        <v>2.0785700000000001E-3</v>
      </c>
      <c r="U441">
        <v>2.6316199999999999E-3</v>
      </c>
      <c r="V441">
        <v>3.6883599999999999E-3</v>
      </c>
      <c r="W441">
        <v>9.2116300000000002E-3</v>
      </c>
      <c r="X441">
        <v>6.1727800000000001E-3</v>
      </c>
      <c r="Y441">
        <v>4.1151099999999999E-3</v>
      </c>
      <c r="Z441">
        <v>9.0361E-3</v>
      </c>
      <c r="AA441">
        <v>5.46022E-3</v>
      </c>
      <c r="AB441">
        <v>3.2880100000000001E-3</v>
      </c>
      <c r="AC441">
        <v>3.6659399999999999E-3</v>
      </c>
      <c r="AD441">
        <v>4.13643E-3</v>
      </c>
      <c r="AE441">
        <v>5.8815100000000004E-3</v>
      </c>
      <c r="AF441">
        <v>1.1857599999999999E-2</v>
      </c>
      <c r="AG441">
        <v>1.05124E-2</v>
      </c>
      <c r="AH441">
        <v>1.1304399999999999E-2</v>
      </c>
      <c r="AI441">
        <v>1.00418E-2</v>
      </c>
      <c r="AJ441">
        <v>5.2817799999999998E-3</v>
      </c>
      <c r="AK441">
        <v>8.5707500000000002E-3</v>
      </c>
      <c r="AL441">
        <v>1.1564400000000001E-2</v>
      </c>
      <c r="AM441">
        <v>2.5243100000000001E-3</v>
      </c>
      <c r="AN441">
        <v>3.4696499999999999E-3</v>
      </c>
      <c r="AO441">
        <v>9.4629499999999999E-4</v>
      </c>
      <c r="AP441">
        <v>2.74114E-3</v>
      </c>
      <c r="AQ441">
        <v>1.3198000000000001E-3</v>
      </c>
      <c r="AR441">
        <v>1.1629E-2</v>
      </c>
      <c r="AS441">
        <v>3.3787700000000001E-3</v>
      </c>
      <c r="AT441">
        <v>2.2211499999999999E-3</v>
      </c>
      <c r="AU441">
        <v>2.71777E-3</v>
      </c>
      <c r="AV441">
        <v>1.72141E-3</v>
      </c>
      <c r="AW441">
        <v>1.19296E-2</v>
      </c>
      <c r="AX441">
        <v>6.5506200000000001E-3</v>
      </c>
      <c r="AY441">
        <v>4.8237999999999996E-3</v>
      </c>
      <c r="AZ441">
        <v>2.44785E-2</v>
      </c>
      <c r="BA441">
        <v>8.9425300000000006E-3</v>
      </c>
      <c r="BB441">
        <v>2.03705E-2</v>
      </c>
      <c r="BC441">
        <v>1.6562E-2</v>
      </c>
      <c r="BD441">
        <v>9.9630099999999996E-3</v>
      </c>
      <c r="BE441">
        <v>9.0401600000000002E-3</v>
      </c>
      <c r="BF441">
        <v>1.16553E-2</v>
      </c>
      <c r="BG441">
        <v>1.5136999999999999E-2</v>
      </c>
      <c r="BH441">
        <v>1.76668E-2</v>
      </c>
      <c r="BI441">
        <v>9.4699499999999995E-3</v>
      </c>
      <c r="BJ441">
        <v>4.0417700000000001E-2</v>
      </c>
      <c r="BK441">
        <v>1.8790600000000001E-2</v>
      </c>
      <c r="BL441">
        <v>1.3580500000000001E-2</v>
      </c>
      <c r="BM441">
        <v>1.0498199999999999E-2</v>
      </c>
      <c r="BN441">
        <v>4.1859100000000003E-2</v>
      </c>
      <c r="BO441">
        <v>2.1124799999999999E-2</v>
      </c>
      <c r="BP441">
        <v>9.5566999999999996E-3</v>
      </c>
      <c r="BQ441">
        <v>2.10557E-2</v>
      </c>
      <c r="BR441">
        <v>2.88677E-2</v>
      </c>
      <c r="BS441">
        <v>1.9574999999999999E-2</v>
      </c>
      <c r="BT441">
        <v>1.7393599999999999E-2</v>
      </c>
      <c r="BU441">
        <v>1.7319399999999999E-2</v>
      </c>
      <c r="BV441">
        <v>5.9969300000000001E-3</v>
      </c>
      <c r="BW441">
        <v>9.1050300000000001E-3</v>
      </c>
      <c r="BX441">
        <v>2.1679199999999999E-2</v>
      </c>
      <c r="BY441">
        <v>1.03062E-2</v>
      </c>
      <c r="BZ441">
        <v>3.2413499999999998E-2</v>
      </c>
      <c r="CA441">
        <v>3.4892299999999998E-3</v>
      </c>
      <c r="CB441">
        <v>8.1142300000000001E-3</v>
      </c>
      <c r="CC441">
        <v>1.13276E-2</v>
      </c>
      <c r="CD441">
        <v>1.4790899999999999E-2</v>
      </c>
      <c r="CE441">
        <v>2.2407699999999999E-2</v>
      </c>
      <c r="CF441">
        <v>1.41855E-2</v>
      </c>
      <c r="CG441">
        <v>2.4847299999999999E-2</v>
      </c>
      <c r="CH441">
        <v>5.6218500000000003E-3</v>
      </c>
      <c r="CI441">
        <v>3.3510600000000001E-2</v>
      </c>
      <c r="CJ441">
        <v>2.7007900000000001E-2</v>
      </c>
      <c r="CK441">
        <v>1.9026999999999999E-2</v>
      </c>
      <c r="CL441">
        <v>1.9792799999999999E-2</v>
      </c>
    </row>
    <row r="442" spans="2:90" x14ac:dyDescent="0.2">
      <c r="B442">
        <v>41.5</v>
      </c>
      <c r="C442">
        <v>3.2974900000000001E-2</v>
      </c>
      <c r="D442">
        <v>4.4634899999999998E-2</v>
      </c>
      <c r="E442">
        <v>1.40102E-2</v>
      </c>
      <c r="F442">
        <v>2.9242999999999999E-3</v>
      </c>
      <c r="G442">
        <v>1.04633E-2</v>
      </c>
      <c r="H442">
        <v>1.3123900000000001E-2</v>
      </c>
      <c r="I442">
        <v>2.0402400000000001E-2</v>
      </c>
      <c r="J442">
        <v>1.3531E-2</v>
      </c>
      <c r="K442">
        <v>7.7873400000000002E-3</v>
      </c>
      <c r="L442">
        <v>8.7275500000000006E-3</v>
      </c>
      <c r="M442">
        <v>3.8393699999999999E-3</v>
      </c>
      <c r="N442">
        <v>8.5536E-4</v>
      </c>
      <c r="O442">
        <v>4.2149600000000002E-3</v>
      </c>
      <c r="P442">
        <v>1.29696E-2</v>
      </c>
      <c r="Q442">
        <v>1.6526099999999998E-2</v>
      </c>
      <c r="R442">
        <v>6.4579099999999999E-3</v>
      </c>
      <c r="S442">
        <v>1.68519E-2</v>
      </c>
      <c r="T442">
        <v>3.8541700000000001E-3</v>
      </c>
      <c r="U442">
        <v>3.0706800000000001E-3</v>
      </c>
      <c r="V442">
        <v>4.1924800000000002E-3</v>
      </c>
      <c r="W442">
        <v>1.3243700000000001E-2</v>
      </c>
      <c r="X442">
        <v>7.1874499999999997E-3</v>
      </c>
      <c r="Y442">
        <v>4.6878700000000002E-3</v>
      </c>
      <c r="Z442">
        <v>9.2934899999999997E-3</v>
      </c>
      <c r="AA442">
        <v>6.9366300000000001E-3</v>
      </c>
      <c r="AB442">
        <v>4.06691E-3</v>
      </c>
      <c r="AC442">
        <v>4.5534399999999997E-3</v>
      </c>
      <c r="AD442">
        <v>4.7942100000000001E-3</v>
      </c>
      <c r="AE442">
        <v>6.7515500000000003E-3</v>
      </c>
      <c r="AF442">
        <v>1.0711999999999999E-2</v>
      </c>
      <c r="AG442">
        <v>1.8530499999999998E-2</v>
      </c>
      <c r="AH442">
        <v>1.22063E-2</v>
      </c>
      <c r="AI442">
        <v>1.33507E-2</v>
      </c>
      <c r="AJ442">
        <v>6.1598800000000004E-3</v>
      </c>
      <c r="AK442">
        <v>9.4635099999999996E-3</v>
      </c>
      <c r="AL442">
        <v>1.4985399999999999E-2</v>
      </c>
      <c r="AM442">
        <v>3.4742200000000001E-3</v>
      </c>
      <c r="AN442">
        <v>4.3056800000000001E-3</v>
      </c>
      <c r="AO442">
        <v>1.0879500000000001E-3</v>
      </c>
      <c r="AP442">
        <v>4.3963099999999996E-3</v>
      </c>
      <c r="AQ442">
        <v>8.1638499999999998E-4</v>
      </c>
      <c r="AR442">
        <v>3.6700499999999998E-3</v>
      </c>
      <c r="AS442">
        <v>4.6579999999999998E-3</v>
      </c>
      <c r="AT442">
        <v>2.60852E-3</v>
      </c>
      <c r="AU442">
        <v>2.8595500000000002E-3</v>
      </c>
      <c r="AV442">
        <v>2.5826E-3</v>
      </c>
      <c r="AW442">
        <v>1.3006999999999999E-2</v>
      </c>
      <c r="AX442">
        <v>7.1481699999999997E-3</v>
      </c>
      <c r="AY442">
        <v>7.7302300000000003E-3</v>
      </c>
      <c r="AZ442">
        <v>3.0454800000000001E-2</v>
      </c>
      <c r="BA442">
        <v>8.15455E-3</v>
      </c>
      <c r="BB442">
        <v>2.77512E-2</v>
      </c>
      <c r="BC442">
        <v>2.3923900000000001E-2</v>
      </c>
      <c r="BD442">
        <v>1.1495099999999999E-2</v>
      </c>
      <c r="BE442">
        <v>8.1575799999999993E-3</v>
      </c>
      <c r="BF442">
        <v>9.4340899999999991E-3</v>
      </c>
      <c r="BG442">
        <v>2.23942E-2</v>
      </c>
      <c r="BH442">
        <v>1.7636599999999999E-2</v>
      </c>
      <c r="BI442">
        <v>8.2033899999999996E-3</v>
      </c>
      <c r="BJ442">
        <v>4.52264E-2</v>
      </c>
      <c r="BK442">
        <v>2.27516E-2</v>
      </c>
      <c r="BL442">
        <v>1.37459E-2</v>
      </c>
      <c r="BM442">
        <v>1.27241E-2</v>
      </c>
      <c r="BN442">
        <v>4.5560799999999999E-2</v>
      </c>
      <c r="BO442">
        <v>2.4049899999999999E-2</v>
      </c>
      <c r="BP442">
        <v>8.8973899999999998E-3</v>
      </c>
      <c r="BQ442">
        <v>3.3292000000000002E-2</v>
      </c>
      <c r="BR442">
        <v>2.7676599999999999E-2</v>
      </c>
      <c r="BS442">
        <v>1.9126000000000001E-2</v>
      </c>
      <c r="BT442">
        <v>1.8114100000000001E-2</v>
      </c>
      <c r="BU442">
        <v>1.6464199999999998E-2</v>
      </c>
      <c r="BV442">
        <v>6.0094500000000004E-3</v>
      </c>
      <c r="BW442">
        <v>1.1089099999999999E-2</v>
      </c>
      <c r="BX442">
        <v>2.2705099999999999E-2</v>
      </c>
      <c r="BY442">
        <v>1.62811E-2</v>
      </c>
      <c r="BZ442">
        <v>3.8503599999999999E-2</v>
      </c>
      <c r="CA442">
        <v>4.8408899999999996E-3</v>
      </c>
      <c r="CB442">
        <v>1.2303700000000001E-2</v>
      </c>
      <c r="CC442">
        <v>1.5763300000000001E-2</v>
      </c>
      <c r="CD442">
        <v>1.38177E-2</v>
      </c>
      <c r="CE442">
        <v>2.7113000000000002E-2</v>
      </c>
      <c r="CF442">
        <v>1.31742E-2</v>
      </c>
      <c r="CG442">
        <v>2.55851E-2</v>
      </c>
      <c r="CH442">
        <v>5.7068300000000004E-3</v>
      </c>
      <c r="CI442">
        <v>3.3260699999999997E-2</v>
      </c>
      <c r="CJ442">
        <v>2.2277999999999999E-2</v>
      </c>
      <c r="CK442">
        <v>1.42142E-2</v>
      </c>
      <c r="CL442">
        <v>1.9462199999999999E-2</v>
      </c>
    </row>
    <row r="443" spans="2:90" x14ac:dyDescent="0.2">
      <c r="B443">
        <v>42.5</v>
      </c>
      <c r="C443">
        <v>2.4602200000000001E-2</v>
      </c>
      <c r="D443">
        <v>4.0208300000000002E-2</v>
      </c>
      <c r="E443">
        <v>1.14723E-2</v>
      </c>
      <c r="F443">
        <v>4.68441E-3</v>
      </c>
      <c r="G443">
        <v>1.0627899999999999E-2</v>
      </c>
      <c r="H443">
        <v>1.16274E-2</v>
      </c>
      <c r="I443">
        <v>2.2777599999999999E-2</v>
      </c>
      <c r="J443">
        <v>8.98616E-3</v>
      </c>
      <c r="K443">
        <v>1.0204100000000001E-2</v>
      </c>
      <c r="L443">
        <v>1.1462200000000001E-2</v>
      </c>
      <c r="M443">
        <v>5.5615700000000001E-3</v>
      </c>
      <c r="N443">
        <v>5.6473199999999997E-4</v>
      </c>
      <c r="O443">
        <v>4.4240399999999997E-3</v>
      </c>
      <c r="P443">
        <v>1.1558000000000001E-2</v>
      </c>
      <c r="Q443">
        <v>1.2228299999999999E-2</v>
      </c>
      <c r="R443">
        <v>9.7263200000000001E-3</v>
      </c>
      <c r="S443">
        <v>2.34352E-2</v>
      </c>
      <c r="T443">
        <v>4.2191900000000003E-3</v>
      </c>
      <c r="U443">
        <v>4.7147100000000004E-3</v>
      </c>
      <c r="V443">
        <v>6.0867200000000003E-3</v>
      </c>
      <c r="W443">
        <v>1.6332200000000002E-2</v>
      </c>
      <c r="X443">
        <v>1.05402E-2</v>
      </c>
      <c r="Y443">
        <v>4.9350599999999998E-3</v>
      </c>
      <c r="Z443">
        <v>1.174E-2</v>
      </c>
      <c r="AA443">
        <v>9.2711600000000005E-3</v>
      </c>
      <c r="AB443">
        <v>4.5479400000000003E-3</v>
      </c>
      <c r="AC443">
        <v>5.3045399999999999E-3</v>
      </c>
      <c r="AD443">
        <v>4.36017E-3</v>
      </c>
      <c r="AE443">
        <v>8.0101600000000005E-3</v>
      </c>
      <c r="AF443">
        <v>9.5597500000000005E-3</v>
      </c>
      <c r="AG443">
        <v>1.9297499999999999E-2</v>
      </c>
      <c r="AH443">
        <v>1.21905E-2</v>
      </c>
      <c r="AI443">
        <v>1.4830400000000001E-2</v>
      </c>
      <c r="AJ443">
        <v>7.8148499999999999E-3</v>
      </c>
      <c r="AK443">
        <v>1.0827399999999999E-2</v>
      </c>
      <c r="AL443">
        <v>1.6955600000000001E-2</v>
      </c>
      <c r="AM443">
        <v>5.1885899999999999E-3</v>
      </c>
      <c r="AN443">
        <v>6.31228E-3</v>
      </c>
      <c r="AO443">
        <v>1.82646E-3</v>
      </c>
      <c r="AP443">
        <v>2.66366E-3</v>
      </c>
      <c r="AQ443">
        <v>2.7837000000000001E-3</v>
      </c>
      <c r="AR443">
        <v>6.2484799999999998E-3</v>
      </c>
      <c r="AS443">
        <v>7.3033899999999999E-3</v>
      </c>
      <c r="AT443">
        <v>3.3613800000000002E-3</v>
      </c>
      <c r="AU443">
        <v>3.7208599999999999E-3</v>
      </c>
      <c r="AV443">
        <v>4.1861399999999997E-3</v>
      </c>
      <c r="AW443">
        <v>1.70914E-2</v>
      </c>
      <c r="AX443">
        <v>1.07986E-2</v>
      </c>
      <c r="AY443">
        <v>6.1892400000000004E-3</v>
      </c>
      <c r="AZ443">
        <v>2.9604700000000001E-2</v>
      </c>
      <c r="BA443">
        <v>8.8410999999999993E-3</v>
      </c>
      <c r="BB443">
        <v>3.1201199999999998E-2</v>
      </c>
      <c r="BC443">
        <v>2.2225999999999999E-2</v>
      </c>
      <c r="BD443">
        <v>1.1420100000000001E-2</v>
      </c>
      <c r="BE443">
        <v>6.8862200000000002E-3</v>
      </c>
      <c r="BF443">
        <v>8.69902E-3</v>
      </c>
      <c r="BG443">
        <v>1.9536100000000001E-2</v>
      </c>
      <c r="BH443">
        <v>2.12356E-2</v>
      </c>
      <c r="BI443">
        <v>1.5825200000000001E-2</v>
      </c>
      <c r="BJ443">
        <v>4.5752300000000003E-2</v>
      </c>
      <c r="BK443">
        <v>2.5356500000000001E-2</v>
      </c>
      <c r="BL443">
        <v>1.47837E-2</v>
      </c>
      <c r="BM443">
        <v>1.2246999999999999E-2</v>
      </c>
      <c r="BN443">
        <v>5.06314E-2</v>
      </c>
      <c r="BO443">
        <v>2.4443400000000001E-2</v>
      </c>
      <c r="BP443">
        <v>7.6799499999999996E-3</v>
      </c>
      <c r="BQ443">
        <v>2.92765E-2</v>
      </c>
      <c r="BR443">
        <v>3.1277600000000003E-2</v>
      </c>
      <c r="BS443">
        <v>1.7297799999999999E-2</v>
      </c>
      <c r="BT443">
        <v>1.8349500000000001E-2</v>
      </c>
      <c r="BU443">
        <v>1.3403699999999999E-2</v>
      </c>
      <c r="BV443">
        <v>5.2909000000000003E-3</v>
      </c>
      <c r="BW443">
        <v>9.9764799999999994E-3</v>
      </c>
      <c r="BX443">
        <v>2.2693899999999999E-2</v>
      </c>
      <c r="BY443">
        <v>1.7364999999999998E-2</v>
      </c>
      <c r="BZ443">
        <v>4.13812E-2</v>
      </c>
      <c r="CA443">
        <v>4.5018100000000002E-3</v>
      </c>
      <c r="CB443">
        <v>1.5675000000000001E-2</v>
      </c>
      <c r="CC443">
        <v>2.4752799999999998E-2</v>
      </c>
      <c r="CD443">
        <v>1.0356199999999999E-2</v>
      </c>
      <c r="CE443">
        <v>3.3702900000000001E-2</v>
      </c>
      <c r="CF443">
        <v>1.53119E-2</v>
      </c>
      <c r="CG443">
        <v>2.6341199999999999E-2</v>
      </c>
      <c r="CH443">
        <v>7.9257400000000006E-3</v>
      </c>
      <c r="CI443">
        <v>3.6015600000000002E-2</v>
      </c>
      <c r="CJ443">
        <v>1.6711899999999998E-2</v>
      </c>
      <c r="CK443">
        <v>9.4541199999999999E-3</v>
      </c>
      <c r="CL443">
        <v>1.6809899999999999E-2</v>
      </c>
    </row>
    <row r="444" spans="2:90" x14ac:dyDescent="0.2">
      <c r="B444">
        <v>43.5</v>
      </c>
      <c r="C444">
        <v>2.4199200000000001E-2</v>
      </c>
      <c r="D444">
        <v>4.7174300000000002E-2</v>
      </c>
      <c r="E444">
        <v>1.37196E-2</v>
      </c>
      <c r="F444">
        <v>1.3539600000000001E-2</v>
      </c>
      <c r="G444">
        <v>1.0256599999999999E-2</v>
      </c>
      <c r="H444">
        <v>1.07273E-2</v>
      </c>
      <c r="I444">
        <v>4.4840400000000002E-2</v>
      </c>
      <c r="J444">
        <v>1.4257000000000001E-2</v>
      </c>
      <c r="K444">
        <v>1.1705999999999999E-2</v>
      </c>
      <c r="L444">
        <v>1.5869100000000001E-2</v>
      </c>
      <c r="M444">
        <v>7.6025700000000003E-3</v>
      </c>
      <c r="N444">
        <v>4.8012599999999999E-4</v>
      </c>
      <c r="O444">
        <v>5.2843899999999999E-3</v>
      </c>
      <c r="P444">
        <v>1.32666E-2</v>
      </c>
      <c r="Q444">
        <v>1.52135E-2</v>
      </c>
      <c r="R444">
        <v>1.34679E-2</v>
      </c>
      <c r="S444">
        <v>2.4061699999999998E-2</v>
      </c>
      <c r="T444">
        <v>6.7347400000000003E-3</v>
      </c>
      <c r="U444">
        <v>5.59969E-3</v>
      </c>
      <c r="V444">
        <v>8.0216599999999999E-3</v>
      </c>
      <c r="W444">
        <v>1.8192199999999999E-2</v>
      </c>
      <c r="X444">
        <v>9.9655999999999998E-3</v>
      </c>
      <c r="Y444">
        <v>6.42006E-3</v>
      </c>
      <c r="Z444">
        <v>1.2731299999999999E-2</v>
      </c>
      <c r="AA444">
        <v>1.1021E-2</v>
      </c>
      <c r="AB444">
        <v>5.4681599999999997E-3</v>
      </c>
      <c r="AC444">
        <v>6.32674E-3</v>
      </c>
      <c r="AD444">
        <v>4.4471500000000004E-3</v>
      </c>
      <c r="AE444">
        <v>6.1787500000000002E-3</v>
      </c>
      <c r="AF444">
        <v>8.3380299999999997E-3</v>
      </c>
      <c r="AG444">
        <v>2.1604700000000001E-2</v>
      </c>
      <c r="AH444">
        <v>1.12082E-2</v>
      </c>
      <c r="AI444">
        <v>1.76329E-2</v>
      </c>
      <c r="AJ444">
        <v>6.9221700000000001E-3</v>
      </c>
      <c r="AK444">
        <v>1.0650400000000001E-2</v>
      </c>
      <c r="AL444">
        <v>2.1044E-2</v>
      </c>
      <c r="AM444">
        <v>6.7282599999999998E-3</v>
      </c>
      <c r="AN444">
        <v>8.0136099999999991E-3</v>
      </c>
      <c r="AO444">
        <v>2.0286700000000002E-3</v>
      </c>
      <c r="AP444">
        <v>5.3354700000000001E-3</v>
      </c>
      <c r="AQ444">
        <v>1.06117E-3</v>
      </c>
      <c r="AR444">
        <v>1.9200599999999999E-3</v>
      </c>
      <c r="AS444">
        <v>7.1166099999999998E-3</v>
      </c>
      <c r="AT444">
        <v>6.2002400000000001E-3</v>
      </c>
      <c r="AU444">
        <v>4.3902500000000001E-3</v>
      </c>
      <c r="AV444">
        <v>5.2909999999999997E-3</v>
      </c>
      <c r="AW444">
        <v>1.9203999999999999E-2</v>
      </c>
      <c r="AX444">
        <v>1.1911100000000001E-2</v>
      </c>
      <c r="AY444">
        <v>7.51645E-3</v>
      </c>
      <c r="AZ444">
        <v>3.04392E-2</v>
      </c>
      <c r="BA444">
        <v>1.05921E-2</v>
      </c>
      <c r="BB444">
        <v>3.1364400000000001E-2</v>
      </c>
      <c r="BC444">
        <v>1.9661999999999999E-2</v>
      </c>
      <c r="BD444">
        <v>1.3705E-2</v>
      </c>
      <c r="BE444">
        <v>6.6180099999999997E-3</v>
      </c>
      <c r="BF444">
        <v>8.3325499999999993E-3</v>
      </c>
      <c r="BG444">
        <v>2.2799099999999999E-2</v>
      </c>
      <c r="BH444">
        <v>2.1247700000000001E-2</v>
      </c>
      <c r="BI444">
        <v>1.34471E-2</v>
      </c>
      <c r="BJ444">
        <v>4.2729000000000003E-2</v>
      </c>
      <c r="BK444">
        <v>3.0633400000000002E-2</v>
      </c>
      <c r="BL444">
        <v>1.46556E-2</v>
      </c>
      <c r="BM444">
        <v>1.40514E-2</v>
      </c>
      <c r="BN444">
        <v>4.9456800000000002E-2</v>
      </c>
      <c r="BO444">
        <v>2.7637999999999999E-2</v>
      </c>
      <c r="BP444">
        <v>7.9843499999999994E-3</v>
      </c>
      <c r="BQ444">
        <v>3.6848199999999998E-2</v>
      </c>
      <c r="BR444">
        <v>3.69062E-2</v>
      </c>
      <c r="BS444">
        <v>1.66765E-2</v>
      </c>
      <c r="BT444">
        <v>1.9151399999999999E-2</v>
      </c>
      <c r="BU444">
        <v>1.40833E-2</v>
      </c>
      <c r="BV444">
        <v>6.5884699999999999E-3</v>
      </c>
      <c r="BW444">
        <v>1.07689E-2</v>
      </c>
      <c r="BX444">
        <v>2.07619E-2</v>
      </c>
      <c r="BY444">
        <v>3.04789E-2</v>
      </c>
      <c r="BZ444">
        <v>4.4479699999999997E-2</v>
      </c>
      <c r="CA444">
        <v>6.5251099999999998E-3</v>
      </c>
      <c r="CB444">
        <v>1.9301200000000001E-2</v>
      </c>
      <c r="CC444">
        <v>2.5520299999999999E-2</v>
      </c>
      <c r="CD444">
        <v>1.9451900000000001E-2</v>
      </c>
      <c r="CE444">
        <v>3.542E-2</v>
      </c>
      <c r="CF444">
        <v>1.8723799999999999E-2</v>
      </c>
      <c r="CG444">
        <v>2.2189899999999999E-2</v>
      </c>
      <c r="CH444">
        <v>7.1791499999999996E-3</v>
      </c>
      <c r="CI444">
        <v>3.2867399999999998E-2</v>
      </c>
      <c r="CJ444">
        <v>1.4342199999999999E-2</v>
      </c>
      <c r="CK444">
        <v>8.6005000000000005E-3</v>
      </c>
      <c r="CL444">
        <v>1.5462800000000001E-2</v>
      </c>
    </row>
    <row r="445" spans="2:90" x14ac:dyDescent="0.2">
      <c r="B445">
        <v>44.5</v>
      </c>
      <c r="C445">
        <v>2.5504700000000002E-2</v>
      </c>
      <c r="D445">
        <v>4.3508499999999999E-2</v>
      </c>
      <c r="E445">
        <v>3.01085E-2</v>
      </c>
      <c r="F445">
        <v>1.11115E-2</v>
      </c>
      <c r="G445">
        <v>9.8008999999999995E-3</v>
      </c>
      <c r="H445">
        <v>9.5797899999999995E-3</v>
      </c>
      <c r="I445">
        <v>2.6374499999999999E-2</v>
      </c>
      <c r="J445">
        <v>2.0049899999999999E-2</v>
      </c>
      <c r="K445">
        <v>1.4519000000000001E-2</v>
      </c>
      <c r="L445">
        <v>1.6379000000000001E-2</v>
      </c>
      <c r="M445">
        <v>8.8475700000000008E-3</v>
      </c>
      <c r="N445">
        <v>5.93276E-4</v>
      </c>
      <c r="O445">
        <v>9.2487899999999998E-3</v>
      </c>
      <c r="P445">
        <v>1.4621E-2</v>
      </c>
      <c r="Q445">
        <v>2.0961199999999999E-2</v>
      </c>
      <c r="R445">
        <v>1.93206E-2</v>
      </c>
      <c r="S445">
        <v>2.3553299999999999E-2</v>
      </c>
      <c r="T445">
        <v>8.9764300000000005E-3</v>
      </c>
      <c r="U445">
        <v>8.2263700000000002E-3</v>
      </c>
      <c r="V445">
        <v>8.7613199999999995E-3</v>
      </c>
      <c r="W445">
        <v>2.1980599999999999E-2</v>
      </c>
      <c r="X445">
        <v>1.32966E-2</v>
      </c>
      <c r="Y445">
        <v>8.1399000000000003E-3</v>
      </c>
      <c r="Z445">
        <v>1.4314500000000001E-2</v>
      </c>
      <c r="AA445">
        <v>1.3563800000000001E-2</v>
      </c>
      <c r="AB445">
        <v>7.5443999999999997E-3</v>
      </c>
      <c r="AC445">
        <v>8.2859400000000003E-3</v>
      </c>
      <c r="AD445">
        <v>6.1680600000000004E-3</v>
      </c>
      <c r="AE445">
        <v>9.9114400000000005E-3</v>
      </c>
      <c r="AF445">
        <v>9.7376000000000008E-3</v>
      </c>
      <c r="AG445">
        <v>2.4112499999999999E-2</v>
      </c>
      <c r="AH445">
        <v>1.09461E-2</v>
      </c>
      <c r="AI445">
        <v>2.38225E-2</v>
      </c>
      <c r="AJ445">
        <v>8.4162500000000001E-3</v>
      </c>
      <c r="AK445">
        <v>1.2956000000000001E-2</v>
      </c>
      <c r="AL445">
        <v>1.7935799999999998E-2</v>
      </c>
      <c r="AM445">
        <v>8.7715799999999993E-3</v>
      </c>
      <c r="AN445">
        <v>1.04253E-2</v>
      </c>
      <c r="AO445">
        <v>3.33279E-3</v>
      </c>
      <c r="AP445">
        <v>3.9720299999999997E-3</v>
      </c>
      <c r="AQ445">
        <v>8.0123399999999997E-3</v>
      </c>
      <c r="AR445">
        <v>3.76275E-3</v>
      </c>
      <c r="AS445">
        <v>9.0957299999999998E-3</v>
      </c>
      <c r="AT445">
        <v>4.1198700000000003E-3</v>
      </c>
      <c r="AU445">
        <v>5.9138000000000003E-3</v>
      </c>
      <c r="AV445">
        <v>6.8681999999999997E-3</v>
      </c>
      <c r="AW445">
        <v>2.6708699999999998E-2</v>
      </c>
      <c r="AX445">
        <v>1.6112100000000001E-2</v>
      </c>
      <c r="AY445">
        <v>7.7322199999999997E-3</v>
      </c>
      <c r="AZ445">
        <v>2.8566600000000001E-2</v>
      </c>
      <c r="BA445">
        <v>1.2030900000000001E-2</v>
      </c>
      <c r="BB445">
        <v>3.1275900000000002E-2</v>
      </c>
      <c r="BC445">
        <v>3.1856799999999998E-2</v>
      </c>
      <c r="BD445">
        <v>1.77819E-2</v>
      </c>
      <c r="BE445">
        <v>5.6350699999999998E-3</v>
      </c>
      <c r="BF445">
        <v>7.0602699999999996E-3</v>
      </c>
      <c r="BG445">
        <v>2.5152999999999998E-2</v>
      </c>
      <c r="BH445">
        <v>2.2473300000000002E-2</v>
      </c>
      <c r="BI445">
        <v>1.1796600000000001E-2</v>
      </c>
      <c r="BJ445">
        <v>3.7091399999999997E-2</v>
      </c>
      <c r="BK445">
        <v>2.7760099999999999E-2</v>
      </c>
      <c r="BL445">
        <v>1.8391299999999999E-2</v>
      </c>
      <c r="BM445">
        <v>1.33151E-2</v>
      </c>
      <c r="BN445">
        <v>4.3043499999999998E-2</v>
      </c>
      <c r="BO445">
        <v>2.4452000000000002E-2</v>
      </c>
      <c r="BP445">
        <v>9.3989799999999995E-3</v>
      </c>
      <c r="BQ445">
        <v>3.2148299999999998E-2</v>
      </c>
      <c r="BR445">
        <v>3.4394599999999997E-2</v>
      </c>
      <c r="BS445">
        <v>1.43392E-2</v>
      </c>
      <c r="BT445">
        <v>1.48199E-2</v>
      </c>
      <c r="BU445">
        <v>1.20613E-2</v>
      </c>
      <c r="BV445">
        <v>6.0500900000000002E-3</v>
      </c>
      <c r="BW445">
        <v>1.0541399999999999E-2</v>
      </c>
      <c r="BX445">
        <v>2.00439E-2</v>
      </c>
      <c r="BY445">
        <v>2.02004E-2</v>
      </c>
      <c r="BZ445">
        <v>4.2052399999999997E-2</v>
      </c>
      <c r="CA445">
        <v>6.1787099999999996E-3</v>
      </c>
      <c r="CB445">
        <v>2.3107200000000001E-2</v>
      </c>
      <c r="CC445">
        <v>3.6528400000000003E-2</v>
      </c>
      <c r="CD445">
        <v>1.92885E-2</v>
      </c>
      <c r="CE445">
        <v>4.7214300000000001E-2</v>
      </c>
      <c r="CF445">
        <v>1.6190099999999999E-2</v>
      </c>
      <c r="CG445">
        <v>1.8391100000000001E-2</v>
      </c>
      <c r="CH445">
        <v>7.0409899999999996E-3</v>
      </c>
      <c r="CI445">
        <v>3.4371800000000001E-2</v>
      </c>
      <c r="CJ445">
        <v>1.50013E-2</v>
      </c>
      <c r="CK445">
        <v>8.0897399999999998E-3</v>
      </c>
      <c r="CL445">
        <v>2.0242799999999998E-2</v>
      </c>
    </row>
    <row r="446" spans="2:90" x14ac:dyDescent="0.2">
      <c r="B446">
        <v>45.5</v>
      </c>
      <c r="C446">
        <v>3.7363300000000002E-2</v>
      </c>
      <c r="D446">
        <v>4.1643699999999999E-2</v>
      </c>
      <c r="E446">
        <v>2.1659100000000001E-2</v>
      </c>
      <c r="F446">
        <v>7.9506300000000002E-3</v>
      </c>
      <c r="G446">
        <v>8.8870800000000003E-3</v>
      </c>
      <c r="H446">
        <v>7.7201800000000001E-3</v>
      </c>
      <c r="I446">
        <v>4.6302200000000002E-2</v>
      </c>
      <c r="J446">
        <v>1.84473E-2</v>
      </c>
      <c r="K446">
        <v>1.6952999999999999E-2</v>
      </c>
      <c r="L446">
        <v>2.01864E-2</v>
      </c>
      <c r="M446">
        <v>1.19106E-2</v>
      </c>
      <c r="N446">
        <v>9.6360800000000002E-4</v>
      </c>
      <c r="O446">
        <v>1.05989E-2</v>
      </c>
      <c r="P446">
        <v>1.76153E-2</v>
      </c>
      <c r="Q446">
        <v>2.5318E-2</v>
      </c>
      <c r="R446">
        <v>2.1384400000000001E-2</v>
      </c>
      <c r="S446">
        <v>2.28709E-2</v>
      </c>
      <c r="T446">
        <v>1.04311E-2</v>
      </c>
      <c r="U446">
        <v>8.8217499999999997E-3</v>
      </c>
      <c r="V446">
        <v>1.1374799999999999E-2</v>
      </c>
      <c r="W446">
        <v>2.2482700000000001E-2</v>
      </c>
      <c r="X446">
        <v>1.70785E-2</v>
      </c>
      <c r="Y446">
        <v>9.6496199999999994E-3</v>
      </c>
      <c r="Z446">
        <v>1.5395300000000001E-2</v>
      </c>
      <c r="AA446">
        <v>1.4747100000000001E-2</v>
      </c>
      <c r="AB446">
        <v>9.6069999999999992E-3</v>
      </c>
      <c r="AC446">
        <v>9.4082899999999997E-3</v>
      </c>
      <c r="AD446">
        <v>9.0878999999999995E-3</v>
      </c>
      <c r="AE446">
        <v>8.3643599999999995E-3</v>
      </c>
      <c r="AF446">
        <v>9.7438799999999999E-3</v>
      </c>
      <c r="AG446">
        <v>2.8021399999999998E-2</v>
      </c>
      <c r="AH446">
        <v>1.1094100000000001E-2</v>
      </c>
      <c r="AI446">
        <v>2.8212000000000001E-2</v>
      </c>
      <c r="AJ446">
        <v>1.06029E-2</v>
      </c>
      <c r="AK446">
        <v>1.3621899999999999E-2</v>
      </c>
      <c r="AL446">
        <v>1.8591199999999999E-2</v>
      </c>
      <c r="AM446">
        <v>1.0154399999999999E-2</v>
      </c>
      <c r="AN446">
        <v>1.35882E-2</v>
      </c>
      <c r="AO446">
        <v>4.3073399999999998E-3</v>
      </c>
      <c r="AP446">
        <v>7.1325900000000003E-3</v>
      </c>
      <c r="AQ446">
        <v>2.8323200000000001E-3</v>
      </c>
      <c r="AR446">
        <v>4.8275799999999997E-3</v>
      </c>
      <c r="AS446">
        <v>1.0681899999999999E-2</v>
      </c>
      <c r="AT446">
        <v>5.3660899999999996E-3</v>
      </c>
      <c r="AU446">
        <v>7.3090300000000002E-3</v>
      </c>
      <c r="AV446">
        <v>9.8770100000000003E-3</v>
      </c>
      <c r="AW446">
        <v>2.8671100000000001E-2</v>
      </c>
      <c r="AX446">
        <v>2.0464300000000001E-2</v>
      </c>
      <c r="AY446">
        <v>7.9399499999999994E-3</v>
      </c>
      <c r="AZ446">
        <v>2.7842100000000002E-2</v>
      </c>
      <c r="BA446">
        <v>1.40491E-2</v>
      </c>
      <c r="BB446">
        <v>3.0599700000000001E-2</v>
      </c>
      <c r="BC446">
        <v>2.76215E-2</v>
      </c>
      <c r="BD446">
        <v>1.64207E-2</v>
      </c>
      <c r="BE446">
        <v>6.3150699999999999E-3</v>
      </c>
      <c r="BF446">
        <v>8.4502099999999997E-3</v>
      </c>
      <c r="BG446">
        <v>1.9271E-2</v>
      </c>
      <c r="BH446">
        <v>2.5975100000000001E-2</v>
      </c>
      <c r="BI446">
        <v>1.6583799999999999E-2</v>
      </c>
      <c r="BJ446">
        <v>3.6261500000000002E-2</v>
      </c>
      <c r="BK446">
        <v>3.11512E-2</v>
      </c>
      <c r="BL446">
        <v>2.1104600000000001E-2</v>
      </c>
      <c r="BM446">
        <v>1.8006999999999999E-2</v>
      </c>
      <c r="BN446">
        <v>3.3201799999999997E-2</v>
      </c>
      <c r="BO446">
        <v>2.8584700000000001E-2</v>
      </c>
      <c r="BP446">
        <v>1.1595100000000001E-2</v>
      </c>
      <c r="BQ446">
        <v>3.1878999999999998E-2</v>
      </c>
      <c r="BR446">
        <v>3.7148100000000003E-2</v>
      </c>
      <c r="BS446">
        <v>1.3793100000000001E-2</v>
      </c>
      <c r="BT446">
        <v>1.8586700000000001E-2</v>
      </c>
      <c r="BU446">
        <v>1.2497599999999999E-2</v>
      </c>
      <c r="BV446">
        <v>6.6702699999999998E-3</v>
      </c>
      <c r="BW446">
        <v>1.0648299999999999E-2</v>
      </c>
      <c r="BX446">
        <v>1.6732199999999999E-2</v>
      </c>
      <c r="BY446">
        <v>2.18514E-2</v>
      </c>
      <c r="BZ446">
        <v>3.7982200000000001E-2</v>
      </c>
      <c r="CA446">
        <v>1.0033200000000001E-2</v>
      </c>
      <c r="CB446">
        <v>2.7923E-2</v>
      </c>
      <c r="CC446">
        <v>3.7613099999999997E-2</v>
      </c>
      <c r="CD446">
        <v>2.57912E-2</v>
      </c>
      <c r="CE446">
        <v>5.1761000000000001E-2</v>
      </c>
      <c r="CF446">
        <v>2.03775E-2</v>
      </c>
      <c r="CG446">
        <v>1.67444E-2</v>
      </c>
      <c r="CH446">
        <v>7.7684700000000004E-3</v>
      </c>
      <c r="CI446">
        <v>3.7137200000000002E-2</v>
      </c>
      <c r="CJ446">
        <v>1.4338500000000001E-2</v>
      </c>
      <c r="CK446">
        <v>8.9442600000000008E-3</v>
      </c>
      <c r="CL446">
        <v>2.26465E-2</v>
      </c>
    </row>
    <row r="447" spans="2:90" x14ac:dyDescent="0.2">
      <c r="B447">
        <v>46.5</v>
      </c>
      <c r="C447">
        <v>2.9034000000000001E-2</v>
      </c>
      <c r="D447">
        <v>3.7971600000000001E-2</v>
      </c>
      <c r="E447">
        <v>3.04526E-2</v>
      </c>
      <c r="F447">
        <v>1.05822E-2</v>
      </c>
      <c r="G447">
        <v>6.78504E-3</v>
      </c>
      <c r="H447">
        <v>9.4085100000000001E-3</v>
      </c>
      <c r="I447">
        <v>4.71093E-2</v>
      </c>
      <c r="J447">
        <v>2.3998999999999999E-2</v>
      </c>
      <c r="K447">
        <v>1.9066300000000001E-2</v>
      </c>
      <c r="L447">
        <v>1.99452E-2</v>
      </c>
      <c r="M447">
        <v>1.22553E-2</v>
      </c>
      <c r="N447">
        <v>1.4958599999999999E-3</v>
      </c>
      <c r="O447">
        <v>1.44736E-2</v>
      </c>
      <c r="P447">
        <v>1.8111499999999999E-2</v>
      </c>
      <c r="Q447">
        <v>2.2088199999999999E-2</v>
      </c>
      <c r="R447">
        <v>2.53847E-2</v>
      </c>
      <c r="S447">
        <v>2.1535599999999998E-2</v>
      </c>
      <c r="T447">
        <v>1.3034799999999999E-2</v>
      </c>
      <c r="U447">
        <v>1.04002E-2</v>
      </c>
      <c r="V447">
        <v>1.05512E-2</v>
      </c>
      <c r="W447">
        <v>2.18269E-2</v>
      </c>
      <c r="X447">
        <v>1.90724E-2</v>
      </c>
      <c r="Y447">
        <v>1.17547E-2</v>
      </c>
      <c r="Z447">
        <v>1.8819599999999999E-2</v>
      </c>
      <c r="AA447">
        <v>1.7071099999999999E-2</v>
      </c>
      <c r="AB447">
        <v>1.17302E-2</v>
      </c>
      <c r="AC447">
        <v>1.10908E-2</v>
      </c>
      <c r="AD447">
        <v>1.0357699999999999E-2</v>
      </c>
      <c r="AE447">
        <v>1.0122600000000001E-2</v>
      </c>
      <c r="AF447">
        <v>1.1486700000000001E-2</v>
      </c>
      <c r="AG447">
        <v>3.03393E-2</v>
      </c>
      <c r="AH447">
        <v>1.56142E-2</v>
      </c>
      <c r="AI447">
        <v>3.2287400000000001E-2</v>
      </c>
      <c r="AJ447">
        <v>1.1639099999999999E-2</v>
      </c>
      <c r="AK447">
        <v>1.6794199999999999E-2</v>
      </c>
      <c r="AL447">
        <v>1.7954500000000002E-2</v>
      </c>
      <c r="AM447">
        <v>1.21832E-2</v>
      </c>
      <c r="AN447">
        <v>1.5503400000000001E-2</v>
      </c>
      <c r="AO447">
        <v>4.8373499999999998E-3</v>
      </c>
      <c r="AP447">
        <v>4.5834300000000003E-3</v>
      </c>
      <c r="AQ447">
        <v>2.9767000000000001E-3</v>
      </c>
      <c r="AR447">
        <v>8.5888000000000006E-3</v>
      </c>
      <c r="AS447">
        <v>1.41805E-2</v>
      </c>
      <c r="AT447">
        <v>8.3622100000000001E-3</v>
      </c>
      <c r="AU447">
        <v>1.0154099999999999E-2</v>
      </c>
      <c r="AV447">
        <v>1.3231E-2</v>
      </c>
      <c r="AW447">
        <v>2.5773799999999999E-2</v>
      </c>
      <c r="AX447">
        <v>2.2852899999999999E-2</v>
      </c>
      <c r="AY447">
        <v>8.9069000000000006E-3</v>
      </c>
      <c r="AZ447">
        <v>2.1263500000000001E-2</v>
      </c>
      <c r="BA447">
        <v>1.3311399999999999E-2</v>
      </c>
      <c r="BB447">
        <v>3.0313099999999999E-2</v>
      </c>
      <c r="BC447">
        <v>2.9415699999999999E-2</v>
      </c>
      <c r="BD447">
        <v>1.7536400000000001E-2</v>
      </c>
      <c r="BE447">
        <v>8.7726799999999997E-3</v>
      </c>
      <c r="BF447">
        <v>7.2146099999999998E-3</v>
      </c>
      <c r="BG447">
        <v>1.9177199999999998E-2</v>
      </c>
      <c r="BH447">
        <v>1.98523E-2</v>
      </c>
      <c r="BI447">
        <v>1.8223799999999998E-2</v>
      </c>
      <c r="BJ447">
        <v>3.1816799999999999E-2</v>
      </c>
      <c r="BK447">
        <v>3.42072E-2</v>
      </c>
      <c r="BL447">
        <v>2.4860199999999999E-2</v>
      </c>
      <c r="BM447">
        <v>1.23842E-2</v>
      </c>
      <c r="BN447">
        <v>3.4128600000000002E-2</v>
      </c>
      <c r="BO447">
        <v>2.57159E-2</v>
      </c>
      <c r="BP447">
        <v>1.42115E-2</v>
      </c>
      <c r="BQ447">
        <v>2.2621499999999999E-2</v>
      </c>
      <c r="BR447">
        <v>3.3790300000000002E-2</v>
      </c>
      <c r="BS447">
        <v>1.3942700000000001E-2</v>
      </c>
      <c r="BT447">
        <v>1.51095E-2</v>
      </c>
      <c r="BU447">
        <v>1.09386E-2</v>
      </c>
      <c r="BV447">
        <v>6.3435899999999996E-3</v>
      </c>
      <c r="BW447">
        <v>8.7001999999999999E-3</v>
      </c>
      <c r="BX447">
        <v>1.7308500000000001E-2</v>
      </c>
      <c r="BY447">
        <v>2.09172E-2</v>
      </c>
      <c r="BZ447">
        <v>3.0517300000000001E-2</v>
      </c>
      <c r="CA447">
        <v>8.4795200000000008E-3</v>
      </c>
      <c r="CB447">
        <v>2.1795499999999999E-2</v>
      </c>
      <c r="CC447">
        <v>3.38759E-2</v>
      </c>
      <c r="CD447">
        <v>2.4491300000000001E-2</v>
      </c>
      <c r="CE447">
        <v>5.0198E-2</v>
      </c>
      <c r="CF447">
        <v>1.87393E-2</v>
      </c>
      <c r="CG447">
        <v>1.8130899999999998E-2</v>
      </c>
      <c r="CH447">
        <v>8.4650699999999999E-3</v>
      </c>
      <c r="CI447">
        <v>3.2866699999999999E-2</v>
      </c>
      <c r="CJ447">
        <v>1.58202E-2</v>
      </c>
      <c r="CK447">
        <v>1.12821E-2</v>
      </c>
      <c r="CL447">
        <v>2.2805200000000001E-2</v>
      </c>
    </row>
    <row r="448" spans="2:90" x14ac:dyDescent="0.2">
      <c r="B448">
        <v>47.5</v>
      </c>
      <c r="C448">
        <v>3.1586900000000001E-2</v>
      </c>
      <c r="D448">
        <v>3.3116E-2</v>
      </c>
      <c r="E448">
        <v>3.40945E-2</v>
      </c>
      <c r="F448">
        <v>1.47803E-2</v>
      </c>
      <c r="G448">
        <v>7.1904300000000003E-3</v>
      </c>
      <c r="H448">
        <v>9.5005999999999997E-3</v>
      </c>
      <c r="I448">
        <v>4.45025E-2</v>
      </c>
      <c r="J448">
        <v>2.32576E-2</v>
      </c>
      <c r="K448">
        <v>1.7764700000000001E-2</v>
      </c>
      <c r="L448">
        <v>2.0745300000000001E-2</v>
      </c>
      <c r="M448">
        <v>1.45846E-2</v>
      </c>
      <c r="N448">
        <v>1.80882E-3</v>
      </c>
      <c r="O448">
        <v>1.4968800000000001E-2</v>
      </c>
      <c r="P448">
        <v>1.736E-2</v>
      </c>
      <c r="Q448">
        <v>2.4743299999999999E-2</v>
      </c>
      <c r="R448">
        <v>2.3720600000000001E-2</v>
      </c>
      <c r="S448">
        <v>1.8831199999999999E-2</v>
      </c>
      <c r="T448">
        <v>1.51764E-2</v>
      </c>
      <c r="U448">
        <v>1.2677799999999999E-2</v>
      </c>
      <c r="V448">
        <v>1.2278600000000001E-2</v>
      </c>
      <c r="W448">
        <v>2.2079399999999999E-2</v>
      </c>
      <c r="X448">
        <v>2.2178699999999999E-2</v>
      </c>
      <c r="Y448">
        <v>1.30735E-2</v>
      </c>
      <c r="Z448">
        <v>1.7328300000000001E-2</v>
      </c>
      <c r="AA448">
        <v>1.93235E-2</v>
      </c>
      <c r="AB448">
        <v>1.3837199999999999E-2</v>
      </c>
      <c r="AC448">
        <v>1.21566E-2</v>
      </c>
      <c r="AD448">
        <v>1.2455600000000001E-2</v>
      </c>
      <c r="AE448">
        <v>1.24551E-2</v>
      </c>
      <c r="AF448">
        <v>1.22541E-2</v>
      </c>
      <c r="AG448">
        <v>3.5472099999999999E-2</v>
      </c>
      <c r="AH448">
        <v>1.8849299999999999E-2</v>
      </c>
      <c r="AI448">
        <v>3.3578700000000003E-2</v>
      </c>
      <c r="AJ448">
        <v>1.3991999999999999E-2</v>
      </c>
      <c r="AK448">
        <v>1.80529E-2</v>
      </c>
      <c r="AL448">
        <v>1.9702299999999999E-2</v>
      </c>
      <c r="AM448">
        <v>1.45291E-2</v>
      </c>
      <c r="AN448">
        <v>1.73695E-2</v>
      </c>
      <c r="AO448">
        <v>7.2700799999999999E-3</v>
      </c>
      <c r="AP448">
        <v>5.8499800000000003E-3</v>
      </c>
      <c r="AQ448">
        <v>6.6091500000000003E-3</v>
      </c>
      <c r="AR448">
        <v>5.5333099999999996E-3</v>
      </c>
      <c r="AS448">
        <v>1.16516E-2</v>
      </c>
      <c r="AT448">
        <v>1.15272E-2</v>
      </c>
      <c r="AU448">
        <v>1.3067499999999999E-2</v>
      </c>
      <c r="AV448">
        <v>1.4632600000000001E-2</v>
      </c>
      <c r="AW448">
        <v>3.11092E-2</v>
      </c>
      <c r="AX448">
        <v>2.1848200000000002E-2</v>
      </c>
      <c r="AY448">
        <v>1.1016400000000001E-2</v>
      </c>
      <c r="AZ448">
        <v>1.9104300000000001E-2</v>
      </c>
      <c r="BA448">
        <v>1.5961900000000001E-2</v>
      </c>
      <c r="BB448">
        <v>2.4138199999999999E-2</v>
      </c>
      <c r="BC448">
        <v>2.7648499999999999E-2</v>
      </c>
      <c r="BD448">
        <v>1.8430800000000001E-2</v>
      </c>
      <c r="BE448">
        <v>6.87019E-3</v>
      </c>
      <c r="BF448">
        <v>8.5054599999999994E-3</v>
      </c>
      <c r="BG448">
        <v>1.6677000000000001E-2</v>
      </c>
      <c r="BH448">
        <v>1.7801500000000001E-2</v>
      </c>
      <c r="BI448">
        <v>1.8828500000000001E-2</v>
      </c>
      <c r="BJ448">
        <v>2.1508800000000002E-2</v>
      </c>
      <c r="BK448">
        <v>3.2092200000000001E-2</v>
      </c>
      <c r="BL448">
        <v>1.6413899999999999E-2</v>
      </c>
      <c r="BM448">
        <v>1.1941800000000001E-2</v>
      </c>
      <c r="BN448">
        <v>2.6075399999999999E-2</v>
      </c>
      <c r="BO448">
        <v>3.1242599999999999E-2</v>
      </c>
      <c r="BP448">
        <v>1.1579600000000001E-2</v>
      </c>
      <c r="BQ448">
        <v>2.69065E-2</v>
      </c>
      <c r="BR448">
        <v>3.1560900000000003E-2</v>
      </c>
      <c r="BS448">
        <v>1.6088100000000001E-2</v>
      </c>
      <c r="BT448">
        <v>1.71462E-2</v>
      </c>
      <c r="BU448">
        <v>1.3288100000000001E-2</v>
      </c>
      <c r="BV448">
        <v>6.2759000000000001E-3</v>
      </c>
      <c r="BW448">
        <v>1.03672E-2</v>
      </c>
      <c r="BX448">
        <v>1.4774199999999999E-2</v>
      </c>
      <c r="BY448">
        <v>2.06777E-2</v>
      </c>
      <c r="BZ448">
        <v>2.46036E-2</v>
      </c>
      <c r="CA448">
        <v>1.50049E-2</v>
      </c>
      <c r="CB448">
        <v>2.06596E-2</v>
      </c>
      <c r="CC448">
        <v>3.1100599999999999E-2</v>
      </c>
      <c r="CD448">
        <v>2.4260400000000001E-2</v>
      </c>
      <c r="CE448">
        <v>5.1235999999999997E-2</v>
      </c>
      <c r="CF448">
        <v>1.9569E-2</v>
      </c>
      <c r="CG448">
        <v>1.66824E-2</v>
      </c>
      <c r="CH448">
        <v>7.3425599999999997E-3</v>
      </c>
      <c r="CI448">
        <v>3.1544200000000001E-2</v>
      </c>
      <c r="CJ448">
        <v>1.8244900000000001E-2</v>
      </c>
      <c r="CK448">
        <v>1.38998E-2</v>
      </c>
      <c r="CL448">
        <v>2.4715399999999998E-2</v>
      </c>
    </row>
    <row r="449" spans="2:90" x14ac:dyDescent="0.2">
      <c r="B449">
        <v>48.5</v>
      </c>
      <c r="C449">
        <v>3.0593499999999999E-2</v>
      </c>
      <c r="D449">
        <v>3.1047700000000001E-2</v>
      </c>
      <c r="E449">
        <v>3.1093699999999998E-2</v>
      </c>
      <c r="F449">
        <v>1.5340700000000001E-2</v>
      </c>
      <c r="G449">
        <v>5.1733600000000001E-3</v>
      </c>
      <c r="H449">
        <v>7.0469299999999999E-3</v>
      </c>
      <c r="I449">
        <v>5.2585199999999999E-2</v>
      </c>
      <c r="J449">
        <v>2.4957799999999999E-2</v>
      </c>
      <c r="K449">
        <v>1.7641500000000001E-2</v>
      </c>
      <c r="L449">
        <v>1.91156E-2</v>
      </c>
      <c r="M449">
        <v>1.49575E-2</v>
      </c>
      <c r="N449">
        <v>2.5481100000000001E-3</v>
      </c>
      <c r="O449">
        <v>1.5602599999999999E-2</v>
      </c>
      <c r="P449">
        <v>1.9370999999999999E-2</v>
      </c>
      <c r="Q449">
        <v>2.5578300000000002E-2</v>
      </c>
      <c r="R449">
        <v>2.2265400000000001E-2</v>
      </c>
      <c r="S449">
        <v>1.8318399999999999E-2</v>
      </c>
      <c r="T449">
        <v>1.8326800000000001E-2</v>
      </c>
      <c r="U449">
        <v>1.26661E-2</v>
      </c>
      <c r="V449">
        <v>1.5159199999999999E-2</v>
      </c>
      <c r="W449">
        <v>2.26803E-2</v>
      </c>
      <c r="X449">
        <v>2.16913E-2</v>
      </c>
      <c r="Y449">
        <v>1.5944199999999999E-2</v>
      </c>
      <c r="Z449">
        <v>1.9323300000000002E-2</v>
      </c>
      <c r="AA449">
        <v>2.0349699999999998E-2</v>
      </c>
      <c r="AB449">
        <v>1.6714300000000001E-2</v>
      </c>
      <c r="AC449">
        <v>1.4256100000000001E-2</v>
      </c>
      <c r="AD449">
        <v>1.49225E-2</v>
      </c>
      <c r="AE449">
        <v>1.3828699999999999E-2</v>
      </c>
      <c r="AF449">
        <v>1.33364E-2</v>
      </c>
      <c r="AG449">
        <v>3.6715100000000001E-2</v>
      </c>
      <c r="AH449">
        <v>1.9159499999999999E-2</v>
      </c>
      <c r="AI449">
        <v>3.4379199999999999E-2</v>
      </c>
      <c r="AJ449">
        <v>1.9673300000000001E-2</v>
      </c>
      <c r="AK449">
        <v>1.6515499999999999E-2</v>
      </c>
      <c r="AL449">
        <v>2.0537699999999999E-2</v>
      </c>
      <c r="AM449">
        <v>1.4939600000000001E-2</v>
      </c>
      <c r="AN449">
        <v>1.7162799999999999E-2</v>
      </c>
      <c r="AO449">
        <v>9.8345800000000008E-3</v>
      </c>
      <c r="AP449">
        <v>7.5046000000000002E-3</v>
      </c>
      <c r="AQ449">
        <v>6.9961700000000003E-3</v>
      </c>
      <c r="AR449">
        <v>5.3456700000000003E-3</v>
      </c>
      <c r="AS449">
        <v>1.2934299999999999E-2</v>
      </c>
      <c r="AT449">
        <v>1.9923E-2</v>
      </c>
      <c r="AU449">
        <v>1.38107E-2</v>
      </c>
      <c r="AV449">
        <v>1.6480499999999999E-2</v>
      </c>
      <c r="AW449">
        <v>3.1139900000000002E-2</v>
      </c>
      <c r="AX449">
        <v>2.2682299999999999E-2</v>
      </c>
      <c r="AY449">
        <v>8.7101000000000001E-3</v>
      </c>
      <c r="AZ449">
        <v>1.4404699999999999E-2</v>
      </c>
      <c r="BA449">
        <v>1.4141300000000001E-2</v>
      </c>
      <c r="BB449">
        <v>2.4107799999999999E-2</v>
      </c>
      <c r="BC449">
        <v>2.46311E-2</v>
      </c>
      <c r="BD449">
        <v>1.7282700000000002E-2</v>
      </c>
      <c r="BE449">
        <v>7.18931E-3</v>
      </c>
      <c r="BF449">
        <v>1.0233600000000001E-2</v>
      </c>
      <c r="BG449">
        <v>1.4746499999999999E-2</v>
      </c>
      <c r="BH449">
        <v>1.8502299999999999E-2</v>
      </c>
      <c r="BI449">
        <v>2.1410700000000001E-2</v>
      </c>
      <c r="BJ449">
        <v>2.05101E-2</v>
      </c>
      <c r="BK449">
        <v>3.1655299999999997E-2</v>
      </c>
      <c r="BL449">
        <v>1.85442E-2</v>
      </c>
      <c r="BM449">
        <v>1.40679E-2</v>
      </c>
      <c r="BN449">
        <v>1.9497199999999999E-2</v>
      </c>
      <c r="BO449">
        <v>2.73061E-2</v>
      </c>
      <c r="BP449">
        <v>1.3418100000000001E-2</v>
      </c>
      <c r="BQ449">
        <v>1.5400499999999999E-2</v>
      </c>
      <c r="BR449">
        <v>2.28182E-2</v>
      </c>
      <c r="BS449">
        <v>1.5718699999999999E-2</v>
      </c>
      <c r="BT449">
        <v>1.17416E-2</v>
      </c>
      <c r="BU449">
        <v>1.2442999999999999E-2</v>
      </c>
      <c r="BV449">
        <v>4.7175400000000001E-3</v>
      </c>
      <c r="BW449">
        <v>9.3620500000000002E-3</v>
      </c>
      <c r="BX449">
        <v>1.0788600000000001E-2</v>
      </c>
      <c r="BY449">
        <v>1.62068E-2</v>
      </c>
      <c r="BZ449">
        <v>1.67718E-2</v>
      </c>
      <c r="CA449">
        <v>1.4326200000000001E-2</v>
      </c>
      <c r="CB449">
        <v>1.9006599999999998E-2</v>
      </c>
      <c r="CC449">
        <v>2.73528E-2</v>
      </c>
      <c r="CD449">
        <v>2.20775E-2</v>
      </c>
      <c r="CE449">
        <v>4.4320499999999999E-2</v>
      </c>
      <c r="CF449">
        <v>2.2306900000000001E-2</v>
      </c>
      <c r="CG449">
        <v>2.02712E-2</v>
      </c>
      <c r="CH449">
        <v>6.5701800000000001E-3</v>
      </c>
      <c r="CI449">
        <v>2.8165599999999999E-2</v>
      </c>
      <c r="CJ449">
        <v>1.9133799999999999E-2</v>
      </c>
      <c r="CK449">
        <v>1.7740599999999999E-2</v>
      </c>
      <c r="CL449">
        <v>2.61873E-2</v>
      </c>
    </row>
    <row r="450" spans="2:90" x14ac:dyDescent="0.2">
      <c r="B450">
        <v>49.5</v>
      </c>
      <c r="C450">
        <v>3.5708400000000001E-2</v>
      </c>
      <c r="D450">
        <v>3.1692999999999999E-2</v>
      </c>
      <c r="E450">
        <v>3.1625500000000001E-2</v>
      </c>
      <c r="F450">
        <v>1.71878E-2</v>
      </c>
      <c r="G450">
        <v>4.3995199999999996E-3</v>
      </c>
      <c r="H450">
        <v>8.8248400000000005E-3</v>
      </c>
      <c r="I450">
        <v>3.40916E-2</v>
      </c>
      <c r="J450">
        <v>2.62277E-2</v>
      </c>
      <c r="K450">
        <v>1.7352300000000001E-2</v>
      </c>
      <c r="L450">
        <v>1.9268400000000001E-2</v>
      </c>
      <c r="M450">
        <v>1.6616200000000001E-2</v>
      </c>
      <c r="N450">
        <v>2.2807299999999999E-3</v>
      </c>
      <c r="O450">
        <v>1.6027599999999999E-2</v>
      </c>
      <c r="P450">
        <v>1.9703399999999999E-2</v>
      </c>
      <c r="Q450">
        <v>4.52177E-2</v>
      </c>
      <c r="R450">
        <v>2.49056E-2</v>
      </c>
      <c r="S450">
        <v>1.8949299999999999E-2</v>
      </c>
      <c r="T450">
        <v>2.17012E-2</v>
      </c>
      <c r="U450">
        <v>1.4055E-2</v>
      </c>
      <c r="V450">
        <v>1.4536800000000001E-2</v>
      </c>
      <c r="W450">
        <v>2.1565600000000001E-2</v>
      </c>
      <c r="X450">
        <v>2.91481E-2</v>
      </c>
      <c r="Y450">
        <v>1.8108099999999999E-2</v>
      </c>
      <c r="Z450">
        <v>2.0896700000000001E-2</v>
      </c>
      <c r="AA450">
        <v>2.27599E-2</v>
      </c>
      <c r="AB450">
        <v>2.0331200000000001E-2</v>
      </c>
      <c r="AC450">
        <v>1.5355499999999999E-2</v>
      </c>
      <c r="AD450">
        <v>1.7169400000000001E-2</v>
      </c>
      <c r="AE450">
        <v>1.42179E-2</v>
      </c>
      <c r="AF450">
        <v>1.5552399999999999E-2</v>
      </c>
      <c r="AG450">
        <v>3.7027900000000002E-2</v>
      </c>
      <c r="AH450">
        <v>2.2598099999999999E-2</v>
      </c>
      <c r="AI450">
        <v>3.4905100000000001E-2</v>
      </c>
      <c r="AJ450">
        <v>2.4428700000000001E-2</v>
      </c>
      <c r="AK450">
        <v>1.9866399999999999E-2</v>
      </c>
      <c r="AL450">
        <v>2.3040499999999998E-2</v>
      </c>
      <c r="AM450">
        <v>1.65585E-2</v>
      </c>
      <c r="AN450">
        <v>1.7457400000000001E-2</v>
      </c>
      <c r="AO450">
        <v>1.3549E-2</v>
      </c>
      <c r="AP450">
        <v>7.8350699999999995E-3</v>
      </c>
      <c r="AQ450">
        <v>9.2608299999999994E-3</v>
      </c>
      <c r="AR450">
        <v>6.8661800000000004E-3</v>
      </c>
      <c r="AS450">
        <v>1.5936599999999999E-2</v>
      </c>
      <c r="AT450">
        <v>2.1380400000000001E-2</v>
      </c>
      <c r="AU450">
        <v>1.52178E-2</v>
      </c>
      <c r="AV450">
        <v>1.7195200000000001E-2</v>
      </c>
      <c r="AW450">
        <v>2.6555499999999999E-2</v>
      </c>
      <c r="AX450">
        <v>2.3997500000000001E-2</v>
      </c>
      <c r="AY450">
        <v>9.0022999999999995E-3</v>
      </c>
      <c r="AZ450">
        <v>1.13572E-2</v>
      </c>
      <c r="BA450">
        <v>1.6099800000000001E-2</v>
      </c>
      <c r="BB450">
        <v>2.5003899999999999E-2</v>
      </c>
      <c r="BC450">
        <v>3.0775799999999999E-2</v>
      </c>
      <c r="BD450">
        <v>1.9944199999999999E-2</v>
      </c>
      <c r="BE450">
        <v>4.8658499999999997E-3</v>
      </c>
      <c r="BF450">
        <v>6.6954800000000002E-3</v>
      </c>
      <c r="BG450">
        <v>1.5916E-2</v>
      </c>
      <c r="BH450">
        <v>1.52202E-2</v>
      </c>
      <c r="BI450">
        <v>1.2322400000000001E-2</v>
      </c>
      <c r="BJ450">
        <v>1.6583500000000001E-2</v>
      </c>
      <c r="BK450">
        <v>3.4461100000000001E-2</v>
      </c>
      <c r="BL450">
        <v>1.4621200000000001E-2</v>
      </c>
      <c r="BM450">
        <v>1.17439E-2</v>
      </c>
      <c r="BN450">
        <v>1.6668499999999999E-2</v>
      </c>
      <c r="BO450">
        <v>2.80135E-2</v>
      </c>
      <c r="BP450">
        <v>1.2796E-2</v>
      </c>
      <c r="BQ450">
        <v>1.8657699999999999E-2</v>
      </c>
      <c r="BR450">
        <v>2.26769E-2</v>
      </c>
      <c r="BS450">
        <v>1.8958800000000001E-2</v>
      </c>
      <c r="BT450">
        <v>1.5124200000000001E-2</v>
      </c>
      <c r="BU450">
        <v>1.61777E-2</v>
      </c>
      <c r="BV450">
        <v>5.9739800000000003E-3</v>
      </c>
      <c r="BW450">
        <v>9.56013E-3</v>
      </c>
      <c r="BX450">
        <v>8.7497100000000008E-3</v>
      </c>
      <c r="BY450">
        <v>1.77223E-2</v>
      </c>
      <c r="BZ450">
        <v>1.6889700000000001E-2</v>
      </c>
      <c r="CA450">
        <v>1.8278099999999999E-2</v>
      </c>
      <c r="CB450">
        <v>1.7419799999999999E-2</v>
      </c>
      <c r="CC450">
        <v>2.3621400000000001E-2</v>
      </c>
      <c r="CD450">
        <v>2.3482800000000002E-2</v>
      </c>
      <c r="CE450">
        <v>3.9947900000000001E-2</v>
      </c>
      <c r="CF450">
        <v>2.7112199999999999E-2</v>
      </c>
      <c r="CG450">
        <v>1.8012199999999999E-2</v>
      </c>
      <c r="CH450">
        <v>8.0761800000000005E-3</v>
      </c>
      <c r="CI450">
        <v>2.4417600000000001E-2</v>
      </c>
      <c r="CJ450">
        <v>2.0901300000000001E-2</v>
      </c>
      <c r="CK450">
        <v>1.77106E-2</v>
      </c>
      <c r="CL450">
        <v>2.68907E-2</v>
      </c>
    </row>
    <row r="451" spans="2:90" x14ac:dyDescent="0.2">
      <c r="B451">
        <v>50.5</v>
      </c>
      <c r="C451">
        <v>2.2405700000000001E-2</v>
      </c>
      <c r="D451">
        <v>3.3102399999999997E-2</v>
      </c>
      <c r="E451">
        <v>3.5114800000000002E-2</v>
      </c>
      <c r="F451">
        <v>1.5701E-2</v>
      </c>
      <c r="G451">
        <v>1.7242E-2</v>
      </c>
      <c r="H451">
        <v>1.03173E-2</v>
      </c>
      <c r="I451">
        <v>2.8118899999999999E-2</v>
      </c>
      <c r="J451">
        <v>2.8863199999999999E-2</v>
      </c>
      <c r="K451">
        <v>1.4702700000000001E-2</v>
      </c>
      <c r="L451">
        <v>1.8076700000000001E-2</v>
      </c>
      <c r="M451">
        <v>1.6596199999999998E-2</v>
      </c>
      <c r="N451">
        <v>3.3844600000000002E-3</v>
      </c>
      <c r="O451">
        <v>1.47593E-2</v>
      </c>
      <c r="P451">
        <v>1.9929599999999999E-2</v>
      </c>
      <c r="Q451">
        <v>2.4203700000000002E-2</v>
      </c>
      <c r="R451">
        <v>2.0587299999999999E-2</v>
      </c>
      <c r="S451">
        <v>1.90186E-2</v>
      </c>
      <c r="T451">
        <v>2.4239E-2</v>
      </c>
      <c r="U451">
        <v>1.5889E-2</v>
      </c>
      <c r="V451">
        <v>1.5416600000000001E-2</v>
      </c>
      <c r="W451">
        <v>2.1514399999999999E-2</v>
      </c>
      <c r="X451">
        <v>2.89155E-2</v>
      </c>
      <c r="Y451">
        <v>1.9482699999999999E-2</v>
      </c>
      <c r="Z451">
        <v>2.11141E-2</v>
      </c>
      <c r="AA451">
        <v>2.4310100000000001E-2</v>
      </c>
      <c r="AB451">
        <v>2.1271000000000002E-2</v>
      </c>
      <c r="AC451">
        <v>1.6126999999999999E-2</v>
      </c>
      <c r="AD451">
        <v>1.9191199999999999E-2</v>
      </c>
      <c r="AE451">
        <v>1.5507E-2</v>
      </c>
      <c r="AF451">
        <v>1.3908800000000001E-2</v>
      </c>
      <c r="AG451">
        <v>3.8492699999999998E-2</v>
      </c>
      <c r="AH451">
        <v>2.5418400000000001E-2</v>
      </c>
      <c r="AI451">
        <v>3.1591300000000003E-2</v>
      </c>
      <c r="AJ451">
        <v>2.9793199999999999E-2</v>
      </c>
      <c r="AK451">
        <v>2.2011900000000001E-2</v>
      </c>
      <c r="AL451">
        <v>2.2159999999999999E-2</v>
      </c>
      <c r="AM451">
        <v>1.9312200000000002E-2</v>
      </c>
      <c r="AN451">
        <v>2.0224599999999999E-2</v>
      </c>
      <c r="AO451">
        <v>1.80739E-2</v>
      </c>
      <c r="AP451">
        <v>9.4774100000000003E-3</v>
      </c>
      <c r="AQ451">
        <v>1.04323E-2</v>
      </c>
      <c r="AR451">
        <v>6.1342200000000001E-3</v>
      </c>
      <c r="AS451">
        <v>1.5377699999999999E-2</v>
      </c>
      <c r="AT451">
        <v>2.3736699999999999E-2</v>
      </c>
      <c r="AU451">
        <v>1.9045300000000001E-2</v>
      </c>
      <c r="AV451">
        <v>1.5921899999999999E-2</v>
      </c>
      <c r="AW451">
        <v>2.6978700000000001E-2</v>
      </c>
      <c r="AX451">
        <v>1.92663E-2</v>
      </c>
      <c r="AY451">
        <v>7.7971300000000002E-3</v>
      </c>
      <c r="AZ451">
        <v>9.9127399999999997E-3</v>
      </c>
      <c r="BA451">
        <v>1.7463800000000002E-2</v>
      </c>
      <c r="BB451">
        <v>1.47975E-2</v>
      </c>
      <c r="BC451">
        <v>2.6522500000000001E-2</v>
      </c>
      <c r="BD451">
        <v>2.5239600000000001E-2</v>
      </c>
      <c r="BE451">
        <v>9.0921100000000005E-3</v>
      </c>
      <c r="BF451">
        <v>8.4646700000000005E-3</v>
      </c>
      <c r="BG451">
        <v>1.2345200000000001E-2</v>
      </c>
      <c r="BH451">
        <v>1.4471899999999999E-2</v>
      </c>
      <c r="BI451">
        <v>1.34918E-2</v>
      </c>
      <c r="BJ451">
        <v>1.5346500000000001E-2</v>
      </c>
      <c r="BK451">
        <v>2.9006500000000001E-2</v>
      </c>
      <c r="BL451">
        <v>1.6406199999999999E-2</v>
      </c>
      <c r="BM451">
        <v>9.7234299999999999E-3</v>
      </c>
      <c r="BN451">
        <v>1.4244100000000001E-2</v>
      </c>
      <c r="BO451">
        <v>2.0801699999999999E-2</v>
      </c>
      <c r="BP451">
        <v>1.17235E-2</v>
      </c>
      <c r="BQ451">
        <v>1.4984000000000001E-2</v>
      </c>
      <c r="BR451">
        <v>1.9211900000000001E-2</v>
      </c>
      <c r="BS451">
        <v>1.83988E-2</v>
      </c>
      <c r="BT451">
        <v>1.12017E-2</v>
      </c>
      <c r="BU451">
        <v>1.41642E-2</v>
      </c>
      <c r="BV451">
        <v>5.7172400000000002E-3</v>
      </c>
      <c r="BW451">
        <v>9.7500499999999997E-3</v>
      </c>
      <c r="BX451">
        <v>8.6694000000000007E-3</v>
      </c>
      <c r="BY451">
        <v>1.3957600000000001E-2</v>
      </c>
      <c r="BZ451">
        <v>1.3397600000000001E-2</v>
      </c>
      <c r="CA451">
        <v>2.1817199999999998E-2</v>
      </c>
      <c r="CB451">
        <v>1.39972E-2</v>
      </c>
      <c r="CC451">
        <v>1.5865400000000002E-2</v>
      </c>
      <c r="CD451">
        <v>1.65837E-2</v>
      </c>
      <c r="CE451">
        <v>3.1265599999999998E-2</v>
      </c>
      <c r="CF451">
        <v>2.5574599999999999E-2</v>
      </c>
      <c r="CG451">
        <v>1.8841E-2</v>
      </c>
      <c r="CH451">
        <v>7.3822200000000001E-3</v>
      </c>
      <c r="CI451">
        <v>1.9357300000000001E-2</v>
      </c>
      <c r="CJ451">
        <v>2.5458700000000001E-2</v>
      </c>
      <c r="CK451">
        <v>1.8494900000000002E-2</v>
      </c>
      <c r="CL451">
        <v>2.40831E-2</v>
      </c>
    </row>
    <row r="452" spans="2:90" x14ac:dyDescent="0.2">
      <c r="B452">
        <v>51.5</v>
      </c>
      <c r="C452">
        <v>2.9889200000000001E-2</v>
      </c>
      <c r="D452">
        <v>2.28013E-2</v>
      </c>
      <c r="E452">
        <v>3.0089299999999999E-2</v>
      </c>
      <c r="F452">
        <v>2.5563700000000002E-2</v>
      </c>
      <c r="G452">
        <v>6.9224300000000002E-3</v>
      </c>
      <c r="H452">
        <v>1.24236E-2</v>
      </c>
      <c r="I452">
        <v>3.7029600000000003E-2</v>
      </c>
      <c r="J452">
        <v>3.1406299999999998E-2</v>
      </c>
      <c r="K452">
        <v>1.5970399999999999E-2</v>
      </c>
      <c r="L452">
        <v>2.0778399999999999E-2</v>
      </c>
      <c r="M452">
        <v>1.67444E-2</v>
      </c>
      <c r="N452">
        <v>4.3657399999999999E-3</v>
      </c>
      <c r="O452">
        <v>1.4959500000000001E-2</v>
      </c>
      <c r="P452">
        <v>2.03547E-2</v>
      </c>
      <c r="Q452">
        <v>2.5289599999999999E-2</v>
      </c>
      <c r="R452">
        <v>2.3683200000000001E-2</v>
      </c>
      <c r="S452">
        <v>1.9216799999999999E-2</v>
      </c>
      <c r="T452">
        <v>2.5942400000000001E-2</v>
      </c>
      <c r="U452">
        <v>1.5769700000000001E-2</v>
      </c>
      <c r="V452">
        <v>1.9232300000000001E-2</v>
      </c>
      <c r="W452">
        <v>2.2222200000000001E-2</v>
      </c>
      <c r="X452">
        <v>4.2424099999999999E-2</v>
      </c>
      <c r="Y452">
        <v>2.2199199999999999E-2</v>
      </c>
      <c r="Z452">
        <v>2.4195399999999999E-2</v>
      </c>
      <c r="AA452">
        <v>2.8668599999999999E-2</v>
      </c>
      <c r="AB452">
        <v>2.36086E-2</v>
      </c>
      <c r="AC452">
        <v>1.86845E-2</v>
      </c>
      <c r="AD452">
        <v>2.1201600000000001E-2</v>
      </c>
      <c r="AE452">
        <v>1.86804E-2</v>
      </c>
      <c r="AF452">
        <v>1.9936099999999998E-2</v>
      </c>
      <c r="AG452">
        <v>3.6479400000000002E-2</v>
      </c>
      <c r="AH452">
        <v>2.69672E-2</v>
      </c>
      <c r="AI452">
        <v>2.87455E-2</v>
      </c>
      <c r="AJ452">
        <v>3.6138099999999999E-2</v>
      </c>
      <c r="AK452">
        <v>2.4696099999999999E-2</v>
      </c>
      <c r="AL452">
        <v>2.3430900000000001E-2</v>
      </c>
      <c r="AM452">
        <v>2.40193E-2</v>
      </c>
      <c r="AN452">
        <v>1.9031599999999999E-2</v>
      </c>
      <c r="AO452">
        <v>2.1430600000000001E-2</v>
      </c>
      <c r="AP452">
        <v>1.0374899999999999E-2</v>
      </c>
      <c r="AQ452">
        <v>1.21107E-2</v>
      </c>
      <c r="AR452">
        <v>7.9801400000000002E-3</v>
      </c>
      <c r="AS452">
        <v>1.48322E-2</v>
      </c>
      <c r="AT452">
        <v>2.4483000000000001E-2</v>
      </c>
      <c r="AU452">
        <v>2.0034900000000001E-2</v>
      </c>
      <c r="AV452">
        <v>2.01876E-2</v>
      </c>
      <c r="AW452">
        <v>2.56124E-2</v>
      </c>
      <c r="AX452">
        <v>1.8833800000000001E-2</v>
      </c>
      <c r="AY452">
        <v>8.9364500000000003E-3</v>
      </c>
      <c r="AZ452">
        <v>7.5854800000000003E-3</v>
      </c>
      <c r="BA452">
        <v>1.6766699999999999E-2</v>
      </c>
      <c r="BB452">
        <v>1.50396E-2</v>
      </c>
      <c r="BC452">
        <v>2.28522E-2</v>
      </c>
      <c r="BD452">
        <v>2.3191799999999999E-2</v>
      </c>
      <c r="BE452">
        <v>5.7359200000000003E-3</v>
      </c>
      <c r="BF452">
        <v>5.7459399999999997E-3</v>
      </c>
      <c r="BG452">
        <v>1.10676E-2</v>
      </c>
      <c r="BH452">
        <v>1.23842E-2</v>
      </c>
      <c r="BI452">
        <v>1.6381E-2</v>
      </c>
      <c r="BJ452">
        <v>1.24461E-2</v>
      </c>
      <c r="BK452">
        <v>3.0136799999999998E-2</v>
      </c>
      <c r="BL452">
        <v>1.9549400000000001E-2</v>
      </c>
      <c r="BM452">
        <v>9.2943000000000001E-3</v>
      </c>
      <c r="BN452">
        <v>1.25013E-2</v>
      </c>
      <c r="BO452">
        <v>2.5025499999999999E-2</v>
      </c>
      <c r="BP452">
        <v>1.33185E-2</v>
      </c>
      <c r="BQ452">
        <v>1.3607599999999999E-2</v>
      </c>
      <c r="BR452">
        <v>2.0318699999999999E-2</v>
      </c>
      <c r="BS452">
        <v>1.4878000000000001E-2</v>
      </c>
      <c r="BT452">
        <v>1.2921200000000001E-2</v>
      </c>
      <c r="BU452">
        <v>1.45772E-2</v>
      </c>
      <c r="BV452">
        <v>6.61373E-3</v>
      </c>
      <c r="BW452">
        <v>1.0711699999999999E-2</v>
      </c>
      <c r="BX452">
        <v>6.9920199999999998E-3</v>
      </c>
      <c r="BY452">
        <v>1.93464E-2</v>
      </c>
      <c r="BZ452">
        <v>1.2729300000000001E-2</v>
      </c>
      <c r="CA452">
        <v>2.8978400000000001E-2</v>
      </c>
      <c r="CB452">
        <v>1.3806000000000001E-2</v>
      </c>
      <c r="CC452">
        <v>1.2045999999999999E-2</v>
      </c>
      <c r="CD452">
        <v>1.8195099999999999E-2</v>
      </c>
      <c r="CE452">
        <v>2.40275E-2</v>
      </c>
      <c r="CF452">
        <v>2.9187899999999999E-2</v>
      </c>
      <c r="CG452">
        <v>2.1272200000000002E-2</v>
      </c>
      <c r="CH452">
        <v>7.5934000000000001E-3</v>
      </c>
      <c r="CI452">
        <v>1.6545299999999999E-2</v>
      </c>
      <c r="CJ452">
        <v>2.8110599999999999E-2</v>
      </c>
      <c r="CK452">
        <v>1.6855499999999999E-2</v>
      </c>
      <c r="CL452">
        <v>2.0225400000000001E-2</v>
      </c>
    </row>
    <row r="453" spans="2:90" x14ac:dyDescent="0.2">
      <c r="B453">
        <v>52.5</v>
      </c>
      <c r="C453">
        <v>2.4536800000000001E-2</v>
      </c>
      <c r="D453">
        <v>2.5909000000000001E-2</v>
      </c>
      <c r="E453">
        <v>5.0961699999999999E-2</v>
      </c>
      <c r="F453">
        <v>2.0761000000000002E-2</v>
      </c>
      <c r="G453">
        <v>1.2489200000000001E-2</v>
      </c>
      <c r="H453">
        <v>6.3714399999999999E-3</v>
      </c>
      <c r="I453">
        <v>3.3245200000000003E-2</v>
      </c>
      <c r="J453">
        <v>3.2366899999999997E-2</v>
      </c>
      <c r="K453">
        <v>1.4602E-2</v>
      </c>
      <c r="L453">
        <v>1.8900299999999998E-2</v>
      </c>
      <c r="M453">
        <v>1.89883E-2</v>
      </c>
      <c r="N453">
        <v>4.0378699999999998E-3</v>
      </c>
      <c r="O453">
        <v>1.45498E-2</v>
      </c>
      <c r="P453">
        <v>1.89918E-2</v>
      </c>
      <c r="Q453">
        <v>2.6730899999999998E-2</v>
      </c>
      <c r="R453">
        <v>2.3840099999999999E-2</v>
      </c>
      <c r="S453">
        <v>2.0941700000000001E-2</v>
      </c>
      <c r="T453">
        <v>2.94776E-2</v>
      </c>
      <c r="U453">
        <v>1.71346E-2</v>
      </c>
      <c r="V453">
        <v>1.71025E-2</v>
      </c>
      <c r="W453">
        <v>2.19636E-2</v>
      </c>
      <c r="X453">
        <v>4.3214500000000003E-2</v>
      </c>
      <c r="Y453">
        <v>2.5459499999999999E-2</v>
      </c>
      <c r="Z453">
        <v>2.3862100000000001E-2</v>
      </c>
      <c r="AA453">
        <v>2.8842799999999998E-2</v>
      </c>
      <c r="AB453">
        <v>2.59869E-2</v>
      </c>
      <c r="AC453">
        <v>2.0002700000000002E-2</v>
      </c>
      <c r="AD453">
        <v>2.3168000000000001E-2</v>
      </c>
      <c r="AE453">
        <v>2.0826600000000001E-2</v>
      </c>
      <c r="AF453">
        <v>2.06842E-2</v>
      </c>
      <c r="AG453">
        <v>3.8633000000000001E-2</v>
      </c>
      <c r="AH453">
        <v>3.3727E-2</v>
      </c>
      <c r="AI453">
        <v>2.5576600000000001E-2</v>
      </c>
      <c r="AJ453">
        <v>3.9309700000000003E-2</v>
      </c>
      <c r="AK453">
        <v>2.46234E-2</v>
      </c>
      <c r="AL453">
        <v>2.36489E-2</v>
      </c>
      <c r="AM453">
        <v>2.8126499999999999E-2</v>
      </c>
      <c r="AN453">
        <v>2.16101E-2</v>
      </c>
      <c r="AO453">
        <v>2.69901E-2</v>
      </c>
      <c r="AP453">
        <v>1.43321E-2</v>
      </c>
      <c r="AQ453">
        <v>1.4604000000000001E-2</v>
      </c>
      <c r="AR453">
        <v>9.4470400000000003E-3</v>
      </c>
      <c r="AS453">
        <v>1.6631400000000001E-2</v>
      </c>
      <c r="AT453">
        <v>2.70035E-2</v>
      </c>
      <c r="AU453">
        <v>2.0762300000000001E-2</v>
      </c>
      <c r="AV453">
        <v>2.0715799999999999E-2</v>
      </c>
      <c r="AW453">
        <v>2.4131699999999999E-2</v>
      </c>
      <c r="AX453">
        <v>1.8696600000000001E-2</v>
      </c>
      <c r="AY453">
        <v>1.16633E-2</v>
      </c>
      <c r="AZ453">
        <v>5.6893899999999999E-3</v>
      </c>
      <c r="BA453">
        <v>1.7862800000000002E-2</v>
      </c>
      <c r="BB453">
        <v>1.2537599999999999E-2</v>
      </c>
      <c r="BC453">
        <v>2.5105100000000002E-2</v>
      </c>
      <c r="BD453">
        <v>2.58544E-2</v>
      </c>
      <c r="BE453">
        <v>1.09877E-2</v>
      </c>
      <c r="BF453">
        <v>9.9355699999999995E-3</v>
      </c>
      <c r="BG453">
        <v>9.1819899999999992E-3</v>
      </c>
      <c r="BH453">
        <v>1.08872E-2</v>
      </c>
      <c r="BI453">
        <v>1.34673E-2</v>
      </c>
      <c r="BJ453">
        <v>1.06535E-2</v>
      </c>
      <c r="BK453">
        <v>3.01079E-2</v>
      </c>
      <c r="BL453">
        <v>2.02051E-2</v>
      </c>
      <c r="BM453">
        <v>8.68588E-3</v>
      </c>
      <c r="BN453">
        <v>1.1869599999999999E-2</v>
      </c>
      <c r="BO453">
        <v>1.9023000000000002E-2</v>
      </c>
      <c r="BP453">
        <v>1.3797500000000001E-2</v>
      </c>
      <c r="BQ453">
        <v>1.1154000000000001E-2</v>
      </c>
      <c r="BR453">
        <v>2.13847E-2</v>
      </c>
      <c r="BS453">
        <v>1.6807099999999998E-2</v>
      </c>
      <c r="BT453">
        <v>1.15254E-2</v>
      </c>
      <c r="BU453">
        <v>1.26169E-2</v>
      </c>
      <c r="BV453">
        <v>5.3393099999999999E-3</v>
      </c>
      <c r="BW453">
        <v>8.7930200000000003E-3</v>
      </c>
      <c r="BX453">
        <v>6.1565999999999999E-3</v>
      </c>
      <c r="BY453">
        <v>1.49734E-2</v>
      </c>
      <c r="BZ453">
        <v>8.9580500000000004E-3</v>
      </c>
      <c r="CA453">
        <v>2.46562E-2</v>
      </c>
      <c r="CB453">
        <v>1.05215E-2</v>
      </c>
      <c r="CC453">
        <v>1.1286900000000001E-2</v>
      </c>
      <c r="CD453">
        <v>1.7976099999999998E-2</v>
      </c>
      <c r="CE453">
        <v>2.44306E-2</v>
      </c>
      <c r="CF453">
        <v>2.95926E-2</v>
      </c>
      <c r="CG453">
        <v>1.9925499999999999E-2</v>
      </c>
      <c r="CH453">
        <v>6.97564E-3</v>
      </c>
      <c r="CI453">
        <v>1.28399E-2</v>
      </c>
      <c r="CJ453">
        <v>2.5913800000000001E-2</v>
      </c>
      <c r="CK453">
        <v>1.86436E-2</v>
      </c>
      <c r="CL453">
        <v>1.7588199999999998E-2</v>
      </c>
    </row>
    <row r="454" spans="2:90" x14ac:dyDescent="0.2">
      <c r="B454">
        <v>53.5</v>
      </c>
      <c r="C454">
        <v>9.3558300000000007E-3</v>
      </c>
      <c r="D454">
        <v>2.1786E-2</v>
      </c>
      <c r="E454">
        <v>3.2334099999999998E-2</v>
      </c>
      <c r="F454">
        <v>2.7542199999999999E-2</v>
      </c>
      <c r="G454">
        <v>1.04344E-2</v>
      </c>
      <c r="H454">
        <v>1.5183200000000001E-2</v>
      </c>
      <c r="I454">
        <v>3.2004100000000001E-2</v>
      </c>
      <c r="J454">
        <v>2.94278E-2</v>
      </c>
      <c r="K454">
        <v>1.51013E-2</v>
      </c>
      <c r="L454">
        <v>2.73142E-2</v>
      </c>
      <c r="M454">
        <v>1.87803E-2</v>
      </c>
      <c r="N454">
        <v>3.90582E-3</v>
      </c>
      <c r="O454">
        <v>1.4563E-2</v>
      </c>
      <c r="P454">
        <v>1.9301700000000001E-2</v>
      </c>
      <c r="Q454">
        <v>3.50303E-2</v>
      </c>
      <c r="R454">
        <v>2.50137E-2</v>
      </c>
      <c r="S454">
        <v>2.3163900000000001E-2</v>
      </c>
      <c r="T454">
        <v>3.0367499999999999E-2</v>
      </c>
      <c r="U454">
        <v>1.9762200000000001E-2</v>
      </c>
      <c r="V454">
        <v>2.0036600000000002E-2</v>
      </c>
      <c r="W454">
        <v>2.1448999999999999E-2</v>
      </c>
      <c r="X454">
        <v>3.3116600000000003E-2</v>
      </c>
      <c r="Y454">
        <v>2.7662900000000001E-2</v>
      </c>
      <c r="Z454">
        <v>2.66127E-2</v>
      </c>
      <c r="AA454">
        <v>3.0478600000000002E-2</v>
      </c>
      <c r="AB454">
        <v>2.76321E-2</v>
      </c>
      <c r="AC454">
        <v>2.163E-2</v>
      </c>
      <c r="AD454">
        <v>2.5216599999999999E-2</v>
      </c>
      <c r="AE454">
        <v>2.1090500000000002E-2</v>
      </c>
      <c r="AF454">
        <v>2.0550499999999999E-2</v>
      </c>
      <c r="AG454">
        <v>3.2887300000000001E-2</v>
      </c>
      <c r="AH454">
        <v>3.23583E-2</v>
      </c>
      <c r="AI454">
        <v>2.4949599999999999E-2</v>
      </c>
      <c r="AJ454">
        <v>4.2305500000000003E-2</v>
      </c>
      <c r="AK454">
        <v>2.53344E-2</v>
      </c>
      <c r="AL454">
        <v>2.4517899999999999E-2</v>
      </c>
      <c r="AM454">
        <v>3.2027199999999999E-2</v>
      </c>
      <c r="AN454">
        <v>2.2166999999999999E-2</v>
      </c>
      <c r="AO454">
        <v>3.0484500000000001E-2</v>
      </c>
      <c r="AP454">
        <v>1.6916E-2</v>
      </c>
      <c r="AQ454">
        <v>1.60275E-2</v>
      </c>
      <c r="AR454">
        <v>1.2993599999999999E-2</v>
      </c>
      <c r="AS454">
        <v>1.49246E-2</v>
      </c>
      <c r="AT454">
        <v>2.5884999999999998E-2</v>
      </c>
      <c r="AU454">
        <v>2.3595600000000001E-2</v>
      </c>
      <c r="AV454">
        <v>2.31665E-2</v>
      </c>
      <c r="AW454">
        <v>2.2674099999999999E-2</v>
      </c>
      <c r="AX454">
        <v>1.7072500000000001E-2</v>
      </c>
      <c r="AY454">
        <v>1.0592000000000001E-2</v>
      </c>
      <c r="AZ454">
        <v>5.5230100000000001E-3</v>
      </c>
      <c r="BA454">
        <v>1.8675899999999999E-2</v>
      </c>
      <c r="BB454">
        <v>1.11565E-2</v>
      </c>
      <c r="BC454">
        <v>2.5195100000000002E-2</v>
      </c>
      <c r="BD454">
        <v>2.4528600000000001E-2</v>
      </c>
      <c r="BE454">
        <v>9.7186600000000005E-3</v>
      </c>
      <c r="BF454">
        <v>1.2230899999999999E-2</v>
      </c>
      <c r="BG454">
        <v>8.1182000000000008E-3</v>
      </c>
      <c r="BH454">
        <v>1.1327500000000001E-2</v>
      </c>
      <c r="BI454">
        <v>1.29164E-2</v>
      </c>
      <c r="BJ454">
        <v>1.17626E-2</v>
      </c>
      <c r="BK454">
        <v>2.6230300000000002E-2</v>
      </c>
      <c r="BL454">
        <v>1.7606500000000001E-2</v>
      </c>
      <c r="BM454">
        <v>8.574E-3</v>
      </c>
      <c r="BN454">
        <v>9.8147500000000006E-3</v>
      </c>
      <c r="BO454">
        <v>2.0405599999999999E-2</v>
      </c>
      <c r="BP454">
        <v>1.3096699999999999E-2</v>
      </c>
      <c r="BQ454">
        <v>1.32724E-2</v>
      </c>
      <c r="BR454">
        <v>1.64505E-2</v>
      </c>
      <c r="BS454">
        <v>1.5949100000000001E-2</v>
      </c>
      <c r="BT454">
        <v>1.2039899999999999E-2</v>
      </c>
      <c r="BU454">
        <v>1.4790899999999999E-2</v>
      </c>
      <c r="BV454">
        <v>5.5536800000000001E-3</v>
      </c>
      <c r="BW454">
        <v>8.3835799999999999E-3</v>
      </c>
      <c r="BX454">
        <v>5.5831099999999996E-3</v>
      </c>
      <c r="BY454">
        <v>2.0361899999999999E-2</v>
      </c>
      <c r="BZ454">
        <v>1.11424E-2</v>
      </c>
      <c r="CA454">
        <v>3.1253999999999997E-2</v>
      </c>
      <c r="CB454">
        <v>1.1173499999999999E-2</v>
      </c>
      <c r="CC454">
        <v>1.15245E-2</v>
      </c>
      <c r="CD454">
        <v>1.6449100000000001E-2</v>
      </c>
      <c r="CE454">
        <v>1.72268E-2</v>
      </c>
      <c r="CF454">
        <v>3.3647400000000001E-2</v>
      </c>
      <c r="CG454">
        <v>2.1775800000000001E-2</v>
      </c>
      <c r="CH454">
        <v>9.0943599999999993E-3</v>
      </c>
      <c r="CI454">
        <v>1.12906E-2</v>
      </c>
      <c r="CJ454">
        <v>2.37495E-2</v>
      </c>
      <c r="CK454">
        <v>1.84076E-2</v>
      </c>
      <c r="CL454">
        <v>1.42547E-2</v>
      </c>
    </row>
    <row r="455" spans="2:90" x14ac:dyDescent="0.2">
      <c r="B455">
        <v>54.5</v>
      </c>
      <c r="C455">
        <v>3.7725300000000003E-2</v>
      </c>
      <c r="D455">
        <v>2.1709099999999999E-2</v>
      </c>
      <c r="E455">
        <v>3.6959800000000001E-2</v>
      </c>
      <c r="F455">
        <v>2.69643E-2</v>
      </c>
      <c r="G455">
        <v>2.4493999999999998E-2</v>
      </c>
      <c r="H455">
        <v>1.5591600000000001E-2</v>
      </c>
      <c r="I455">
        <v>2.15459E-2</v>
      </c>
      <c r="J455">
        <v>3.1604E-2</v>
      </c>
      <c r="K455">
        <v>1.7196400000000001E-2</v>
      </c>
      <c r="L455">
        <v>2.00451E-2</v>
      </c>
      <c r="M455">
        <v>1.8751500000000001E-2</v>
      </c>
      <c r="N455">
        <v>5.2528999999999996E-3</v>
      </c>
      <c r="O455">
        <v>1.41453E-2</v>
      </c>
      <c r="P455">
        <v>1.8188800000000001E-2</v>
      </c>
      <c r="Q455">
        <v>3.5944299999999998E-2</v>
      </c>
      <c r="R455">
        <v>2.80591E-2</v>
      </c>
      <c r="S455">
        <v>2.5087100000000001E-2</v>
      </c>
      <c r="T455">
        <v>3.1304600000000002E-2</v>
      </c>
      <c r="U455">
        <v>2.2057199999999999E-2</v>
      </c>
      <c r="V455">
        <v>2.145E-2</v>
      </c>
      <c r="W455">
        <v>2.3692299999999999E-2</v>
      </c>
      <c r="X455">
        <v>4.6187400000000003E-2</v>
      </c>
      <c r="Y455">
        <v>3.0161E-2</v>
      </c>
      <c r="Z455">
        <v>2.49727E-2</v>
      </c>
      <c r="AA455">
        <v>3.0777700000000002E-2</v>
      </c>
      <c r="AB455">
        <v>3.1105799999999999E-2</v>
      </c>
      <c r="AC455">
        <v>2.3573500000000001E-2</v>
      </c>
      <c r="AD455">
        <v>2.70362E-2</v>
      </c>
      <c r="AE455">
        <v>2.56475E-2</v>
      </c>
      <c r="AF455">
        <v>2.8321699999999998E-2</v>
      </c>
      <c r="AG455">
        <v>2.9296900000000001E-2</v>
      </c>
      <c r="AH455">
        <v>3.65013E-2</v>
      </c>
      <c r="AI455">
        <v>2.4435399999999999E-2</v>
      </c>
      <c r="AJ455">
        <v>4.2868999999999997E-2</v>
      </c>
      <c r="AK455">
        <v>2.7939200000000001E-2</v>
      </c>
      <c r="AL455">
        <v>2.62819E-2</v>
      </c>
      <c r="AM455">
        <v>3.5557699999999998E-2</v>
      </c>
      <c r="AN455">
        <v>2.3900600000000001E-2</v>
      </c>
      <c r="AO455">
        <v>3.4758400000000002E-2</v>
      </c>
      <c r="AP455">
        <v>1.8310199999999999E-2</v>
      </c>
      <c r="AQ455">
        <v>1.9612899999999999E-2</v>
      </c>
      <c r="AR455">
        <v>1.33461E-2</v>
      </c>
      <c r="AS455">
        <v>1.5676099999999998E-2</v>
      </c>
      <c r="AT455">
        <v>3.2006399999999997E-2</v>
      </c>
      <c r="AU455">
        <v>2.3769200000000001E-2</v>
      </c>
      <c r="AV455">
        <v>2.3821100000000001E-2</v>
      </c>
      <c r="AW455">
        <v>2.6398999999999999E-2</v>
      </c>
      <c r="AX455">
        <v>2.2664900000000002E-2</v>
      </c>
      <c r="AY455">
        <v>1.2847000000000001E-2</v>
      </c>
      <c r="AZ455">
        <v>6.0859499999999997E-3</v>
      </c>
      <c r="BA455">
        <v>1.9441199999999999E-2</v>
      </c>
      <c r="BB455">
        <v>1.3835500000000001E-2</v>
      </c>
      <c r="BC455">
        <v>2.59058E-2</v>
      </c>
      <c r="BD455">
        <v>2.3309099999999999E-2</v>
      </c>
      <c r="BE455">
        <v>1.21733E-2</v>
      </c>
      <c r="BF455">
        <v>7.9358099999999997E-3</v>
      </c>
      <c r="BG455">
        <v>5.8734599999999996E-3</v>
      </c>
      <c r="BH455">
        <v>1.03277E-2</v>
      </c>
      <c r="BI455">
        <v>1.2474300000000001E-2</v>
      </c>
      <c r="BJ455">
        <v>1.03261E-2</v>
      </c>
      <c r="BK455">
        <v>2.7269700000000001E-2</v>
      </c>
      <c r="BL455">
        <v>1.81926E-2</v>
      </c>
      <c r="BM455">
        <v>7.5984299999999998E-3</v>
      </c>
      <c r="BN455">
        <v>1.00436E-2</v>
      </c>
      <c r="BO455">
        <v>1.5440300000000001E-2</v>
      </c>
      <c r="BP455">
        <v>1.187E-2</v>
      </c>
      <c r="BQ455">
        <v>1.04659E-2</v>
      </c>
      <c r="BR455">
        <v>1.5283E-2</v>
      </c>
      <c r="BS455">
        <v>1.72859E-2</v>
      </c>
      <c r="BT455">
        <v>9.9649999999999999E-3</v>
      </c>
      <c r="BU455">
        <v>1.1332699999999999E-2</v>
      </c>
      <c r="BV455">
        <v>4.6955499999999997E-3</v>
      </c>
      <c r="BW455">
        <v>7.6930599999999998E-3</v>
      </c>
      <c r="BX455">
        <v>4.9818900000000001E-3</v>
      </c>
      <c r="BY455">
        <v>1.9825099999999998E-2</v>
      </c>
      <c r="BZ455">
        <v>1.08503E-2</v>
      </c>
      <c r="CA455">
        <v>2.3621199999999998E-2</v>
      </c>
      <c r="CB455">
        <v>7.2890300000000002E-3</v>
      </c>
      <c r="CC455">
        <v>1.0215399999999999E-2</v>
      </c>
      <c r="CD455">
        <v>1.7440600000000001E-2</v>
      </c>
      <c r="CE455">
        <v>1.7129399999999999E-2</v>
      </c>
      <c r="CF455">
        <v>3.6062400000000001E-2</v>
      </c>
      <c r="CG455">
        <v>1.99791E-2</v>
      </c>
      <c r="CH455">
        <v>9.2816600000000006E-3</v>
      </c>
      <c r="CI455">
        <v>1.02763E-2</v>
      </c>
      <c r="CJ455">
        <v>2.26996E-2</v>
      </c>
      <c r="CK455">
        <v>1.45396E-2</v>
      </c>
      <c r="CL455">
        <v>1.54456E-2</v>
      </c>
    </row>
    <row r="456" spans="2:90" x14ac:dyDescent="0.2">
      <c r="B456">
        <v>55.5</v>
      </c>
      <c r="C456">
        <v>1.9579599999999999E-2</v>
      </c>
      <c r="D456">
        <v>1.53265E-2</v>
      </c>
      <c r="E456">
        <v>4.8307500000000003E-2</v>
      </c>
      <c r="F456">
        <v>2.8875899999999999E-2</v>
      </c>
      <c r="G456">
        <v>1.8442099999999999E-2</v>
      </c>
      <c r="H456">
        <v>1.6786800000000001E-2</v>
      </c>
      <c r="I456">
        <v>2.1260000000000001E-2</v>
      </c>
      <c r="J456">
        <v>3.5501400000000002E-2</v>
      </c>
      <c r="K456">
        <v>1.8575600000000001E-2</v>
      </c>
      <c r="L456">
        <v>1.9129699999999999E-2</v>
      </c>
      <c r="M456">
        <v>1.7902999999999999E-2</v>
      </c>
      <c r="N456">
        <v>6.6983199999999998E-3</v>
      </c>
      <c r="O456">
        <v>1.50476E-2</v>
      </c>
      <c r="P456">
        <v>1.8459300000000001E-2</v>
      </c>
      <c r="Q456">
        <v>3.5128800000000002E-2</v>
      </c>
      <c r="R456">
        <v>2.8946400000000001E-2</v>
      </c>
      <c r="S456">
        <v>2.6062100000000001E-2</v>
      </c>
      <c r="T456">
        <v>3.0610399999999999E-2</v>
      </c>
      <c r="U456">
        <v>2.3921999999999999E-2</v>
      </c>
      <c r="V456">
        <v>2.3263200000000001E-2</v>
      </c>
      <c r="W456">
        <v>2.3019499999999998E-2</v>
      </c>
      <c r="X456">
        <v>3.6049999999999999E-2</v>
      </c>
      <c r="Y456">
        <v>3.1451199999999999E-2</v>
      </c>
      <c r="Z456">
        <v>2.94173E-2</v>
      </c>
      <c r="AA456">
        <v>3.2259099999999999E-2</v>
      </c>
      <c r="AB456">
        <v>3.3794400000000002E-2</v>
      </c>
      <c r="AC456">
        <v>2.4913899999999999E-2</v>
      </c>
      <c r="AD456">
        <v>2.7948799999999999E-2</v>
      </c>
      <c r="AE456">
        <v>2.6587699999999999E-2</v>
      </c>
      <c r="AF456">
        <v>2.4075099999999999E-2</v>
      </c>
      <c r="AG456">
        <v>2.6823E-2</v>
      </c>
      <c r="AH456">
        <v>3.5893099999999997E-2</v>
      </c>
      <c r="AI456">
        <v>2.4604899999999999E-2</v>
      </c>
      <c r="AJ456">
        <v>4.2602599999999997E-2</v>
      </c>
      <c r="AK456">
        <v>2.9994799999999999E-2</v>
      </c>
      <c r="AL456">
        <v>2.59566E-2</v>
      </c>
      <c r="AM456">
        <v>3.7838900000000002E-2</v>
      </c>
      <c r="AN456">
        <v>2.5852900000000002E-2</v>
      </c>
      <c r="AO456">
        <v>3.6795899999999999E-2</v>
      </c>
      <c r="AP456">
        <v>2.05376E-2</v>
      </c>
      <c r="AQ456">
        <v>1.71135E-2</v>
      </c>
      <c r="AR456">
        <v>1.80932E-2</v>
      </c>
      <c r="AS456">
        <v>1.9350699999999998E-2</v>
      </c>
      <c r="AT456">
        <v>3.0212300000000001E-2</v>
      </c>
      <c r="AU456">
        <v>2.7030599999999998E-2</v>
      </c>
      <c r="AV456">
        <v>2.54554E-2</v>
      </c>
      <c r="AW456">
        <v>2.4500600000000001E-2</v>
      </c>
      <c r="AX456">
        <v>2.1005699999999999E-2</v>
      </c>
      <c r="AY456">
        <v>1.3695300000000001E-2</v>
      </c>
      <c r="AZ456">
        <v>5.97183E-3</v>
      </c>
      <c r="BA456">
        <v>1.4663499999999999E-2</v>
      </c>
      <c r="BB456">
        <v>1.3105800000000001E-2</v>
      </c>
      <c r="BC456">
        <v>2.2116899999999998E-2</v>
      </c>
      <c r="BD456">
        <v>3.2708000000000001E-2</v>
      </c>
      <c r="BE456">
        <v>1.05392E-2</v>
      </c>
      <c r="BF456">
        <v>1.0319999999999999E-2</v>
      </c>
      <c r="BG456">
        <v>6.52171E-3</v>
      </c>
      <c r="BH456">
        <v>8.4349000000000004E-3</v>
      </c>
      <c r="BI456">
        <v>1.56071E-2</v>
      </c>
      <c r="BJ456">
        <v>9.4686000000000006E-3</v>
      </c>
      <c r="BK456">
        <v>2.1968999999999999E-2</v>
      </c>
      <c r="BL456">
        <v>1.3440499999999999E-2</v>
      </c>
      <c r="BM456">
        <v>6.4999899999999998E-3</v>
      </c>
      <c r="BN456">
        <v>7.8726500000000001E-3</v>
      </c>
      <c r="BO456">
        <v>1.60678E-2</v>
      </c>
      <c r="BP456">
        <v>1.1155099999999999E-2</v>
      </c>
      <c r="BQ456">
        <v>1.2791200000000001E-2</v>
      </c>
      <c r="BR456">
        <v>1.3946699999999999E-2</v>
      </c>
      <c r="BS456">
        <v>1.55596E-2</v>
      </c>
      <c r="BT456">
        <v>9.7875199999999992E-3</v>
      </c>
      <c r="BU456">
        <v>1.4912699999999999E-2</v>
      </c>
      <c r="BV456">
        <v>4.5278899999999997E-3</v>
      </c>
      <c r="BW456">
        <v>8.6650300000000006E-3</v>
      </c>
      <c r="BX456">
        <v>4.4924700000000001E-3</v>
      </c>
      <c r="BY456">
        <v>1.8268300000000001E-2</v>
      </c>
      <c r="BZ456">
        <v>1.27668E-2</v>
      </c>
      <c r="CA456">
        <v>2.41748E-2</v>
      </c>
      <c r="CB456">
        <v>1.0276800000000001E-2</v>
      </c>
      <c r="CC456">
        <v>9.2528899999999997E-3</v>
      </c>
      <c r="CD456">
        <v>2.00649E-2</v>
      </c>
      <c r="CE456">
        <v>1.6351999999999998E-2</v>
      </c>
      <c r="CF456">
        <v>3.5661400000000003E-2</v>
      </c>
      <c r="CG456">
        <v>2.0091700000000001E-2</v>
      </c>
      <c r="CH456">
        <v>9.7656199999999992E-3</v>
      </c>
      <c r="CI456">
        <v>8.2589699999999992E-3</v>
      </c>
      <c r="CJ456">
        <v>2.1231900000000001E-2</v>
      </c>
      <c r="CK456">
        <v>1.1872600000000001E-2</v>
      </c>
      <c r="CL456">
        <v>1.1865799999999999E-2</v>
      </c>
    </row>
    <row r="457" spans="2:90" x14ac:dyDescent="0.2">
      <c r="B457">
        <v>56.5</v>
      </c>
      <c r="C457">
        <v>1.7874500000000001E-2</v>
      </c>
      <c r="D457">
        <v>2.0936400000000001E-2</v>
      </c>
      <c r="E457">
        <v>3.7356500000000001E-2</v>
      </c>
      <c r="F457">
        <v>2.54167E-2</v>
      </c>
      <c r="G457">
        <v>2.1552499999999999E-2</v>
      </c>
      <c r="H457">
        <v>1.61012E-2</v>
      </c>
      <c r="I457">
        <v>1.1085899999999999E-2</v>
      </c>
      <c r="J457">
        <v>3.8902600000000002E-2</v>
      </c>
      <c r="K457">
        <v>1.8351900000000001E-2</v>
      </c>
      <c r="L457">
        <v>1.9001199999999999E-2</v>
      </c>
      <c r="M457">
        <v>1.7366099999999999E-2</v>
      </c>
      <c r="N457">
        <v>9.1135399999999998E-3</v>
      </c>
      <c r="O457">
        <v>1.74529E-2</v>
      </c>
      <c r="P457">
        <v>1.8382599999999999E-2</v>
      </c>
      <c r="Q457">
        <v>2.8275600000000001E-2</v>
      </c>
      <c r="R457">
        <v>3.0747300000000002E-2</v>
      </c>
      <c r="S457">
        <v>2.9572600000000001E-2</v>
      </c>
      <c r="T457">
        <v>3.0766700000000001E-2</v>
      </c>
      <c r="U457">
        <v>2.6221100000000001E-2</v>
      </c>
      <c r="V457">
        <v>2.38505E-2</v>
      </c>
      <c r="W457">
        <v>2.1900599999999999E-2</v>
      </c>
      <c r="X457">
        <v>3.4163499999999999E-2</v>
      </c>
      <c r="Y457">
        <v>3.3931700000000002E-2</v>
      </c>
      <c r="Z457">
        <v>2.8334600000000001E-2</v>
      </c>
      <c r="AA457">
        <v>3.2367399999999998E-2</v>
      </c>
      <c r="AB457">
        <v>3.5524399999999998E-2</v>
      </c>
      <c r="AC457">
        <v>2.6979E-2</v>
      </c>
      <c r="AD457">
        <v>2.87741E-2</v>
      </c>
      <c r="AE457">
        <v>2.7097400000000001E-2</v>
      </c>
      <c r="AF457">
        <v>2.5582000000000001E-2</v>
      </c>
      <c r="AG457">
        <v>2.6091900000000001E-2</v>
      </c>
      <c r="AH457">
        <v>3.6825999999999998E-2</v>
      </c>
      <c r="AI457">
        <v>2.4473600000000002E-2</v>
      </c>
      <c r="AJ457">
        <v>3.9621499999999997E-2</v>
      </c>
      <c r="AK457">
        <v>2.9990900000000001E-2</v>
      </c>
      <c r="AL457">
        <v>2.8429099999999999E-2</v>
      </c>
      <c r="AM457">
        <v>4.0701899999999999E-2</v>
      </c>
      <c r="AN457">
        <v>2.97954E-2</v>
      </c>
      <c r="AO457">
        <v>3.84631E-2</v>
      </c>
      <c r="AP457">
        <v>2.36584E-2</v>
      </c>
      <c r="AQ457">
        <v>2.18783E-2</v>
      </c>
      <c r="AR457">
        <v>1.6916299999999999E-2</v>
      </c>
      <c r="AS457">
        <v>2.00352E-2</v>
      </c>
      <c r="AT457">
        <v>3.0361200000000001E-2</v>
      </c>
      <c r="AU457">
        <v>2.9809700000000001E-2</v>
      </c>
      <c r="AV457">
        <v>2.70958E-2</v>
      </c>
      <c r="AW457">
        <v>2.53729E-2</v>
      </c>
      <c r="AX457">
        <v>1.9567899999999999E-2</v>
      </c>
      <c r="AY457">
        <v>1.6177500000000001E-2</v>
      </c>
      <c r="AZ457">
        <v>6.1445600000000003E-3</v>
      </c>
      <c r="BA457">
        <v>1.6331399999999999E-2</v>
      </c>
      <c r="BB457">
        <v>9.2025300000000004E-3</v>
      </c>
      <c r="BC457">
        <v>2.12994E-2</v>
      </c>
      <c r="BD457">
        <v>2.91148E-2</v>
      </c>
      <c r="BE457">
        <v>1.29447E-2</v>
      </c>
      <c r="BF457">
        <v>5.5693299999999999E-3</v>
      </c>
      <c r="BG457">
        <v>3.0604400000000002E-3</v>
      </c>
      <c r="BH457">
        <v>6.1004199999999996E-3</v>
      </c>
      <c r="BI457">
        <v>1.7900599999999999E-2</v>
      </c>
      <c r="BJ457">
        <v>1.0047800000000001E-2</v>
      </c>
      <c r="BK457">
        <v>1.7887199999999999E-2</v>
      </c>
      <c r="BL457">
        <v>2.3152099999999998E-2</v>
      </c>
      <c r="BM457">
        <v>8.2331100000000001E-3</v>
      </c>
      <c r="BN457">
        <v>8.5805499999999993E-3</v>
      </c>
      <c r="BO457">
        <v>1.4503200000000001E-2</v>
      </c>
      <c r="BP457">
        <v>1.1551799999999999E-2</v>
      </c>
      <c r="BQ457">
        <v>7.3431399999999997E-3</v>
      </c>
      <c r="BR457">
        <v>1.2116699999999999E-2</v>
      </c>
      <c r="BS457">
        <v>1.7598200000000001E-2</v>
      </c>
      <c r="BT457">
        <v>8.9351599999999993E-3</v>
      </c>
      <c r="BU457">
        <v>8.7879099999999995E-3</v>
      </c>
      <c r="BV457">
        <v>4.0041900000000004E-3</v>
      </c>
      <c r="BW457">
        <v>6.8267199999999997E-3</v>
      </c>
      <c r="BX457">
        <v>4.6631099999999998E-3</v>
      </c>
      <c r="BY457">
        <v>1.24618E-2</v>
      </c>
      <c r="BZ457">
        <v>8.9034200000000004E-3</v>
      </c>
      <c r="CA457">
        <v>1.67286E-2</v>
      </c>
      <c r="CB457">
        <v>7.67799E-3</v>
      </c>
      <c r="CC457">
        <v>1.07843E-2</v>
      </c>
      <c r="CD457">
        <v>1.7452800000000001E-2</v>
      </c>
      <c r="CE457">
        <v>1.5868799999999999E-2</v>
      </c>
      <c r="CF457">
        <v>3.4105000000000003E-2</v>
      </c>
      <c r="CG457">
        <v>1.80886E-2</v>
      </c>
      <c r="CH457">
        <v>8.4913799999999998E-3</v>
      </c>
      <c r="CI457">
        <v>7.8669900000000008E-3</v>
      </c>
      <c r="CJ457">
        <v>2.1661099999999999E-2</v>
      </c>
      <c r="CK457">
        <v>1.37257E-2</v>
      </c>
      <c r="CL457">
        <v>1.22282E-2</v>
      </c>
    </row>
    <row r="458" spans="2:90" x14ac:dyDescent="0.2">
      <c r="B458">
        <v>57.5</v>
      </c>
      <c r="C458">
        <v>1.97003E-2</v>
      </c>
      <c r="D458">
        <v>1.65043E-2</v>
      </c>
      <c r="E458">
        <v>3.0533600000000001E-2</v>
      </c>
      <c r="F458">
        <v>3.2924599999999998E-2</v>
      </c>
      <c r="G458">
        <v>5.0500700000000003E-2</v>
      </c>
      <c r="H458">
        <v>1.8468100000000001E-2</v>
      </c>
      <c r="I458">
        <v>2.6633799999999999E-2</v>
      </c>
      <c r="J458">
        <v>2.9336500000000001E-2</v>
      </c>
      <c r="K458">
        <v>2.1845E-2</v>
      </c>
      <c r="L458">
        <v>2.0256300000000001E-2</v>
      </c>
      <c r="M458">
        <v>1.9974200000000001E-2</v>
      </c>
      <c r="N458">
        <v>1.16907E-2</v>
      </c>
      <c r="O458">
        <v>1.5278999999999999E-2</v>
      </c>
      <c r="P458">
        <v>1.7299599999999998E-2</v>
      </c>
      <c r="Q458">
        <v>2.65461E-2</v>
      </c>
      <c r="R458">
        <v>3.1049299999999998E-2</v>
      </c>
      <c r="S458">
        <v>2.8278000000000001E-2</v>
      </c>
      <c r="T458">
        <v>3.1792800000000003E-2</v>
      </c>
      <c r="U458">
        <v>2.87058E-2</v>
      </c>
      <c r="V458">
        <v>2.76344E-2</v>
      </c>
      <c r="W458">
        <v>2.2862199999999999E-2</v>
      </c>
      <c r="X458">
        <v>3.10053E-2</v>
      </c>
      <c r="Y458">
        <v>3.6193799999999998E-2</v>
      </c>
      <c r="Z458">
        <v>3.1777E-2</v>
      </c>
      <c r="AA458">
        <v>3.0673300000000001E-2</v>
      </c>
      <c r="AB458">
        <v>3.4380500000000001E-2</v>
      </c>
      <c r="AC458">
        <v>2.7351500000000001E-2</v>
      </c>
      <c r="AD458">
        <v>2.8766E-2</v>
      </c>
      <c r="AE458">
        <v>2.9209599999999999E-2</v>
      </c>
      <c r="AF458">
        <v>2.6138600000000001E-2</v>
      </c>
      <c r="AG458">
        <v>2.3780200000000001E-2</v>
      </c>
      <c r="AH458">
        <v>3.8414400000000001E-2</v>
      </c>
      <c r="AI458">
        <v>2.7049699999999999E-2</v>
      </c>
      <c r="AJ458">
        <v>3.8385200000000001E-2</v>
      </c>
      <c r="AK458">
        <v>3.1423100000000002E-2</v>
      </c>
      <c r="AL458">
        <v>2.91814E-2</v>
      </c>
      <c r="AM458">
        <v>4.0223099999999998E-2</v>
      </c>
      <c r="AN458">
        <v>3.1878999999999998E-2</v>
      </c>
      <c r="AO458">
        <v>4.2097799999999998E-2</v>
      </c>
      <c r="AP458">
        <v>2.7833699999999999E-2</v>
      </c>
      <c r="AQ458">
        <v>2.1782099999999999E-2</v>
      </c>
      <c r="AR458">
        <v>2.03745E-2</v>
      </c>
      <c r="AS458">
        <v>1.99253E-2</v>
      </c>
      <c r="AT458">
        <v>3.3558299999999999E-2</v>
      </c>
      <c r="AU458">
        <v>2.97054E-2</v>
      </c>
      <c r="AV458">
        <v>3.00956E-2</v>
      </c>
      <c r="AW458">
        <v>2.1314900000000001E-2</v>
      </c>
      <c r="AX458">
        <v>1.9931000000000001E-2</v>
      </c>
      <c r="AY458">
        <v>1.6301300000000001E-2</v>
      </c>
      <c r="AZ458">
        <v>5.0179100000000004E-3</v>
      </c>
      <c r="BA458">
        <v>1.62507E-2</v>
      </c>
      <c r="BB458">
        <v>1.17635E-2</v>
      </c>
      <c r="BC458">
        <v>2.27102E-2</v>
      </c>
      <c r="BD458">
        <v>2.16726E-2</v>
      </c>
      <c r="BE458">
        <v>1.2861900000000001E-2</v>
      </c>
      <c r="BF458">
        <v>4.8017499999999996E-3</v>
      </c>
      <c r="BG458">
        <v>4.4145800000000004E-3</v>
      </c>
      <c r="BH458">
        <v>6.3441699999999997E-3</v>
      </c>
      <c r="BI458">
        <v>1.7959900000000001E-2</v>
      </c>
      <c r="BJ458">
        <v>9.3349000000000001E-3</v>
      </c>
      <c r="BK458">
        <v>1.6427500000000001E-2</v>
      </c>
      <c r="BL458">
        <v>1.8207500000000001E-2</v>
      </c>
      <c r="BM458">
        <v>9.49616E-3</v>
      </c>
      <c r="BN458">
        <v>7.8922699999999998E-3</v>
      </c>
      <c r="BO458">
        <v>1.2746E-2</v>
      </c>
      <c r="BP458">
        <v>9.5870799999999996E-3</v>
      </c>
      <c r="BQ458">
        <v>9.1861400000000006E-3</v>
      </c>
      <c r="BR458">
        <v>1.0295E-2</v>
      </c>
      <c r="BS458">
        <v>1.33518E-2</v>
      </c>
      <c r="BT458">
        <v>8.81615E-3</v>
      </c>
      <c r="BU458">
        <v>1.0528600000000001E-2</v>
      </c>
      <c r="BV458">
        <v>4.1944900000000004E-3</v>
      </c>
      <c r="BW458">
        <v>8.9426899999999997E-3</v>
      </c>
      <c r="BX458">
        <v>5.1189399999999998E-3</v>
      </c>
      <c r="BY458">
        <v>1.8312200000000001E-2</v>
      </c>
      <c r="BZ458">
        <v>1.33537E-2</v>
      </c>
      <c r="CA458">
        <v>1.51212E-2</v>
      </c>
      <c r="CB458">
        <v>1.15625E-2</v>
      </c>
      <c r="CC458">
        <v>1.39118E-2</v>
      </c>
      <c r="CD458">
        <v>2.2403200000000002E-2</v>
      </c>
      <c r="CE458">
        <v>1.4603400000000001E-2</v>
      </c>
      <c r="CF458">
        <v>2.9929899999999999E-2</v>
      </c>
      <c r="CG458">
        <v>2.0094899999999999E-2</v>
      </c>
      <c r="CH458">
        <v>9.9305499999999998E-3</v>
      </c>
      <c r="CI458">
        <v>7.0904000000000002E-3</v>
      </c>
      <c r="CJ458">
        <v>1.6032100000000001E-2</v>
      </c>
      <c r="CK458">
        <v>1.18672E-2</v>
      </c>
      <c r="CL458">
        <v>1.2964399999999999E-2</v>
      </c>
    </row>
    <row r="459" spans="2:90" x14ac:dyDescent="0.2">
      <c r="B459">
        <v>58.5</v>
      </c>
      <c r="C459">
        <v>2.1862900000000001E-2</v>
      </c>
      <c r="D459">
        <v>1.7729399999999999E-2</v>
      </c>
      <c r="E459">
        <v>3.23308E-2</v>
      </c>
      <c r="F459">
        <v>3.6505099999999999E-2</v>
      </c>
      <c r="G459">
        <v>3.9423399999999997E-2</v>
      </c>
      <c r="H459">
        <v>2.4211099999999999E-2</v>
      </c>
      <c r="I459">
        <v>8.8219400000000003E-3</v>
      </c>
      <c r="J459">
        <v>2.784E-2</v>
      </c>
      <c r="K459">
        <v>2.1487699999999998E-2</v>
      </c>
      <c r="L459">
        <v>1.9021300000000001E-2</v>
      </c>
      <c r="M459">
        <v>1.7654300000000001E-2</v>
      </c>
      <c r="N459">
        <v>1.2521900000000001E-2</v>
      </c>
      <c r="O459">
        <v>1.51766E-2</v>
      </c>
      <c r="P459">
        <v>1.7908500000000001E-2</v>
      </c>
      <c r="Q459">
        <v>3.62286E-2</v>
      </c>
      <c r="R459">
        <v>3.1293500000000002E-2</v>
      </c>
      <c r="S459">
        <v>2.9843399999999999E-2</v>
      </c>
      <c r="T459">
        <v>3.1752599999999999E-2</v>
      </c>
      <c r="U459">
        <v>3.2675700000000002E-2</v>
      </c>
      <c r="V459">
        <v>2.7028199999999999E-2</v>
      </c>
      <c r="W459">
        <v>2.34848E-2</v>
      </c>
      <c r="X459">
        <v>4.6032400000000001E-2</v>
      </c>
      <c r="Y459">
        <v>3.7609900000000002E-2</v>
      </c>
      <c r="Z459">
        <v>3.2455299999999999E-2</v>
      </c>
      <c r="AA459">
        <v>3.0494E-2</v>
      </c>
      <c r="AB459">
        <v>3.7905800000000003E-2</v>
      </c>
      <c r="AC459">
        <v>2.8367400000000001E-2</v>
      </c>
      <c r="AD459">
        <v>2.8228199999999998E-2</v>
      </c>
      <c r="AE459">
        <v>3.1242099999999998E-2</v>
      </c>
      <c r="AF459">
        <v>2.8092700000000002E-2</v>
      </c>
      <c r="AG459">
        <v>2.0700400000000001E-2</v>
      </c>
      <c r="AH459">
        <v>3.8755400000000002E-2</v>
      </c>
      <c r="AI459">
        <v>2.9296099999999999E-2</v>
      </c>
      <c r="AJ459">
        <v>3.8403100000000003E-2</v>
      </c>
      <c r="AK459">
        <v>3.43498E-2</v>
      </c>
      <c r="AL459">
        <v>3.0339600000000001E-2</v>
      </c>
      <c r="AM459">
        <v>3.9741199999999997E-2</v>
      </c>
      <c r="AN459">
        <v>3.3022500000000003E-2</v>
      </c>
      <c r="AO459">
        <v>3.7803799999999999E-2</v>
      </c>
      <c r="AP459">
        <v>3.2260200000000003E-2</v>
      </c>
      <c r="AQ459">
        <v>2.3255100000000001E-2</v>
      </c>
      <c r="AR459">
        <v>2.3025400000000001E-2</v>
      </c>
      <c r="AS459">
        <v>1.8563799999999998E-2</v>
      </c>
      <c r="AT459">
        <v>3.4849100000000001E-2</v>
      </c>
      <c r="AU459">
        <v>3.19358E-2</v>
      </c>
      <c r="AV459">
        <v>3.1324699999999997E-2</v>
      </c>
      <c r="AW459">
        <v>2.4701299999999999E-2</v>
      </c>
      <c r="AX459">
        <v>1.8639300000000001E-2</v>
      </c>
      <c r="AY459">
        <v>1.26757E-2</v>
      </c>
      <c r="AZ459">
        <v>5.1334900000000001E-3</v>
      </c>
      <c r="BA459">
        <v>1.13776E-2</v>
      </c>
      <c r="BB459">
        <v>8.5853000000000006E-3</v>
      </c>
      <c r="BC459">
        <v>1.9253099999999999E-2</v>
      </c>
      <c r="BD459">
        <v>2.2785099999999999E-2</v>
      </c>
      <c r="BE459">
        <v>1.36166E-2</v>
      </c>
      <c r="BF459">
        <v>5.7418199999999999E-3</v>
      </c>
      <c r="BG459">
        <v>5.2646799999999999E-3</v>
      </c>
      <c r="BH459">
        <v>7.5648099999999999E-3</v>
      </c>
      <c r="BI459">
        <v>1.1574299999999999E-2</v>
      </c>
      <c r="BJ459">
        <v>7.8694699999999999E-3</v>
      </c>
      <c r="BK459">
        <v>1.4246200000000001E-2</v>
      </c>
      <c r="BL459">
        <v>1.8838199999999999E-2</v>
      </c>
      <c r="BM459">
        <v>7.8932499999999992E-3</v>
      </c>
      <c r="BN459">
        <v>7.3489000000000002E-3</v>
      </c>
      <c r="BO459">
        <v>1.26152E-2</v>
      </c>
      <c r="BP459">
        <v>1.0611000000000001E-2</v>
      </c>
      <c r="BQ459">
        <v>9.8228900000000008E-3</v>
      </c>
      <c r="BR459">
        <v>1.17804E-2</v>
      </c>
      <c r="BS459">
        <v>1.4476299999999999E-2</v>
      </c>
      <c r="BT459">
        <v>8.9099899999999996E-3</v>
      </c>
      <c r="BU459">
        <v>7.4757000000000001E-3</v>
      </c>
      <c r="BV459">
        <v>3.9231800000000001E-3</v>
      </c>
      <c r="BW459">
        <v>7.8280599999999995E-3</v>
      </c>
      <c r="BX459">
        <v>5.3206900000000003E-3</v>
      </c>
      <c r="BY459">
        <v>1.46827E-2</v>
      </c>
      <c r="BZ459">
        <v>1.16232E-2</v>
      </c>
      <c r="CA459">
        <v>1.28139E-2</v>
      </c>
      <c r="CB459">
        <v>1.0411800000000001E-2</v>
      </c>
      <c r="CC459">
        <v>1.3861800000000001E-2</v>
      </c>
      <c r="CD459">
        <v>1.71381E-2</v>
      </c>
      <c r="CE459">
        <v>1.55178E-2</v>
      </c>
      <c r="CF459">
        <v>2.5113300000000002E-2</v>
      </c>
      <c r="CG459">
        <v>2.31202E-2</v>
      </c>
      <c r="CH459">
        <v>8.03712E-3</v>
      </c>
      <c r="CI459">
        <v>6.6586500000000003E-3</v>
      </c>
      <c r="CJ459">
        <v>1.6135E-2</v>
      </c>
      <c r="CK459">
        <v>1.13262E-2</v>
      </c>
      <c r="CL459">
        <v>1.0421700000000001E-2</v>
      </c>
    </row>
    <row r="460" spans="2:90" x14ac:dyDescent="0.2">
      <c r="B460">
        <v>59.5</v>
      </c>
      <c r="C460">
        <v>3.5070900000000002E-2</v>
      </c>
      <c r="D460">
        <v>2.36583E-2</v>
      </c>
      <c r="E460">
        <v>2.98071E-2</v>
      </c>
      <c r="F460">
        <v>3.23624E-2</v>
      </c>
      <c r="G460">
        <v>4.2734399999999999E-2</v>
      </c>
      <c r="H460">
        <v>2.48034E-2</v>
      </c>
      <c r="I460">
        <v>1.3228800000000001E-2</v>
      </c>
      <c r="J460">
        <v>2.70607E-2</v>
      </c>
      <c r="K460">
        <v>2.6408500000000001E-2</v>
      </c>
      <c r="L460">
        <v>1.98406E-2</v>
      </c>
      <c r="M460">
        <v>1.8297899999999999E-2</v>
      </c>
      <c r="N460">
        <v>1.49152E-2</v>
      </c>
      <c r="O460">
        <v>1.82977E-2</v>
      </c>
      <c r="P460">
        <v>1.8846600000000002E-2</v>
      </c>
      <c r="Q460">
        <v>2.6614499999999999E-2</v>
      </c>
      <c r="R460">
        <v>3.6031300000000002E-2</v>
      </c>
      <c r="S460">
        <v>3.2360300000000002E-2</v>
      </c>
      <c r="T460">
        <v>3.09725E-2</v>
      </c>
      <c r="U460">
        <v>3.4849999999999999E-2</v>
      </c>
      <c r="V460">
        <v>2.8852599999999999E-2</v>
      </c>
      <c r="W460">
        <v>2.5569600000000001E-2</v>
      </c>
      <c r="X460">
        <v>2.9861599999999999E-2</v>
      </c>
      <c r="Y460">
        <v>3.9763100000000003E-2</v>
      </c>
      <c r="Z460">
        <v>3.2846399999999998E-2</v>
      </c>
      <c r="AA460">
        <v>3.1859800000000001E-2</v>
      </c>
      <c r="AB460">
        <v>3.9774299999999999E-2</v>
      </c>
      <c r="AC460">
        <v>3.2066799999999999E-2</v>
      </c>
      <c r="AD460">
        <v>2.9182199999999998E-2</v>
      </c>
      <c r="AE460">
        <v>3.5762799999999997E-2</v>
      </c>
      <c r="AF460">
        <v>2.97919E-2</v>
      </c>
      <c r="AG460">
        <v>2.1796599999999999E-2</v>
      </c>
      <c r="AH460">
        <v>3.8120800000000003E-2</v>
      </c>
      <c r="AI460">
        <v>3.1682799999999997E-2</v>
      </c>
      <c r="AJ460">
        <v>3.8697299999999997E-2</v>
      </c>
      <c r="AK460">
        <v>3.8049899999999998E-2</v>
      </c>
      <c r="AL460">
        <v>3.3613999999999998E-2</v>
      </c>
      <c r="AM460">
        <v>4.1207100000000003E-2</v>
      </c>
      <c r="AN460">
        <v>3.5325599999999999E-2</v>
      </c>
      <c r="AO460">
        <v>4.2532199999999999E-2</v>
      </c>
      <c r="AP460">
        <v>3.8197700000000001E-2</v>
      </c>
      <c r="AQ460">
        <v>2.6263499999999999E-2</v>
      </c>
      <c r="AR460">
        <v>2.5152600000000001E-2</v>
      </c>
      <c r="AS460">
        <v>1.8629300000000001E-2</v>
      </c>
      <c r="AT460">
        <v>3.2652800000000003E-2</v>
      </c>
      <c r="AU460">
        <v>3.4915399999999999E-2</v>
      </c>
      <c r="AV460">
        <v>3.47441E-2</v>
      </c>
      <c r="AW460">
        <v>2.50838E-2</v>
      </c>
      <c r="AX460">
        <v>1.99066E-2</v>
      </c>
      <c r="AY460">
        <v>1.76867E-2</v>
      </c>
      <c r="AZ460">
        <v>5.3359200000000001E-3</v>
      </c>
      <c r="BA460">
        <v>1.10651E-2</v>
      </c>
      <c r="BB460">
        <v>1.3073599999999999E-2</v>
      </c>
      <c r="BC460">
        <v>1.9815599999999999E-2</v>
      </c>
      <c r="BD460">
        <v>2.03517E-2</v>
      </c>
      <c r="BE460">
        <v>1.4951600000000001E-2</v>
      </c>
      <c r="BF460">
        <v>5.7090300000000004E-3</v>
      </c>
      <c r="BG460">
        <v>5.2938200000000003E-3</v>
      </c>
      <c r="BH460">
        <v>6.3224700000000002E-3</v>
      </c>
      <c r="BI460">
        <v>1.55301E-2</v>
      </c>
      <c r="BJ460">
        <v>1.0045999999999999E-2</v>
      </c>
      <c r="BK460">
        <v>1.51685E-2</v>
      </c>
      <c r="BL460">
        <v>1.38376E-2</v>
      </c>
      <c r="BM460">
        <v>6.9292299999999998E-3</v>
      </c>
      <c r="BN460">
        <v>5.86974E-3</v>
      </c>
      <c r="BO460">
        <v>1.17302E-2</v>
      </c>
      <c r="BP460">
        <v>9.3641499999999999E-3</v>
      </c>
      <c r="BQ460">
        <v>1.02837E-2</v>
      </c>
      <c r="BR460">
        <v>1.1305300000000001E-2</v>
      </c>
      <c r="BS460">
        <v>1.5585E-2</v>
      </c>
      <c r="BT460">
        <v>1.0408300000000001E-2</v>
      </c>
      <c r="BU460">
        <v>8.0824999999999994E-3</v>
      </c>
      <c r="BV460">
        <v>4.9195000000000003E-3</v>
      </c>
      <c r="BW460">
        <v>8.8105200000000005E-3</v>
      </c>
      <c r="BX460">
        <v>4.2612500000000003E-3</v>
      </c>
      <c r="BY460">
        <v>1.3203299999999999E-2</v>
      </c>
      <c r="BZ460">
        <v>1.4484500000000001E-2</v>
      </c>
      <c r="CA460">
        <v>1.2555E-2</v>
      </c>
      <c r="CB460">
        <v>1.2607500000000001E-2</v>
      </c>
      <c r="CC460">
        <v>1.1091E-2</v>
      </c>
      <c r="CD460">
        <v>1.5528399999999999E-2</v>
      </c>
      <c r="CE460">
        <v>1.47215E-2</v>
      </c>
      <c r="CF460">
        <v>2.3486099999999999E-2</v>
      </c>
      <c r="CG460">
        <v>2.0456599999999998E-2</v>
      </c>
      <c r="CH460">
        <v>7.8116499999999998E-3</v>
      </c>
      <c r="CI460">
        <v>5.2050899999999999E-3</v>
      </c>
      <c r="CJ460">
        <v>1.41952E-2</v>
      </c>
      <c r="CK460">
        <v>1.13978E-2</v>
      </c>
      <c r="CL460">
        <v>1.2111E-2</v>
      </c>
    </row>
    <row r="461" spans="2:90" x14ac:dyDescent="0.2">
      <c r="B461">
        <v>60.5</v>
      </c>
      <c r="C461">
        <v>4.8714399999999998E-2</v>
      </c>
      <c r="D461">
        <v>1.93861E-2</v>
      </c>
      <c r="E461">
        <v>2.55325E-2</v>
      </c>
      <c r="F461">
        <v>3.1954200000000002E-2</v>
      </c>
      <c r="G461">
        <v>3.9244800000000003E-2</v>
      </c>
      <c r="H461">
        <v>2.39113E-2</v>
      </c>
      <c r="I461">
        <v>9.2295499999999996E-3</v>
      </c>
      <c r="J461">
        <v>2.45633E-2</v>
      </c>
      <c r="K461">
        <v>2.1302000000000001E-2</v>
      </c>
      <c r="L461">
        <v>1.9891900000000001E-2</v>
      </c>
      <c r="M461">
        <v>2.15295E-2</v>
      </c>
      <c r="N461">
        <v>1.7634400000000001E-2</v>
      </c>
      <c r="O461">
        <v>1.69213E-2</v>
      </c>
      <c r="P461">
        <v>1.91261E-2</v>
      </c>
      <c r="Q461">
        <v>2.4937999999999998E-2</v>
      </c>
      <c r="R461">
        <v>3.3654299999999998E-2</v>
      </c>
      <c r="S461">
        <v>3.1855300000000003E-2</v>
      </c>
      <c r="T461">
        <v>3.0592899999999999E-2</v>
      </c>
      <c r="U461">
        <v>3.6484900000000001E-2</v>
      </c>
      <c r="V461">
        <v>3.0734399999999999E-2</v>
      </c>
      <c r="W461">
        <v>2.48594E-2</v>
      </c>
      <c r="X461">
        <v>2.92492E-2</v>
      </c>
      <c r="Y461">
        <v>4.1084500000000003E-2</v>
      </c>
      <c r="Z461">
        <v>3.3834500000000003E-2</v>
      </c>
      <c r="AA461">
        <v>3.1280000000000002E-2</v>
      </c>
      <c r="AB461">
        <v>3.9607099999999999E-2</v>
      </c>
      <c r="AC461">
        <v>3.1392400000000001E-2</v>
      </c>
      <c r="AD461">
        <v>2.7826300000000002E-2</v>
      </c>
      <c r="AE461">
        <v>3.4066899999999997E-2</v>
      </c>
      <c r="AF461">
        <v>2.7122E-2</v>
      </c>
      <c r="AG461">
        <v>2.3290600000000002E-2</v>
      </c>
      <c r="AH461">
        <v>3.6882900000000003E-2</v>
      </c>
      <c r="AI461">
        <v>3.40284E-2</v>
      </c>
      <c r="AJ461">
        <v>3.5796799999999997E-2</v>
      </c>
      <c r="AK461">
        <v>3.92121E-2</v>
      </c>
      <c r="AL461">
        <v>3.2210200000000001E-2</v>
      </c>
      <c r="AM461">
        <v>3.9128999999999997E-2</v>
      </c>
      <c r="AN461">
        <v>3.7318799999999999E-2</v>
      </c>
      <c r="AO461">
        <v>3.8423300000000001E-2</v>
      </c>
      <c r="AP461">
        <v>3.9259500000000003E-2</v>
      </c>
      <c r="AQ461">
        <v>2.8993399999999999E-2</v>
      </c>
      <c r="AR461">
        <v>2.6145499999999999E-2</v>
      </c>
      <c r="AS461">
        <v>2.3225699999999998E-2</v>
      </c>
      <c r="AT461">
        <v>3.1508700000000001E-2</v>
      </c>
      <c r="AU461">
        <v>3.5426300000000001E-2</v>
      </c>
      <c r="AV461">
        <v>3.3135900000000003E-2</v>
      </c>
      <c r="AW461">
        <v>2.4770500000000001E-2</v>
      </c>
      <c r="AX461">
        <v>1.8620100000000001E-2</v>
      </c>
      <c r="AY461">
        <v>1.3850299999999999E-2</v>
      </c>
      <c r="AZ461">
        <v>4.9885299999999997E-3</v>
      </c>
      <c r="BA461">
        <v>7.7399000000000001E-3</v>
      </c>
      <c r="BB461">
        <v>1.27353E-2</v>
      </c>
      <c r="BC461">
        <v>1.6589599999999999E-2</v>
      </c>
      <c r="BD461">
        <v>2.9047199999999999E-2</v>
      </c>
      <c r="BE461">
        <v>1.56916E-2</v>
      </c>
      <c r="BF461">
        <v>4.7196900000000003E-3</v>
      </c>
      <c r="BG461">
        <v>6.8858499999999998E-3</v>
      </c>
      <c r="BH461">
        <v>5.4125700000000002E-3</v>
      </c>
      <c r="BI461">
        <v>1.09417E-2</v>
      </c>
      <c r="BJ461">
        <v>1.0754700000000001E-2</v>
      </c>
      <c r="BK461">
        <v>1.07055E-2</v>
      </c>
      <c r="BL461">
        <v>1.4134799999999999E-2</v>
      </c>
      <c r="BM461">
        <v>8.0608499999999996E-3</v>
      </c>
      <c r="BN461">
        <v>9.7298000000000003E-3</v>
      </c>
      <c r="BO461">
        <v>8.8380300000000002E-3</v>
      </c>
      <c r="BP461">
        <v>7.5732100000000004E-3</v>
      </c>
      <c r="BQ461">
        <v>8.4684700000000005E-3</v>
      </c>
      <c r="BR461">
        <v>9.3822000000000003E-3</v>
      </c>
      <c r="BS461">
        <v>1.3776999999999999E-2</v>
      </c>
      <c r="BT461">
        <v>7.5102800000000003E-3</v>
      </c>
      <c r="BU461">
        <v>8.5654900000000003E-3</v>
      </c>
      <c r="BV461">
        <v>4.0811800000000002E-3</v>
      </c>
      <c r="BW461">
        <v>6.9353699999999997E-3</v>
      </c>
      <c r="BX461">
        <v>5.0483400000000001E-3</v>
      </c>
      <c r="BY461">
        <v>9.4976399999999999E-3</v>
      </c>
      <c r="BZ461">
        <v>1.10127E-2</v>
      </c>
      <c r="CA461">
        <v>7.3901599999999998E-3</v>
      </c>
      <c r="CB461">
        <v>1.04203E-2</v>
      </c>
      <c r="CC461">
        <v>1.06984E-2</v>
      </c>
      <c r="CD461">
        <v>1.1306500000000001E-2</v>
      </c>
      <c r="CE461">
        <v>1.32263E-2</v>
      </c>
      <c r="CF461">
        <v>2.2452099999999999E-2</v>
      </c>
      <c r="CG461">
        <v>2.2339100000000001E-2</v>
      </c>
      <c r="CH461">
        <v>8.3201000000000004E-3</v>
      </c>
      <c r="CI461">
        <v>5.1332499999999998E-3</v>
      </c>
      <c r="CJ461">
        <v>1.41905E-2</v>
      </c>
      <c r="CK461">
        <v>9.6416999999999996E-3</v>
      </c>
      <c r="CL461">
        <v>1.12409E-2</v>
      </c>
    </row>
    <row r="462" spans="2:90" x14ac:dyDescent="0.2">
      <c r="B462">
        <v>61.5</v>
      </c>
      <c r="C462">
        <v>2.6935500000000001E-2</v>
      </c>
      <c r="D462">
        <v>1.8322000000000001E-2</v>
      </c>
      <c r="E462">
        <v>2.54215E-2</v>
      </c>
      <c r="F462">
        <v>3.4611999999999997E-2</v>
      </c>
      <c r="G462">
        <v>3.7488899999999999E-2</v>
      </c>
      <c r="H462">
        <v>2.7942600000000001E-2</v>
      </c>
      <c r="I462">
        <v>6.3311900000000004E-3</v>
      </c>
      <c r="J462">
        <v>2.10604E-2</v>
      </c>
      <c r="K462">
        <v>2.21143E-2</v>
      </c>
      <c r="L462">
        <v>2.2079499999999998E-2</v>
      </c>
      <c r="M462">
        <v>2.1090999999999999E-2</v>
      </c>
      <c r="N462">
        <v>2.1033400000000001E-2</v>
      </c>
      <c r="O462">
        <v>1.9341799999999999E-2</v>
      </c>
      <c r="P462">
        <v>2.0890499999999999E-2</v>
      </c>
      <c r="Q462">
        <v>3.5317099999999997E-2</v>
      </c>
      <c r="R462">
        <v>3.3497600000000002E-2</v>
      </c>
      <c r="S462">
        <v>3.2626299999999997E-2</v>
      </c>
      <c r="T462">
        <v>3.1142599999999999E-2</v>
      </c>
      <c r="U462">
        <v>3.8357200000000001E-2</v>
      </c>
      <c r="V462">
        <v>3.2805899999999999E-2</v>
      </c>
      <c r="W462">
        <v>2.6957499999999999E-2</v>
      </c>
      <c r="X462">
        <v>3.2184999999999998E-2</v>
      </c>
      <c r="Y462">
        <v>4.1030400000000002E-2</v>
      </c>
      <c r="Z462">
        <v>3.5316500000000001E-2</v>
      </c>
      <c r="AA462">
        <v>3.06973E-2</v>
      </c>
      <c r="AB462">
        <v>3.9148599999999999E-2</v>
      </c>
      <c r="AC462">
        <v>3.3041500000000001E-2</v>
      </c>
      <c r="AD462">
        <v>3.02749E-2</v>
      </c>
      <c r="AE462">
        <v>3.34442E-2</v>
      </c>
      <c r="AF462">
        <v>3.0387999999999998E-2</v>
      </c>
      <c r="AG462">
        <v>2.3442899999999999E-2</v>
      </c>
      <c r="AH462">
        <v>3.7626899999999998E-2</v>
      </c>
      <c r="AI462">
        <v>3.3404400000000001E-2</v>
      </c>
      <c r="AJ462">
        <v>3.4428899999999998E-2</v>
      </c>
      <c r="AK462">
        <v>4.00627E-2</v>
      </c>
      <c r="AL462">
        <v>3.1475400000000001E-2</v>
      </c>
      <c r="AM462">
        <v>3.8011900000000001E-2</v>
      </c>
      <c r="AN462">
        <v>4.0746699999999997E-2</v>
      </c>
      <c r="AO462">
        <v>3.9975299999999998E-2</v>
      </c>
      <c r="AP462">
        <v>4.26903E-2</v>
      </c>
      <c r="AQ462">
        <v>3.2413400000000002E-2</v>
      </c>
      <c r="AR462">
        <v>2.7677500000000001E-2</v>
      </c>
      <c r="AS462">
        <v>2.3537499999999999E-2</v>
      </c>
      <c r="AT462">
        <v>3.07149E-2</v>
      </c>
      <c r="AU462">
        <v>3.5756999999999997E-2</v>
      </c>
      <c r="AV462">
        <v>3.4716200000000003E-2</v>
      </c>
      <c r="AW462">
        <v>2.12987E-2</v>
      </c>
      <c r="AX462">
        <v>1.5236700000000001E-2</v>
      </c>
      <c r="AY462">
        <v>1.6395099999999999E-2</v>
      </c>
      <c r="AZ462">
        <v>8.7621999999999995E-3</v>
      </c>
      <c r="BA462">
        <v>9.4598600000000005E-3</v>
      </c>
      <c r="BB462">
        <v>1.1632999999999999E-2</v>
      </c>
      <c r="BC462">
        <v>2.0598999999999999E-2</v>
      </c>
      <c r="BD462">
        <v>1.8671799999999999E-2</v>
      </c>
      <c r="BE462">
        <v>1.5814000000000002E-2</v>
      </c>
      <c r="BF462">
        <v>7.1091399999999999E-3</v>
      </c>
      <c r="BG462">
        <v>4.6758700000000004E-3</v>
      </c>
      <c r="BH462">
        <v>5.5331099999999999E-3</v>
      </c>
      <c r="BI462">
        <v>1.44869E-2</v>
      </c>
      <c r="BJ462">
        <v>1.13306E-2</v>
      </c>
      <c r="BK462">
        <v>1.00988E-2</v>
      </c>
      <c r="BL462">
        <v>1.16335E-2</v>
      </c>
      <c r="BM462">
        <v>9.1271200000000007E-3</v>
      </c>
      <c r="BN462">
        <v>7.1965900000000001E-3</v>
      </c>
      <c r="BO462">
        <v>8.0190899999999996E-3</v>
      </c>
      <c r="BP462">
        <v>1.0026200000000001E-2</v>
      </c>
      <c r="BQ462">
        <v>9.2200900000000002E-3</v>
      </c>
      <c r="BR462">
        <v>7.9137099999999991E-3</v>
      </c>
      <c r="BS462">
        <v>1.3196599999999999E-2</v>
      </c>
      <c r="BT462">
        <v>1.0634899999999999E-2</v>
      </c>
      <c r="BU462">
        <v>7.9250199999999996E-3</v>
      </c>
      <c r="BV462">
        <v>4.7949400000000001E-3</v>
      </c>
      <c r="BW462">
        <v>6.3987899999999997E-3</v>
      </c>
      <c r="BX462">
        <v>4.6096699999999997E-3</v>
      </c>
      <c r="BY462">
        <v>1.18151E-2</v>
      </c>
      <c r="BZ462">
        <v>1.41885E-2</v>
      </c>
      <c r="CA462">
        <v>9.1922900000000005E-3</v>
      </c>
      <c r="CB462">
        <v>1.14111E-2</v>
      </c>
      <c r="CC462">
        <v>1.1326599999999999E-2</v>
      </c>
      <c r="CD462">
        <v>1.2637499999999999E-2</v>
      </c>
      <c r="CE462">
        <v>1.3643000000000001E-2</v>
      </c>
      <c r="CF462">
        <v>1.9127700000000001E-2</v>
      </c>
      <c r="CG462">
        <v>2.0753799999999999E-2</v>
      </c>
      <c r="CH462">
        <v>8.3369199999999994E-3</v>
      </c>
      <c r="CI462">
        <v>6.28117E-3</v>
      </c>
      <c r="CJ462">
        <v>1.13101E-2</v>
      </c>
      <c r="CK462">
        <v>9.0380700000000005E-3</v>
      </c>
      <c r="CL462">
        <v>1.1975899999999999E-2</v>
      </c>
    </row>
    <row r="463" spans="2:90" x14ac:dyDescent="0.2">
      <c r="B463">
        <v>62.5</v>
      </c>
      <c r="C463">
        <v>1.6767600000000001E-2</v>
      </c>
      <c r="D463">
        <v>1.9622299999999999E-2</v>
      </c>
      <c r="E463">
        <v>3.7238500000000001E-2</v>
      </c>
      <c r="F463">
        <v>4.01819E-2</v>
      </c>
      <c r="G463">
        <v>4.86107E-2</v>
      </c>
      <c r="H463">
        <v>2.1241699999999999E-2</v>
      </c>
      <c r="I463">
        <v>8.2701900000000002E-3</v>
      </c>
      <c r="J463">
        <v>2.3430599999999999E-2</v>
      </c>
      <c r="K463">
        <v>2.4277300000000002E-2</v>
      </c>
      <c r="L463">
        <v>1.9348899999999999E-2</v>
      </c>
      <c r="M463">
        <v>2.1000600000000001E-2</v>
      </c>
      <c r="N463">
        <v>2.2632900000000001E-2</v>
      </c>
      <c r="O463">
        <v>2.3751499999999998E-2</v>
      </c>
      <c r="P463">
        <v>2.0615499999999998E-2</v>
      </c>
      <c r="Q463">
        <v>2.3635400000000001E-2</v>
      </c>
      <c r="R463">
        <v>3.3864999999999999E-2</v>
      </c>
      <c r="S463">
        <v>3.3341000000000003E-2</v>
      </c>
      <c r="T463">
        <v>3.1050500000000002E-2</v>
      </c>
      <c r="U463">
        <v>3.8406500000000003E-2</v>
      </c>
      <c r="V463">
        <v>3.4833200000000002E-2</v>
      </c>
      <c r="W463">
        <v>2.79206E-2</v>
      </c>
      <c r="X463">
        <v>2.7571399999999999E-2</v>
      </c>
      <c r="Y463">
        <v>4.20658E-2</v>
      </c>
      <c r="Z463">
        <v>3.6484999999999997E-2</v>
      </c>
      <c r="AA463">
        <v>3.24312E-2</v>
      </c>
      <c r="AB463">
        <v>3.99143E-2</v>
      </c>
      <c r="AC463">
        <v>3.5791299999999998E-2</v>
      </c>
      <c r="AD463">
        <v>2.8527899999999998E-2</v>
      </c>
      <c r="AE463">
        <v>3.3732699999999997E-2</v>
      </c>
      <c r="AF463">
        <v>2.9309000000000002E-2</v>
      </c>
      <c r="AG463">
        <v>2.3921899999999999E-2</v>
      </c>
      <c r="AH463">
        <v>3.60614E-2</v>
      </c>
      <c r="AI463">
        <v>3.8728499999999999E-2</v>
      </c>
      <c r="AJ463">
        <v>3.4663399999999997E-2</v>
      </c>
      <c r="AK463">
        <v>4.0700600000000003E-2</v>
      </c>
      <c r="AL463">
        <v>3.4756299999999997E-2</v>
      </c>
      <c r="AM463">
        <v>3.8044000000000001E-2</v>
      </c>
      <c r="AN463">
        <v>4.23334E-2</v>
      </c>
      <c r="AO463">
        <v>3.93207E-2</v>
      </c>
      <c r="AP463">
        <v>4.7286500000000002E-2</v>
      </c>
      <c r="AQ463">
        <v>3.4764999999999997E-2</v>
      </c>
      <c r="AR463">
        <v>3.40735E-2</v>
      </c>
      <c r="AS463">
        <v>2.6414099999999999E-2</v>
      </c>
      <c r="AT463">
        <v>3.0769000000000001E-2</v>
      </c>
      <c r="AU463">
        <v>3.9589600000000003E-2</v>
      </c>
      <c r="AV463">
        <v>3.6734000000000003E-2</v>
      </c>
      <c r="AW463">
        <v>2.1535700000000001E-2</v>
      </c>
      <c r="AX463">
        <v>1.70048E-2</v>
      </c>
      <c r="AY463">
        <v>1.6618500000000001E-2</v>
      </c>
      <c r="AZ463">
        <v>6.47556E-3</v>
      </c>
      <c r="BA463">
        <v>7.1690199999999999E-3</v>
      </c>
      <c r="BB463">
        <v>1.21432E-2</v>
      </c>
      <c r="BC463">
        <v>1.6427899999999999E-2</v>
      </c>
      <c r="BD463">
        <v>2.2382300000000001E-2</v>
      </c>
      <c r="BE463">
        <v>1.4020899999999999E-2</v>
      </c>
      <c r="BF463">
        <v>6.3376400000000003E-3</v>
      </c>
      <c r="BG463">
        <v>3.6305700000000001E-3</v>
      </c>
      <c r="BH463">
        <v>5.0289999999999996E-3</v>
      </c>
      <c r="BI463">
        <v>1.16011E-2</v>
      </c>
      <c r="BJ463">
        <v>1.0870899999999999E-2</v>
      </c>
      <c r="BK463">
        <v>9.2462099999999995E-3</v>
      </c>
      <c r="BL463">
        <v>1.2108600000000001E-2</v>
      </c>
      <c r="BM463">
        <v>8.9204899999999997E-3</v>
      </c>
      <c r="BN463">
        <v>8.0291500000000005E-3</v>
      </c>
      <c r="BO463">
        <v>7.1464400000000004E-3</v>
      </c>
      <c r="BP463">
        <v>6.67288E-3</v>
      </c>
      <c r="BQ463">
        <v>8.7315499999999994E-3</v>
      </c>
      <c r="BR463">
        <v>5.8297899999999996E-3</v>
      </c>
      <c r="BS463">
        <v>1.27714E-2</v>
      </c>
      <c r="BT463">
        <v>7.5135100000000002E-3</v>
      </c>
      <c r="BU463">
        <v>8.81352E-3</v>
      </c>
      <c r="BV463">
        <v>3.9300899999999998E-3</v>
      </c>
      <c r="BW463">
        <v>6.1659499999999999E-3</v>
      </c>
      <c r="BX463">
        <v>3.1510800000000001E-3</v>
      </c>
      <c r="BY463">
        <v>7.7045400000000002E-3</v>
      </c>
      <c r="BZ463">
        <v>8.9853099999999998E-3</v>
      </c>
      <c r="CA463">
        <v>6.5692600000000004E-3</v>
      </c>
      <c r="CB463">
        <v>1.10816E-2</v>
      </c>
      <c r="CC463">
        <v>7.54931E-3</v>
      </c>
      <c r="CD463">
        <v>8.1564700000000007E-3</v>
      </c>
      <c r="CE463">
        <v>1.36042E-2</v>
      </c>
      <c r="CF463">
        <v>2.1686199999999999E-2</v>
      </c>
      <c r="CG463">
        <v>2.49775E-2</v>
      </c>
      <c r="CH463">
        <v>8.0917799999999998E-3</v>
      </c>
      <c r="CI463">
        <v>6.07757E-3</v>
      </c>
      <c r="CJ463">
        <v>1.1739599999999999E-2</v>
      </c>
      <c r="CK463">
        <v>9.2883199999999992E-3</v>
      </c>
      <c r="CL463">
        <v>1.2312099999999999E-2</v>
      </c>
    </row>
    <row r="464" spans="2:90" x14ac:dyDescent="0.2">
      <c r="B464">
        <v>63.5</v>
      </c>
      <c r="C464">
        <v>3.8433299999999997E-2</v>
      </c>
      <c r="D464">
        <v>6.3174199999999998E-3</v>
      </c>
      <c r="E464">
        <v>2.0862599999999999E-2</v>
      </c>
      <c r="F464">
        <v>3.4299299999999998E-2</v>
      </c>
      <c r="G464">
        <v>3.87587E-2</v>
      </c>
      <c r="H464">
        <v>2.90862E-2</v>
      </c>
      <c r="I464">
        <v>1.5587999999999999E-2</v>
      </c>
      <c r="J464">
        <v>1.9399599999999999E-2</v>
      </c>
      <c r="K464">
        <v>2.7002399999999999E-2</v>
      </c>
      <c r="L464">
        <v>2.2651399999999999E-2</v>
      </c>
      <c r="M464">
        <v>2.2875800000000002E-2</v>
      </c>
      <c r="N464">
        <v>2.4644599999999999E-2</v>
      </c>
      <c r="O464">
        <v>2.35058E-2</v>
      </c>
      <c r="P464">
        <v>2.28054E-2</v>
      </c>
      <c r="Q464">
        <v>2.7034300000000001E-2</v>
      </c>
      <c r="R464">
        <v>3.4313900000000001E-2</v>
      </c>
      <c r="S464">
        <v>3.1253700000000002E-2</v>
      </c>
      <c r="T464">
        <v>2.99624E-2</v>
      </c>
      <c r="U464">
        <v>4.0754899999999997E-2</v>
      </c>
      <c r="V464">
        <v>3.5751699999999997E-2</v>
      </c>
      <c r="W464">
        <v>2.8121400000000001E-2</v>
      </c>
      <c r="X464">
        <v>2.7211699999999998E-2</v>
      </c>
      <c r="Y464">
        <v>4.1346899999999999E-2</v>
      </c>
      <c r="Z464">
        <v>3.5770299999999998E-2</v>
      </c>
      <c r="AA464">
        <v>3.0836499999999999E-2</v>
      </c>
      <c r="AB464">
        <v>3.8239299999999997E-2</v>
      </c>
      <c r="AC464">
        <v>3.6684300000000003E-2</v>
      </c>
      <c r="AD464">
        <v>2.94004E-2</v>
      </c>
      <c r="AE464">
        <v>3.3078400000000001E-2</v>
      </c>
      <c r="AF464">
        <v>2.9319899999999999E-2</v>
      </c>
      <c r="AG464">
        <v>2.3895799999999998E-2</v>
      </c>
      <c r="AH464">
        <v>3.4748000000000001E-2</v>
      </c>
      <c r="AI464">
        <v>3.7110600000000001E-2</v>
      </c>
      <c r="AJ464">
        <v>3.2689599999999999E-2</v>
      </c>
      <c r="AK464">
        <v>4.2369299999999999E-2</v>
      </c>
      <c r="AL464">
        <v>3.3440699999999997E-2</v>
      </c>
      <c r="AM464">
        <v>3.6184099999999997E-2</v>
      </c>
      <c r="AN464">
        <v>4.4186099999999999E-2</v>
      </c>
      <c r="AO464">
        <v>3.9482099999999999E-2</v>
      </c>
      <c r="AP464">
        <v>4.7468799999999998E-2</v>
      </c>
      <c r="AQ464">
        <v>3.5711899999999998E-2</v>
      </c>
      <c r="AR464">
        <v>2.9430100000000001E-2</v>
      </c>
      <c r="AS464">
        <v>2.4587299999999999E-2</v>
      </c>
      <c r="AT464">
        <v>3.0429299999999999E-2</v>
      </c>
      <c r="AU464">
        <v>3.6533599999999999E-2</v>
      </c>
      <c r="AV464">
        <v>3.7747999999999997E-2</v>
      </c>
      <c r="AW464">
        <v>1.9163099999999999E-2</v>
      </c>
      <c r="AX464">
        <v>1.4846099999999999E-2</v>
      </c>
      <c r="AY464">
        <v>1.5502999999999999E-2</v>
      </c>
      <c r="AZ464">
        <v>6.4627E-3</v>
      </c>
      <c r="BA464">
        <v>5.2348000000000004E-3</v>
      </c>
      <c r="BB464">
        <v>1.15367E-2</v>
      </c>
      <c r="BC464">
        <v>1.15578E-2</v>
      </c>
      <c r="BD464">
        <v>2.4165699999999998E-2</v>
      </c>
      <c r="BE464">
        <v>1.40833E-2</v>
      </c>
      <c r="BF464">
        <v>5.8702199999999998E-3</v>
      </c>
      <c r="BG464">
        <v>2.6797000000000001E-3</v>
      </c>
      <c r="BH464">
        <v>3.4259E-3</v>
      </c>
      <c r="BI464">
        <v>1.2773899999999999E-2</v>
      </c>
      <c r="BJ464">
        <v>9.4837600000000008E-3</v>
      </c>
      <c r="BK464">
        <v>8.5246799999999998E-3</v>
      </c>
      <c r="BL464">
        <v>1.2875299999999999E-2</v>
      </c>
      <c r="BM464">
        <v>7.6945099999999999E-3</v>
      </c>
      <c r="BN464">
        <v>6.7771400000000001E-3</v>
      </c>
      <c r="BO464">
        <v>6.73786E-3</v>
      </c>
      <c r="BP464">
        <v>7.8540699999999995E-3</v>
      </c>
      <c r="BQ464">
        <v>8.1918200000000007E-3</v>
      </c>
      <c r="BR464">
        <v>7.7782600000000004E-3</v>
      </c>
      <c r="BS464">
        <v>1.1183500000000001E-2</v>
      </c>
      <c r="BT464">
        <v>1.1291600000000001E-2</v>
      </c>
      <c r="BU464">
        <v>7.5175399999999996E-3</v>
      </c>
      <c r="BV464">
        <v>3.9669800000000002E-3</v>
      </c>
      <c r="BW464">
        <v>7.2941000000000004E-3</v>
      </c>
      <c r="BX464">
        <v>3.8731600000000001E-3</v>
      </c>
      <c r="BY464">
        <v>8.8276299999999995E-3</v>
      </c>
      <c r="BZ464">
        <v>1.2019200000000001E-2</v>
      </c>
      <c r="CA464">
        <v>7.8830900000000006E-3</v>
      </c>
      <c r="CB464">
        <v>1.24703E-2</v>
      </c>
      <c r="CC464">
        <v>7.7970399999999999E-3</v>
      </c>
      <c r="CD464">
        <v>8.62249E-3</v>
      </c>
      <c r="CE464">
        <v>1.2402099999999999E-2</v>
      </c>
      <c r="CF464">
        <v>1.6999400000000001E-2</v>
      </c>
      <c r="CG464">
        <v>2.3848100000000001E-2</v>
      </c>
      <c r="CH464">
        <v>9.4600499999999994E-3</v>
      </c>
      <c r="CI464">
        <v>5.5520500000000002E-3</v>
      </c>
      <c r="CJ464">
        <v>8.9930900000000005E-3</v>
      </c>
      <c r="CK464">
        <v>9.7124599999999991E-3</v>
      </c>
      <c r="CL464">
        <v>1.11126E-2</v>
      </c>
    </row>
    <row r="465" spans="2:90" x14ac:dyDescent="0.2">
      <c r="B465">
        <v>64.5</v>
      </c>
      <c r="C465">
        <v>6.3719600000000001E-2</v>
      </c>
      <c r="D465">
        <v>2.8764600000000001E-2</v>
      </c>
      <c r="E465">
        <v>2.6194700000000001E-2</v>
      </c>
      <c r="F465">
        <v>3.6491299999999997E-2</v>
      </c>
      <c r="G465">
        <v>4.2665000000000002E-2</v>
      </c>
      <c r="H465">
        <v>2.7670500000000001E-2</v>
      </c>
      <c r="I465">
        <v>9.2065500000000008E-3</v>
      </c>
      <c r="J465">
        <v>1.71475E-2</v>
      </c>
      <c r="K465">
        <v>2.45469E-2</v>
      </c>
      <c r="L465">
        <v>2.1717500000000001E-2</v>
      </c>
      <c r="M465">
        <v>2.4394300000000001E-2</v>
      </c>
      <c r="N465">
        <v>2.8151800000000001E-2</v>
      </c>
      <c r="O465">
        <v>2.6106899999999999E-2</v>
      </c>
      <c r="P465">
        <v>2.4451000000000001E-2</v>
      </c>
      <c r="Q465">
        <v>2.5438200000000001E-2</v>
      </c>
      <c r="R465">
        <v>3.3539399999999997E-2</v>
      </c>
      <c r="S465">
        <v>3.2968299999999999E-2</v>
      </c>
      <c r="T465">
        <v>3.1509799999999998E-2</v>
      </c>
      <c r="U465">
        <v>3.9308299999999997E-2</v>
      </c>
      <c r="V465">
        <v>3.7267300000000003E-2</v>
      </c>
      <c r="W465">
        <v>2.80871E-2</v>
      </c>
      <c r="X465">
        <v>2.52264E-2</v>
      </c>
      <c r="Y465">
        <v>4.0507099999999997E-2</v>
      </c>
      <c r="Z465">
        <v>3.4221599999999998E-2</v>
      </c>
      <c r="AA465">
        <v>3.1033100000000001E-2</v>
      </c>
      <c r="AB465">
        <v>3.6753099999999997E-2</v>
      </c>
      <c r="AC465">
        <v>3.7297200000000003E-2</v>
      </c>
      <c r="AD465">
        <v>2.8828599999999999E-2</v>
      </c>
      <c r="AE465">
        <v>3.2323400000000002E-2</v>
      </c>
      <c r="AF465">
        <v>3.0409700000000001E-2</v>
      </c>
      <c r="AG465">
        <v>2.4980700000000002E-2</v>
      </c>
      <c r="AH465">
        <v>3.2532899999999997E-2</v>
      </c>
      <c r="AI465">
        <v>3.6960699999999999E-2</v>
      </c>
      <c r="AJ465">
        <v>3.2054300000000001E-2</v>
      </c>
      <c r="AK465">
        <v>4.1375299999999997E-2</v>
      </c>
      <c r="AL465">
        <v>3.1858499999999998E-2</v>
      </c>
      <c r="AM465">
        <v>3.6761000000000002E-2</v>
      </c>
      <c r="AN465">
        <v>4.4277400000000001E-2</v>
      </c>
      <c r="AO465">
        <v>3.8543300000000003E-2</v>
      </c>
      <c r="AP465">
        <v>5.1325099999999999E-2</v>
      </c>
      <c r="AQ465">
        <v>3.5587199999999999E-2</v>
      </c>
      <c r="AR465">
        <v>3.2501500000000003E-2</v>
      </c>
      <c r="AS465">
        <v>2.68323E-2</v>
      </c>
      <c r="AT465">
        <v>2.6870499999999999E-2</v>
      </c>
      <c r="AU465">
        <v>3.5167200000000003E-2</v>
      </c>
      <c r="AV465">
        <v>3.6871300000000003E-2</v>
      </c>
      <c r="AW465">
        <v>1.8301399999999999E-2</v>
      </c>
      <c r="AX465">
        <v>1.52166E-2</v>
      </c>
      <c r="AY465">
        <v>1.32633E-2</v>
      </c>
      <c r="AZ465">
        <v>6.6577199999999998E-3</v>
      </c>
      <c r="BA465">
        <v>6.4137300000000003E-3</v>
      </c>
      <c r="BB465">
        <v>1.24225E-2</v>
      </c>
      <c r="BC465">
        <v>1.2387E-2</v>
      </c>
      <c r="BD465">
        <v>1.81697E-2</v>
      </c>
      <c r="BE465">
        <v>9.7398299999999997E-3</v>
      </c>
      <c r="BF465">
        <v>3.5992699999999999E-3</v>
      </c>
      <c r="BG465">
        <v>3.2132300000000001E-3</v>
      </c>
      <c r="BH465">
        <v>6.3458200000000003E-3</v>
      </c>
      <c r="BI465">
        <v>1.13449E-2</v>
      </c>
      <c r="BJ465">
        <v>7.6332199999999996E-3</v>
      </c>
      <c r="BK465">
        <v>6.1849699999999997E-3</v>
      </c>
      <c r="BL465">
        <v>1.10592E-2</v>
      </c>
      <c r="BM465">
        <v>6.8362800000000001E-3</v>
      </c>
      <c r="BN465">
        <v>7.9404300000000001E-3</v>
      </c>
      <c r="BO465">
        <v>4.3340699999999998E-3</v>
      </c>
      <c r="BP465">
        <v>7.5938200000000003E-3</v>
      </c>
      <c r="BQ465">
        <v>4.6694500000000003E-3</v>
      </c>
      <c r="BR465">
        <v>5.4111699999999999E-3</v>
      </c>
      <c r="BS465">
        <v>9.5820100000000002E-3</v>
      </c>
      <c r="BT465">
        <v>9.4678899999999996E-3</v>
      </c>
      <c r="BU465">
        <v>7.2217999999999996E-3</v>
      </c>
      <c r="BV465">
        <v>3.6119099999999999E-3</v>
      </c>
      <c r="BW465">
        <v>4.7425000000000002E-3</v>
      </c>
      <c r="BX465">
        <v>4.2688400000000003E-3</v>
      </c>
      <c r="BY465">
        <v>5.3834599999999996E-3</v>
      </c>
      <c r="BZ465">
        <v>8.2971599999999996E-3</v>
      </c>
      <c r="CA465">
        <v>5.9039299999999999E-3</v>
      </c>
      <c r="CB465">
        <v>1.1468900000000001E-2</v>
      </c>
      <c r="CC465">
        <v>6.1128399999999996E-3</v>
      </c>
      <c r="CD465">
        <v>5.83718E-3</v>
      </c>
      <c r="CE465">
        <v>1.31234E-2</v>
      </c>
      <c r="CF465">
        <v>1.55514E-2</v>
      </c>
      <c r="CG465">
        <v>2.1376900000000001E-2</v>
      </c>
      <c r="CH465">
        <v>8.4132300000000007E-3</v>
      </c>
      <c r="CI465">
        <v>5.7002600000000004E-3</v>
      </c>
      <c r="CJ465">
        <v>7.1160499999999996E-3</v>
      </c>
      <c r="CK465">
        <v>8.2132999999999998E-3</v>
      </c>
      <c r="CL465">
        <v>1.24058E-2</v>
      </c>
    </row>
    <row r="466" spans="2:90" x14ac:dyDescent="0.2">
      <c r="B466">
        <v>65.5</v>
      </c>
      <c r="C466">
        <v>2.7728200000000001E-2</v>
      </c>
      <c r="D466">
        <v>1.30213E-2</v>
      </c>
      <c r="E466">
        <v>1.69248E-2</v>
      </c>
      <c r="F466">
        <v>3.6882100000000001E-2</v>
      </c>
      <c r="G466">
        <v>4.4191000000000001E-2</v>
      </c>
      <c r="H466">
        <v>3.6878099999999997E-2</v>
      </c>
      <c r="I466">
        <v>1.0879399999999999E-2</v>
      </c>
      <c r="J466">
        <v>1.66596E-2</v>
      </c>
      <c r="K466">
        <v>2.6764400000000001E-2</v>
      </c>
      <c r="L466">
        <v>1.9444800000000002E-2</v>
      </c>
      <c r="M466">
        <v>2.3652200000000002E-2</v>
      </c>
      <c r="N466">
        <v>2.7755100000000001E-2</v>
      </c>
      <c r="O466">
        <v>2.6810500000000001E-2</v>
      </c>
      <c r="P466">
        <v>2.3394000000000002E-2</v>
      </c>
      <c r="Q466">
        <v>1.53145E-2</v>
      </c>
      <c r="R466">
        <v>3.1055200000000002E-2</v>
      </c>
      <c r="S466">
        <v>3.1209500000000001E-2</v>
      </c>
      <c r="T466">
        <v>2.9708499999999999E-2</v>
      </c>
      <c r="U466">
        <v>3.7481500000000001E-2</v>
      </c>
      <c r="V466">
        <v>3.5101300000000002E-2</v>
      </c>
      <c r="W466">
        <v>2.8435599999999998E-2</v>
      </c>
      <c r="X466">
        <v>2.4083E-2</v>
      </c>
      <c r="Y466">
        <v>3.8351799999999998E-2</v>
      </c>
      <c r="Z466">
        <v>3.3804099999999997E-2</v>
      </c>
      <c r="AA466">
        <v>3.03007E-2</v>
      </c>
      <c r="AB466">
        <v>3.4781199999999998E-2</v>
      </c>
      <c r="AC466">
        <v>3.6214299999999998E-2</v>
      </c>
      <c r="AD466">
        <v>2.9262400000000001E-2</v>
      </c>
      <c r="AE466">
        <v>3.0810500000000001E-2</v>
      </c>
      <c r="AF466">
        <v>3.14503E-2</v>
      </c>
      <c r="AG466">
        <v>2.2760099999999998E-2</v>
      </c>
      <c r="AH466">
        <v>2.8988E-2</v>
      </c>
      <c r="AI466">
        <v>3.3407399999999997E-2</v>
      </c>
      <c r="AJ466">
        <v>3.0518099999999999E-2</v>
      </c>
      <c r="AK466">
        <v>3.90065E-2</v>
      </c>
      <c r="AL466">
        <v>3.1314599999999998E-2</v>
      </c>
      <c r="AM466">
        <v>3.45829E-2</v>
      </c>
      <c r="AN466">
        <v>4.2865300000000002E-2</v>
      </c>
      <c r="AO466">
        <v>3.6781599999999998E-2</v>
      </c>
      <c r="AP466">
        <v>4.7702300000000003E-2</v>
      </c>
      <c r="AQ466">
        <v>3.9696000000000002E-2</v>
      </c>
      <c r="AR466">
        <v>2.9177600000000001E-2</v>
      </c>
      <c r="AS466">
        <v>2.9085300000000001E-2</v>
      </c>
      <c r="AT466">
        <v>2.4515200000000001E-2</v>
      </c>
      <c r="AU466">
        <v>3.4195200000000002E-2</v>
      </c>
      <c r="AV466">
        <v>3.5956500000000002E-2</v>
      </c>
      <c r="AW466">
        <v>1.7955800000000001E-2</v>
      </c>
      <c r="AX466">
        <v>1.44972E-2</v>
      </c>
      <c r="AY466">
        <v>1.62302E-2</v>
      </c>
      <c r="AZ466">
        <v>1.00835E-2</v>
      </c>
      <c r="BA466">
        <v>4.9034100000000004E-3</v>
      </c>
      <c r="BB466">
        <v>1.16159E-2</v>
      </c>
      <c r="BC466">
        <v>9.8883500000000006E-3</v>
      </c>
      <c r="BD466">
        <v>1.6772499999999999E-2</v>
      </c>
      <c r="BE466">
        <v>1.44251E-2</v>
      </c>
      <c r="BF466">
        <v>6.1518800000000002E-3</v>
      </c>
      <c r="BG466">
        <v>3.1377200000000001E-3</v>
      </c>
      <c r="BH466">
        <v>3.5123300000000001E-3</v>
      </c>
      <c r="BI466">
        <v>9.0604599999999993E-3</v>
      </c>
      <c r="BJ466">
        <v>5.7798199999999997E-3</v>
      </c>
      <c r="BK466">
        <v>6.4888100000000002E-3</v>
      </c>
      <c r="BL466">
        <v>1.0934299999999999E-2</v>
      </c>
      <c r="BM466">
        <v>1.01753E-2</v>
      </c>
      <c r="BN466">
        <v>5.1730099999999996E-3</v>
      </c>
      <c r="BO466">
        <v>5.1334099999999997E-3</v>
      </c>
      <c r="BP466">
        <v>5.3705799999999998E-3</v>
      </c>
      <c r="BQ466">
        <v>8.6903999999999992E-3</v>
      </c>
      <c r="BR466">
        <v>5.8179499999999997E-3</v>
      </c>
      <c r="BS466">
        <v>9.2546E-3</v>
      </c>
      <c r="BT466">
        <v>9.8819100000000007E-3</v>
      </c>
      <c r="BU466">
        <v>8.1972399999999997E-3</v>
      </c>
      <c r="BV466">
        <v>3.6539400000000001E-3</v>
      </c>
      <c r="BW466">
        <v>5.7120199999999999E-3</v>
      </c>
      <c r="BX466">
        <v>3.1696300000000001E-3</v>
      </c>
      <c r="BY466">
        <v>5.6000099999999999E-3</v>
      </c>
      <c r="BZ466">
        <v>9.8478599999999999E-3</v>
      </c>
      <c r="CA466">
        <v>6.0334100000000003E-3</v>
      </c>
      <c r="CB466">
        <v>1.03512E-2</v>
      </c>
      <c r="CC466">
        <v>5.9396800000000001E-3</v>
      </c>
      <c r="CD466">
        <v>5.5575800000000003E-3</v>
      </c>
      <c r="CE466">
        <v>1.44078E-2</v>
      </c>
      <c r="CF466">
        <v>1.3096399999999999E-2</v>
      </c>
      <c r="CG466">
        <v>1.9013700000000001E-2</v>
      </c>
      <c r="CH466">
        <v>9.7500299999999998E-3</v>
      </c>
      <c r="CI466">
        <v>6.0905400000000002E-3</v>
      </c>
      <c r="CJ466">
        <v>6.9521399999999999E-3</v>
      </c>
      <c r="CK466">
        <v>8.8134100000000007E-3</v>
      </c>
      <c r="CL466">
        <v>1.0057099999999999E-2</v>
      </c>
    </row>
    <row r="467" spans="2:90" x14ac:dyDescent="0.2">
      <c r="B467">
        <v>66.5</v>
      </c>
      <c r="C467">
        <v>2.7656199999999999E-2</v>
      </c>
      <c r="D467">
        <v>6.8955099999999997E-3</v>
      </c>
      <c r="E467">
        <v>2.5690000000000001E-2</v>
      </c>
      <c r="F467">
        <v>2.9466099999999999E-2</v>
      </c>
      <c r="G467">
        <v>3.9959300000000003E-2</v>
      </c>
      <c r="H467">
        <v>3.4762800000000003E-2</v>
      </c>
      <c r="I467">
        <v>1.1012299999999999E-2</v>
      </c>
      <c r="J467">
        <v>1.36499E-2</v>
      </c>
      <c r="K467">
        <v>2.5584599999999999E-2</v>
      </c>
      <c r="L467">
        <v>2.45925E-2</v>
      </c>
      <c r="M467">
        <v>2.1274100000000001E-2</v>
      </c>
      <c r="N467">
        <v>3.0305599999999999E-2</v>
      </c>
      <c r="O467">
        <v>2.7902099999999999E-2</v>
      </c>
      <c r="P467">
        <v>2.50446E-2</v>
      </c>
      <c r="Q467">
        <v>1.80254E-2</v>
      </c>
      <c r="R467">
        <v>3.2435100000000001E-2</v>
      </c>
      <c r="S467">
        <v>3.2644300000000001E-2</v>
      </c>
      <c r="T467">
        <v>2.9579500000000002E-2</v>
      </c>
      <c r="U467">
        <v>3.7356899999999998E-2</v>
      </c>
      <c r="V467">
        <v>3.65095E-2</v>
      </c>
      <c r="W467">
        <v>2.80234E-2</v>
      </c>
      <c r="X467">
        <v>2.6492499999999999E-2</v>
      </c>
      <c r="Y467">
        <v>3.5664599999999998E-2</v>
      </c>
      <c r="Z467">
        <v>3.3539800000000002E-2</v>
      </c>
      <c r="AA467">
        <v>3.04262E-2</v>
      </c>
      <c r="AB467">
        <v>3.1433999999999997E-2</v>
      </c>
      <c r="AC467">
        <v>3.7477900000000001E-2</v>
      </c>
      <c r="AD467">
        <v>2.9300400000000001E-2</v>
      </c>
      <c r="AE467">
        <v>2.9611499999999999E-2</v>
      </c>
      <c r="AF467">
        <v>3.0056099999999999E-2</v>
      </c>
      <c r="AG467">
        <v>2.3596099999999998E-2</v>
      </c>
      <c r="AH467">
        <v>2.5309399999999999E-2</v>
      </c>
      <c r="AI467">
        <v>3.2517699999999997E-2</v>
      </c>
      <c r="AJ467">
        <v>2.9565299999999999E-2</v>
      </c>
      <c r="AK467">
        <v>3.48556E-2</v>
      </c>
      <c r="AL467">
        <v>3.1726799999999999E-2</v>
      </c>
      <c r="AM467">
        <v>3.3519199999999999E-2</v>
      </c>
      <c r="AN467">
        <v>4.10376E-2</v>
      </c>
      <c r="AO467">
        <v>3.4694700000000002E-2</v>
      </c>
      <c r="AP467">
        <v>4.65601E-2</v>
      </c>
      <c r="AQ467">
        <v>4.2771099999999999E-2</v>
      </c>
      <c r="AR467">
        <v>3.11145E-2</v>
      </c>
      <c r="AS467">
        <v>3.0984000000000001E-2</v>
      </c>
      <c r="AT467">
        <v>2.2896799999999998E-2</v>
      </c>
      <c r="AU467">
        <v>3.3510400000000003E-2</v>
      </c>
      <c r="AV467">
        <v>3.5977200000000001E-2</v>
      </c>
      <c r="AW467">
        <v>1.8745700000000001E-2</v>
      </c>
      <c r="AX467">
        <v>1.25919E-2</v>
      </c>
      <c r="AY467">
        <v>1.5042099999999999E-2</v>
      </c>
      <c r="AZ467">
        <v>7.2514299999999997E-3</v>
      </c>
      <c r="BA467">
        <v>5.46709E-3</v>
      </c>
      <c r="BB467">
        <v>1.23698E-2</v>
      </c>
      <c r="BC467">
        <v>1.37682E-2</v>
      </c>
      <c r="BD467">
        <v>2.4377800000000002E-2</v>
      </c>
      <c r="BE467">
        <v>9.8928799999999997E-3</v>
      </c>
      <c r="BF467">
        <v>5.6602299999999996E-3</v>
      </c>
      <c r="BG467">
        <v>4.9227699999999999E-3</v>
      </c>
      <c r="BH467">
        <v>3.4885099999999998E-3</v>
      </c>
      <c r="BI467">
        <v>5.9532999999999999E-3</v>
      </c>
      <c r="BJ467">
        <v>6.5044600000000001E-3</v>
      </c>
      <c r="BK467">
        <v>6.5025899999999999E-3</v>
      </c>
      <c r="BL467">
        <v>1.0076099999999999E-2</v>
      </c>
      <c r="BM467">
        <v>6.0039400000000001E-3</v>
      </c>
      <c r="BN467">
        <v>5.7217300000000004E-3</v>
      </c>
      <c r="BO467">
        <v>4.6475600000000002E-3</v>
      </c>
      <c r="BP467">
        <v>4.1550199999999997E-3</v>
      </c>
      <c r="BQ467">
        <v>5.8640200000000002E-3</v>
      </c>
      <c r="BR467">
        <v>5.6990599999999997E-3</v>
      </c>
      <c r="BS467">
        <v>8.1257900000000008E-3</v>
      </c>
      <c r="BT467">
        <v>9.2096799999999996E-3</v>
      </c>
      <c r="BU467">
        <v>5.0505999999999997E-3</v>
      </c>
      <c r="BV467">
        <v>2.5121700000000002E-3</v>
      </c>
      <c r="BW467">
        <v>4.9145999999999999E-3</v>
      </c>
      <c r="BX467">
        <v>2.3387299999999998E-3</v>
      </c>
      <c r="BY467">
        <v>3.8714700000000001E-3</v>
      </c>
      <c r="BZ467">
        <v>7.3210799999999998E-3</v>
      </c>
      <c r="CA467">
        <v>4.7901000000000003E-3</v>
      </c>
      <c r="CB467">
        <v>8.7499799999999992E-3</v>
      </c>
      <c r="CC467">
        <v>3.4602299999999999E-3</v>
      </c>
      <c r="CD467">
        <v>5.7906600000000004E-3</v>
      </c>
      <c r="CE467">
        <v>1.11772E-2</v>
      </c>
      <c r="CF467">
        <v>1.34348E-2</v>
      </c>
      <c r="CG467">
        <v>2.15582E-2</v>
      </c>
      <c r="CH467">
        <v>7.3876799999999998E-3</v>
      </c>
      <c r="CI467">
        <v>6.0871600000000003E-3</v>
      </c>
      <c r="CJ467">
        <v>5.1885400000000002E-3</v>
      </c>
      <c r="CK467">
        <v>7.7199499999999997E-3</v>
      </c>
      <c r="CL467">
        <v>8.7411999999999993E-3</v>
      </c>
    </row>
    <row r="468" spans="2:90" x14ac:dyDescent="0.2">
      <c r="B468">
        <v>67.5</v>
      </c>
      <c r="C468">
        <v>3.5477799999999997E-2</v>
      </c>
      <c r="D468">
        <v>5.6049000000000003E-3</v>
      </c>
      <c r="E468">
        <v>1.55745E-2</v>
      </c>
      <c r="F468">
        <v>3.1195000000000001E-2</v>
      </c>
      <c r="G468">
        <v>4.0627499999999997E-2</v>
      </c>
      <c r="H468">
        <v>3.0202099999999999E-2</v>
      </c>
      <c r="I468">
        <v>1.9374099999999998E-2</v>
      </c>
      <c r="J468">
        <v>1.33653E-2</v>
      </c>
      <c r="K468">
        <v>2.45819E-2</v>
      </c>
      <c r="L468">
        <v>2.26086E-2</v>
      </c>
      <c r="M468">
        <v>2.3841999999999999E-2</v>
      </c>
      <c r="N468">
        <v>3.38713E-2</v>
      </c>
      <c r="O468">
        <v>3.0804700000000001E-2</v>
      </c>
      <c r="P468">
        <v>2.5676999999999998E-2</v>
      </c>
      <c r="Q468">
        <v>1.5808099999999999E-2</v>
      </c>
      <c r="R468">
        <v>3.0501E-2</v>
      </c>
      <c r="S468">
        <v>2.92854E-2</v>
      </c>
      <c r="T468">
        <v>2.81327E-2</v>
      </c>
      <c r="U468">
        <v>3.7417300000000001E-2</v>
      </c>
      <c r="V468">
        <v>3.8538999999999997E-2</v>
      </c>
      <c r="W468">
        <v>2.82864E-2</v>
      </c>
      <c r="X468">
        <v>2.3510300000000001E-2</v>
      </c>
      <c r="Y468">
        <v>3.3379699999999998E-2</v>
      </c>
      <c r="Z468">
        <v>3.2298599999999997E-2</v>
      </c>
      <c r="AA468">
        <v>2.9623699999999999E-2</v>
      </c>
      <c r="AB468">
        <v>3.1273099999999998E-2</v>
      </c>
      <c r="AC468">
        <v>3.6762299999999998E-2</v>
      </c>
      <c r="AD468">
        <v>3.0193899999999999E-2</v>
      </c>
      <c r="AE468">
        <v>2.7851500000000001E-2</v>
      </c>
      <c r="AF468">
        <v>2.7848899999999999E-2</v>
      </c>
      <c r="AG468">
        <v>2.40748E-2</v>
      </c>
      <c r="AH468">
        <v>2.4285899999999999E-2</v>
      </c>
      <c r="AI468">
        <v>3.0655000000000002E-2</v>
      </c>
      <c r="AJ468">
        <v>2.6981399999999999E-2</v>
      </c>
      <c r="AK468">
        <v>3.2014500000000001E-2</v>
      </c>
      <c r="AL468">
        <v>3.15661E-2</v>
      </c>
      <c r="AM468">
        <v>3.29787E-2</v>
      </c>
      <c r="AN468">
        <v>3.9642299999999998E-2</v>
      </c>
      <c r="AO468">
        <v>3.4424799999999998E-2</v>
      </c>
      <c r="AP468">
        <v>4.59462E-2</v>
      </c>
      <c r="AQ468">
        <v>3.93359E-2</v>
      </c>
      <c r="AR468">
        <v>2.9035600000000002E-2</v>
      </c>
      <c r="AS468">
        <v>3.1624800000000002E-2</v>
      </c>
      <c r="AT468">
        <v>2.25869E-2</v>
      </c>
      <c r="AU468">
        <v>3.1126500000000001E-2</v>
      </c>
      <c r="AV468">
        <v>3.2786700000000002E-2</v>
      </c>
      <c r="AW468">
        <v>1.15563E-2</v>
      </c>
      <c r="AX468">
        <v>1.43023E-2</v>
      </c>
      <c r="AY468">
        <v>1.48521E-2</v>
      </c>
      <c r="AZ468">
        <v>7.9398100000000003E-3</v>
      </c>
      <c r="BA468">
        <v>4.5628999999999999E-3</v>
      </c>
      <c r="BB468">
        <v>1.2397E-2</v>
      </c>
      <c r="BC468">
        <v>1.0502600000000001E-2</v>
      </c>
      <c r="BD468">
        <v>2.1399600000000001E-2</v>
      </c>
      <c r="BE468">
        <v>1.10014E-2</v>
      </c>
      <c r="BF468">
        <v>6.64177E-3</v>
      </c>
      <c r="BG468">
        <v>3.6960600000000001E-3</v>
      </c>
      <c r="BH468">
        <v>5.8806199999999996E-3</v>
      </c>
      <c r="BI468">
        <v>9.4488000000000003E-3</v>
      </c>
      <c r="BJ468">
        <v>7.7181999999999997E-3</v>
      </c>
      <c r="BK468">
        <v>6.0769400000000003E-3</v>
      </c>
      <c r="BL468">
        <v>9.0041300000000008E-3</v>
      </c>
      <c r="BM468">
        <v>6.6260800000000003E-3</v>
      </c>
      <c r="BN468">
        <v>4.13979E-3</v>
      </c>
      <c r="BO468">
        <v>4.13262E-3</v>
      </c>
      <c r="BP468">
        <v>5.3146699999999996E-3</v>
      </c>
      <c r="BQ468">
        <v>5.2971499999999996E-3</v>
      </c>
      <c r="BR468">
        <v>5.3908799999999998E-3</v>
      </c>
      <c r="BS468">
        <v>9.8749100000000006E-3</v>
      </c>
      <c r="BT468">
        <v>9.1962099999999998E-3</v>
      </c>
      <c r="BU468">
        <v>7.9862000000000006E-3</v>
      </c>
      <c r="BV468">
        <v>3.3608599999999998E-3</v>
      </c>
      <c r="BW468">
        <v>5.9297899999999999E-3</v>
      </c>
      <c r="BX468">
        <v>2.8938100000000001E-3</v>
      </c>
      <c r="BY468">
        <v>2.9627400000000002E-3</v>
      </c>
      <c r="BZ468">
        <v>7.7408099999999999E-3</v>
      </c>
      <c r="CA468">
        <v>5.0118599999999999E-3</v>
      </c>
      <c r="CB468">
        <v>7.6317099999999999E-3</v>
      </c>
      <c r="CC468">
        <v>3.48862E-3</v>
      </c>
      <c r="CD468">
        <v>5.0472900000000003E-3</v>
      </c>
      <c r="CE468">
        <v>1.02133E-2</v>
      </c>
      <c r="CF468">
        <v>1.14787E-2</v>
      </c>
      <c r="CG468">
        <v>1.6483600000000001E-2</v>
      </c>
      <c r="CH468">
        <v>8.4244799999999998E-3</v>
      </c>
      <c r="CI468">
        <v>5.9107200000000004E-3</v>
      </c>
      <c r="CJ468">
        <v>5.1171899999999998E-3</v>
      </c>
      <c r="CK468">
        <v>6.9483699999999997E-3</v>
      </c>
      <c r="CL468">
        <v>8.6569699999999999E-3</v>
      </c>
    </row>
    <row r="469" spans="2:90" x14ac:dyDescent="0.2">
      <c r="B469">
        <v>68.5</v>
      </c>
      <c r="C469">
        <v>4.0660300000000003E-2</v>
      </c>
      <c r="D469">
        <v>6.3785500000000002E-3</v>
      </c>
      <c r="E469">
        <v>9.2781800000000005E-3</v>
      </c>
      <c r="F469">
        <v>2.7167299999999998E-2</v>
      </c>
      <c r="G469">
        <v>4.2417799999999999E-2</v>
      </c>
      <c r="H469">
        <v>3.3999599999999998E-2</v>
      </c>
      <c r="I469">
        <v>1.3461300000000001E-2</v>
      </c>
      <c r="J469">
        <v>1.23252E-2</v>
      </c>
      <c r="K469">
        <v>2.4476100000000001E-2</v>
      </c>
      <c r="L469">
        <v>2.1159000000000001E-2</v>
      </c>
      <c r="M469">
        <v>2.56492E-2</v>
      </c>
      <c r="N469">
        <v>3.60872E-2</v>
      </c>
      <c r="O469">
        <v>3.1953599999999999E-2</v>
      </c>
      <c r="P469">
        <v>2.4408099999999999E-2</v>
      </c>
      <c r="Q469">
        <v>1.6125500000000001E-2</v>
      </c>
      <c r="R469">
        <v>2.7694900000000001E-2</v>
      </c>
      <c r="S469">
        <v>2.7628099999999999E-2</v>
      </c>
      <c r="T469">
        <v>2.78944E-2</v>
      </c>
      <c r="U469">
        <v>3.4031699999999998E-2</v>
      </c>
      <c r="V469">
        <v>3.5623799999999997E-2</v>
      </c>
      <c r="W469">
        <v>2.6870499999999999E-2</v>
      </c>
      <c r="X469">
        <v>2.07327E-2</v>
      </c>
      <c r="Y469">
        <v>3.1835700000000001E-2</v>
      </c>
      <c r="Z469">
        <v>2.9311E-2</v>
      </c>
      <c r="AA469">
        <v>2.76356E-2</v>
      </c>
      <c r="AB469">
        <v>2.82426E-2</v>
      </c>
      <c r="AC469">
        <v>3.4096899999999999E-2</v>
      </c>
      <c r="AD469">
        <v>2.6534100000000001E-2</v>
      </c>
      <c r="AE469">
        <v>2.5213699999999999E-2</v>
      </c>
      <c r="AF469">
        <v>2.6774800000000001E-2</v>
      </c>
      <c r="AG469">
        <v>2.2172899999999999E-2</v>
      </c>
      <c r="AH469">
        <v>2.08331E-2</v>
      </c>
      <c r="AI469">
        <v>2.6651399999999999E-2</v>
      </c>
      <c r="AJ469">
        <v>2.64958E-2</v>
      </c>
      <c r="AK469">
        <v>2.86112E-2</v>
      </c>
      <c r="AL469">
        <v>3.1708699999999999E-2</v>
      </c>
      <c r="AM469">
        <v>2.9257499999999999E-2</v>
      </c>
      <c r="AN469">
        <v>3.7256299999999999E-2</v>
      </c>
      <c r="AO469">
        <v>3.4827400000000001E-2</v>
      </c>
      <c r="AP469">
        <v>4.0398799999999999E-2</v>
      </c>
      <c r="AQ469">
        <v>4.3079699999999999E-2</v>
      </c>
      <c r="AR469">
        <v>3.04304E-2</v>
      </c>
      <c r="AS469">
        <v>2.60711E-2</v>
      </c>
      <c r="AT469">
        <v>2.37723E-2</v>
      </c>
      <c r="AU469">
        <v>2.9427399999999999E-2</v>
      </c>
      <c r="AV469">
        <v>3.0020700000000001E-2</v>
      </c>
      <c r="AW469">
        <v>1.63156E-2</v>
      </c>
      <c r="AX469">
        <v>1.3378599999999999E-2</v>
      </c>
      <c r="AY469">
        <v>1.4019800000000001E-2</v>
      </c>
      <c r="AZ469">
        <v>8.6359499999999999E-3</v>
      </c>
      <c r="BA469">
        <v>5.6402900000000001E-3</v>
      </c>
      <c r="BB469">
        <v>1.03252E-2</v>
      </c>
      <c r="BC469">
        <v>1.05951E-2</v>
      </c>
      <c r="BD469">
        <v>1.36019E-2</v>
      </c>
      <c r="BE469">
        <v>6.47614E-3</v>
      </c>
      <c r="BF469">
        <v>6.3347999999999998E-3</v>
      </c>
      <c r="BG469">
        <v>3.34966E-3</v>
      </c>
      <c r="BH469">
        <v>2.71003E-3</v>
      </c>
      <c r="BI469">
        <v>4.3862099999999998E-3</v>
      </c>
      <c r="BJ469">
        <v>7.6577099999999999E-3</v>
      </c>
      <c r="BK469">
        <v>6.0631299999999999E-3</v>
      </c>
      <c r="BL469">
        <v>7.5610699999999996E-3</v>
      </c>
      <c r="BM469">
        <v>5.1027199999999998E-3</v>
      </c>
      <c r="BN469">
        <v>5.0573399999999996E-3</v>
      </c>
      <c r="BO469">
        <v>2.8135399999999998E-3</v>
      </c>
      <c r="BP469">
        <v>3.3983500000000001E-3</v>
      </c>
      <c r="BQ469">
        <v>5.4249199999999997E-3</v>
      </c>
      <c r="BR469">
        <v>5.5324800000000002E-3</v>
      </c>
      <c r="BS469">
        <v>7.6984200000000001E-3</v>
      </c>
      <c r="BT469">
        <v>7.0766199999999996E-3</v>
      </c>
      <c r="BU469">
        <v>4.1830399999999998E-3</v>
      </c>
      <c r="BV469">
        <v>3.1948699999999998E-3</v>
      </c>
      <c r="BW469">
        <v>3.4779699999999999E-3</v>
      </c>
      <c r="BX469">
        <v>1.86203E-3</v>
      </c>
      <c r="BY469">
        <v>2.1920300000000002E-3</v>
      </c>
      <c r="BZ469">
        <v>5.58173E-3</v>
      </c>
      <c r="CA469">
        <v>3.5013499999999999E-3</v>
      </c>
      <c r="CB469">
        <v>7.2510700000000001E-3</v>
      </c>
      <c r="CC469">
        <v>2.9144499999999999E-3</v>
      </c>
      <c r="CD469">
        <v>4.2003300000000004E-3</v>
      </c>
      <c r="CE469">
        <v>9.3678000000000008E-3</v>
      </c>
      <c r="CF469">
        <v>1.2657399999999999E-2</v>
      </c>
      <c r="CG469">
        <v>1.71135E-2</v>
      </c>
      <c r="CH469">
        <v>7.67741E-3</v>
      </c>
      <c r="CI469">
        <v>6.5457800000000002E-3</v>
      </c>
      <c r="CJ469">
        <v>6.1576699999999996E-3</v>
      </c>
      <c r="CK469">
        <v>6.8966499999999998E-3</v>
      </c>
      <c r="CL469">
        <v>6.8635600000000003E-3</v>
      </c>
    </row>
    <row r="470" spans="2:90" x14ac:dyDescent="0.2">
      <c r="B470">
        <v>69.5</v>
      </c>
      <c r="C470">
        <v>2.86971E-2</v>
      </c>
      <c r="D470">
        <v>6.7007999999999998E-3</v>
      </c>
      <c r="E470">
        <v>1.3003300000000001E-2</v>
      </c>
      <c r="F470">
        <v>2.6415399999999999E-2</v>
      </c>
      <c r="G470">
        <v>3.4556200000000002E-2</v>
      </c>
      <c r="H470">
        <v>2.7853200000000002E-2</v>
      </c>
      <c r="I470">
        <v>1.5485000000000001E-2</v>
      </c>
      <c r="J470">
        <v>1.3561399999999999E-2</v>
      </c>
      <c r="K470">
        <v>2.3970499999999999E-2</v>
      </c>
      <c r="L470">
        <v>2.4069299999999998E-2</v>
      </c>
      <c r="M470">
        <v>2.7164899999999999E-2</v>
      </c>
      <c r="N470">
        <v>3.2573999999999999E-2</v>
      </c>
      <c r="O470">
        <v>3.1153299999999998E-2</v>
      </c>
      <c r="P470">
        <v>2.4438999999999999E-2</v>
      </c>
      <c r="Q470">
        <v>1.2157299999999999E-2</v>
      </c>
      <c r="R470">
        <v>2.71226E-2</v>
      </c>
      <c r="S470">
        <v>2.6569300000000001E-2</v>
      </c>
      <c r="T470">
        <v>2.8316399999999999E-2</v>
      </c>
      <c r="U470">
        <v>3.3238799999999999E-2</v>
      </c>
      <c r="V470">
        <v>3.5371800000000002E-2</v>
      </c>
      <c r="W470">
        <v>2.7992300000000001E-2</v>
      </c>
      <c r="X470">
        <v>2.1159000000000001E-2</v>
      </c>
      <c r="Y470">
        <v>3.12985E-2</v>
      </c>
      <c r="Z470">
        <v>2.8099900000000001E-2</v>
      </c>
      <c r="AA470">
        <v>2.96885E-2</v>
      </c>
      <c r="AB470">
        <v>2.7522700000000001E-2</v>
      </c>
      <c r="AC470">
        <v>3.6548900000000002E-2</v>
      </c>
      <c r="AD470">
        <v>2.9770100000000001E-2</v>
      </c>
      <c r="AE470">
        <v>2.78033E-2</v>
      </c>
      <c r="AF470">
        <v>2.6587800000000002E-2</v>
      </c>
      <c r="AG470">
        <v>2.31903E-2</v>
      </c>
      <c r="AH470">
        <v>2.0046600000000001E-2</v>
      </c>
      <c r="AI470">
        <v>2.4289999999999999E-2</v>
      </c>
      <c r="AJ470">
        <v>2.66067E-2</v>
      </c>
      <c r="AK470">
        <v>2.7264199999999999E-2</v>
      </c>
      <c r="AL470">
        <v>3.0837300000000002E-2</v>
      </c>
      <c r="AM470">
        <v>2.9172400000000001E-2</v>
      </c>
      <c r="AN470">
        <v>3.5316199999999999E-2</v>
      </c>
      <c r="AO470">
        <v>3.5564800000000001E-2</v>
      </c>
      <c r="AP470">
        <v>3.7872799999999998E-2</v>
      </c>
      <c r="AQ470">
        <v>4.5752000000000001E-2</v>
      </c>
      <c r="AR470">
        <v>3.0687300000000001E-2</v>
      </c>
      <c r="AS470">
        <v>3.3115699999999998E-2</v>
      </c>
      <c r="AT470">
        <v>2.26237E-2</v>
      </c>
      <c r="AU470">
        <v>2.7497600000000001E-2</v>
      </c>
      <c r="AV470">
        <v>3.0305800000000001E-2</v>
      </c>
      <c r="AW470">
        <v>1.17886E-2</v>
      </c>
      <c r="AX470">
        <v>1.0994500000000001E-2</v>
      </c>
      <c r="AY470">
        <v>1.25535E-2</v>
      </c>
      <c r="AZ470">
        <v>8.6485099999999999E-3</v>
      </c>
      <c r="BA470">
        <v>6.7949500000000001E-3</v>
      </c>
      <c r="BB470">
        <v>1.08945E-2</v>
      </c>
      <c r="BC470">
        <v>8.1310600000000007E-3</v>
      </c>
      <c r="BD470">
        <v>2.00147E-2</v>
      </c>
      <c r="BE470">
        <v>1.1531E-2</v>
      </c>
      <c r="BF470">
        <v>6.6153599999999998E-3</v>
      </c>
      <c r="BG470">
        <v>2.5123799999999998E-3</v>
      </c>
      <c r="BH470">
        <v>2.6943000000000002E-3</v>
      </c>
      <c r="BI470">
        <v>7.2751300000000003E-3</v>
      </c>
      <c r="BJ470">
        <v>7.4383100000000001E-3</v>
      </c>
      <c r="BK470">
        <v>4.9640700000000001E-3</v>
      </c>
      <c r="BL470">
        <v>6.2029600000000004E-3</v>
      </c>
      <c r="BM470">
        <v>4.8406600000000001E-3</v>
      </c>
      <c r="BN470">
        <v>5.6721100000000002E-3</v>
      </c>
      <c r="BO470">
        <v>3.9482700000000003E-3</v>
      </c>
      <c r="BP470">
        <v>3.8777E-3</v>
      </c>
      <c r="BQ470">
        <v>4.7690700000000003E-3</v>
      </c>
      <c r="BR470">
        <v>6.14023E-3</v>
      </c>
      <c r="BS470">
        <v>5.9347999999999996E-3</v>
      </c>
      <c r="BT470">
        <v>7.6352499999999997E-3</v>
      </c>
      <c r="BU470">
        <v>5.8075999999999996E-3</v>
      </c>
      <c r="BV470">
        <v>2.4551799999999999E-3</v>
      </c>
      <c r="BW470">
        <v>4.18696E-3</v>
      </c>
      <c r="BX470">
        <v>2.40493E-3</v>
      </c>
      <c r="BY470">
        <v>2.5998800000000002E-3</v>
      </c>
      <c r="BZ470">
        <v>6.1077099999999997E-3</v>
      </c>
      <c r="CA470">
        <v>5.5702099999999999E-3</v>
      </c>
      <c r="CB470">
        <v>5.7916799999999996E-3</v>
      </c>
      <c r="CC470">
        <v>3.6958199999999998E-3</v>
      </c>
      <c r="CD470">
        <v>3.4005099999999998E-3</v>
      </c>
      <c r="CE470">
        <v>9.8430600000000007E-3</v>
      </c>
      <c r="CF470">
        <v>1.1653800000000001E-2</v>
      </c>
      <c r="CG470">
        <v>1.61292E-2</v>
      </c>
      <c r="CH470">
        <v>8.1141500000000005E-3</v>
      </c>
      <c r="CI470">
        <v>5.4651300000000003E-3</v>
      </c>
      <c r="CJ470">
        <v>4.8472699999999999E-3</v>
      </c>
      <c r="CK470">
        <v>5.0377099999999999E-3</v>
      </c>
      <c r="CL470">
        <v>7.3225399999999998E-3</v>
      </c>
    </row>
    <row r="471" spans="2:90" x14ac:dyDescent="0.2">
      <c r="B471">
        <v>70.5</v>
      </c>
      <c r="C471">
        <v>1.76148E-2</v>
      </c>
      <c r="D471">
        <v>5.3193399999999997E-3</v>
      </c>
      <c r="E471">
        <v>1.08433E-2</v>
      </c>
      <c r="F471">
        <v>2.6871900000000001E-2</v>
      </c>
      <c r="G471">
        <v>2.86234E-2</v>
      </c>
      <c r="H471">
        <v>3.1078100000000001E-2</v>
      </c>
      <c r="I471">
        <v>2.3481599999999998E-2</v>
      </c>
      <c r="J471">
        <v>1.2173E-2</v>
      </c>
      <c r="K471">
        <v>2.4726999999999999E-2</v>
      </c>
      <c r="L471">
        <v>2.64193E-2</v>
      </c>
      <c r="M471">
        <v>2.8963900000000001E-2</v>
      </c>
      <c r="N471">
        <v>3.3591599999999999E-2</v>
      </c>
      <c r="O471">
        <v>3.0240699999999999E-2</v>
      </c>
      <c r="P471">
        <v>2.1069500000000001E-2</v>
      </c>
      <c r="Q471">
        <v>1.1868800000000001E-2</v>
      </c>
      <c r="R471">
        <v>2.06912E-2</v>
      </c>
      <c r="S471">
        <v>2.2351800000000002E-2</v>
      </c>
      <c r="T471">
        <v>2.45737E-2</v>
      </c>
      <c r="U471">
        <v>2.7049900000000002E-2</v>
      </c>
      <c r="V471">
        <v>3.1469700000000003E-2</v>
      </c>
      <c r="W471">
        <v>2.4721E-2</v>
      </c>
      <c r="X471">
        <v>1.70154E-2</v>
      </c>
      <c r="Y471">
        <v>2.5009400000000001E-2</v>
      </c>
      <c r="Z471">
        <v>2.4352800000000001E-2</v>
      </c>
      <c r="AA471">
        <v>2.5670700000000001E-2</v>
      </c>
      <c r="AB471">
        <v>2.3352600000000001E-2</v>
      </c>
      <c r="AC471">
        <v>3.0478399999999999E-2</v>
      </c>
      <c r="AD471">
        <v>2.48653E-2</v>
      </c>
      <c r="AE471">
        <v>2.2271200000000001E-2</v>
      </c>
      <c r="AF471">
        <v>2.2915100000000001E-2</v>
      </c>
      <c r="AG471">
        <v>2.0010799999999999E-2</v>
      </c>
      <c r="AH471">
        <v>1.6478400000000001E-2</v>
      </c>
      <c r="AI471">
        <v>1.8930499999999999E-2</v>
      </c>
      <c r="AJ471">
        <v>2.18818E-2</v>
      </c>
      <c r="AK471">
        <v>2.2048499999999999E-2</v>
      </c>
      <c r="AL471">
        <v>2.6846999999999999E-2</v>
      </c>
      <c r="AM471">
        <v>2.3891599999999999E-2</v>
      </c>
      <c r="AN471">
        <v>2.7754500000000001E-2</v>
      </c>
      <c r="AO471">
        <v>2.9285200000000001E-2</v>
      </c>
      <c r="AP471">
        <v>3.2027600000000003E-2</v>
      </c>
      <c r="AQ471">
        <v>4.0396599999999998E-2</v>
      </c>
      <c r="AR471">
        <v>2.96241E-2</v>
      </c>
      <c r="AS471">
        <v>2.7141999999999999E-2</v>
      </c>
      <c r="AT471">
        <v>1.9529700000000001E-2</v>
      </c>
      <c r="AU471">
        <v>2.1746399999999999E-2</v>
      </c>
      <c r="AV471">
        <v>2.1799099999999998E-2</v>
      </c>
      <c r="AW471">
        <v>1.24866E-2</v>
      </c>
      <c r="AX471">
        <v>1.37182E-2</v>
      </c>
      <c r="AY471">
        <v>1.18759E-2</v>
      </c>
      <c r="AZ471">
        <v>7.9501599999999995E-3</v>
      </c>
      <c r="BA471">
        <v>6.3933899999999997E-3</v>
      </c>
      <c r="BB471">
        <v>8.7014199999999996E-3</v>
      </c>
      <c r="BC471">
        <v>1.16317E-2</v>
      </c>
      <c r="BD471">
        <v>1.0530899999999999E-2</v>
      </c>
      <c r="BE471">
        <v>7.9752799999999995E-3</v>
      </c>
      <c r="BF471">
        <v>4.5568900000000001E-3</v>
      </c>
      <c r="BG471">
        <v>1.4966199999999999E-3</v>
      </c>
      <c r="BH471">
        <v>1.3792100000000001E-3</v>
      </c>
      <c r="BI471">
        <v>3.4872900000000001E-3</v>
      </c>
      <c r="BJ471">
        <v>5.4396899999999996E-3</v>
      </c>
      <c r="BK471">
        <v>6.0383199999999998E-3</v>
      </c>
      <c r="BL471">
        <v>6.6544799999999999E-3</v>
      </c>
      <c r="BM471">
        <v>5.6323700000000003E-3</v>
      </c>
      <c r="BN471">
        <v>4.0578000000000003E-3</v>
      </c>
      <c r="BO471">
        <v>2.6380399999999999E-3</v>
      </c>
      <c r="BP471">
        <v>2.8637799999999998E-3</v>
      </c>
      <c r="BQ471">
        <v>3.8412099999999999E-3</v>
      </c>
      <c r="BR471">
        <v>3.8856899999999998E-3</v>
      </c>
      <c r="BS471">
        <v>6.7244499999999999E-3</v>
      </c>
      <c r="BT471">
        <v>6.6753100000000003E-3</v>
      </c>
      <c r="BU471">
        <v>4.9981299999999999E-3</v>
      </c>
      <c r="BV471">
        <v>1.8230500000000001E-3</v>
      </c>
      <c r="BW471">
        <v>2.6109900000000001E-3</v>
      </c>
      <c r="BX471">
        <v>1.8027E-3</v>
      </c>
      <c r="BY471">
        <v>2.3087699999999999E-3</v>
      </c>
      <c r="BZ471">
        <v>2.9873299999999998E-3</v>
      </c>
      <c r="CA471">
        <v>2.8407599999999999E-3</v>
      </c>
      <c r="CB471">
        <v>5.6423699999999999E-3</v>
      </c>
      <c r="CC471">
        <v>3.1366599999999999E-3</v>
      </c>
      <c r="CD471">
        <v>3.1951900000000001E-3</v>
      </c>
      <c r="CE471">
        <v>8.1093499999999995E-3</v>
      </c>
      <c r="CF471">
        <v>8.8201900000000003E-3</v>
      </c>
      <c r="CG471">
        <v>1.15269E-2</v>
      </c>
      <c r="CH471">
        <v>8.59562E-3</v>
      </c>
      <c r="CI471">
        <v>7.0608199999999998E-3</v>
      </c>
      <c r="CJ471">
        <v>4.2227699999999998E-3</v>
      </c>
      <c r="CK471">
        <v>6.3537000000000003E-3</v>
      </c>
      <c r="CL471">
        <v>7.9917900000000004E-3</v>
      </c>
    </row>
    <row r="472" spans="2:90" x14ac:dyDescent="0.2">
      <c r="B472">
        <v>71.5</v>
      </c>
      <c r="C472">
        <v>1.4005800000000001E-2</v>
      </c>
      <c r="D472">
        <v>7.4361200000000001E-3</v>
      </c>
      <c r="E472">
        <v>9.1674500000000006E-3</v>
      </c>
      <c r="F472">
        <v>2.68165E-2</v>
      </c>
      <c r="G472">
        <v>2.39691E-2</v>
      </c>
      <c r="H472">
        <v>2.5613299999999999E-2</v>
      </c>
      <c r="I472">
        <v>3.18511E-2</v>
      </c>
      <c r="J472">
        <v>1.2180699999999999E-2</v>
      </c>
      <c r="K472">
        <v>2.3155700000000001E-2</v>
      </c>
      <c r="L472">
        <v>3.1747999999999998E-2</v>
      </c>
      <c r="M472">
        <v>2.7541900000000001E-2</v>
      </c>
      <c r="N472">
        <v>3.70862E-2</v>
      </c>
      <c r="O472">
        <v>3.2838800000000001E-2</v>
      </c>
      <c r="P472">
        <v>2.2439000000000001E-2</v>
      </c>
      <c r="Q472">
        <v>2.26594E-2</v>
      </c>
      <c r="R472">
        <v>1.83474E-2</v>
      </c>
      <c r="S472">
        <v>2.1543099999999999E-2</v>
      </c>
      <c r="T472">
        <v>2.4460699999999998E-2</v>
      </c>
      <c r="U472">
        <v>2.7349600000000002E-2</v>
      </c>
      <c r="V472">
        <v>3.0918000000000001E-2</v>
      </c>
      <c r="W472">
        <v>2.6949600000000001E-2</v>
      </c>
      <c r="X472">
        <v>1.7303700000000002E-2</v>
      </c>
      <c r="Y472">
        <v>2.1860899999999999E-2</v>
      </c>
      <c r="Z472">
        <v>2.26973E-2</v>
      </c>
      <c r="AA472">
        <v>2.2976699999999999E-2</v>
      </c>
      <c r="AB472">
        <v>2.02559E-2</v>
      </c>
      <c r="AC472">
        <v>2.8388099999999999E-2</v>
      </c>
      <c r="AD472">
        <v>2.51504E-2</v>
      </c>
      <c r="AE472">
        <v>2.0975400000000002E-2</v>
      </c>
      <c r="AF472">
        <v>2.13069E-2</v>
      </c>
      <c r="AG472">
        <v>1.8449299999999998E-2</v>
      </c>
      <c r="AH472">
        <v>1.5500999999999999E-2</v>
      </c>
      <c r="AI472">
        <v>1.62151E-2</v>
      </c>
      <c r="AJ472">
        <v>1.84578E-2</v>
      </c>
      <c r="AK472">
        <v>2.0495300000000001E-2</v>
      </c>
      <c r="AL472">
        <v>2.3886600000000001E-2</v>
      </c>
      <c r="AM472">
        <v>2.2010200000000001E-2</v>
      </c>
      <c r="AN472">
        <v>2.55897E-2</v>
      </c>
      <c r="AO472">
        <v>2.65636E-2</v>
      </c>
      <c r="AP472">
        <v>2.9946500000000001E-2</v>
      </c>
      <c r="AQ472">
        <v>3.8270899999999997E-2</v>
      </c>
      <c r="AR472">
        <v>2.7856599999999999E-2</v>
      </c>
      <c r="AS472">
        <v>2.9690899999999999E-2</v>
      </c>
      <c r="AT472">
        <v>1.9370100000000001E-2</v>
      </c>
      <c r="AU472">
        <v>1.9538099999999999E-2</v>
      </c>
      <c r="AV472">
        <v>2.8718E-2</v>
      </c>
      <c r="AW472">
        <v>6.9193800000000001E-3</v>
      </c>
      <c r="AX472">
        <v>9.5433099999999993E-3</v>
      </c>
      <c r="AY472">
        <v>6.8257300000000003E-3</v>
      </c>
      <c r="AZ472">
        <v>7.9513399999999994E-3</v>
      </c>
      <c r="BA472">
        <v>5.7904499999999999E-3</v>
      </c>
      <c r="BB472">
        <v>5.6247800000000002E-3</v>
      </c>
      <c r="BC472">
        <v>8.39845E-3</v>
      </c>
      <c r="BD472">
        <v>1.84613E-2</v>
      </c>
      <c r="BE472">
        <v>9.6813300000000001E-3</v>
      </c>
      <c r="BF472">
        <v>4.3036999999999997E-3</v>
      </c>
      <c r="BG472">
        <v>2.2722799999999998E-3</v>
      </c>
      <c r="BH472">
        <v>1.4199099999999999E-3</v>
      </c>
      <c r="BI472">
        <v>4.7515400000000003E-3</v>
      </c>
      <c r="BJ472">
        <v>5.8796300000000003E-3</v>
      </c>
      <c r="BK472">
        <v>6.7108699999999999E-3</v>
      </c>
      <c r="BL472">
        <v>5.8642499999999997E-3</v>
      </c>
      <c r="BM472">
        <v>5.8032700000000001E-3</v>
      </c>
      <c r="BN472">
        <v>3.9049900000000001E-3</v>
      </c>
      <c r="BO472">
        <v>3.04463E-3</v>
      </c>
      <c r="BP472">
        <v>2.56858E-3</v>
      </c>
      <c r="BQ472">
        <v>2.9183799999999999E-3</v>
      </c>
      <c r="BR472">
        <v>4.4911400000000002E-3</v>
      </c>
      <c r="BS472">
        <v>5.5539300000000003E-3</v>
      </c>
      <c r="BT472">
        <v>6.3113600000000002E-3</v>
      </c>
      <c r="BU472">
        <v>4.8551000000000002E-3</v>
      </c>
      <c r="BV472">
        <v>2.5175699999999998E-3</v>
      </c>
      <c r="BW472">
        <v>3.2785499999999999E-3</v>
      </c>
      <c r="BX472">
        <v>1.24569E-3</v>
      </c>
      <c r="BY472">
        <v>1.2898199999999999E-3</v>
      </c>
      <c r="BZ472">
        <v>3.7637999999999999E-3</v>
      </c>
      <c r="CA472">
        <v>3.60977E-3</v>
      </c>
      <c r="CB472">
        <v>4.9294899999999999E-3</v>
      </c>
      <c r="CC472">
        <v>2.95642E-3</v>
      </c>
      <c r="CD472">
        <v>3.1985899999999999E-3</v>
      </c>
      <c r="CE472">
        <v>5.5022200000000004E-3</v>
      </c>
      <c r="CF472">
        <v>8.3683200000000003E-3</v>
      </c>
      <c r="CG472">
        <v>1.13378E-2</v>
      </c>
      <c r="CH472">
        <v>7.0380499999999997E-3</v>
      </c>
      <c r="CI472">
        <v>5.4909299999999998E-3</v>
      </c>
      <c r="CJ472">
        <v>3.6045199999999999E-3</v>
      </c>
      <c r="CK472">
        <v>4.6539499999999996E-3</v>
      </c>
      <c r="CL472">
        <v>5.8479700000000001E-3</v>
      </c>
    </row>
    <row r="473" spans="2:90" x14ac:dyDescent="0.2">
      <c r="B473">
        <v>72.5</v>
      </c>
      <c r="C473">
        <v>1.11538E-2</v>
      </c>
      <c r="D473">
        <v>6.6761199999999998E-3</v>
      </c>
      <c r="E473">
        <v>6.3277699999999999E-3</v>
      </c>
      <c r="F473">
        <v>1.74074E-2</v>
      </c>
      <c r="G473">
        <v>2.64234E-2</v>
      </c>
      <c r="H473">
        <v>2.5080399999999999E-2</v>
      </c>
      <c r="I473">
        <v>1.54593E-2</v>
      </c>
      <c r="J473">
        <v>1.2490100000000001E-2</v>
      </c>
      <c r="K473">
        <v>2.2537700000000001E-2</v>
      </c>
      <c r="L473">
        <v>2.6367399999999999E-2</v>
      </c>
      <c r="M473">
        <v>2.7402300000000001E-2</v>
      </c>
      <c r="N473">
        <v>3.4188799999999998E-2</v>
      </c>
      <c r="O473">
        <v>3.32789E-2</v>
      </c>
      <c r="P473">
        <v>2.08145E-2</v>
      </c>
      <c r="Q473">
        <v>1.1831299999999999E-2</v>
      </c>
      <c r="R473">
        <v>1.7183799999999999E-2</v>
      </c>
      <c r="S473">
        <v>1.84601E-2</v>
      </c>
      <c r="T473">
        <v>2.2873299999999999E-2</v>
      </c>
      <c r="U473">
        <v>2.5079899999999999E-2</v>
      </c>
      <c r="V473">
        <v>2.9336399999999999E-2</v>
      </c>
      <c r="W473">
        <v>2.32249E-2</v>
      </c>
      <c r="X473">
        <v>1.5337399999999999E-2</v>
      </c>
      <c r="Y473">
        <v>1.9568499999999999E-2</v>
      </c>
      <c r="Z473">
        <v>1.9072700000000001E-2</v>
      </c>
      <c r="AA473">
        <v>2.1320200000000001E-2</v>
      </c>
      <c r="AB473">
        <v>1.8673700000000001E-2</v>
      </c>
      <c r="AC473">
        <v>2.5478799999999999E-2</v>
      </c>
      <c r="AD473">
        <v>2.51007E-2</v>
      </c>
      <c r="AE473">
        <v>1.9024699999999999E-2</v>
      </c>
      <c r="AF473">
        <v>1.8632800000000001E-2</v>
      </c>
      <c r="AG473">
        <v>1.5971300000000001E-2</v>
      </c>
      <c r="AH473">
        <v>1.33828E-2</v>
      </c>
      <c r="AI473">
        <v>1.3586300000000001E-2</v>
      </c>
      <c r="AJ473">
        <v>1.6478900000000001E-2</v>
      </c>
      <c r="AK473">
        <v>1.6655300000000001E-2</v>
      </c>
      <c r="AL473">
        <v>2.2305800000000001E-2</v>
      </c>
      <c r="AM473">
        <v>2.0896600000000001E-2</v>
      </c>
      <c r="AN473">
        <v>2.1563700000000002E-2</v>
      </c>
      <c r="AO473">
        <v>2.5875800000000001E-2</v>
      </c>
      <c r="AP473">
        <v>3.1374100000000002E-2</v>
      </c>
      <c r="AQ473">
        <v>3.9057399999999999E-2</v>
      </c>
      <c r="AR473">
        <v>2.6936499999999999E-2</v>
      </c>
      <c r="AS473">
        <v>2.8351100000000001E-2</v>
      </c>
      <c r="AT473">
        <v>1.81546E-2</v>
      </c>
      <c r="AU473">
        <v>1.99919E-2</v>
      </c>
      <c r="AV473">
        <v>2.61313E-2</v>
      </c>
      <c r="AW473">
        <v>6.8588E-3</v>
      </c>
      <c r="AX473">
        <v>9.2425000000000007E-3</v>
      </c>
      <c r="AY473">
        <v>9.8284099999999992E-3</v>
      </c>
      <c r="AZ473">
        <v>7.0514999999999996E-3</v>
      </c>
      <c r="BA473">
        <v>4.55574E-3</v>
      </c>
      <c r="BB473">
        <v>8.4776899999999995E-3</v>
      </c>
      <c r="BC473">
        <v>8.3882399999999999E-3</v>
      </c>
      <c r="BD473">
        <v>2.0139899999999999E-2</v>
      </c>
      <c r="BE473">
        <v>9.5796800000000001E-3</v>
      </c>
      <c r="BF473">
        <v>3.4971400000000001E-3</v>
      </c>
      <c r="BG473">
        <v>2.4160900000000001E-3</v>
      </c>
      <c r="BH473">
        <v>1.4828300000000001E-3</v>
      </c>
      <c r="BI473">
        <v>2.13488E-3</v>
      </c>
      <c r="BJ473">
        <v>4.8347199999999998E-3</v>
      </c>
      <c r="BK473">
        <v>3.5133E-3</v>
      </c>
      <c r="BL473">
        <v>3.2434299999999998E-3</v>
      </c>
      <c r="BM473">
        <v>4.0356999999999997E-3</v>
      </c>
      <c r="BN473">
        <v>4.1693199999999998E-3</v>
      </c>
      <c r="BO473">
        <v>2.4451E-3</v>
      </c>
      <c r="BP473">
        <v>1.6698699999999999E-3</v>
      </c>
      <c r="BQ473">
        <v>2.9184200000000001E-3</v>
      </c>
      <c r="BR473">
        <v>3.3087899999999998E-3</v>
      </c>
      <c r="BS473">
        <v>5.5904300000000004E-3</v>
      </c>
      <c r="BT473">
        <v>5.22055E-3</v>
      </c>
      <c r="BU473">
        <v>5.3373600000000002E-3</v>
      </c>
      <c r="BV473">
        <v>1.8216899999999999E-3</v>
      </c>
      <c r="BW473">
        <v>1.7981099999999999E-3</v>
      </c>
      <c r="BX473">
        <v>1.44944E-3</v>
      </c>
      <c r="BY473">
        <v>1.0850499999999999E-3</v>
      </c>
      <c r="BZ473">
        <v>2.4761200000000001E-3</v>
      </c>
      <c r="CA473">
        <v>1.8060699999999999E-3</v>
      </c>
      <c r="CB473">
        <v>2.71763E-3</v>
      </c>
      <c r="CC473">
        <v>3.6499100000000001E-3</v>
      </c>
      <c r="CD473">
        <v>2.9400099999999998E-3</v>
      </c>
      <c r="CE473">
        <v>5.0049200000000004E-3</v>
      </c>
      <c r="CF473">
        <v>9.2885999999999993E-3</v>
      </c>
      <c r="CG473">
        <v>1.07505E-2</v>
      </c>
      <c r="CH473">
        <v>8.4063799999999998E-3</v>
      </c>
      <c r="CI473">
        <v>6.5452499999999999E-3</v>
      </c>
      <c r="CJ473">
        <v>4.2028999999999999E-3</v>
      </c>
      <c r="CK473">
        <v>3.4276200000000001E-3</v>
      </c>
      <c r="CL473">
        <v>5.3851899999999998E-3</v>
      </c>
    </row>
    <row r="474" spans="2:90" x14ac:dyDescent="0.2">
      <c r="B474">
        <v>73.5</v>
      </c>
      <c r="C474">
        <v>1.11068E-2</v>
      </c>
      <c r="D474">
        <v>3.3445800000000002E-3</v>
      </c>
      <c r="E474">
        <v>6.2727700000000004E-3</v>
      </c>
      <c r="F474">
        <v>1.8683700000000001E-2</v>
      </c>
      <c r="G474">
        <v>2.0061800000000001E-2</v>
      </c>
      <c r="H474">
        <v>2.0485799999999998E-2</v>
      </c>
      <c r="I474">
        <v>1.38987E-2</v>
      </c>
      <c r="J474">
        <v>1.27785E-2</v>
      </c>
      <c r="K474">
        <v>2.3276100000000001E-2</v>
      </c>
      <c r="L474">
        <v>2.4589199999999999E-2</v>
      </c>
      <c r="M474">
        <v>2.8294400000000001E-2</v>
      </c>
      <c r="N474">
        <v>3.5742000000000003E-2</v>
      </c>
      <c r="O474">
        <v>3.0599000000000001E-2</v>
      </c>
      <c r="P474">
        <v>2.0987800000000001E-2</v>
      </c>
      <c r="Q474">
        <v>1.17813E-2</v>
      </c>
      <c r="R474">
        <v>1.5141E-2</v>
      </c>
      <c r="S474">
        <v>1.6432100000000002E-2</v>
      </c>
      <c r="T474">
        <v>2.1141500000000001E-2</v>
      </c>
      <c r="U474">
        <v>2.35602E-2</v>
      </c>
      <c r="V474">
        <v>2.6350999999999999E-2</v>
      </c>
      <c r="W474">
        <v>2.21464E-2</v>
      </c>
      <c r="X474">
        <v>1.50849E-2</v>
      </c>
      <c r="Y474">
        <v>1.6606900000000001E-2</v>
      </c>
      <c r="Z474">
        <v>1.7983300000000001E-2</v>
      </c>
      <c r="AA474">
        <v>2.0636100000000001E-2</v>
      </c>
      <c r="AB474">
        <v>1.62378E-2</v>
      </c>
      <c r="AC474">
        <v>2.2778400000000001E-2</v>
      </c>
      <c r="AD474">
        <v>2.4189100000000002E-2</v>
      </c>
      <c r="AE474">
        <v>1.80016E-2</v>
      </c>
      <c r="AF474">
        <v>1.6563899999999999E-2</v>
      </c>
      <c r="AG474">
        <v>1.49488E-2</v>
      </c>
      <c r="AH474">
        <v>1.17898E-2</v>
      </c>
      <c r="AI474">
        <v>1.26775E-2</v>
      </c>
      <c r="AJ474">
        <v>1.4297900000000001E-2</v>
      </c>
      <c r="AK474">
        <v>1.45895E-2</v>
      </c>
      <c r="AL474">
        <v>2.0663000000000001E-2</v>
      </c>
      <c r="AM474">
        <v>1.80769E-2</v>
      </c>
      <c r="AN474">
        <v>2.08436E-2</v>
      </c>
      <c r="AO474">
        <v>2.3979500000000001E-2</v>
      </c>
      <c r="AP474">
        <v>2.4021600000000001E-2</v>
      </c>
      <c r="AQ474">
        <v>3.5696400000000003E-2</v>
      </c>
      <c r="AR474">
        <v>2.54957E-2</v>
      </c>
      <c r="AS474">
        <v>2.7809400000000001E-2</v>
      </c>
      <c r="AT474">
        <v>1.73128E-2</v>
      </c>
      <c r="AU474">
        <v>1.8918500000000001E-2</v>
      </c>
      <c r="AV474">
        <v>2.0790200000000002E-2</v>
      </c>
      <c r="AW474">
        <v>6.8075399999999999E-3</v>
      </c>
      <c r="AX474">
        <v>5.9067199999999999E-3</v>
      </c>
      <c r="AY474">
        <v>8.0084100000000005E-3</v>
      </c>
      <c r="AZ474">
        <v>8.1258800000000003E-3</v>
      </c>
      <c r="BA474">
        <v>5.8284399999999998E-3</v>
      </c>
      <c r="BB474">
        <v>4.8997700000000003E-3</v>
      </c>
      <c r="BC474">
        <v>5.5827899999999998E-3</v>
      </c>
      <c r="BD474">
        <v>1.6518000000000001E-2</v>
      </c>
      <c r="BE474">
        <v>9.4965399999999995E-3</v>
      </c>
      <c r="BF474">
        <v>5.6738700000000001E-3</v>
      </c>
      <c r="BG474">
        <v>2.1627199999999999E-3</v>
      </c>
      <c r="BH474">
        <v>1.3672999999999999E-3</v>
      </c>
      <c r="BI474">
        <v>2.8679500000000002E-3</v>
      </c>
      <c r="BJ474">
        <v>3.8817000000000001E-3</v>
      </c>
      <c r="BK474">
        <v>4.8571600000000001E-3</v>
      </c>
      <c r="BL474">
        <v>2.1796099999999998E-3</v>
      </c>
      <c r="BM474">
        <v>5.4708700000000001E-3</v>
      </c>
      <c r="BN474">
        <v>3.0585500000000002E-3</v>
      </c>
      <c r="BO474">
        <v>2.7112199999999999E-3</v>
      </c>
      <c r="BP474">
        <v>1.9242300000000001E-3</v>
      </c>
      <c r="BQ474">
        <v>2.6163900000000001E-3</v>
      </c>
      <c r="BR474">
        <v>3.346E-3</v>
      </c>
      <c r="BS474">
        <v>3.1608399999999998E-3</v>
      </c>
      <c r="BT474">
        <v>6.8902199999999999E-3</v>
      </c>
      <c r="BU474">
        <v>5.6007799999999996E-3</v>
      </c>
      <c r="BV474">
        <v>2.91654E-3</v>
      </c>
      <c r="BW474">
        <v>3.3654499999999999E-3</v>
      </c>
      <c r="BX474">
        <v>7.8826999999999999E-4</v>
      </c>
      <c r="BY474">
        <v>1.0327400000000001E-3</v>
      </c>
      <c r="BZ474">
        <v>2.41179E-3</v>
      </c>
      <c r="CA474">
        <v>2.1759499999999998E-3</v>
      </c>
      <c r="CB474">
        <v>3.3815799999999999E-3</v>
      </c>
      <c r="CC474">
        <v>2.7479599999999998E-3</v>
      </c>
      <c r="CD474">
        <v>2.3697599999999998E-3</v>
      </c>
      <c r="CE474">
        <v>3.9982000000000004E-3</v>
      </c>
      <c r="CF474">
        <v>7.1880099999999999E-3</v>
      </c>
      <c r="CG474">
        <v>7.9721199999999992E-3</v>
      </c>
      <c r="CH474">
        <v>7.5747899999999996E-3</v>
      </c>
      <c r="CI474">
        <v>6.2685299999999996E-3</v>
      </c>
      <c r="CJ474">
        <v>4.5455299999999999E-3</v>
      </c>
      <c r="CK474">
        <v>3.2714599999999999E-3</v>
      </c>
      <c r="CL474">
        <v>5.4615799999999997E-3</v>
      </c>
    </row>
    <row r="475" spans="2:90" x14ac:dyDescent="0.2">
      <c r="B475">
        <v>74.5</v>
      </c>
      <c r="C475">
        <v>9.8048400000000004E-3</v>
      </c>
      <c r="D475">
        <v>3.74661E-3</v>
      </c>
      <c r="E475">
        <v>6.1854700000000002E-3</v>
      </c>
      <c r="F475">
        <v>2.94192E-2</v>
      </c>
      <c r="G475">
        <v>1.91115E-2</v>
      </c>
      <c r="H475">
        <v>2.06578E-2</v>
      </c>
      <c r="I475">
        <v>1.44461E-2</v>
      </c>
      <c r="J475">
        <v>9.1795499999999999E-3</v>
      </c>
      <c r="K475">
        <v>2.5391E-2</v>
      </c>
      <c r="L475">
        <v>2.50622E-2</v>
      </c>
      <c r="M475">
        <v>2.9301600000000001E-2</v>
      </c>
      <c r="N475">
        <v>3.4903099999999999E-2</v>
      </c>
      <c r="O475">
        <v>3.2398999999999997E-2</v>
      </c>
      <c r="P475">
        <v>1.98295E-2</v>
      </c>
      <c r="Q475">
        <v>1.71001E-2</v>
      </c>
      <c r="R475">
        <v>1.45722E-2</v>
      </c>
      <c r="S475">
        <v>1.61198E-2</v>
      </c>
      <c r="T475">
        <v>2.0417000000000001E-2</v>
      </c>
      <c r="U475">
        <v>2.01666E-2</v>
      </c>
      <c r="V475">
        <v>2.3018299999999998E-2</v>
      </c>
      <c r="W475">
        <v>2.0242E-2</v>
      </c>
      <c r="X475">
        <v>1.38364E-2</v>
      </c>
      <c r="Y475">
        <v>1.56969E-2</v>
      </c>
      <c r="Z475">
        <v>1.4844400000000001E-2</v>
      </c>
      <c r="AA475">
        <v>1.8065299999999999E-2</v>
      </c>
      <c r="AB475">
        <v>1.4894299999999999E-2</v>
      </c>
      <c r="AC475">
        <v>2.1213699999999999E-2</v>
      </c>
      <c r="AD475">
        <v>2.2937699999999998E-2</v>
      </c>
      <c r="AE475">
        <v>1.8262799999999999E-2</v>
      </c>
      <c r="AF475">
        <v>1.4810800000000001E-2</v>
      </c>
      <c r="AG475">
        <v>1.2603899999999999E-2</v>
      </c>
      <c r="AH475">
        <v>1.0886099999999999E-2</v>
      </c>
      <c r="AI475">
        <v>9.80462E-3</v>
      </c>
      <c r="AJ475">
        <v>1.3124800000000001E-2</v>
      </c>
      <c r="AK475">
        <v>1.2767000000000001E-2</v>
      </c>
      <c r="AL475">
        <v>1.8194800000000001E-2</v>
      </c>
      <c r="AM475">
        <v>1.5553600000000001E-2</v>
      </c>
      <c r="AN475">
        <v>1.72613E-2</v>
      </c>
      <c r="AO475">
        <v>2.2038700000000001E-2</v>
      </c>
      <c r="AP475">
        <v>2.2061999999999998E-2</v>
      </c>
      <c r="AQ475">
        <v>3.5698899999999999E-2</v>
      </c>
      <c r="AR475">
        <v>2.7263300000000001E-2</v>
      </c>
      <c r="AS475">
        <v>3.12377E-2</v>
      </c>
      <c r="AT475">
        <v>2.0959200000000001E-2</v>
      </c>
      <c r="AU475">
        <v>1.6043600000000002E-2</v>
      </c>
      <c r="AV475">
        <v>2.34275E-2</v>
      </c>
      <c r="AW475">
        <v>6.1080600000000002E-3</v>
      </c>
      <c r="AX475">
        <v>6.1287499999999996E-3</v>
      </c>
      <c r="AY475">
        <v>8.5647899999999992E-3</v>
      </c>
      <c r="AZ475">
        <v>6.3157500000000002E-3</v>
      </c>
      <c r="BA475">
        <v>5.5695199999999997E-3</v>
      </c>
      <c r="BB475">
        <v>5.3064599999999998E-3</v>
      </c>
      <c r="BC475">
        <v>7.9488400000000004E-3</v>
      </c>
      <c r="BD475">
        <v>1.5757699999999999E-2</v>
      </c>
      <c r="BE475">
        <v>8.4592899999999995E-3</v>
      </c>
      <c r="BF475">
        <v>4.4952600000000001E-3</v>
      </c>
      <c r="BG475">
        <v>1.6979899999999999E-3</v>
      </c>
      <c r="BH475">
        <v>1.5642399999999999E-3</v>
      </c>
      <c r="BI475">
        <v>1.4051599999999999E-3</v>
      </c>
      <c r="BJ475">
        <v>3.07749E-3</v>
      </c>
      <c r="BK475">
        <v>3.8849499999999999E-3</v>
      </c>
      <c r="BL475">
        <v>3.31533E-3</v>
      </c>
      <c r="BM475">
        <v>3.0078800000000001E-3</v>
      </c>
      <c r="BN475">
        <v>2.31986E-3</v>
      </c>
      <c r="BO475">
        <v>2.2895300000000001E-3</v>
      </c>
      <c r="BP475">
        <v>1.28185E-3</v>
      </c>
      <c r="BQ475">
        <v>1.98197E-3</v>
      </c>
      <c r="BR475">
        <v>2.9533099999999998E-3</v>
      </c>
      <c r="BS475">
        <v>4.6755800000000004E-3</v>
      </c>
      <c r="BT475">
        <v>4.5774400000000003E-3</v>
      </c>
      <c r="BU475">
        <v>4.6148200000000004E-3</v>
      </c>
      <c r="BV475">
        <v>1.6876700000000001E-3</v>
      </c>
      <c r="BW475">
        <v>1.4361899999999999E-3</v>
      </c>
      <c r="BX475">
        <v>1.0387700000000001E-3</v>
      </c>
      <c r="BY475">
        <v>1.1586700000000001E-3</v>
      </c>
      <c r="BZ475">
        <v>1.32347E-3</v>
      </c>
      <c r="CA475">
        <v>1.62076E-3</v>
      </c>
      <c r="CB475">
        <v>2.37601E-3</v>
      </c>
      <c r="CC475">
        <v>2.3953500000000001E-3</v>
      </c>
      <c r="CD475">
        <v>2.8251299999999999E-3</v>
      </c>
      <c r="CE475">
        <v>2.93969E-3</v>
      </c>
      <c r="CF475">
        <v>7.7235100000000003E-3</v>
      </c>
      <c r="CG475">
        <v>6.7208299999999997E-3</v>
      </c>
      <c r="CH475">
        <v>5.5268599999999998E-3</v>
      </c>
      <c r="CI475">
        <v>5.9390399999999996E-3</v>
      </c>
      <c r="CJ475">
        <v>4.4716199999999999E-3</v>
      </c>
      <c r="CK475">
        <v>3.0777500000000002E-3</v>
      </c>
      <c r="CL475">
        <v>4.9174600000000002E-3</v>
      </c>
    </row>
    <row r="476" spans="2:90" x14ac:dyDescent="0.2">
      <c r="B476">
        <v>75.5</v>
      </c>
      <c r="C476">
        <v>3.6401799999999998E-3</v>
      </c>
      <c r="D476">
        <v>1.4081700000000001E-2</v>
      </c>
      <c r="E476">
        <v>4.2749600000000004E-3</v>
      </c>
      <c r="F476">
        <v>1.49885E-2</v>
      </c>
      <c r="G476">
        <v>1.69973E-2</v>
      </c>
      <c r="H476">
        <v>1.63004E-2</v>
      </c>
      <c r="I476">
        <v>1.3176500000000001E-2</v>
      </c>
      <c r="J476">
        <v>8.7204599999999993E-3</v>
      </c>
      <c r="K476">
        <v>2.1273199999999999E-2</v>
      </c>
      <c r="L476">
        <v>2.30735E-2</v>
      </c>
      <c r="M476">
        <v>2.56124E-2</v>
      </c>
      <c r="N476">
        <v>3.6635000000000001E-2</v>
      </c>
      <c r="O476">
        <v>2.7486300000000002E-2</v>
      </c>
      <c r="P476">
        <v>1.8463400000000001E-2</v>
      </c>
      <c r="Q476">
        <v>1.0474900000000001E-2</v>
      </c>
      <c r="R476">
        <v>1.12371E-2</v>
      </c>
      <c r="S476">
        <v>1.20722E-2</v>
      </c>
      <c r="T476">
        <v>1.8087099999999998E-2</v>
      </c>
      <c r="U476">
        <v>1.9772100000000001E-2</v>
      </c>
      <c r="V476">
        <v>2.0686199999999998E-2</v>
      </c>
      <c r="W476">
        <v>1.9487000000000001E-2</v>
      </c>
      <c r="X476">
        <v>1.1855299999999999E-2</v>
      </c>
      <c r="Y476">
        <v>1.2647E-2</v>
      </c>
      <c r="Z476">
        <v>1.2344300000000001E-2</v>
      </c>
      <c r="AA476">
        <v>1.6726100000000001E-2</v>
      </c>
      <c r="AB476">
        <v>1.3339200000000001E-2</v>
      </c>
      <c r="AC476">
        <v>1.9034499999999999E-2</v>
      </c>
      <c r="AD476">
        <v>2.0786599999999999E-2</v>
      </c>
      <c r="AE476">
        <v>1.5279600000000001E-2</v>
      </c>
      <c r="AF476">
        <v>1.3442000000000001E-2</v>
      </c>
      <c r="AG476">
        <v>1.1110200000000001E-2</v>
      </c>
      <c r="AH476">
        <v>9.2748599999999994E-3</v>
      </c>
      <c r="AI476">
        <v>8.0623699999999993E-3</v>
      </c>
      <c r="AJ476">
        <v>9.8952699999999994E-3</v>
      </c>
      <c r="AK476">
        <v>1.01876E-2</v>
      </c>
      <c r="AL476">
        <v>1.45772E-2</v>
      </c>
      <c r="AM476">
        <v>1.40558E-2</v>
      </c>
      <c r="AN476">
        <v>1.49298E-2</v>
      </c>
      <c r="AO476">
        <v>1.9123600000000001E-2</v>
      </c>
      <c r="AP476">
        <v>2.02145E-2</v>
      </c>
      <c r="AQ476">
        <v>2.7666799999999998E-2</v>
      </c>
      <c r="AR476">
        <v>2.56925E-2</v>
      </c>
      <c r="AS476">
        <v>2.36612E-2</v>
      </c>
      <c r="AT476">
        <v>1.5307100000000001E-2</v>
      </c>
      <c r="AU476">
        <v>1.35721E-2</v>
      </c>
      <c r="AV476">
        <v>1.8858699999999999E-2</v>
      </c>
      <c r="AW476">
        <v>4.2111400000000004E-3</v>
      </c>
      <c r="AX476">
        <v>5.9752900000000003E-3</v>
      </c>
      <c r="AY476">
        <v>6.1711600000000002E-3</v>
      </c>
      <c r="AZ476">
        <v>7.9693400000000001E-3</v>
      </c>
      <c r="BA476">
        <v>4.4987899999999999E-3</v>
      </c>
      <c r="BB476">
        <v>5.1458600000000004E-3</v>
      </c>
      <c r="BC476">
        <v>7.1203899999999999E-3</v>
      </c>
      <c r="BD476">
        <v>1.44957E-2</v>
      </c>
      <c r="BE476">
        <v>5.8457200000000004E-3</v>
      </c>
      <c r="BF476">
        <v>3.83205E-3</v>
      </c>
      <c r="BG476">
        <v>2.5601399999999998E-3</v>
      </c>
      <c r="BH476">
        <v>1.1643599999999999E-3</v>
      </c>
      <c r="BI476">
        <v>2.1201800000000002E-3</v>
      </c>
      <c r="BJ476">
        <v>2.4048300000000002E-3</v>
      </c>
      <c r="BK476">
        <v>2.9347100000000001E-3</v>
      </c>
      <c r="BL476">
        <v>2.35644E-3</v>
      </c>
      <c r="BM476">
        <v>3.7891700000000001E-3</v>
      </c>
      <c r="BN476">
        <v>2.2835899999999998E-3</v>
      </c>
      <c r="BO476">
        <v>1.7565599999999999E-3</v>
      </c>
      <c r="BP476">
        <v>9.7680399999999995E-4</v>
      </c>
      <c r="BQ476">
        <v>2.5013800000000001E-3</v>
      </c>
      <c r="BR476">
        <v>2.7998699999999999E-3</v>
      </c>
      <c r="BS476">
        <v>4.2429E-3</v>
      </c>
      <c r="BT476">
        <v>6.4542499999999999E-3</v>
      </c>
      <c r="BU476">
        <v>4.9159099999999999E-3</v>
      </c>
      <c r="BV476">
        <v>1.4874000000000001E-3</v>
      </c>
      <c r="BW476">
        <v>1.9095E-3</v>
      </c>
      <c r="BX476">
        <v>8.89039E-4</v>
      </c>
      <c r="BY476">
        <v>1.49872E-3</v>
      </c>
      <c r="BZ476">
        <v>1.2626600000000001E-3</v>
      </c>
      <c r="CA476">
        <v>1.51537E-3</v>
      </c>
      <c r="CB476">
        <v>1.6511200000000001E-3</v>
      </c>
      <c r="CC476">
        <v>2.2426600000000001E-3</v>
      </c>
      <c r="CD476">
        <v>2.24815E-3</v>
      </c>
      <c r="CE476">
        <v>2.6898600000000001E-3</v>
      </c>
      <c r="CF476">
        <v>6.8389499999999999E-3</v>
      </c>
      <c r="CG476">
        <v>6.4397300000000003E-3</v>
      </c>
      <c r="CH476">
        <v>6.1363299999999997E-3</v>
      </c>
      <c r="CI476">
        <v>5.0305000000000002E-3</v>
      </c>
      <c r="CJ476">
        <v>4.09772E-3</v>
      </c>
      <c r="CK476">
        <v>2.7241499999999998E-3</v>
      </c>
      <c r="CL476">
        <v>4.2801200000000001E-3</v>
      </c>
    </row>
    <row r="477" spans="2:90" x14ac:dyDescent="0.2">
      <c r="B477">
        <v>76.5</v>
      </c>
      <c r="C477">
        <v>1.4239700000000001E-3</v>
      </c>
      <c r="D477">
        <v>9.3286299999999992E-3</v>
      </c>
      <c r="E477">
        <v>2.8720999999999998E-3</v>
      </c>
      <c r="F477">
        <v>1.6917000000000001E-2</v>
      </c>
      <c r="G477">
        <v>1.5319599999999999E-2</v>
      </c>
      <c r="H477">
        <v>1.54039E-2</v>
      </c>
      <c r="I477">
        <v>1.4035000000000001E-2</v>
      </c>
      <c r="J477">
        <v>9.3346899999999997E-3</v>
      </c>
      <c r="K477">
        <v>2.2253800000000001E-2</v>
      </c>
      <c r="L477">
        <v>2.1528599999999998E-2</v>
      </c>
      <c r="M477">
        <v>2.3645200000000002E-2</v>
      </c>
      <c r="N477">
        <v>3.1394100000000001E-2</v>
      </c>
      <c r="O477">
        <v>2.6183499999999998E-2</v>
      </c>
      <c r="P477">
        <v>1.76171E-2</v>
      </c>
      <c r="Q477">
        <v>1.31419E-2</v>
      </c>
      <c r="R477">
        <v>1.08007E-2</v>
      </c>
      <c r="S477">
        <v>1.0813400000000001E-2</v>
      </c>
      <c r="T477">
        <v>1.6587399999999999E-2</v>
      </c>
      <c r="U477">
        <v>1.5930099999999999E-2</v>
      </c>
      <c r="V477">
        <v>1.82101E-2</v>
      </c>
      <c r="W477">
        <v>1.6175599999999998E-2</v>
      </c>
      <c r="X477">
        <v>1.1970400000000001E-2</v>
      </c>
      <c r="Y477">
        <v>1.0748300000000001E-2</v>
      </c>
      <c r="Z477">
        <v>1.1056399999999999E-2</v>
      </c>
      <c r="AA477">
        <v>1.4395099999999999E-2</v>
      </c>
      <c r="AB477">
        <v>1.1837500000000001E-2</v>
      </c>
      <c r="AC477">
        <v>1.55443E-2</v>
      </c>
      <c r="AD477">
        <v>1.8668199999999999E-2</v>
      </c>
      <c r="AE477">
        <v>1.5344099999999999E-2</v>
      </c>
      <c r="AF477">
        <v>1.08684E-2</v>
      </c>
      <c r="AG477">
        <v>9.1282399999999993E-3</v>
      </c>
      <c r="AH477">
        <v>7.9840499999999995E-3</v>
      </c>
      <c r="AI477">
        <v>6.6195500000000001E-3</v>
      </c>
      <c r="AJ477">
        <v>7.8492800000000001E-3</v>
      </c>
      <c r="AK477">
        <v>8.1747199999999999E-3</v>
      </c>
      <c r="AL477">
        <v>1.14874E-2</v>
      </c>
      <c r="AM477">
        <v>1.1900000000000001E-2</v>
      </c>
      <c r="AN477">
        <v>1.32806E-2</v>
      </c>
      <c r="AO477">
        <v>1.6011999999999998E-2</v>
      </c>
      <c r="AP477">
        <v>1.5660199999999999E-2</v>
      </c>
      <c r="AQ477">
        <v>2.2978200000000001E-2</v>
      </c>
      <c r="AR477">
        <v>2.3607699999999999E-2</v>
      </c>
      <c r="AS477">
        <v>2.3750400000000001E-2</v>
      </c>
      <c r="AT477">
        <v>1.8761099999999999E-2</v>
      </c>
      <c r="AU477">
        <v>1.2064200000000001E-2</v>
      </c>
      <c r="AV477">
        <v>1.8212800000000001E-2</v>
      </c>
      <c r="AW477">
        <v>3.2429199999999998E-3</v>
      </c>
      <c r="AX477">
        <v>5.13102E-3</v>
      </c>
      <c r="AY477">
        <v>6.75671E-3</v>
      </c>
      <c r="AZ477">
        <v>5.85354E-3</v>
      </c>
      <c r="BA477">
        <v>5.2674599999999999E-3</v>
      </c>
      <c r="BB477">
        <v>2.2193099999999999E-3</v>
      </c>
      <c r="BC477">
        <v>4.7688899999999996E-3</v>
      </c>
      <c r="BD477">
        <v>1.11527E-2</v>
      </c>
      <c r="BE477">
        <v>6.83586E-3</v>
      </c>
      <c r="BF477">
        <v>1.92505E-3</v>
      </c>
      <c r="BG477">
        <v>1.5458500000000001E-3</v>
      </c>
      <c r="BH477">
        <v>1.11659E-3</v>
      </c>
      <c r="BI477">
        <v>9.3313900000000004E-4</v>
      </c>
      <c r="BJ477">
        <v>3.9856500000000003E-3</v>
      </c>
      <c r="BK477">
        <v>3.1203899999999998E-3</v>
      </c>
      <c r="BL477">
        <v>3.0803900000000001E-3</v>
      </c>
      <c r="BM477">
        <v>2.2064099999999998E-3</v>
      </c>
      <c r="BN477">
        <v>1.9258700000000001E-3</v>
      </c>
      <c r="BO477">
        <v>9.5403299999999996E-4</v>
      </c>
      <c r="BP477">
        <v>1.34366E-3</v>
      </c>
      <c r="BQ477">
        <v>1.93181E-3</v>
      </c>
      <c r="BR477">
        <v>2.1542900000000001E-3</v>
      </c>
      <c r="BS477">
        <v>3.9348300000000003E-3</v>
      </c>
      <c r="BT477">
        <v>4.8839599999999997E-3</v>
      </c>
      <c r="BU477">
        <v>3.5755000000000001E-3</v>
      </c>
      <c r="BV477">
        <v>1.0852500000000001E-3</v>
      </c>
      <c r="BW477">
        <v>1.7275999999999999E-3</v>
      </c>
      <c r="BX477">
        <v>9.1784899999999999E-4</v>
      </c>
      <c r="BY477">
        <v>5.0310600000000002E-4</v>
      </c>
      <c r="BZ477">
        <v>1.0729699999999999E-3</v>
      </c>
      <c r="CA477">
        <v>1.46287E-3</v>
      </c>
      <c r="CB477">
        <v>2.32972E-3</v>
      </c>
      <c r="CC477">
        <v>1.6255099999999999E-3</v>
      </c>
      <c r="CD477">
        <v>1.84286E-3</v>
      </c>
      <c r="CE477">
        <v>2.7579900000000001E-3</v>
      </c>
      <c r="CF477">
        <v>6.3646600000000003E-3</v>
      </c>
      <c r="CG477">
        <v>7.8378300000000005E-3</v>
      </c>
      <c r="CH477">
        <v>5.42166E-3</v>
      </c>
      <c r="CI477">
        <v>5.3029000000000001E-3</v>
      </c>
      <c r="CJ477">
        <v>2.38674E-3</v>
      </c>
      <c r="CK477">
        <v>1.91724E-3</v>
      </c>
      <c r="CL477">
        <v>3.92932E-3</v>
      </c>
    </row>
    <row r="478" spans="2:90" x14ac:dyDescent="0.2">
      <c r="B478">
        <v>77.5</v>
      </c>
      <c r="C478">
        <v>5.6259099999999996E-3</v>
      </c>
      <c r="D478">
        <v>2.8286299999999999E-3</v>
      </c>
      <c r="E478">
        <v>1.2216600000000001E-3</v>
      </c>
      <c r="F478">
        <v>1.51506E-2</v>
      </c>
      <c r="G478">
        <v>1.5838700000000001E-2</v>
      </c>
      <c r="H478">
        <v>1.5055300000000001E-2</v>
      </c>
      <c r="I478">
        <v>1.2489500000000001E-2</v>
      </c>
      <c r="J478">
        <v>8.5862000000000004E-3</v>
      </c>
      <c r="K478">
        <v>1.8105699999999999E-2</v>
      </c>
      <c r="L478">
        <v>1.9765399999999999E-2</v>
      </c>
      <c r="M478">
        <v>2.3539299999999999E-2</v>
      </c>
      <c r="N478">
        <v>3.1441400000000001E-2</v>
      </c>
      <c r="O478">
        <v>2.4116700000000001E-2</v>
      </c>
      <c r="P478">
        <v>1.71661E-2</v>
      </c>
      <c r="Q478">
        <v>8.6759300000000001E-3</v>
      </c>
      <c r="R478">
        <v>9.19909E-3</v>
      </c>
      <c r="S478">
        <v>9.4425299999999993E-3</v>
      </c>
      <c r="T478">
        <v>1.54667E-2</v>
      </c>
      <c r="U478">
        <v>1.4038699999999999E-2</v>
      </c>
      <c r="V478">
        <v>1.6697799999999999E-2</v>
      </c>
      <c r="W478">
        <v>1.5897700000000001E-2</v>
      </c>
      <c r="X478">
        <v>1.0383099999999999E-2</v>
      </c>
      <c r="Y478">
        <v>9.3146800000000005E-3</v>
      </c>
      <c r="Z478">
        <v>9.7223299999999995E-3</v>
      </c>
      <c r="AA478">
        <v>1.28693E-2</v>
      </c>
      <c r="AB478">
        <v>1.1214699999999999E-2</v>
      </c>
      <c r="AC478">
        <v>1.5299500000000001E-2</v>
      </c>
      <c r="AD478">
        <v>1.78017E-2</v>
      </c>
      <c r="AE478">
        <v>1.45582E-2</v>
      </c>
      <c r="AF478">
        <v>1.04019E-2</v>
      </c>
      <c r="AG478">
        <v>8.9269799999999993E-3</v>
      </c>
      <c r="AH478">
        <v>6.64995E-3</v>
      </c>
      <c r="AI478">
        <v>5.7476000000000003E-3</v>
      </c>
      <c r="AJ478">
        <v>7.0330499999999999E-3</v>
      </c>
      <c r="AK478">
        <v>7.4436600000000004E-3</v>
      </c>
      <c r="AL478">
        <v>9.9369599999999999E-3</v>
      </c>
      <c r="AM478">
        <v>1.00982E-2</v>
      </c>
      <c r="AN478">
        <v>1.1210700000000001E-2</v>
      </c>
      <c r="AO478">
        <v>1.4953599999999999E-2</v>
      </c>
      <c r="AP478">
        <v>1.54307E-2</v>
      </c>
      <c r="AQ478">
        <v>2.2039900000000001E-2</v>
      </c>
      <c r="AR478">
        <v>2.4544E-2</v>
      </c>
      <c r="AS478">
        <v>2.60647E-2</v>
      </c>
      <c r="AT478">
        <v>1.61158E-2</v>
      </c>
      <c r="AU478">
        <v>1.25335E-2</v>
      </c>
      <c r="AV478">
        <v>1.41805E-2</v>
      </c>
      <c r="AW478">
        <v>3.4792899999999999E-3</v>
      </c>
      <c r="AX478">
        <v>4.4598499999999996E-3</v>
      </c>
      <c r="AY478">
        <v>4.5899299999999999E-3</v>
      </c>
      <c r="AZ478">
        <v>5.6364900000000001E-3</v>
      </c>
      <c r="BA478">
        <v>4.6099399999999999E-3</v>
      </c>
      <c r="BB478">
        <v>4.1076400000000001E-3</v>
      </c>
      <c r="BC478">
        <v>4.1928299999999998E-3</v>
      </c>
      <c r="BD478">
        <v>1.49731E-2</v>
      </c>
      <c r="BE478">
        <v>6.8648399999999997E-3</v>
      </c>
      <c r="BF478">
        <v>2.2694500000000001E-3</v>
      </c>
      <c r="BG478">
        <v>1.83826E-3</v>
      </c>
      <c r="BH478">
        <v>1.0168200000000001E-3</v>
      </c>
      <c r="BI478">
        <v>1.5307999999999999E-3</v>
      </c>
      <c r="BJ478">
        <v>2.20367E-3</v>
      </c>
      <c r="BK478">
        <v>3.68593E-3</v>
      </c>
      <c r="BL478">
        <v>1.8735799999999999E-3</v>
      </c>
      <c r="BM478">
        <v>2.14949E-3</v>
      </c>
      <c r="BN478">
        <v>2.0810099999999999E-3</v>
      </c>
      <c r="BO478">
        <v>1.10378E-3</v>
      </c>
      <c r="BP478">
        <v>1.0032999999999999E-3</v>
      </c>
      <c r="BQ478">
        <v>1.06891E-3</v>
      </c>
      <c r="BR478">
        <v>2.2617100000000001E-3</v>
      </c>
      <c r="BS478">
        <v>4.18857E-3</v>
      </c>
      <c r="BT478">
        <v>5.6852500000000002E-3</v>
      </c>
      <c r="BU478">
        <v>4.6930299999999999E-3</v>
      </c>
      <c r="BV478">
        <v>9.7074599999999998E-4</v>
      </c>
      <c r="BW478">
        <v>1.8088900000000001E-3</v>
      </c>
      <c r="BX478">
        <v>8.7731500000000004E-4</v>
      </c>
      <c r="BY478">
        <v>1.0819600000000001E-3</v>
      </c>
      <c r="BZ478">
        <v>7.5750000000000004E-4</v>
      </c>
      <c r="CA478">
        <v>1.3384099999999999E-3</v>
      </c>
      <c r="CB478">
        <v>1.5563599999999999E-3</v>
      </c>
      <c r="CC478">
        <v>1.5753099999999999E-3</v>
      </c>
      <c r="CD478">
        <v>1.24507E-3</v>
      </c>
      <c r="CE478">
        <v>2.1155000000000002E-3</v>
      </c>
      <c r="CF478">
        <v>4.9841099999999999E-3</v>
      </c>
      <c r="CG478">
        <v>5.2882900000000002E-3</v>
      </c>
      <c r="CH478">
        <v>5.7545399999999998E-3</v>
      </c>
      <c r="CI478">
        <v>5.7748399999999998E-3</v>
      </c>
      <c r="CJ478">
        <v>3.7904499999999999E-3</v>
      </c>
      <c r="CK478">
        <v>2.06054E-3</v>
      </c>
      <c r="CL478">
        <v>2.6375000000000001E-3</v>
      </c>
    </row>
    <row r="479" spans="2:90" x14ac:dyDescent="0.2">
      <c r="B479">
        <v>78.5</v>
      </c>
      <c r="C479">
        <v>6.5601799999999997E-3</v>
      </c>
      <c r="D479">
        <v>2.16541E-3</v>
      </c>
      <c r="E479">
        <v>1.2744099999999999E-3</v>
      </c>
      <c r="F479">
        <v>1.4949499999999999E-2</v>
      </c>
      <c r="G479">
        <v>1.53925E-2</v>
      </c>
      <c r="H479">
        <v>1.32195E-2</v>
      </c>
      <c r="I479">
        <v>1.0555500000000001E-2</v>
      </c>
      <c r="J479">
        <v>9.1615599999999991E-3</v>
      </c>
      <c r="K479">
        <v>1.7116900000000001E-2</v>
      </c>
      <c r="L479">
        <v>1.7905399999999998E-2</v>
      </c>
      <c r="M479">
        <v>2.5054E-2</v>
      </c>
      <c r="N479">
        <v>2.94852E-2</v>
      </c>
      <c r="O479">
        <v>2.2282900000000001E-2</v>
      </c>
      <c r="P479">
        <v>1.5247999999999999E-2</v>
      </c>
      <c r="Q479">
        <v>7.95124E-3</v>
      </c>
      <c r="R479">
        <v>8.3833199999999997E-3</v>
      </c>
      <c r="S479">
        <v>8.6397999999999996E-3</v>
      </c>
      <c r="T479">
        <v>1.3813799999999999E-2</v>
      </c>
      <c r="U479">
        <v>1.4462900000000001E-2</v>
      </c>
      <c r="V479">
        <v>1.46383E-2</v>
      </c>
      <c r="W479">
        <v>1.30157E-2</v>
      </c>
      <c r="X479">
        <v>8.9035999999999994E-3</v>
      </c>
      <c r="Y479">
        <v>8.7150700000000001E-3</v>
      </c>
      <c r="Z479">
        <v>7.8855399999999999E-3</v>
      </c>
      <c r="AA479">
        <v>1.1196299999999999E-2</v>
      </c>
      <c r="AB479">
        <v>9.6608800000000002E-3</v>
      </c>
      <c r="AC479">
        <v>1.23398E-2</v>
      </c>
      <c r="AD479">
        <v>1.6088600000000002E-2</v>
      </c>
      <c r="AE479">
        <v>1.25957E-2</v>
      </c>
      <c r="AF479">
        <v>1.0504299999999999E-2</v>
      </c>
      <c r="AG479">
        <v>7.4731199999999998E-3</v>
      </c>
      <c r="AH479">
        <v>5.9736600000000004E-3</v>
      </c>
      <c r="AI479">
        <v>5.2350299999999999E-3</v>
      </c>
      <c r="AJ479">
        <v>5.5790299999999996E-3</v>
      </c>
      <c r="AK479">
        <v>5.7000699999999998E-3</v>
      </c>
      <c r="AL479">
        <v>8.3854399999999992E-3</v>
      </c>
      <c r="AM479">
        <v>9.7660899999999998E-3</v>
      </c>
      <c r="AN479">
        <v>8.9243099999999995E-3</v>
      </c>
      <c r="AO479">
        <v>1.1258900000000001E-2</v>
      </c>
      <c r="AP479">
        <v>1.4669700000000001E-2</v>
      </c>
      <c r="AQ479">
        <v>1.8155999999999999E-2</v>
      </c>
      <c r="AR479">
        <v>2.2081199999999999E-2</v>
      </c>
      <c r="AS479">
        <v>2.10183E-2</v>
      </c>
      <c r="AT479">
        <v>1.5767400000000001E-2</v>
      </c>
      <c r="AU479">
        <v>1.20822E-2</v>
      </c>
      <c r="AV479">
        <v>1.38773E-2</v>
      </c>
      <c r="AW479">
        <v>2.8043399999999998E-3</v>
      </c>
      <c r="AX479">
        <v>2.9722899999999998E-3</v>
      </c>
      <c r="AY479">
        <v>5.56961E-3</v>
      </c>
      <c r="AZ479">
        <v>3.46737E-3</v>
      </c>
      <c r="BA479">
        <v>4.0318200000000002E-3</v>
      </c>
      <c r="BB479">
        <v>3.2169799999999999E-3</v>
      </c>
      <c r="BC479">
        <v>5.4931099999999998E-3</v>
      </c>
      <c r="BD479">
        <v>1.0837599999999999E-2</v>
      </c>
      <c r="BE479">
        <v>4.5406999999999999E-3</v>
      </c>
      <c r="BF479">
        <v>2.62488E-3</v>
      </c>
      <c r="BG479">
        <v>2.5545099999999999E-3</v>
      </c>
      <c r="BH479">
        <v>1.1608199999999999E-3</v>
      </c>
      <c r="BI479">
        <v>6.4638300000000005E-4</v>
      </c>
      <c r="BJ479">
        <v>2.6487500000000001E-3</v>
      </c>
      <c r="BK479">
        <v>2.3747299999999998E-3</v>
      </c>
      <c r="BL479">
        <v>1.2337400000000001E-3</v>
      </c>
      <c r="BM479">
        <v>2.5578200000000001E-3</v>
      </c>
      <c r="BN479">
        <v>2.2076600000000002E-3</v>
      </c>
      <c r="BO479">
        <v>1.7063099999999999E-3</v>
      </c>
      <c r="BP479">
        <v>1.5555E-3</v>
      </c>
      <c r="BQ479">
        <v>8.4084899999999996E-4</v>
      </c>
      <c r="BR479">
        <v>1.3497100000000001E-3</v>
      </c>
      <c r="BS479">
        <v>2.9042600000000001E-3</v>
      </c>
      <c r="BT479">
        <v>4.3548800000000002E-3</v>
      </c>
      <c r="BU479">
        <v>3.6504100000000002E-3</v>
      </c>
      <c r="BV479">
        <v>1.39171E-3</v>
      </c>
      <c r="BW479">
        <v>9.5776399999999995E-4</v>
      </c>
      <c r="BX479">
        <v>2.78156E-4</v>
      </c>
      <c r="BY479">
        <v>3.87704E-4</v>
      </c>
      <c r="BZ479">
        <v>6.8147200000000002E-4</v>
      </c>
      <c r="CA479">
        <v>4.5142799999999997E-4</v>
      </c>
      <c r="CB479">
        <v>1.6509000000000001E-3</v>
      </c>
      <c r="CC479">
        <v>1.10859E-3</v>
      </c>
      <c r="CD479">
        <v>1.25917E-3</v>
      </c>
      <c r="CE479">
        <v>1.4537899999999999E-3</v>
      </c>
      <c r="CF479">
        <v>5.4145299999999999E-3</v>
      </c>
      <c r="CG479">
        <v>5.9521699999999997E-3</v>
      </c>
      <c r="CH479">
        <v>4.04105E-3</v>
      </c>
      <c r="CI479">
        <v>4.5497599999999999E-3</v>
      </c>
      <c r="CJ479">
        <v>3.2754300000000002E-3</v>
      </c>
      <c r="CK479">
        <v>1.8121599999999999E-3</v>
      </c>
      <c r="CL479">
        <v>2.7409399999999999E-3</v>
      </c>
    </row>
    <row r="480" spans="2:90" x14ac:dyDescent="0.2">
      <c r="B480">
        <v>79.5</v>
      </c>
      <c r="C480">
        <v>5.1349700000000002E-4</v>
      </c>
      <c r="D480">
        <v>1.9675700000000001E-3</v>
      </c>
      <c r="E480">
        <v>1.13429E-3</v>
      </c>
      <c r="F480">
        <v>1.15662E-2</v>
      </c>
      <c r="G480">
        <v>1.1411599999999999E-2</v>
      </c>
      <c r="H480">
        <v>1.46409E-2</v>
      </c>
      <c r="I480">
        <v>1.09806E-2</v>
      </c>
      <c r="J480">
        <v>9.4289100000000004E-3</v>
      </c>
      <c r="K480">
        <v>1.5244600000000001E-2</v>
      </c>
      <c r="L480">
        <v>1.6535399999999999E-2</v>
      </c>
      <c r="M480">
        <v>2.38757E-2</v>
      </c>
      <c r="N480">
        <v>2.8358000000000001E-2</v>
      </c>
      <c r="O480">
        <v>2.2497900000000001E-2</v>
      </c>
      <c r="P480">
        <v>1.64253E-2</v>
      </c>
      <c r="Q480">
        <v>8.7038900000000006E-3</v>
      </c>
      <c r="R480">
        <v>8.9559600000000007E-3</v>
      </c>
      <c r="S480">
        <v>8.1347199999999998E-3</v>
      </c>
      <c r="T480">
        <v>1.2546399999999999E-2</v>
      </c>
      <c r="U480">
        <v>1.01423E-2</v>
      </c>
      <c r="V480">
        <v>1.3192799999999999E-2</v>
      </c>
      <c r="W480">
        <v>1.3214500000000001E-2</v>
      </c>
      <c r="X480">
        <v>8.7214300000000005E-3</v>
      </c>
      <c r="Y480">
        <v>8.0107800000000003E-3</v>
      </c>
      <c r="Z480">
        <v>6.9165900000000002E-3</v>
      </c>
      <c r="AA480">
        <v>1.07425E-2</v>
      </c>
      <c r="AB480">
        <v>9.3033600000000001E-3</v>
      </c>
      <c r="AC480">
        <v>1.29418E-2</v>
      </c>
      <c r="AD480">
        <v>1.6264600000000001E-2</v>
      </c>
      <c r="AE480">
        <v>1.3237499999999999E-2</v>
      </c>
      <c r="AF480">
        <v>9.8919200000000002E-3</v>
      </c>
      <c r="AG480">
        <v>5.8812200000000004E-3</v>
      </c>
      <c r="AH480">
        <v>5.3793399999999998E-3</v>
      </c>
      <c r="AI480">
        <v>4.8878999999999997E-3</v>
      </c>
      <c r="AJ480">
        <v>4.96949E-3</v>
      </c>
      <c r="AK480">
        <v>4.67258E-3</v>
      </c>
      <c r="AL480">
        <v>7.1425799999999999E-3</v>
      </c>
      <c r="AM480">
        <v>8.1568200000000004E-3</v>
      </c>
      <c r="AN480">
        <v>8.1840599999999999E-3</v>
      </c>
      <c r="AO480">
        <v>1.07607E-2</v>
      </c>
      <c r="AP480">
        <v>1.2393299999999999E-2</v>
      </c>
      <c r="AQ480">
        <v>1.7718399999999999E-2</v>
      </c>
      <c r="AR480">
        <v>2.1865200000000001E-2</v>
      </c>
      <c r="AS480">
        <v>2.50317E-2</v>
      </c>
      <c r="AT480">
        <v>1.50242E-2</v>
      </c>
      <c r="AU480">
        <v>1.1136200000000001E-2</v>
      </c>
      <c r="AV480">
        <v>1.09601E-2</v>
      </c>
      <c r="AW480">
        <v>1.8783000000000001E-3</v>
      </c>
      <c r="AX480">
        <v>3.6778599999999998E-3</v>
      </c>
      <c r="AY480">
        <v>3.7801499999999999E-3</v>
      </c>
      <c r="AZ480">
        <v>4.4458500000000003E-3</v>
      </c>
      <c r="BA480">
        <v>5.4250100000000001E-3</v>
      </c>
      <c r="BB480">
        <v>3.2843999999999998E-3</v>
      </c>
      <c r="BC480">
        <v>7.1407800000000002E-3</v>
      </c>
      <c r="BD480">
        <v>6.3562200000000001E-3</v>
      </c>
      <c r="BE480">
        <v>6.6179000000000003E-3</v>
      </c>
      <c r="BF480">
        <v>2.95663E-3</v>
      </c>
      <c r="BG480">
        <v>2.96656E-3</v>
      </c>
      <c r="BH480">
        <v>1.2090899999999999E-3</v>
      </c>
      <c r="BI480">
        <v>6.3324500000000005E-4</v>
      </c>
      <c r="BJ480">
        <v>2.32088E-3</v>
      </c>
      <c r="BK480">
        <v>2.2849099999999998E-3</v>
      </c>
      <c r="BL480">
        <v>1.08362E-3</v>
      </c>
      <c r="BM480">
        <v>1.3020200000000001E-3</v>
      </c>
      <c r="BN480">
        <v>1.9689099999999999E-3</v>
      </c>
      <c r="BO480">
        <v>1.7569199999999999E-3</v>
      </c>
      <c r="BP480">
        <v>8.8581599999999999E-4</v>
      </c>
      <c r="BQ480">
        <v>1.6021799999999999E-3</v>
      </c>
      <c r="BR480">
        <v>1.48098E-3</v>
      </c>
      <c r="BS480">
        <v>2.51132E-3</v>
      </c>
      <c r="BT480">
        <v>3.9837199999999996E-3</v>
      </c>
      <c r="BU480">
        <v>4.7241799999999997E-3</v>
      </c>
      <c r="BV480">
        <v>1.2797799999999999E-3</v>
      </c>
      <c r="BW480">
        <v>1.2201099999999999E-3</v>
      </c>
      <c r="BX480">
        <v>7.86563E-4</v>
      </c>
      <c r="BY480">
        <v>3.77516E-4</v>
      </c>
      <c r="BZ480">
        <v>8.7239499999999998E-4</v>
      </c>
      <c r="CA480">
        <v>7.8759999999999995E-4</v>
      </c>
      <c r="CB480">
        <v>4.75668E-4</v>
      </c>
      <c r="CC480">
        <v>8.8832099999999997E-4</v>
      </c>
      <c r="CD480">
        <v>1.0311400000000001E-3</v>
      </c>
      <c r="CE480">
        <v>1.4122200000000001E-3</v>
      </c>
      <c r="CF480">
        <v>5.2490200000000001E-3</v>
      </c>
      <c r="CG480">
        <v>6.2288500000000002E-3</v>
      </c>
      <c r="CH480">
        <v>3.9297200000000003E-3</v>
      </c>
      <c r="CI480">
        <v>4.4251500000000001E-3</v>
      </c>
      <c r="CJ480">
        <v>3.3972799999999999E-3</v>
      </c>
      <c r="CK480">
        <v>2.6359500000000002E-3</v>
      </c>
      <c r="CL480">
        <v>3.1008099999999999E-3</v>
      </c>
    </row>
    <row r="481" spans="2:90" x14ac:dyDescent="0.2">
      <c r="B481">
        <v>80.5</v>
      </c>
      <c r="C481">
        <v>1.38459E-3</v>
      </c>
      <c r="D481">
        <v>5.3752000000000001E-3</v>
      </c>
      <c r="E481">
        <v>3.6330099999999999E-3</v>
      </c>
      <c r="F481">
        <v>1.9450499999999999E-2</v>
      </c>
      <c r="G481">
        <v>9.2012900000000009E-3</v>
      </c>
      <c r="H481">
        <v>1.0713200000000001E-2</v>
      </c>
      <c r="I481">
        <v>9.2783499999999994E-3</v>
      </c>
      <c r="J481">
        <v>1.0221900000000001E-2</v>
      </c>
      <c r="K481">
        <v>1.66334E-2</v>
      </c>
      <c r="L481">
        <v>1.6630200000000001E-2</v>
      </c>
      <c r="M481">
        <v>2.04545E-2</v>
      </c>
      <c r="N481">
        <v>2.7148100000000001E-2</v>
      </c>
      <c r="O481">
        <v>1.8944699999999998E-2</v>
      </c>
      <c r="P481">
        <v>1.30524E-2</v>
      </c>
      <c r="Q481">
        <v>7.0564E-3</v>
      </c>
      <c r="R481">
        <v>7.0900399999999997E-3</v>
      </c>
      <c r="S481">
        <v>6.3703600000000003E-3</v>
      </c>
      <c r="T481">
        <v>1.08939E-2</v>
      </c>
      <c r="U481">
        <v>8.6557100000000005E-3</v>
      </c>
      <c r="V481">
        <v>9.6803400000000008E-3</v>
      </c>
      <c r="W481">
        <v>1.09432E-2</v>
      </c>
      <c r="X481">
        <v>7.7240399999999997E-3</v>
      </c>
      <c r="Y481">
        <v>7.2264900000000003E-3</v>
      </c>
      <c r="Z481">
        <v>5.9113100000000003E-3</v>
      </c>
      <c r="AA481">
        <v>8.6589500000000003E-3</v>
      </c>
      <c r="AB481">
        <v>8.1897800000000007E-3</v>
      </c>
      <c r="AC481">
        <v>1.10548E-2</v>
      </c>
      <c r="AD481">
        <v>1.38476E-2</v>
      </c>
      <c r="AE481">
        <v>1.18756E-2</v>
      </c>
      <c r="AF481">
        <v>8.0141399999999995E-3</v>
      </c>
      <c r="AG481">
        <v>6.1818999999999997E-3</v>
      </c>
      <c r="AH481">
        <v>4.3882299999999999E-3</v>
      </c>
      <c r="AI481">
        <v>4.1266499999999999E-3</v>
      </c>
      <c r="AJ481">
        <v>3.8861400000000002E-3</v>
      </c>
      <c r="AK481">
        <v>3.7467300000000002E-3</v>
      </c>
      <c r="AL481">
        <v>5.9697500000000002E-3</v>
      </c>
      <c r="AM481">
        <v>6.4350800000000001E-3</v>
      </c>
      <c r="AN481">
        <v>6.7076499999999999E-3</v>
      </c>
      <c r="AO481">
        <v>7.59459E-3</v>
      </c>
      <c r="AP481">
        <v>9.7216400000000001E-3</v>
      </c>
      <c r="AQ481">
        <v>1.31538E-2</v>
      </c>
      <c r="AR481">
        <v>1.78508E-2</v>
      </c>
      <c r="AS481">
        <v>1.9910000000000001E-2</v>
      </c>
      <c r="AT481">
        <v>1.41078E-2</v>
      </c>
      <c r="AU481">
        <v>1.04043E-2</v>
      </c>
      <c r="AV481">
        <v>1.0291700000000001E-2</v>
      </c>
      <c r="AW481">
        <v>2.5158300000000001E-3</v>
      </c>
      <c r="AX481">
        <v>2.4429999999999999E-3</v>
      </c>
      <c r="AY481">
        <v>3.27532E-3</v>
      </c>
      <c r="AZ481">
        <v>3.4746899999999999E-3</v>
      </c>
      <c r="BA481">
        <v>3.6031399999999999E-3</v>
      </c>
      <c r="BB481">
        <v>4.0863399999999999E-3</v>
      </c>
      <c r="BC481">
        <v>6.3297600000000002E-3</v>
      </c>
      <c r="BD481">
        <v>5.3225800000000004E-3</v>
      </c>
      <c r="BE481">
        <v>6.7703399999999997E-3</v>
      </c>
      <c r="BF481">
        <v>4.5834700000000001E-3</v>
      </c>
      <c r="BG481">
        <v>1.46575E-3</v>
      </c>
      <c r="BH481">
        <v>1.0663999999999999E-3</v>
      </c>
      <c r="BI481">
        <v>7.3982900000000001E-4</v>
      </c>
      <c r="BJ481">
        <v>2.14459E-3</v>
      </c>
      <c r="BK481">
        <v>2.59765E-3</v>
      </c>
      <c r="BL481">
        <v>9.8774699999999997E-4</v>
      </c>
      <c r="BM481">
        <v>1.7151899999999999E-3</v>
      </c>
      <c r="BN481">
        <v>1.5712600000000001E-3</v>
      </c>
      <c r="BO481">
        <v>9.75581E-4</v>
      </c>
      <c r="BP481">
        <v>8.6232699999999997E-4</v>
      </c>
      <c r="BQ481">
        <v>1.1408900000000001E-3</v>
      </c>
      <c r="BR481">
        <v>1.6837E-3</v>
      </c>
      <c r="BS481">
        <v>2.2117299999999999E-3</v>
      </c>
      <c r="BT481">
        <v>3.6688699999999999E-3</v>
      </c>
      <c r="BU481">
        <v>4.1510699999999998E-3</v>
      </c>
      <c r="BV481">
        <v>1.4619800000000001E-3</v>
      </c>
      <c r="BW481">
        <v>9.0876300000000004E-4</v>
      </c>
      <c r="BX481">
        <v>4.0471099999999998E-4</v>
      </c>
      <c r="BY481">
        <v>6.4577500000000002E-4</v>
      </c>
      <c r="BZ481">
        <v>3.1873999999999997E-4</v>
      </c>
      <c r="CA481">
        <v>3.3083400000000001E-4</v>
      </c>
      <c r="CB481">
        <v>1.59359E-3</v>
      </c>
      <c r="CC481">
        <v>9.1045999999999998E-4</v>
      </c>
      <c r="CD481">
        <v>1.2265100000000001E-3</v>
      </c>
      <c r="CE481">
        <v>2.07355E-3</v>
      </c>
      <c r="CF481">
        <v>1.93352E-3</v>
      </c>
      <c r="CG481">
        <v>4.3818199999999998E-3</v>
      </c>
      <c r="CH481">
        <v>3.03747E-3</v>
      </c>
      <c r="CI481">
        <v>4.5781700000000003E-3</v>
      </c>
      <c r="CJ481">
        <v>3.36324E-3</v>
      </c>
      <c r="CK481">
        <v>1.9833699999999999E-3</v>
      </c>
      <c r="CL481">
        <v>2.1110199999999999E-3</v>
      </c>
    </row>
    <row r="482" spans="2:90" x14ac:dyDescent="0.2">
      <c r="B482">
        <v>81.5</v>
      </c>
      <c r="C482">
        <v>3.53682E-3</v>
      </c>
      <c r="D482">
        <v>3.2626399999999998E-3</v>
      </c>
      <c r="E482">
        <v>4.9637699999999999E-4</v>
      </c>
      <c r="F482">
        <v>9.5670900000000003E-3</v>
      </c>
      <c r="G482">
        <v>6.6764299999999997E-3</v>
      </c>
      <c r="H482">
        <v>9.9862300000000005E-3</v>
      </c>
      <c r="I482">
        <v>7.1169199999999997E-3</v>
      </c>
      <c r="J482">
        <v>7.2206099999999997E-3</v>
      </c>
      <c r="K482">
        <v>1.4064200000000001E-2</v>
      </c>
      <c r="L482">
        <v>1.30873E-2</v>
      </c>
      <c r="M482">
        <v>2.0213200000000001E-2</v>
      </c>
      <c r="N482">
        <v>2.5451600000000001E-2</v>
      </c>
      <c r="O482">
        <v>1.9764299999999999E-2</v>
      </c>
      <c r="P482">
        <v>1.2889400000000001E-2</v>
      </c>
      <c r="Q482">
        <v>7.1872400000000001E-3</v>
      </c>
      <c r="R482">
        <v>6.0709099999999997E-3</v>
      </c>
      <c r="S482">
        <v>5.7026799999999999E-3</v>
      </c>
      <c r="T482">
        <v>9.8109600000000005E-3</v>
      </c>
      <c r="U482">
        <v>7.8769500000000006E-3</v>
      </c>
      <c r="V482">
        <v>1.03249E-2</v>
      </c>
      <c r="W482">
        <v>1.0302E-2</v>
      </c>
      <c r="X482">
        <v>6.5853600000000002E-3</v>
      </c>
      <c r="Y482">
        <v>5.7368599999999999E-3</v>
      </c>
      <c r="Z482">
        <v>5.0935599999999996E-3</v>
      </c>
      <c r="AA482">
        <v>7.9756400000000009E-3</v>
      </c>
      <c r="AB482">
        <v>7.2034300000000002E-3</v>
      </c>
      <c r="AC482">
        <v>9.5173299999999992E-3</v>
      </c>
      <c r="AD482">
        <v>1.3225900000000001E-2</v>
      </c>
      <c r="AE482">
        <v>1.1046500000000001E-2</v>
      </c>
      <c r="AF482">
        <v>7.6669199999999998E-3</v>
      </c>
      <c r="AG482">
        <v>5.2626900000000004E-3</v>
      </c>
      <c r="AH482">
        <v>3.4894499999999998E-3</v>
      </c>
      <c r="AI482">
        <v>3.0703100000000001E-3</v>
      </c>
      <c r="AJ482">
        <v>3.2274199999999999E-3</v>
      </c>
      <c r="AK482">
        <v>3.3949900000000001E-3</v>
      </c>
      <c r="AL482">
        <v>4.2945600000000002E-3</v>
      </c>
      <c r="AM482">
        <v>5.9581599999999997E-3</v>
      </c>
      <c r="AN482">
        <v>6.0064100000000002E-3</v>
      </c>
      <c r="AO482">
        <v>6.1413600000000002E-3</v>
      </c>
      <c r="AP482">
        <v>7.9931299999999993E-3</v>
      </c>
      <c r="AQ482">
        <v>1.19303E-2</v>
      </c>
      <c r="AR482">
        <v>1.6144599999999999E-2</v>
      </c>
      <c r="AS482">
        <v>1.8785699999999999E-2</v>
      </c>
      <c r="AT482">
        <v>1.4735E-2</v>
      </c>
      <c r="AU482">
        <v>9.3460699999999997E-3</v>
      </c>
      <c r="AV482">
        <v>8.5205999999999997E-3</v>
      </c>
      <c r="AW482">
        <v>2.2568800000000002E-3</v>
      </c>
      <c r="AX482">
        <v>2.1991100000000002E-3</v>
      </c>
      <c r="AY482">
        <v>2.5921899999999999E-3</v>
      </c>
      <c r="AZ482">
        <v>2.9548199999999999E-3</v>
      </c>
      <c r="BA482">
        <v>3.4567700000000001E-3</v>
      </c>
      <c r="BB482">
        <v>2.6279900000000002E-3</v>
      </c>
      <c r="BC482">
        <v>5.2972899999999996E-3</v>
      </c>
      <c r="BD482">
        <v>8.4779699999999996E-3</v>
      </c>
      <c r="BE482">
        <v>1.9239599999999999E-3</v>
      </c>
      <c r="BF482">
        <v>3.2949799999999999E-3</v>
      </c>
      <c r="BG482">
        <v>1.7934699999999999E-3</v>
      </c>
      <c r="BH482">
        <v>8.8090300000000005E-4</v>
      </c>
      <c r="BI482">
        <v>9.1210599999999998E-4</v>
      </c>
      <c r="BJ482">
        <v>1.9172600000000001E-3</v>
      </c>
      <c r="BK482">
        <v>2.64328E-3</v>
      </c>
      <c r="BL482">
        <v>1.3263299999999999E-3</v>
      </c>
      <c r="BM482">
        <v>9.6885199999999997E-4</v>
      </c>
      <c r="BN482">
        <v>1.0864E-3</v>
      </c>
      <c r="BO482">
        <v>1.4093300000000001E-3</v>
      </c>
      <c r="BP482">
        <v>6.2243599999999997E-4</v>
      </c>
      <c r="BQ482">
        <v>4.8540500000000001E-4</v>
      </c>
      <c r="BR482">
        <v>1.7132200000000001E-3</v>
      </c>
      <c r="BS482">
        <v>2.1415900000000001E-3</v>
      </c>
      <c r="BT482">
        <v>3.5074099999999999E-3</v>
      </c>
      <c r="BU482">
        <v>4.2248399999999997E-3</v>
      </c>
      <c r="BV482">
        <v>7.8148699999999998E-4</v>
      </c>
      <c r="BW482">
        <v>1.3238900000000001E-3</v>
      </c>
      <c r="BX482">
        <v>4.8592600000000002E-4</v>
      </c>
      <c r="BY482">
        <v>4.71571E-4</v>
      </c>
      <c r="BZ482">
        <v>7.2099499999999999E-4</v>
      </c>
      <c r="CA482">
        <v>5.4244799999999995E-4</v>
      </c>
      <c r="CB482">
        <v>6.5182599999999999E-4</v>
      </c>
      <c r="CC482">
        <v>4.5282299999999998E-4</v>
      </c>
      <c r="CD482">
        <v>7.55501E-4</v>
      </c>
      <c r="CE482">
        <v>9.4365400000000004E-4</v>
      </c>
      <c r="CF482">
        <v>3.0342899999999998E-3</v>
      </c>
      <c r="CG482">
        <v>4.02776E-3</v>
      </c>
      <c r="CH482">
        <v>2.2837600000000001E-3</v>
      </c>
      <c r="CI482">
        <v>5.3615700000000004E-3</v>
      </c>
      <c r="CJ482">
        <v>3.5457499999999999E-3</v>
      </c>
      <c r="CK482">
        <v>1.90698E-3</v>
      </c>
      <c r="CL482">
        <v>2.5676200000000001E-3</v>
      </c>
    </row>
    <row r="483" spans="2:90" x14ac:dyDescent="0.2">
      <c r="B483">
        <v>82.5</v>
      </c>
      <c r="C483">
        <v>2.6443799999999998E-4</v>
      </c>
      <c r="D483">
        <v>9.9027800000000003E-4</v>
      </c>
      <c r="E483">
        <v>1.1050400000000001E-3</v>
      </c>
      <c r="F483">
        <v>5.8878699999999999E-3</v>
      </c>
      <c r="G483">
        <v>5.5796700000000001E-3</v>
      </c>
      <c r="H483">
        <v>1.0491E-2</v>
      </c>
      <c r="I483">
        <v>1.53023E-2</v>
      </c>
      <c r="J483">
        <v>7.6526299999999997E-3</v>
      </c>
      <c r="K483">
        <v>1.3243899999999999E-2</v>
      </c>
      <c r="L483">
        <v>1.1395499999999999E-2</v>
      </c>
      <c r="M483">
        <v>1.8115599999999999E-2</v>
      </c>
      <c r="N483">
        <v>2.3460399999999999E-2</v>
      </c>
      <c r="O483">
        <v>1.7462100000000001E-2</v>
      </c>
      <c r="P483">
        <v>1.22571E-2</v>
      </c>
      <c r="Q483">
        <v>8.6649399999999994E-3</v>
      </c>
      <c r="R483">
        <v>5.3010000000000002E-3</v>
      </c>
      <c r="S483">
        <v>5.0978200000000003E-3</v>
      </c>
      <c r="T483">
        <v>9.0089200000000001E-3</v>
      </c>
      <c r="U483">
        <v>7.9881399999999995E-3</v>
      </c>
      <c r="V483">
        <v>9.3298200000000008E-3</v>
      </c>
      <c r="W483">
        <v>8.8365800000000001E-3</v>
      </c>
      <c r="X483">
        <v>6.1547599999999996E-3</v>
      </c>
      <c r="Y483">
        <v>4.8393899999999998E-3</v>
      </c>
      <c r="Z483">
        <v>4.2824899999999999E-3</v>
      </c>
      <c r="AA483">
        <v>6.73407E-3</v>
      </c>
      <c r="AB483">
        <v>6.2588599999999998E-3</v>
      </c>
      <c r="AC483">
        <v>8.1852399999999999E-3</v>
      </c>
      <c r="AD483">
        <v>1.27388E-2</v>
      </c>
      <c r="AE483">
        <v>1.09135E-2</v>
      </c>
      <c r="AF483">
        <v>6.0251799999999998E-3</v>
      </c>
      <c r="AG483">
        <v>3.6837599999999999E-3</v>
      </c>
      <c r="AH483">
        <v>3.1616600000000002E-3</v>
      </c>
      <c r="AI483">
        <v>2.5703100000000001E-3</v>
      </c>
      <c r="AJ483">
        <v>2.71704E-3</v>
      </c>
      <c r="AK483">
        <v>2.3733600000000001E-3</v>
      </c>
      <c r="AL483">
        <v>3.7599700000000001E-3</v>
      </c>
      <c r="AM483">
        <v>4.7395099999999997E-3</v>
      </c>
      <c r="AN483">
        <v>4.4917300000000002E-3</v>
      </c>
      <c r="AO483">
        <v>5.3285800000000003E-3</v>
      </c>
      <c r="AP483">
        <v>7.8109700000000004E-3</v>
      </c>
      <c r="AQ483">
        <v>9.0838800000000008E-3</v>
      </c>
      <c r="AR483">
        <v>1.5799799999999999E-2</v>
      </c>
      <c r="AS483">
        <v>1.7106E-2</v>
      </c>
      <c r="AT483">
        <v>1.40527E-2</v>
      </c>
      <c r="AU483">
        <v>9.0150000000000004E-3</v>
      </c>
      <c r="AV483">
        <v>8.2250199999999996E-3</v>
      </c>
      <c r="AW483">
        <v>1.1623499999999999E-3</v>
      </c>
      <c r="AX483">
        <v>1.8098700000000001E-3</v>
      </c>
      <c r="AY483">
        <v>2.6844999999999998E-3</v>
      </c>
      <c r="AZ483">
        <v>2.8498600000000001E-3</v>
      </c>
      <c r="BA483">
        <v>2.77393E-3</v>
      </c>
      <c r="BB483">
        <v>2.7274000000000001E-3</v>
      </c>
      <c r="BC483">
        <v>3.0463E-3</v>
      </c>
      <c r="BD483">
        <v>6.11409E-3</v>
      </c>
      <c r="BE483">
        <v>4.2702699999999996E-3</v>
      </c>
      <c r="BF483">
        <v>3.0625299999999999E-3</v>
      </c>
      <c r="BG483">
        <v>1.51093E-3</v>
      </c>
      <c r="BH483">
        <v>4.5490100000000001E-4</v>
      </c>
      <c r="BI483">
        <v>3.7366599999999998E-4</v>
      </c>
      <c r="BJ483">
        <v>1.2748900000000001E-3</v>
      </c>
      <c r="BK483">
        <v>1.6082799999999999E-3</v>
      </c>
      <c r="BL483">
        <v>1.9111600000000001E-3</v>
      </c>
      <c r="BM483">
        <v>1.6065400000000001E-3</v>
      </c>
      <c r="BN483">
        <v>1.4111600000000001E-3</v>
      </c>
      <c r="BO483">
        <v>1.50022E-3</v>
      </c>
      <c r="BP483">
        <v>5.63639E-4</v>
      </c>
      <c r="BQ483">
        <v>5.1983300000000004E-4</v>
      </c>
      <c r="BR483">
        <v>9.0194699999999995E-4</v>
      </c>
      <c r="BS483">
        <v>1.44382E-3</v>
      </c>
      <c r="BT483">
        <v>2.82673E-3</v>
      </c>
      <c r="BU483">
        <v>3.0224900000000001E-3</v>
      </c>
      <c r="BV483">
        <v>8.5540099999999999E-4</v>
      </c>
      <c r="BW483">
        <v>1.0679999999999999E-3</v>
      </c>
      <c r="BX483">
        <v>2.5187499999999998E-4</v>
      </c>
      <c r="BY483">
        <v>4.2738900000000002E-4</v>
      </c>
      <c r="BZ483">
        <v>4.9985800000000005E-4</v>
      </c>
      <c r="CA483">
        <v>4.6156600000000001E-4</v>
      </c>
      <c r="CB483">
        <v>1.2739299999999999E-3</v>
      </c>
      <c r="CC483">
        <v>4.46069E-4</v>
      </c>
      <c r="CD483">
        <v>3.8346000000000002E-4</v>
      </c>
      <c r="CE483">
        <v>1.0939999999999999E-3</v>
      </c>
      <c r="CF483">
        <v>2.66037E-3</v>
      </c>
      <c r="CG483">
        <v>4.0227600000000002E-3</v>
      </c>
      <c r="CH483">
        <v>1.9742399999999999E-3</v>
      </c>
      <c r="CI483">
        <v>3.9950000000000003E-3</v>
      </c>
      <c r="CJ483">
        <v>2.6602700000000002E-3</v>
      </c>
      <c r="CK483">
        <v>1.5351E-3</v>
      </c>
      <c r="CL483">
        <v>1.9040999999999999E-3</v>
      </c>
    </row>
    <row r="484" spans="2:90" x14ac:dyDescent="0.2">
      <c r="B484">
        <v>83.5</v>
      </c>
      <c r="C484">
        <v>2.4729800000000002E-4</v>
      </c>
      <c r="D484">
        <v>3.5393199999999999E-3</v>
      </c>
      <c r="E484">
        <v>7.51493E-4</v>
      </c>
      <c r="F484">
        <v>9.3216099999999993E-3</v>
      </c>
      <c r="G484">
        <v>5.9516100000000004E-3</v>
      </c>
      <c r="H484">
        <v>6.8093499999999996E-3</v>
      </c>
      <c r="I484">
        <v>5.5080600000000004E-3</v>
      </c>
      <c r="J484">
        <v>5.5945200000000004E-3</v>
      </c>
      <c r="K484">
        <v>1.0484E-2</v>
      </c>
      <c r="L484">
        <v>1.0050999999999999E-2</v>
      </c>
      <c r="M484">
        <v>1.5666900000000001E-2</v>
      </c>
      <c r="N484">
        <v>2.2751E-2</v>
      </c>
      <c r="O484">
        <v>1.6745900000000001E-2</v>
      </c>
      <c r="P484">
        <v>1.11054E-2</v>
      </c>
      <c r="Q484">
        <v>7.2750100000000002E-3</v>
      </c>
      <c r="R484">
        <v>5.9387099999999998E-3</v>
      </c>
      <c r="S484">
        <v>4.3461300000000001E-3</v>
      </c>
      <c r="T484">
        <v>7.8721899999999994E-3</v>
      </c>
      <c r="U484">
        <v>7.6874100000000004E-3</v>
      </c>
      <c r="V484">
        <v>6.9074200000000001E-3</v>
      </c>
      <c r="W484">
        <v>7.6484500000000002E-3</v>
      </c>
      <c r="X484">
        <v>5.2792400000000001E-3</v>
      </c>
      <c r="Y484">
        <v>5.4119499999999996E-3</v>
      </c>
      <c r="Z484">
        <v>3.5723600000000001E-3</v>
      </c>
      <c r="AA484">
        <v>5.6459600000000002E-3</v>
      </c>
      <c r="AB484">
        <v>6.0888100000000001E-3</v>
      </c>
      <c r="AC484">
        <v>7.5486599999999996E-3</v>
      </c>
      <c r="AD484">
        <v>1.10759E-2</v>
      </c>
      <c r="AE484">
        <v>9.6887699999999993E-3</v>
      </c>
      <c r="AF484">
        <v>5.6754199999999996E-3</v>
      </c>
      <c r="AG484">
        <v>3.6692500000000002E-3</v>
      </c>
      <c r="AH484">
        <v>4.1382900000000002E-3</v>
      </c>
      <c r="AI484">
        <v>2.5245799999999998E-3</v>
      </c>
      <c r="AJ484">
        <v>2.5360299999999999E-3</v>
      </c>
      <c r="AK484">
        <v>1.82069E-3</v>
      </c>
      <c r="AL484">
        <v>2.8691799999999998E-3</v>
      </c>
      <c r="AM484">
        <v>4.17615E-3</v>
      </c>
      <c r="AN484">
        <v>3.9205300000000002E-3</v>
      </c>
      <c r="AO484">
        <v>5.1798199999999999E-3</v>
      </c>
      <c r="AP484">
        <v>7.37917E-3</v>
      </c>
      <c r="AQ484">
        <v>7.6289900000000004E-3</v>
      </c>
      <c r="AR484">
        <v>1.3653999999999999E-2</v>
      </c>
      <c r="AS484">
        <v>1.7167600000000002E-2</v>
      </c>
      <c r="AT484">
        <v>1.2095E-2</v>
      </c>
      <c r="AU484">
        <v>8.7910200000000001E-3</v>
      </c>
      <c r="AV484">
        <v>7.0358800000000004E-3</v>
      </c>
      <c r="AW484">
        <v>7.1325100000000003E-4</v>
      </c>
      <c r="AX484">
        <v>1.3394100000000001E-3</v>
      </c>
      <c r="AY484">
        <v>2.2142199999999998E-3</v>
      </c>
      <c r="AZ484">
        <v>1.24508E-3</v>
      </c>
      <c r="BA484">
        <v>1.8736899999999999E-3</v>
      </c>
      <c r="BB484">
        <v>2.8136699999999999E-3</v>
      </c>
      <c r="BC484">
        <v>3.1016699999999999E-3</v>
      </c>
      <c r="BD484">
        <v>7.6038700000000004E-3</v>
      </c>
      <c r="BE484">
        <v>3.49804E-3</v>
      </c>
      <c r="BF484">
        <v>1.7626899999999999E-3</v>
      </c>
      <c r="BG484">
        <v>1.1812700000000001E-3</v>
      </c>
      <c r="BH484">
        <v>1.14241E-3</v>
      </c>
      <c r="BI484">
        <v>6.3954799999999998E-4</v>
      </c>
      <c r="BJ484">
        <v>1.3834299999999999E-3</v>
      </c>
      <c r="BK484">
        <v>2.7022999999999999E-3</v>
      </c>
      <c r="BL484">
        <v>1.32384E-3</v>
      </c>
      <c r="BM484">
        <v>1.1204699999999999E-3</v>
      </c>
      <c r="BN484">
        <v>1.2044200000000001E-3</v>
      </c>
      <c r="BO484">
        <v>6.6734100000000001E-4</v>
      </c>
      <c r="BP484">
        <v>6.5337200000000005E-4</v>
      </c>
      <c r="BQ484">
        <v>2.1908799999999999E-4</v>
      </c>
      <c r="BR484">
        <v>1.13463E-3</v>
      </c>
      <c r="BS484">
        <v>2.0756300000000002E-3</v>
      </c>
      <c r="BT484">
        <v>2.1697299999999999E-3</v>
      </c>
      <c r="BU484">
        <v>3.5083100000000002E-3</v>
      </c>
      <c r="BV484">
        <v>6.7803600000000002E-4</v>
      </c>
      <c r="BW484">
        <v>9.4797000000000002E-4</v>
      </c>
      <c r="BX484">
        <v>2.36042E-4</v>
      </c>
      <c r="BY484">
        <v>1.39751E-4</v>
      </c>
      <c r="BZ484">
        <v>3.4590599999999999E-4</v>
      </c>
      <c r="CA484">
        <v>4.8848200000000004E-4</v>
      </c>
      <c r="CB484">
        <v>6.11985E-4</v>
      </c>
      <c r="CC484">
        <v>4.55E-4</v>
      </c>
      <c r="CD484">
        <v>6.2603300000000001E-4</v>
      </c>
      <c r="CE484">
        <v>1.24365E-3</v>
      </c>
      <c r="CF484">
        <v>1.69959E-3</v>
      </c>
      <c r="CG484">
        <v>3.06872E-3</v>
      </c>
      <c r="CH484">
        <v>2.0707899999999999E-3</v>
      </c>
      <c r="CI484">
        <v>3.7792699999999999E-3</v>
      </c>
      <c r="CJ484">
        <v>3.0532799999999998E-3</v>
      </c>
      <c r="CK484">
        <v>1.6790799999999999E-3</v>
      </c>
      <c r="CL484">
        <v>1.6179E-3</v>
      </c>
    </row>
    <row r="485" spans="2:90" x14ac:dyDescent="0.2">
      <c r="B485">
        <v>84.5</v>
      </c>
      <c r="C485">
        <v>2.9233900000000002E-4</v>
      </c>
      <c r="D485">
        <v>6.5188699999999997E-4</v>
      </c>
      <c r="E485">
        <v>2.23966E-4</v>
      </c>
      <c r="F485">
        <v>1.4777900000000001E-3</v>
      </c>
      <c r="G485">
        <v>6.1964999999999998E-3</v>
      </c>
      <c r="H485">
        <v>6.82667E-3</v>
      </c>
      <c r="I485">
        <v>4.9489900000000003E-3</v>
      </c>
      <c r="J485">
        <v>5.2852000000000003E-3</v>
      </c>
      <c r="K485">
        <v>9.6770599999999995E-3</v>
      </c>
      <c r="L485">
        <v>8.7766100000000007E-3</v>
      </c>
      <c r="M485">
        <v>1.4443900000000001E-2</v>
      </c>
      <c r="N485">
        <v>2.1585400000000001E-2</v>
      </c>
      <c r="O485">
        <v>1.4203500000000001E-2</v>
      </c>
      <c r="P485">
        <v>1.0337600000000001E-2</v>
      </c>
      <c r="Q485">
        <v>7.7606100000000003E-3</v>
      </c>
      <c r="R485">
        <v>5.0453199999999998E-3</v>
      </c>
      <c r="S485">
        <v>4.1775400000000004E-3</v>
      </c>
      <c r="T485">
        <v>7.5050200000000003E-3</v>
      </c>
      <c r="U485">
        <v>6.6013199999999999E-3</v>
      </c>
      <c r="V485">
        <v>5.6750899999999998E-3</v>
      </c>
      <c r="W485">
        <v>6.7011600000000003E-3</v>
      </c>
      <c r="X485">
        <v>5.1642499999999996E-3</v>
      </c>
      <c r="Y485">
        <v>4.2973899999999999E-3</v>
      </c>
      <c r="Z485">
        <v>2.9809200000000002E-3</v>
      </c>
      <c r="AA485">
        <v>5.14811E-3</v>
      </c>
      <c r="AB485">
        <v>5.2686299999999998E-3</v>
      </c>
      <c r="AC485">
        <v>6.5994399999999998E-3</v>
      </c>
      <c r="AD485">
        <v>9.6807500000000001E-3</v>
      </c>
      <c r="AE485">
        <v>9.2960300000000003E-3</v>
      </c>
      <c r="AF485">
        <v>5.5359900000000002E-3</v>
      </c>
      <c r="AG485">
        <v>2.7460800000000001E-3</v>
      </c>
      <c r="AH485">
        <v>2.30438E-3</v>
      </c>
      <c r="AI485">
        <v>2.0326699999999999E-3</v>
      </c>
      <c r="AJ485">
        <v>1.8455399999999999E-3</v>
      </c>
      <c r="AK485">
        <v>1.64813E-3</v>
      </c>
      <c r="AL485">
        <v>2.3456800000000002E-3</v>
      </c>
      <c r="AM485">
        <v>3.5338399999999999E-3</v>
      </c>
      <c r="AN485">
        <v>3.0720500000000002E-3</v>
      </c>
      <c r="AO485">
        <v>3.6842200000000002E-3</v>
      </c>
      <c r="AP485">
        <v>4.80519E-3</v>
      </c>
      <c r="AQ485">
        <v>6.0416899999999997E-3</v>
      </c>
      <c r="AR485">
        <v>1.08561E-2</v>
      </c>
      <c r="AS485">
        <v>1.4001400000000001E-2</v>
      </c>
      <c r="AT485">
        <v>1.1823999999999999E-2</v>
      </c>
      <c r="AU485">
        <v>8.1238000000000005E-3</v>
      </c>
      <c r="AV485">
        <v>6.4899299999999997E-3</v>
      </c>
      <c r="AW485">
        <v>6.1483000000000002E-4</v>
      </c>
      <c r="AX485">
        <v>9.00463E-4</v>
      </c>
      <c r="AY485">
        <v>1.77322E-3</v>
      </c>
      <c r="AZ485">
        <v>2.2002699999999998E-3</v>
      </c>
      <c r="BA485">
        <v>1.70247E-3</v>
      </c>
      <c r="BB485">
        <v>2.8968100000000001E-3</v>
      </c>
      <c r="BC485">
        <v>1.2588899999999999E-3</v>
      </c>
      <c r="BD485">
        <v>8.6882599999999997E-3</v>
      </c>
      <c r="BE485">
        <v>4.0584000000000002E-3</v>
      </c>
      <c r="BF485">
        <v>1.78802E-3</v>
      </c>
      <c r="BG485">
        <v>1.31773E-3</v>
      </c>
      <c r="BH485">
        <v>9.8538399999999996E-4</v>
      </c>
      <c r="BI485">
        <v>5.7537500000000004E-4</v>
      </c>
      <c r="BJ485">
        <v>1.1034899999999999E-3</v>
      </c>
      <c r="BK485">
        <v>1.04609E-3</v>
      </c>
      <c r="BL485">
        <v>1.0799E-3</v>
      </c>
      <c r="BM485">
        <v>8.7359799999999995E-4</v>
      </c>
      <c r="BN485">
        <v>9.6080000000000004E-4</v>
      </c>
      <c r="BO485">
        <v>7.4536399999999999E-4</v>
      </c>
      <c r="BP485">
        <v>2.7378899999999998E-4</v>
      </c>
      <c r="BQ485">
        <v>5.6523599999999999E-4</v>
      </c>
      <c r="BR485">
        <v>5.8473499999999996E-4</v>
      </c>
      <c r="BS485">
        <v>1.00993E-3</v>
      </c>
      <c r="BT485">
        <v>1.5195300000000001E-3</v>
      </c>
      <c r="BU485">
        <v>3.1720899999999998E-3</v>
      </c>
      <c r="BV485">
        <v>1.9882099999999998E-3</v>
      </c>
      <c r="BW485">
        <v>6.5345900000000001E-4</v>
      </c>
      <c r="BX485">
        <v>4.3037700000000002E-4</v>
      </c>
      <c r="BY485">
        <v>5.3113200000000002E-4</v>
      </c>
      <c r="BZ485">
        <v>1.3255400000000001E-4</v>
      </c>
      <c r="CA485">
        <v>2.92441E-4</v>
      </c>
      <c r="CB485">
        <v>5.5870099999999999E-4</v>
      </c>
      <c r="CC485">
        <v>2.04243E-4</v>
      </c>
      <c r="CD485">
        <v>3.6993099999999999E-4</v>
      </c>
      <c r="CE485">
        <v>9.4782799999999995E-4</v>
      </c>
      <c r="CF485">
        <v>9.52465E-4</v>
      </c>
      <c r="CG485">
        <v>1.5193100000000001E-3</v>
      </c>
      <c r="CH485">
        <v>1.59789E-3</v>
      </c>
      <c r="CI485">
        <v>3.8954699999999998E-3</v>
      </c>
      <c r="CJ485">
        <v>3.63379E-3</v>
      </c>
      <c r="CK485">
        <v>1.51772E-3</v>
      </c>
      <c r="CL485">
        <v>1.30613E-3</v>
      </c>
    </row>
    <row r="486" spans="2:90" x14ac:dyDescent="0.2">
      <c r="B486">
        <v>85.5</v>
      </c>
      <c r="C486">
        <v>2.0718599999999999E-4</v>
      </c>
      <c r="D486">
        <v>8.5404599999999997E-3</v>
      </c>
      <c r="E486">
        <v>1.5985800000000001E-3</v>
      </c>
      <c r="F486">
        <v>6.1366099999999998E-3</v>
      </c>
      <c r="G486">
        <v>3.5082199999999998E-3</v>
      </c>
      <c r="H486">
        <v>4.3637099999999998E-3</v>
      </c>
      <c r="I486">
        <v>4.3588999999999998E-3</v>
      </c>
      <c r="J486">
        <v>5.4310199999999999E-3</v>
      </c>
      <c r="K486">
        <v>8.4123800000000006E-3</v>
      </c>
      <c r="L486">
        <v>9.5170600000000008E-3</v>
      </c>
      <c r="M486">
        <v>1.22019E-2</v>
      </c>
      <c r="N486">
        <v>1.8271599999999999E-2</v>
      </c>
      <c r="O486">
        <v>1.2156699999999999E-2</v>
      </c>
      <c r="P486">
        <v>8.5752399999999996E-3</v>
      </c>
      <c r="Q486">
        <v>4.9068499999999999E-3</v>
      </c>
      <c r="R486">
        <v>4.32381E-3</v>
      </c>
      <c r="S486">
        <v>3.28013E-3</v>
      </c>
      <c r="T486">
        <v>6.21574E-3</v>
      </c>
      <c r="U486">
        <v>5.2919600000000001E-3</v>
      </c>
      <c r="V486">
        <v>6.1986200000000002E-3</v>
      </c>
      <c r="W486">
        <v>5.3308000000000001E-3</v>
      </c>
      <c r="X486">
        <v>3.9780199999999996E-3</v>
      </c>
      <c r="Y486">
        <v>3.8225099999999999E-3</v>
      </c>
      <c r="Z486">
        <v>2.7434500000000001E-3</v>
      </c>
      <c r="AA486">
        <v>3.82929E-3</v>
      </c>
      <c r="AB486">
        <v>5.0031700000000004E-3</v>
      </c>
      <c r="AC486">
        <v>6.0664600000000001E-3</v>
      </c>
      <c r="AD486">
        <v>9.1482200000000003E-3</v>
      </c>
      <c r="AE486">
        <v>7.7097700000000003E-3</v>
      </c>
      <c r="AF486">
        <v>4.3224200000000004E-3</v>
      </c>
      <c r="AG486">
        <v>2.8781000000000002E-3</v>
      </c>
      <c r="AH486">
        <v>1.96291E-3</v>
      </c>
      <c r="AI486">
        <v>1.4843300000000001E-3</v>
      </c>
      <c r="AJ486">
        <v>1.49475E-3</v>
      </c>
      <c r="AK486">
        <v>1.2734000000000001E-3</v>
      </c>
      <c r="AL486">
        <v>1.60446E-3</v>
      </c>
      <c r="AM486">
        <v>2.8835599999999999E-3</v>
      </c>
      <c r="AN486">
        <v>2.6831799999999999E-3</v>
      </c>
      <c r="AO486">
        <v>3.0346499999999998E-3</v>
      </c>
      <c r="AP486">
        <v>4.2451399999999997E-3</v>
      </c>
      <c r="AQ486">
        <v>6.4520999999999997E-3</v>
      </c>
      <c r="AR486">
        <v>1.0701E-2</v>
      </c>
      <c r="AS486">
        <v>1.3428300000000001E-2</v>
      </c>
      <c r="AT486">
        <v>1.03927E-2</v>
      </c>
      <c r="AU486">
        <v>8.0799800000000005E-3</v>
      </c>
      <c r="AV486">
        <v>4.8006999999999998E-3</v>
      </c>
      <c r="AW486">
        <v>8.5481700000000001E-4</v>
      </c>
      <c r="AX486">
        <v>8.7499999999999999E-5</v>
      </c>
      <c r="AY486">
        <v>2.2899399999999999E-3</v>
      </c>
      <c r="AZ486">
        <v>1.2907699999999999E-3</v>
      </c>
      <c r="BA486">
        <v>2.2524200000000002E-3</v>
      </c>
      <c r="BB486">
        <v>7.9126299999999995E-4</v>
      </c>
      <c r="BC486">
        <v>2.7445299999999998E-3</v>
      </c>
      <c r="BD486">
        <v>4.1880700000000003E-3</v>
      </c>
      <c r="BE486">
        <v>3.3663199999999999E-3</v>
      </c>
      <c r="BF486">
        <v>1.1626799999999999E-3</v>
      </c>
      <c r="BG486">
        <v>1.45283E-3</v>
      </c>
      <c r="BH486">
        <v>4.0825900000000001E-4</v>
      </c>
      <c r="BI486">
        <v>6.4627E-4</v>
      </c>
      <c r="BJ486">
        <v>8.0526999999999997E-4</v>
      </c>
      <c r="BK486">
        <v>1.4766600000000001E-3</v>
      </c>
      <c r="BL486">
        <v>8.7278500000000005E-4</v>
      </c>
      <c r="BM486">
        <v>1.01336E-3</v>
      </c>
      <c r="BN486">
        <v>9.0934999999999996E-4</v>
      </c>
      <c r="BO486">
        <v>4.1141700000000002E-4</v>
      </c>
      <c r="BP486">
        <v>5.3274400000000003E-4</v>
      </c>
      <c r="BQ486">
        <v>1.38143E-4</v>
      </c>
      <c r="BR486">
        <v>7.7220800000000003E-4</v>
      </c>
      <c r="BS486">
        <v>2.3885199999999999E-3</v>
      </c>
      <c r="BT486">
        <v>2.42275E-3</v>
      </c>
      <c r="BU486">
        <v>2.8107700000000002E-3</v>
      </c>
      <c r="BV486">
        <v>8.5301400000000003E-4</v>
      </c>
      <c r="BW486">
        <v>1.4772400000000001E-3</v>
      </c>
      <c r="BX486">
        <v>3.4690900000000001E-4</v>
      </c>
      <c r="BY486">
        <v>6.3097700000000001E-4</v>
      </c>
      <c r="BZ486">
        <v>1.7848300000000001E-4</v>
      </c>
      <c r="CA486">
        <v>3.1082000000000001E-4</v>
      </c>
      <c r="CB486">
        <v>3.61362E-4</v>
      </c>
      <c r="CC486">
        <v>2.43618E-4</v>
      </c>
      <c r="CD486">
        <v>8.9346200000000003E-4</v>
      </c>
      <c r="CE486">
        <v>5.8036299999999997E-4</v>
      </c>
      <c r="CF486">
        <v>8.0660699999999998E-4</v>
      </c>
      <c r="CG486">
        <v>2.1162400000000001E-3</v>
      </c>
      <c r="CH486">
        <v>1.35604E-3</v>
      </c>
      <c r="CI486">
        <v>2.7238200000000001E-3</v>
      </c>
      <c r="CJ486">
        <v>3.0809700000000001E-3</v>
      </c>
      <c r="CK486">
        <v>1.39179E-3</v>
      </c>
      <c r="CL486">
        <v>1.15715E-3</v>
      </c>
    </row>
    <row r="487" spans="2:90" x14ac:dyDescent="0.2">
      <c r="B487">
        <v>86.5</v>
      </c>
      <c r="C487">
        <v>1.48157E-4</v>
      </c>
      <c r="D487">
        <v>5.3786100000000005E-4</v>
      </c>
      <c r="E487">
        <v>7.2473399999999999E-4</v>
      </c>
      <c r="F487">
        <v>4.4989899999999996E-3</v>
      </c>
      <c r="G487">
        <v>2.7272500000000001E-3</v>
      </c>
      <c r="H487">
        <v>4.63446E-3</v>
      </c>
      <c r="I487">
        <v>3.2984199999999998E-3</v>
      </c>
      <c r="J487">
        <v>3.6316E-3</v>
      </c>
      <c r="K487">
        <v>8.2916699999999992E-3</v>
      </c>
      <c r="L487">
        <v>6.9709999999999998E-3</v>
      </c>
      <c r="M487">
        <v>1.20588E-2</v>
      </c>
      <c r="N487">
        <v>1.56962E-2</v>
      </c>
      <c r="O487">
        <v>1.1580500000000001E-2</v>
      </c>
      <c r="P487">
        <v>8.4445900000000001E-3</v>
      </c>
      <c r="Q487">
        <v>1.0522E-2</v>
      </c>
      <c r="R487">
        <v>3.62401E-3</v>
      </c>
      <c r="S487">
        <v>3.2732999999999998E-3</v>
      </c>
      <c r="T487">
        <v>5.6886200000000001E-3</v>
      </c>
      <c r="U487">
        <v>4.5529100000000003E-3</v>
      </c>
      <c r="V487">
        <v>5.2150900000000004E-3</v>
      </c>
      <c r="W487">
        <v>4.7825000000000003E-3</v>
      </c>
      <c r="X487">
        <v>3.8155799999999998E-3</v>
      </c>
      <c r="Y487">
        <v>3.1378600000000001E-3</v>
      </c>
      <c r="Z487">
        <v>2.39032E-3</v>
      </c>
      <c r="AA487">
        <v>3.4402E-3</v>
      </c>
      <c r="AB487">
        <v>4.2815600000000002E-3</v>
      </c>
      <c r="AC487">
        <v>5.1879400000000003E-3</v>
      </c>
      <c r="AD487">
        <v>8.7170400000000006E-3</v>
      </c>
      <c r="AE487">
        <v>7.5431300000000003E-3</v>
      </c>
      <c r="AF487">
        <v>4.4853799999999997E-3</v>
      </c>
      <c r="AG487">
        <v>2.2956999999999999E-3</v>
      </c>
      <c r="AH487">
        <v>1.5818500000000001E-3</v>
      </c>
      <c r="AI487">
        <v>1.67917E-3</v>
      </c>
      <c r="AJ487">
        <v>1.01381E-3</v>
      </c>
      <c r="AK487">
        <v>1.10435E-3</v>
      </c>
      <c r="AL487">
        <v>1.3674799999999999E-3</v>
      </c>
      <c r="AM487">
        <v>2.6475299999999999E-3</v>
      </c>
      <c r="AN487">
        <v>2.2021900000000001E-3</v>
      </c>
      <c r="AO487">
        <v>2.6443E-3</v>
      </c>
      <c r="AP487">
        <v>4.08327E-3</v>
      </c>
      <c r="AQ487">
        <v>4.76283E-3</v>
      </c>
      <c r="AR487">
        <v>8.1698699999999992E-3</v>
      </c>
      <c r="AS487">
        <v>1.07895E-2</v>
      </c>
      <c r="AT487">
        <v>1.09062E-2</v>
      </c>
      <c r="AU487">
        <v>7.5966599999999999E-3</v>
      </c>
      <c r="AV487">
        <v>6.2384299999999997E-3</v>
      </c>
      <c r="AW487">
        <v>2.5350399999999999E-4</v>
      </c>
      <c r="AX487">
        <v>5.1138599999999996E-4</v>
      </c>
      <c r="AY487">
        <v>9.8998599999999999E-4</v>
      </c>
      <c r="AZ487">
        <v>1.29268E-3</v>
      </c>
      <c r="BA487">
        <v>1.18417E-3</v>
      </c>
      <c r="BB487">
        <v>7.5853200000000002E-4</v>
      </c>
      <c r="BC487">
        <v>1.48985E-3</v>
      </c>
      <c r="BD487">
        <v>6.1097599999999997E-3</v>
      </c>
      <c r="BE487">
        <v>2.0504E-3</v>
      </c>
      <c r="BF487">
        <v>1.8631699999999999E-3</v>
      </c>
      <c r="BG487">
        <v>6.7243499999999998E-4</v>
      </c>
      <c r="BH487">
        <v>6.7709200000000002E-4</v>
      </c>
      <c r="BI487">
        <v>4.79786E-4</v>
      </c>
      <c r="BJ487">
        <v>8.3533299999999995E-4</v>
      </c>
      <c r="BK487">
        <v>2.3445100000000002E-3</v>
      </c>
      <c r="BL487">
        <v>9.7771399999999997E-4</v>
      </c>
      <c r="BM487">
        <v>7.7830900000000003E-4</v>
      </c>
      <c r="BN487">
        <v>1.3976800000000001E-3</v>
      </c>
      <c r="BO487">
        <v>6.8226300000000001E-4</v>
      </c>
      <c r="BP487">
        <v>3.02649E-4</v>
      </c>
      <c r="BQ487">
        <v>2.91005E-4</v>
      </c>
      <c r="BR487">
        <v>4.4502300000000001E-4</v>
      </c>
      <c r="BS487">
        <v>1.12896E-3</v>
      </c>
      <c r="BT487">
        <v>1.7775600000000001E-3</v>
      </c>
      <c r="BU487">
        <v>1.61922E-3</v>
      </c>
      <c r="BV487">
        <v>6.4671100000000001E-4</v>
      </c>
      <c r="BW487">
        <v>8.5392300000000003E-4</v>
      </c>
      <c r="BX487">
        <v>3.4565699999999997E-4</v>
      </c>
      <c r="BY487">
        <v>4.9499999999999997E-5</v>
      </c>
      <c r="BZ487">
        <v>2.2170499999999999E-4</v>
      </c>
      <c r="CA487">
        <v>3.1368200000000002E-4</v>
      </c>
      <c r="CB487">
        <v>3.9193099999999999E-4</v>
      </c>
      <c r="CC487">
        <v>3.2048999999999999E-4</v>
      </c>
      <c r="CD487">
        <v>5.0052300000000001E-4</v>
      </c>
      <c r="CE487">
        <v>5.1756100000000004E-4</v>
      </c>
      <c r="CF487">
        <v>1.10596E-3</v>
      </c>
      <c r="CG487">
        <v>2.4452599999999999E-3</v>
      </c>
      <c r="CH487">
        <v>1.54104E-3</v>
      </c>
      <c r="CI487">
        <v>3.43363E-3</v>
      </c>
      <c r="CJ487">
        <v>2.4426000000000001E-3</v>
      </c>
      <c r="CK487">
        <v>2.1526399999999999E-3</v>
      </c>
      <c r="CL487">
        <v>9.2208600000000002E-4</v>
      </c>
    </row>
    <row r="488" spans="2:90" x14ac:dyDescent="0.2">
      <c r="B488">
        <v>87.5</v>
      </c>
      <c r="C488">
        <v>7.6199999999999995E-5</v>
      </c>
      <c r="D488">
        <v>6.1976800000000003E-4</v>
      </c>
      <c r="E488">
        <v>2.4531500000000002E-4</v>
      </c>
      <c r="F488">
        <v>1.4192E-3</v>
      </c>
      <c r="G488">
        <v>3.36061E-3</v>
      </c>
      <c r="H488">
        <v>4.2325100000000001E-3</v>
      </c>
      <c r="I488">
        <v>3.6285900000000001E-3</v>
      </c>
      <c r="J488">
        <v>2.7279800000000001E-3</v>
      </c>
      <c r="K488">
        <v>6.9344000000000003E-3</v>
      </c>
      <c r="L488">
        <v>6.6921699999999999E-3</v>
      </c>
      <c r="M488">
        <v>1.0948899999999999E-2</v>
      </c>
      <c r="N488">
        <v>1.6740000000000001E-2</v>
      </c>
      <c r="O488">
        <v>9.7795E-3</v>
      </c>
      <c r="P488">
        <v>7.8626200000000007E-3</v>
      </c>
      <c r="Q488">
        <v>3.36726E-3</v>
      </c>
      <c r="R488">
        <v>3.5484900000000001E-3</v>
      </c>
      <c r="S488">
        <v>2.73055E-3</v>
      </c>
      <c r="T488">
        <v>5.0313299999999997E-3</v>
      </c>
      <c r="U488">
        <v>4.3188799999999998E-3</v>
      </c>
      <c r="V488">
        <v>4.1786200000000001E-3</v>
      </c>
      <c r="W488">
        <v>4.7075900000000002E-3</v>
      </c>
      <c r="X488">
        <v>3.3959400000000001E-3</v>
      </c>
      <c r="Y488">
        <v>2.4363100000000001E-3</v>
      </c>
      <c r="Z488">
        <v>1.80404E-3</v>
      </c>
      <c r="AA488">
        <v>3.1366699999999998E-3</v>
      </c>
      <c r="AB488">
        <v>3.4682300000000001E-3</v>
      </c>
      <c r="AC488">
        <v>4.8997900000000002E-3</v>
      </c>
      <c r="AD488">
        <v>7.2158600000000002E-3</v>
      </c>
      <c r="AE488">
        <v>7.4800500000000002E-3</v>
      </c>
      <c r="AF488">
        <v>4.1736799999999999E-3</v>
      </c>
      <c r="AG488">
        <v>2.36907E-3</v>
      </c>
      <c r="AH488">
        <v>1.4166000000000001E-3</v>
      </c>
      <c r="AI488">
        <v>1.1949199999999999E-3</v>
      </c>
      <c r="AJ488">
        <v>1.08708E-3</v>
      </c>
      <c r="AK488">
        <v>7.8407300000000004E-4</v>
      </c>
      <c r="AL488">
        <v>1.19995E-3</v>
      </c>
      <c r="AM488">
        <v>1.9468199999999999E-3</v>
      </c>
      <c r="AN488">
        <v>2.0998200000000001E-3</v>
      </c>
      <c r="AO488">
        <v>2.2603699999999998E-3</v>
      </c>
      <c r="AP488">
        <v>2.4136000000000001E-3</v>
      </c>
      <c r="AQ488">
        <v>3.2957099999999999E-3</v>
      </c>
      <c r="AR488">
        <v>8.1968900000000001E-3</v>
      </c>
      <c r="AS488">
        <v>1.0603599999999999E-2</v>
      </c>
      <c r="AT488">
        <v>9.8894499999999993E-3</v>
      </c>
      <c r="AU488">
        <v>6.6340699999999997E-3</v>
      </c>
      <c r="AV488">
        <v>5.9421700000000001E-3</v>
      </c>
      <c r="AW488">
        <v>5.8369499999999996E-4</v>
      </c>
      <c r="AX488">
        <v>6.0805099999999997E-4</v>
      </c>
      <c r="AY488">
        <v>1.32927E-3</v>
      </c>
      <c r="AZ488">
        <v>9.5414199999999995E-4</v>
      </c>
      <c r="BA488">
        <v>1.3704500000000001E-3</v>
      </c>
      <c r="BB488">
        <v>1.39215E-3</v>
      </c>
      <c r="BC488">
        <v>7.1099900000000003E-4</v>
      </c>
      <c r="BD488">
        <v>4.1827799999999997E-3</v>
      </c>
      <c r="BE488">
        <v>2.0027000000000001E-3</v>
      </c>
      <c r="BF488">
        <v>1.00402E-3</v>
      </c>
      <c r="BG488">
        <v>9.9668900000000004E-4</v>
      </c>
      <c r="BH488">
        <v>7.4438100000000001E-4</v>
      </c>
      <c r="BI488">
        <v>2.7175300000000001E-4</v>
      </c>
      <c r="BJ488">
        <v>8.0320700000000001E-4</v>
      </c>
      <c r="BK488">
        <v>1.8579200000000001E-3</v>
      </c>
      <c r="BL488">
        <v>1.0092600000000001E-3</v>
      </c>
      <c r="BM488">
        <v>3.9478899999999999E-4</v>
      </c>
      <c r="BN488">
        <v>1.2704599999999999E-3</v>
      </c>
      <c r="BO488">
        <v>2.1226000000000001E-3</v>
      </c>
      <c r="BP488">
        <v>3.2192899999999999E-4</v>
      </c>
      <c r="BQ488">
        <v>3.9966099999999999E-4</v>
      </c>
      <c r="BR488">
        <v>5.4142399999999999E-4</v>
      </c>
      <c r="BS488">
        <v>1.7629799999999999E-3</v>
      </c>
      <c r="BT488">
        <v>2.0592700000000002E-3</v>
      </c>
      <c r="BU488">
        <v>2.8602800000000002E-3</v>
      </c>
      <c r="BV488">
        <v>7.0897099999999997E-4</v>
      </c>
      <c r="BW488">
        <v>7.6920899999999997E-4</v>
      </c>
      <c r="BX488">
        <v>1.9805499999999999E-4</v>
      </c>
      <c r="BY488">
        <v>3.51818E-4</v>
      </c>
      <c r="BZ488">
        <v>2.2441200000000001E-4</v>
      </c>
      <c r="CA488">
        <v>6.4700000000000001E-5</v>
      </c>
      <c r="CB488">
        <v>2.4951800000000001E-4</v>
      </c>
      <c r="CC488">
        <v>1.89543E-4</v>
      </c>
      <c r="CD488">
        <v>3.06509E-4</v>
      </c>
      <c r="CE488">
        <v>4.3500199999999998E-4</v>
      </c>
      <c r="CF488">
        <v>8.3754999999999995E-4</v>
      </c>
      <c r="CG488">
        <v>1.604E-3</v>
      </c>
      <c r="CH488">
        <v>1.0961E-3</v>
      </c>
      <c r="CI488">
        <v>3.1701400000000001E-3</v>
      </c>
      <c r="CJ488">
        <v>3.21675E-3</v>
      </c>
      <c r="CK488">
        <v>1.0915600000000001E-3</v>
      </c>
      <c r="CL488">
        <v>2.0369899999999998E-3</v>
      </c>
    </row>
    <row r="489" spans="2:90" x14ac:dyDescent="0.2">
      <c r="B489">
        <v>88.5</v>
      </c>
      <c r="C489">
        <v>7.4099999999999999E-5</v>
      </c>
      <c r="D489">
        <v>1.0092199999999999E-4</v>
      </c>
      <c r="E489">
        <v>3.51491E-4</v>
      </c>
      <c r="F489">
        <v>2.64132E-3</v>
      </c>
      <c r="G489">
        <v>1.99307E-3</v>
      </c>
      <c r="H489">
        <v>2.8503299999999999E-3</v>
      </c>
      <c r="I489">
        <v>2.97832E-3</v>
      </c>
      <c r="J489">
        <v>2.1337700000000001E-3</v>
      </c>
      <c r="K489">
        <v>6.3003199999999999E-3</v>
      </c>
      <c r="L489">
        <v>8.2804300000000001E-3</v>
      </c>
      <c r="M489">
        <v>9.5863100000000007E-3</v>
      </c>
      <c r="N489">
        <v>1.6484200000000001E-2</v>
      </c>
      <c r="O489">
        <v>8.97622E-3</v>
      </c>
      <c r="P489">
        <v>7.3559300000000001E-3</v>
      </c>
      <c r="Q489">
        <v>4.1337199999999996E-3</v>
      </c>
      <c r="R489">
        <v>3.3304799999999998E-3</v>
      </c>
      <c r="S489">
        <v>2.6981800000000001E-3</v>
      </c>
      <c r="T489">
        <v>4.7913499999999998E-3</v>
      </c>
      <c r="U489">
        <v>4.1918299999999997E-3</v>
      </c>
      <c r="V489">
        <v>3.1911499999999998E-3</v>
      </c>
      <c r="W489">
        <v>3.5812700000000001E-3</v>
      </c>
      <c r="X489">
        <v>2.8644899999999999E-3</v>
      </c>
      <c r="Y489">
        <v>2.2772700000000001E-3</v>
      </c>
      <c r="Z489">
        <v>1.4606700000000001E-3</v>
      </c>
      <c r="AA489">
        <v>2.39492E-3</v>
      </c>
      <c r="AB489">
        <v>3.1495500000000001E-3</v>
      </c>
      <c r="AC489">
        <v>4.0672900000000003E-3</v>
      </c>
      <c r="AD489">
        <v>6.2320099999999996E-3</v>
      </c>
      <c r="AE489">
        <v>6.6728899999999999E-3</v>
      </c>
      <c r="AF489">
        <v>4.6736E-3</v>
      </c>
      <c r="AG489">
        <v>2.0825599999999998E-3</v>
      </c>
      <c r="AH489">
        <v>1.1998099999999999E-3</v>
      </c>
      <c r="AI489">
        <v>1.09172E-3</v>
      </c>
      <c r="AJ489">
        <v>1.0930200000000001E-3</v>
      </c>
      <c r="AK489">
        <v>6.3665800000000002E-4</v>
      </c>
      <c r="AL489">
        <v>9.9543000000000006E-4</v>
      </c>
      <c r="AM489">
        <v>1.71715E-3</v>
      </c>
      <c r="AN489">
        <v>1.44819E-3</v>
      </c>
      <c r="AO489">
        <v>2.85995E-3</v>
      </c>
      <c r="AP489">
        <v>2.5519599999999998E-3</v>
      </c>
      <c r="AQ489">
        <v>4.0419999999999996E-3</v>
      </c>
      <c r="AR489">
        <v>6.4550099999999997E-3</v>
      </c>
      <c r="AS489">
        <v>7.4805499999999999E-3</v>
      </c>
      <c r="AT489">
        <v>8.6468199999999995E-3</v>
      </c>
      <c r="AU489">
        <v>6.3675399999999997E-3</v>
      </c>
      <c r="AV489">
        <v>4.3338999999999999E-3</v>
      </c>
      <c r="AW489">
        <v>3.9431299999999998E-4</v>
      </c>
      <c r="AX489">
        <v>2.1430700000000001E-4</v>
      </c>
      <c r="AY489">
        <v>1.52731E-3</v>
      </c>
      <c r="AZ489">
        <v>8.11793E-4</v>
      </c>
      <c r="BA489">
        <v>1.1849600000000001E-3</v>
      </c>
      <c r="BB489">
        <v>8.9681099999999996E-4</v>
      </c>
      <c r="BC489">
        <v>1.5117900000000001E-3</v>
      </c>
      <c r="BD489">
        <v>1.39145E-3</v>
      </c>
      <c r="BE489">
        <v>3.2614800000000002E-3</v>
      </c>
      <c r="BF489">
        <v>1.05733E-3</v>
      </c>
      <c r="BG489">
        <v>7.5747399999999995E-4</v>
      </c>
      <c r="BH489">
        <v>7.1774999999999996E-4</v>
      </c>
      <c r="BI489">
        <v>4.3450299999999998E-4</v>
      </c>
      <c r="BJ489">
        <v>7.85496E-4</v>
      </c>
      <c r="BK489">
        <v>9.9564899999999993E-4</v>
      </c>
      <c r="BL489">
        <v>4.6044899999999998E-4</v>
      </c>
      <c r="BM489">
        <v>3.42436E-4</v>
      </c>
      <c r="BN489">
        <v>5.0610499999999997E-4</v>
      </c>
      <c r="BO489">
        <v>5.18123E-4</v>
      </c>
      <c r="BP489">
        <v>2.7228400000000002E-4</v>
      </c>
      <c r="BQ489">
        <v>1.24931E-4</v>
      </c>
      <c r="BR489">
        <v>4.1618699999999999E-4</v>
      </c>
      <c r="BS489">
        <v>1.40354E-3</v>
      </c>
      <c r="BT489">
        <v>1.23431E-3</v>
      </c>
      <c r="BU489">
        <v>1.26257E-3</v>
      </c>
      <c r="BV489">
        <v>1.12974E-3</v>
      </c>
      <c r="BW489">
        <v>6.1872999999999995E-4</v>
      </c>
      <c r="BX489">
        <v>2.37376E-4</v>
      </c>
      <c r="BY489">
        <v>1.0360499999999999E-4</v>
      </c>
      <c r="BZ489">
        <v>1.7336200000000001E-4</v>
      </c>
      <c r="CA489">
        <v>8.2700000000000004E-5</v>
      </c>
      <c r="CB489">
        <v>1.78314E-4</v>
      </c>
      <c r="CC489">
        <v>7.0099999999999996E-5</v>
      </c>
      <c r="CD489">
        <v>1.4398699999999999E-4</v>
      </c>
      <c r="CE489">
        <v>4.6453E-4</v>
      </c>
      <c r="CF489">
        <v>1.2586100000000001E-3</v>
      </c>
      <c r="CG489">
        <v>1.28443E-3</v>
      </c>
      <c r="CH489">
        <v>1.1825900000000001E-3</v>
      </c>
      <c r="CI489">
        <v>2.3668000000000001E-3</v>
      </c>
      <c r="CJ489">
        <v>2.2683099999999999E-3</v>
      </c>
      <c r="CK489">
        <v>1.30427E-3</v>
      </c>
      <c r="CL489">
        <v>1.03933E-3</v>
      </c>
    </row>
    <row r="490" spans="2:90" x14ac:dyDescent="0.2">
      <c r="B490">
        <v>89.5</v>
      </c>
      <c r="C490">
        <v>6.8999999999999997E-5</v>
      </c>
      <c r="D490">
        <v>3.3130099999999999E-4</v>
      </c>
      <c r="E490">
        <v>2.13737E-4</v>
      </c>
      <c r="F490">
        <v>1.8160299999999999E-3</v>
      </c>
      <c r="G490">
        <v>1.8256800000000001E-3</v>
      </c>
      <c r="H490">
        <v>2.6451000000000001E-3</v>
      </c>
      <c r="I490">
        <v>2.5618500000000001E-3</v>
      </c>
      <c r="J490">
        <v>2.4682900000000002E-3</v>
      </c>
      <c r="K490">
        <v>6.8631300000000003E-3</v>
      </c>
      <c r="L490">
        <v>5.2567200000000003E-3</v>
      </c>
      <c r="M490">
        <v>8.4385699999999994E-3</v>
      </c>
      <c r="N490">
        <v>1.1721799999999999E-2</v>
      </c>
      <c r="O490">
        <v>7.9128400000000008E-3</v>
      </c>
      <c r="P490">
        <v>6.3582300000000003E-3</v>
      </c>
      <c r="Q490">
        <v>3.04536E-3</v>
      </c>
      <c r="R490">
        <v>3.5956299999999998E-3</v>
      </c>
      <c r="S490">
        <v>2.83907E-3</v>
      </c>
      <c r="T490">
        <v>4.3019E-3</v>
      </c>
      <c r="U490">
        <v>3.7718399999999998E-3</v>
      </c>
      <c r="V490">
        <v>3.1970700000000002E-3</v>
      </c>
      <c r="W490">
        <v>3.2992899999999999E-3</v>
      </c>
      <c r="X490">
        <v>2.6427299999999998E-3</v>
      </c>
      <c r="Y490">
        <v>2.69739E-3</v>
      </c>
      <c r="Z490">
        <v>1.65368E-3</v>
      </c>
      <c r="AA490">
        <v>2.29568E-3</v>
      </c>
      <c r="AB490">
        <v>2.8123200000000001E-3</v>
      </c>
      <c r="AC490">
        <v>4.3651000000000002E-3</v>
      </c>
      <c r="AD490">
        <v>5.8866099999999996E-3</v>
      </c>
      <c r="AE490">
        <v>6.23881E-3</v>
      </c>
      <c r="AF490">
        <v>5.8051999999999999E-3</v>
      </c>
      <c r="AG490">
        <v>1.87812E-3</v>
      </c>
      <c r="AH490">
        <v>9.8267899999999997E-4</v>
      </c>
      <c r="AI490">
        <v>9.2857400000000004E-4</v>
      </c>
      <c r="AJ490">
        <v>7.8748000000000002E-4</v>
      </c>
      <c r="AK490">
        <v>5.7217599999999998E-4</v>
      </c>
      <c r="AL490">
        <v>9.0904799999999997E-4</v>
      </c>
      <c r="AM490">
        <v>1.2712999999999999E-3</v>
      </c>
      <c r="AN490">
        <v>1.4994299999999999E-3</v>
      </c>
      <c r="AO490">
        <v>1.4598499999999999E-3</v>
      </c>
      <c r="AP490">
        <v>2.2482700000000001E-3</v>
      </c>
      <c r="AQ490">
        <v>3.52696E-3</v>
      </c>
      <c r="AR490">
        <v>6.45905E-3</v>
      </c>
      <c r="AS490">
        <v>7.9697499999999994E-3</v>
      </c>
      <c r="AT490">
        <v>8.4486700000000001E-3</v>
      </c>
      <c r="AU490">
        <v>7.6557500000000002E-3</v>
      </c>
      <c r="AV490">
        <v>4.3813599999999999E-3</v>
      </c>
      <c r="AW490">
        <v>5.6400000000000002E-5</v>
      </c>
      <c r="AX490">
        <v>8.7104599999999999E-4</v>
      </c>
      <c r="AY490">
        <v>9.9902299999999992E-4</v>
      </c>
      <c r="AZ490">
        <v>6.0602400000000004E-4</v>
      </c>
      <c r="BA490">
        <v>1.957E-3</v>
      </c>
      <c r="BB490">
        <v>9.2841099999999997E-4</v>
      </c>
      <c r="BC490">
        <v>2.59454E-4</v>
      </c>
      <c r="BD490">
        <v>4.20331E-3</v>
      </c>
      <c r="BE490">
        <v>2.1014800000000002E-3</v>
      </c>
      <c r="BF490">
        <v>8.07317E-4</v>
      </c>
      <c r="BG490">
        <v>1.30047E-3</v>
      </c>
      <c r="BH490">
        <v>3.8376000000000003E-4</v>
      </c>
      <c r="BI490">
        <v>2.47379E-3</v>
      </c>
      <c r="BJ490">
        <v>4.68228E-4</v>
      </c>
      <c r="BK490">
        <v>3.9021500000000002E-4</v>
      </c>
      <c r="BL490">
        <v>3.1728700000000003E-4</v>
      </c>
      <c r="BM490">
        <v>5.3221799999999999E-4</v>
      </c>
      <c r="BN490">
        <v>1.2905099999999999E-3</v>
      </c>
      <c r="BO490">
        <v>5.7048199999999998E-4</v>
      </c>
      <c r="BP490">
        <v>3.5052500000000002E-4</v>
      </c>
      <c r="BQ490">
        <v>1.7662900000000001E-4</v>
      </c>
      <c r="BR490">
        <v>3.0496899999999999E-4</v>
      </c>
      <c r="BS490">
        <v>1.16555E-3</v>
      </c>
      <c r="BT490">
        <v>8.9443400000000005E-4</v>
      </c>
      <c r="BU490">
        <v>1.8864000000000001E-3</v>
      </c>
      <c r="BV490">
        <v>7.8023000000000003E-4</v>
      </c>
      <c r="BW490">
        <v>1.0301500000000001E-3</v>
      </c>
      <c r="BX490">
        <v>2.8353900000000002E-4</v>
      </c>
      <c r="BY490">
        <v>2.7672999999999999E-4</v>
      </c>
      <c r="BZ490">
        <v>6.8999999999999997E-5</v>
      </c>
      <c r="CA490">
        <v>1.89171E-4</v>
      </c>
      <c r="CB490">
        <v>2.6341E-4</v>
      </c>
      <c r="CC490">
        <v>3.4888999999999997E-4</v>
      </c>
      <c r="CD490">
        <v>2.2152700000000001E-4</v>
      </c>
      <c r="CE490">
        <v>2.97681E-4</v>
      </c>
      <c r="CF490">
        <v>4.03638E-4</v>
      </c>
      <c r="CG490">
        <v>1.14909E-3</v>
      </c>
      <c r="CH490">
        <v>1.0788499999999999E-3</v>
      </c>
      <c r="CI490">
        <v>1.9681299999999998E-3</v>
      </c>
      <c r="CJ490">
        <v>2.1671699999999999E-3</v>
      </c>
      <c r="CK490">
        <v>1.029E-3</v>
      </c>
      <c r="CL490">
        <v>8.7867299999999995E-4</v>
      </c>
    </row>
    <row r="491" spans="2:90" x14ac:dyDescent="0.2">
      <c r="B491">
        <v>90.5</v>
      </c>
      <c r="C491">
        <v>7.4300000000000004E-5</v>
      </c>
      <c r="D491">
        <v>2.7391600000000002E-4</v>
      </c>
      <c r="E491">
        <v>1.71714E-4</v>
      </c>
      <c r="F491">
        <v>1.12611E-3</v>
      </c>
      <c r="G491">
        <v>1.7298700000000001E-3</v>
      </c>
      <c r="H491">
        <v>3.0348699999999998E-3</v>
      </c>
      <c r="I491">
        <v>2.0401099999999999E-3</v>
      </c>
      <c r="J491">
        <v>2.6844799999999999E-3</v>
      </c>
      <c r="K491">
        <v>6.0567099999999999E-3</v>
      </c>
      <c r="L491">
        <v>4.9862200000000004E-3</v>
      </c>
      <c r="M491">
        <v>8.2082100000000005E-3</v>
      </c>
      <c r="N491">
        <v>1.01668E-2</v>
      </c>
      <c r="O491">
        <v>7.2957600000000001E-3</v>
      </c>
      <c r="P491">
        <v>5.0682499999999998E-3</v>
      </c>
      <c r="Q491">
        <v>5.0824599999999996E-3</v>
      </c>
      <c r="R491">
        <v>2.7159200000000001E-3</v>
      </c>
      <c r="S491">
        <v>2.0137599999999999E-3</v>
      </c>
      <c r="T491">
        <v>3.3500399999999999E-3</v>
      </c>
      <c r="U491">
        <v>2.9475500000000002E-3</v>
      </c>
      <c r="V491">
        <v>2.5542300000000002E-3</v>
      </c>
      <c r="W491">
        <v>2.7370300000000001E-3</v>
      </c>
      <c r="X491">
        <v>2.0669600000000001E-3</v>
      </c>
      <c r="Y491">
        <v>1.70601E-3</v>
      </c>
      <c r="Z491">
        <v>1.1141300000000001E-3</v>
      </c>
      <c r="AA491">
        <v>1.83917E-3</v>
      </c>
      <c r="AB491">
        <v>2.37367E-3</v>
      </c>
      <c r="AC491">
        <v>3.1184199999999998E-3</v>
      </c>
      <c r="AD491">
        <v>4.2786899999999999E-3</v>
      </c>
      <c r="AE491">
        <v>5.0463900000000004E-3</v>
      </c>
      <c r="AF491">
        <v>4.8071499999999996E-3</v>
      </c>
      <c r="AG491">
        <v>1.4881199999999999E-3</v>
      </c>
      <c r="AH491">
        <v>7.1377500000000004E-4</v>
      </c>
      <c r="AI491">
        <v>6.9867900000000001E-4</v>
      </c>
      <c r="AJ491">
        <v>4.8625099999999999E-4</v>
      </c>
      <c r="AK491">
        <v>3.7315800000000001E-4</v>
      </c>
      <c r="AL491">
        <v>5.8241900000000004E-4</v>
      </c>
      <c r="AM491">
        <v>1.0043999999999999E-3</v>
      </c>
      <c r="AN491">
        <v>1.0081199999999999E-3</v>
      </c>
      <c r="AO491">
        <v>1.02177E-3</v>
      </c>
      <c r="AP491">
        <v>1.39831E-3</v>
      </c>
      <c r="AQ491">
        <v>2.1813399999999999E-3</v>
      </c>
      <c r="AR491">
        <v>4.2049000000000001E-3</v>
      </c>
      <c r="AS491">
        <v>6.3854699999999999E-3</v>
      </c>
      <c r="AT491">
        <v>7.7392700000000004E-3</v>
      </c>
      <c r="AU491">
        <v>6.6296200000000001E-3</v>
      </c>
      <c r="AV491">
        <v>4.8453400000000001E-3</v>
      </c>
      <c r="AW491">
        <v>2.3421600000000001E-4</v>
      </c>
      <c r="AX491">
        <v>4.49E-5</v>
      </c>
      <c r="AY491">
        <v>7.6701700000000005E-4</v>
      </c>
      <c r="AZ491">
        <v>4.7113800000000001E-4</v>
      </c>
      <c r="BA491">
        <v>6.33166E-4</v>
      </c>
      <c r="BB491">
        <v>1.1825E-3</v>
      </c>
      <c r="BC491">
        <v>1.68111E-3</v>
      </c>
      <c r="BD491">
        <v>2.9893599999999999E-3</v>
      </c>
      <c r="BE491">
        <v>9.5698500000000004E-4</v>
      </c>
      <c r="BF491">
        <v>5.1772099999999996E-4</v>
      </c>
      <c r="BG491">
        <v>5.5380100000000003E-4</v>
      </c>
      <c r="BH491">
        <v>3.21541E-4</v>
      </c>
      <c r="BI491">
        <v>9.2925699999999996E-4</v>
      </c>
      <c r="BJ491">
        <v>1.23135E-3</v>
      </c>
      <c r="BK491">
        <v>2.70933E-4</v>
      </c>
      <c r="BL491">
        <v>8.9404600000000001E-4</v>
      </c>
      <c r="BM491">
        <v>5.44021E-4</v>
      </c>
      <c r="BN491">
        <v>4.9383900000000004E-4</v>
      </c>
      <c r="BO491">
        <v>5.7262899999999995E-4</v>
      </c>
      <c r="BP491">
        <v>2.31349E-4</v>
      </c>
      <c r="BQ491">
        <v>2.8855500000000002E-4</v>
      </c>
      <c r="BR491">
        <v>3.4426500000000001E-4</v>
      </c>
      <c r="BS491">
        <v>5.4678400000000003E-4</v>
      </c>
      <c r="BT491">
        <v>1.2950100000000001E-3</v>
      </c>
      <c r="BU491">
        <v>1.2569600000000001E-3</v>
      </c>
      <c r="BV491">
        <v>1.0216699999999999E-3</v>
      </c>
      <c r="BW491">
        <v>3.8572999999999998E-4</v>
      </c>
      <c r="BX491">
        <v>3.8999999999999999E-5</v>
      </c>
      <c r="BY491">
        <v>1.73313E-4</v>
      </c>
      <c r="BZ491">
        <v>2.54823E-4</v>
      </c>
      <c r="CA491">
        <v>1.5132500000000001E-4</v>
      </c>
      <c r="CB491">
        <v>1.93742E-4</v>
      </c>
      <c r="CC491">
        <v>1.23065E-4</v>
      </c>
      <c r="CD491">
        <v>6.2799999999999995E-5</v>
      </c>
      <c r="CE491">
        <v>3.5000400000000001E-4</v>
      </c>
      <c r="CF491">
        <v>5.4379299999999999E-4</v>
      </c>
      <c r="CG491">
        <v>6.7888499999999995E-4</v>
      </c>
      <c r="CH491">
        <v>5.2780000000000004E-4</v>
      </c>
      <c r="CI491">
        <v>1.62404E-3</v>
      </c>
      <c r="CJ491">
        <v>1.91282E-3</v>
      </c>
      <c r="CK491">
        <v>1.2255899999999999E-3</v>
      </c>
      <c r="CL491">
        <v>1.73923E-3</v>
      </c>
    </row>
    <row r="492" spans="2:90" x14ac:dyDescent="0.2">
      <c r="B492">
        <v>91.5</v>
      </c>
      <c r="C492">
        <v>5.7299999999999997E-5</v>
      </c>
      <c r="D492">
        <v>3.2277E-4</v>
      </c>
      <c r="E492">
        <v>3.8500000000000001E-5</v>
      </c>
      <c r="F492">
        <v>1.19523E-3</v>
      </c>
      <c r="G492">
        <v>1.70126E-3</v>
      </c>
      <c r="H492">
        <v>1.21656E-3</v>
      </c>
      <c r="I492">
        <v>1.63356E-3</v>
      </c>
      <c r="J492">
        <v>1.66117E-3</v>
      </c>
      <c r="K492">
        <v>5.2800299999999998E-3</v>
      </c>
      <c r="L492">
        <v>2.8315300000000001E-3</v>
      </c>
      <c r="M492">
        <v>4.9201899999999996E-3</v>
      </c>
      <c r="N492">
        <v>1.1514399999999999E-2</v>
      </c>
      <c r="O492">
        <v>6.8290399999999998E-3</v>
      </c>
      <c r="P492">
        <v>5.2635900000000003E-3</v>
      </c>
      <c r="Q492">
        <v>2.2909499999999999E-3</v>
      </c>
      <c r="R492">
        <v>2.9103200000000001E-3</v>
      </c>
      <c r="S492">
        <v>1.9158599999999999E-3</v>
      </c>
      <c r="T492">
        <v>3.1244900000000002E-3</v>
      </c>
      <c r="U492">
        <v>2.5643300000000001E-3</v>
      </c>
      <c r="V492">
        <v>2.6920500000000001E-3</v>
      </c>
      <c r="W492">
        <v>2.4397300000000002E-3</v>
      </c>
      <c r="X492">
        <v>1.8859E-3</v>
      </c>
      <c r="Y492">
        <v>1.6542200000000001E-3</v>
      </c>
      <c r="Z492">
        <v>9.6213400000000001E-4</v>
      </c>
      <c r="AA492">
        <v>1.39204E-3</v>
      </c>
      <c r="AB492">
        <v>2.0169799999999998E-3</v>
      </c>
      <c r="AC492">
        <v>2.9215399999999998E-3</v>
      </c>
      <c r="AD492">
        <v>4.20259E-3</v>
      </c>
      <c r="AE492">
        <v>4.45393E-3</v>
      </c>
      <c r="AF492">
        <v>3.7149499999999998E-3</v>
      </c>
      <c r="AG492">
        <v>1.6032100000000001E-3</v>
      </c>
      <c r="AH492">
        <v>7.3263500000000004E-4</v>
      </c>
      <c r="AI492">
        <v>7.32433E-4</v>
      </c>
      <c r="AJ492">
        <v>4.6637300000000002E-4</v>
      </c>
      <c r="AK492">
        <v>4.1170399999999999E-4</v>
      </c>
      <c r="AL492">
        <v>6.1148099999999998E-4</v>
      </c>
      <c r="AM492">
        <v>6.1371500000000003E-4</v>
      </c>
      <c r="AN492">
        <v>7.20431E-4</v>
      </c>
      <c r="AO492">
        <v>6.7586399999999998E-4</v>
      </c>
      <c r="AP492">
        <v>1.0435900000000001E-3</v>
      </c>
      <c r="AQ492">
        <v>2.0221499999999999E-3</v>
      </c>
      <c r="AR492">
        <v>3.4570899999999999E-3</v>
      </c>
      <c r="AS492">
        <v>5.7311000000000003E-3</v>
      </c>
      <c r="AT492">
        <v>6.3416999999999996E-3</v>
      </c>
      <c r="AU492">
        <v>6.5521499999999996E-3</v>
      </c>
      <c r="AV492">
        <v>4.1328099999999998E-3</v>
      </c>
      <c r="AW492">
        <v>3.2843899999999998E-4</v>
      </c>
      <c r="AX492">
        <v>4.2299999999999998E-5</v>
      </c>
      <c r="AY492">
        <v>3.2738199999999998E-4</v>
      </c>
      <c r="AZ492">
        <v>4.1887199999999998E-4</v>
      </c>
      <c r="BA492">
        <v>1.0515100000000001E-3</v>
      </c>
      <c r="BB492">
        <v>5.4742600000000005E-4</v>
      </c>
      <c r="BC492">
        <v>2.7373000000000002E-4</v>
      </c>
      <c r="BD492">
        <v>1.8375100000000001E-3</v>
      </c>
      <c r="BE492">
        <v>7.9742799999999998E-4</v>
      </c>
      <c r="BF492">
        <v>7.6689E-4</v>
      </c>
      <c r="BG492">
        <v>7.1366799999999998E-4</v>
      </c>
      <c r="BH492">
        <v>3.5227000000000001E-4</v>
      </c>
      <c r="BI492">
        <v>6.5868000000000003E-4</v>
      </c>
      <c r="BJ492">
        <v>3.6282600000000001E-4</v>
      </c>
      <c r="BK492">
        <v>7.0163799999999998E-4</v>
      </c>
      <c r="BL492">
        <v>7.9464800000000001E-4</v>
      </c>
      <c r="BM492">
        <v>9.9254300000000003E-4</v>
      </c>
      <c r="BN492">
        <v>4.0825699999999998E-4</v>
      </c>
      <c r="BO492">
        <v>2.8924300000000001E-4</v>
      </c>
      <c r="BP492">
        <v>1.97412E-4</v>
      </c>
      <c r="BQ492">
        <v>4.0014299999999999E-4</v>
      </c>
      <c r="BR492">
        <v>2.1922900000000001E-4</v>
      </c>
      <c r="BS492">
        <v>3.5804100000000002E-4</v>
      </c>
      <c r="BT492">
        <v>8.6562399999999995E-4</v>
      </c>
      <c r="BU492">
        <v>1.4560899999999999E-3</v>
      </c>
      <c r="BV492">
        <v>6.7836199999999995E-4</v>
      </c>
      <c r="BW492">
        <v>7.5003999999999999E-4</v>
      </c>
      <c r="BX492">
        <v>6.19E-5</v>
      </c>
      <c r="BY492">
        <v>1.40252E-4</v>
      </c>
      <c r="BZ492">
        <v>1.5934E-4</v>
      </c>
      <c r="CA492">
        <v>7.2399999999999998E-5</v>
      </c>
      <c r="CB492">
        <v>2.3073500000000001E-4</v>
      </c>
      <c r="CC492">
        <v>1.5726800000000001E-4</v>
      </c>
      <c r="CD492">
        <v>9.2399999999999996E-5</v>
      </c>
      <c r="CE492">
        <v>2.7882299999999998E-4</v>
      </c>
      <c r="CF492">
        <v>5.8098299999999998E-4</v>
      </c>
      <c r="CG492">
        <v>4.8689099999999998E-4</v>
      </c>
      <c r="CH492">
        <v>5.5612800000000003E-4</v>
      </c>
      <c r="CI492">
        <v>1.35384E-3</v>
      </c>
      <c r="CJ492">
        <v>1.8707400000000001E-3</v>
      </c>
      <c r="CK492">
        <v>1.01497E-3</v>
      </c>
      <c r="CL492">
        <v>1.3083700000000001E-3</v>
      </c>
    </row>
    <row r="493" spans="2:90" x14ac:dyDescent="0.2">
      <c r="B493">
        <v>92.5</v>
      </c>
      <c r="C493">
        <v>5.6499999999999998E-5</v>
      </c>
      <c r="D493">
        <v>3.4926800000000002E-4</v>
      </c>
      <c r="E493">
        <v>9.1800000000000002E-6</v>
      </c>
      <c r="F493">
        <v>1.1738300000000001E-3</v>
      </c>
      <c r="G493">
        <v>8.16448E-4</v>
      </c>
      <c r="H493">
        <v>1.2563299999999999E-3</v>
      </c>
      <c r="I493">
        <v>2.67513E-3</v>
      </c>
      <c r="J493">
        <v>1.3031399999999999E-3</v>
      </c>
      <c r="K493">
        <v>5.1997600000000003E-3</v>
      </c>
      <c r="L493">
        <v>3.70069E-3</v>
      </c>
      <c r="M493">
        <v>6.0507800000000004E-3</v>
      </c>
      <c r="N493">
        <v>1.09471E-2</v>
      </c>
      <c r="O493">
        <v>6.2757400000000001E-3</v>
      </c>
      <c r="P493">
        <v>4.3504900000000003E-3</v>
      </c>
      <c r="Q493">
        <v>1.9829399999999999E-3</v>
      </c>
      <c r="R493">
        <v>1.91793E-3</v>
      </c>
      <c r="S493">
        <v>1.6768200000000001E-3</v>
      </c>
      <c r="T493">
        <v>2.8474500000000001E-3</v>
      </c>
      <c r="U493">
        <v>2.0484800000000001E-3</v>
      </c>
      <c r="V493">
        <v>2.2191799999999999E-3</v>
      </c>
      <c r="W493">
        <v>2.3953500000000001E-3</v>
      </c>
      <c r="X493">
        <v>3.49037E-3</v>
      </c>
      <c r="Y493">
        <v>1.6094900000000001E-3</v>
      </c>
      <c r="Z493">
        <v>9.839619999999999E-4</v>
      </c>
      <c r="AA493">
        <v>1.2205300000000001E-3</v>
      </c>
      <c r="AB493">
        <v>1.8790899999999999E-3</v>
      </c>
      <c r="AC493">
        <v>2.09633E-3</v>
      </c>
      <c r="AD493">
        <v>3.65489E-3</v>
      </c>
      <c r="AE493">
        <v>4.1906900000000004E-3</v>
      </c>
      <c r="AF493">
        <v>2.7153799999999999E-3</v>
      </c>
      <c r="AG493">
        <v>1.15847E-3</v>
      </c>
      <c r="AH493">
        <v>4.7255000000000002E-4</v>
      </c>
      <c r="AI493">
        <v>4.7533500000000002E-4</v>
      </c>
      <c r="AJ493">
        <v>4.4249300000000002E-4</v>
      </c>
      <c r="AK493">
        <v>3.4343299999999998E-4</v>
      </c>
      <c r="AL493">
        <v>4.6636300000000002E-4</v>
      </c>
      <c r="AM493">
        <v>5.5730500000000002E-4</v>
      </c>
      <c r="AN493">
        <v>6.8666699999999996E-4</v>
      </c>
      <c r="AO493">
        <v>6.5595400000000004E-4</v>
      </c>
      <c r="AP493">
        <v>8.2649700000000004E-4</v>
      </c>
      <c r="AQ493">
        <v>1.8658699999999999E-3</v>
      </c>
      <c r="AR493">
        <v>3.3101599999999999E-3</v>
      </c>
      <c r="AS493">
        <v>3.9757500000000001E-3</v>
      </c>
      <c r="AT493">
        <v>5.0919499999999996E-3</v>
      </c>
      <c r="AU493">
        <v>6.4357900000000003E-3</v>
      </c>
      <c r="AV493">
        <v>3.5336999999999999E-3</v>
      </c>
      <c r="AW493">
        <v>0</v>
      </c>
      <c r="AX493">
        <v>1.6677400000000001E-4</v>
      </c>
      <c r="AY493">
        <v>6.0941700000000001E-4</v>
      </c>
      <c r="AZ493">
        <v>4.9917600000000005E-4</v>
      </c>
      <c r="BA493">
        <v>8.4797300000000002E-4</v>
      </c>
      <c r="BB493">
        <v>1.01205E-3</v>
      </c>
      <c r="BC493">
        <v>5.6123900000000005E-4</v>
      </c>
      <c r="BD493">
        <v>2.3276199999999999E-3</v>
      </c>
      <c r="BE493">
        <v>8.0588199999999995E-4</v>
      </c>
      <c r="BF493">
        <v>5.4665200000000001E-4</v>
      </c>
      <c r="BG493">
        <v>6.9786499999999999E-4</v>
      </c>
      <c r="BH493">
        <v>7.0892299999999998E-4</v>
      </c>
      <c r="BI493">
        <v>1.8807000000000001E-4</v>
      </c>
      <c r="BJ493">
        <v>4.5791899999999999E-4</v>
      </c>
      <c r="BK493">
        <v>1.04761E-3</v>
      </c>
      <c r="BL493">
        <v>2.11728E-4</v>
      </c>
      <c r="BM493">
        <v>3.3090300000000001E-4</v>
      </c>
      <c r="BN493">
        <v>4.2558100000000002E-4</v>
      </c>
      <c r="BO493">
        <v>3.33987E-4</v>
      </c>
      <c r="BP493">
        <v>1.14522E-4</v>
      </c>
      <c r="BQ493">
        <v>4.0885200000000002E-4</v>
      </c>
      <c r="BR493">
        <v>1.4374900000000001E-4</v>
      </c>
      <c r="BS493">
        <v>6.9187399999999998E-4</v>
      </c>
      <c r="BT493">
        <v>6.7049600000000003E-4</v>
      </c>
      <c r="BU493">
        <v>8.1358400000000001E-4</v>
      </c>
      <c r="BV493">
        <v>2.5304100000000002E-4</v>
      </c>
      <c r="BW493">
        <v>7.8310100000000002E-4</v>
      </c>
      <c r="BX493">
        <v>6.3700000000000003E-5</v>
      </c>
      <c r="BY493">
        <v>2.5112099999999998E-4</v>
      </c>
      <c r="BZ493">
        <v>2.13883E-4</v>
      </c>
      <c r="CA493">
        <v>2.2803499999999999E-4</v>
      </c>
      <c r="CB493">
        <v>2.5170500000000002E-4</v>
      </c>
      <c r="CC493">
        <v>1.16363E-4</v>
      </c>
      <c r="CD493">
        <v>7.8499999999999997E-5</v>
      </c>
      <c r="CE493">
        <v>1.97691E-4</v>
      </c>
      <c r="CF493">
        <v>2.7440800000000002E-4</v>
      </c>
      <c r="CG493">
        <v>4.60426E-4</v>
      </c>
      <c r="CH493">
        <v>4.6021400000000002E-4</v>
      </c>
      <c r="CI493">
        <v>1.11695E-3</v>
      </c>
      <c r="CJ493">
        <v>1.5184599999999999E-3</v>
      </c>
      <c r="CK493">
        <v>1.31313E-3</v>
      </c>
      <c r="CL493">
        <v>5.9680599999999996E-4</v>
      </c>
    </row>
    <row r="494" spans="2:90" x14ac:dyDescent="0.2">
      <c r="B494">
        <v>93.5</v>
      </c>
      <c r="C494">
        <v>4.99E-5</v>
      </c>
      <c r="D494">
        <v>4.9599999999999999E-5</v>
      </c>
      <c r="E494">
        <v>1.1436199999999999E-3</v>
      </c>
      <c r="F494">
        <v>8.9820999999999998E-4</v>
      </c>
      <c r="G494">
        <v>6.4902899999999997E-4</v>
      </c>
      <c r="H494">
        <v>7.8766100000000005E-4</v>
      </c>
      <c r="I494">
        <v>1.31409E-3</v>
      </c>
      <c r="J494">
        <v>1.16905E-3</v>
      </c>
      <c r="K494">
        <v>4.1230700000000004E-3</v>
      </c>
      <c r="L494">
        <v>3.1899200000000002E-3</v>
      </c>
      <c r="M494">
        <v>4.4238300000000001E-3</v>
      </c>
      <c r="N494">
        <v>9.2911399999999998E-3</v>
      </c>
      <c r="O494">
        <v>5.91735E-3</v>
      </c>
      <c r="P494">
        <v>4.0848200000000003E-3</v>
      </c>
      <c r="Q494">
        <v>3.3624599999999998E-3</v>
      </c>
      <c r="R494">
        <v>1.9493399999999999E-3</v>
      </c>
      <c r="S494">
        <v>1.3118400000000001E-3</v>
      </c>
      <c r="T494">
        <v>2.5474600000000001E-3</v>
      </c>
      <c r="U494">
        <v>1.6528000000000001E-3</v>
      </c>
      <c r="V494">
        <v>2.5432599999999999E-3</v>
      </c>
      <c r="W494">
        <v>1.7158399999999999E-3</v>
      </c>
      <c r="X494">
        <v>1.41664E-3</v>
      </c>
      <c r="Y494">
        <v>1.5102200000000001E-3</v>
      </c>
      <c r="Z494">
        <v>9.1273799999999996E-4</v>
      </c>
      <c r="AA494">
        <v>9.3766800000000001E-4</v>
      </c>
      <c r="AB494">
        <v>1.6652500000000001E-3</v>
      </c>
      <c r="AC494">
        <v>2.2265900000000001E-3</v>
      </c>
      <c r="AD494">
        <v>2.9971799999999999E-3</v>
      </c>
      <c r="AE494">
        <v>3.54711E-3</v>
      </c>
      <c r="AF494">
        <v>2.59808E-3</v>
      </c>
      <c r="AG494">
        <v>1.30744E-3</v>
      </c>
      <c r="AH494">
        <v>6.23312E-4</v>
      </c>
      <c r="AI494">
        <v>4.8515500000000003E-4</v>
      </c>
      <c r="AJ494">
        <v>2.96862E-4</v>
      </c>
      <c r="AK494">
        <v>3.6524099999999998E-4</v>
      </c>
      <c r="AL494">
        <v>3.2951299999999997E-4</v>
      </c>
      <c r="AM494">
        <v>5.0172300000000003E-4</v>
      </c>
      <c r="AN494">
        <v>9.0032000000000003E-4</v>
      </c>
      <c r="AO494">
        <v>8.5840000000000005E-4</v>
      </c>
      <c r="AP494">
        <v>1.3743799999999999E-3</v>
      </c>
      <c r="AQ494">
        <v>1.72999E-3</v>
      </c>
      <c r="AR494">
        <v>2.6607200000000001E-3</v>
      </c>
      <c r="AS494">
        <v>3.5612199999999999E-3</v>
      </c>
      <c r="AT494">
        <v>5.5500499999999999E-3</v>
      </c>
      <c r="AU494">
        <v>5.8357499999999998E-3</v>
      </c>
      <c r="AV494">
        <v>4.2525899999999997E-3</v>
      </c>
      <c r="AW494">
        <v>2.3421600000000001E-4</v>
      </c>
      <c r="AX494">
        <v>3.0397099999999999E-4</v>
      </c>
      <c r="AY494">
        <v>4.7937499999999998E-4</v>
      </c>
      <c r="AZ494">
        <v>2.53181E-4</v>
      </c>
      <c r="BA494">
        <v>2.9722899999999998E-4</v>
      </c>
      <c r="BB494">
        <v>9.3849600000000004E-4</v>
      </c>
      <c r="BC494">
        <v>6.41594E-4</v>
      </c>
      <c r="BD494">
        <v>2.80577E-3</v>
      </c>
      <c r="BE494">
        <v>1.1525400000000001E-3</v>
      </c>
      <c r="BF494">
        <v>1.9788E-4</v>
      </c>
      <c r="BG494">
        <v>4.47615E-4</v>
      </c>
      <c r="BH494">
        <v>2.4094000000000001E-4</v>
      </c>
      <c r="BI494">
        <v>6.4700000000000001E-5</v>
      </c>
      <c r="BJ494">
        <v>3.7879400000000001E-4</v>
      </c>
      <c r="BK494">
        <v>3.1898700000000001E-4</v>
      </c>
      <c r="BL494">
        <v>5.9350799999999997E-4</v>
      </c>
      <c r="BM494">
        <v>6.4668600000000005E-4</v>
      </c>
      <c r="BN494">
        <v>4.38546E-4</v>
      </c>
      <c r="BO494">
        <v>7.8877600000000004E-4</v>
      </c>
      <c r="BP494">
        <v>2.0713900000000001E-4</v>
      </c>
      <c r="BQ494">
        <v>7.5599999999999994E-5</v>
      </c>
      <c r="BR494">
        <v>1.23831E-4</v>
      </c>
      <c r="BS494">
        <v>3.75368E-4</v>
      </c>
      <c r="BT494">
        <v>3.4756700000000001E-4</v>
      </c>
      <c r="BU494">
        <v>7.7451500000000003E-4</v>
      </c>
      <c r="BV494">
        <v>6.0321500000000004E-4</v>
      </c>
      <c r="BW494">
        <v>7.4828999999999998E-4</v>
      </c>
      <c r="BX494">
        <v>1.22982E-4</v>
      </c>
      <c r="BY494">
        <v>6.3999999999999997E-5</v>
      </c>
      <c r="BZ494">
        <v>3.5359900000000001E-4</v>
      </c>
      <c r="CA494">
        <v>2.04673E-4</v>
      </c>
      <c r="CB494">
        <v>7.6500000000000003E-5</v>
      </c>
      <c r="CC494">
        <v>2.6800000000000001E-5</v>
      </c>
      <c r="CD494">
        <v>1.9899999999999999E-5</v>
      </c>
      <c r="CE494">
        <v>9.1000000000000003E-5</v>
      </c>
      <c r="CF494">
        <v>4.2519200000000002E-4</v>
      </c>
      <c r="CG494">
        <v>5.3483399999999998E-4</v>
      </c>
      <c r="CH494">
        <v>5.5205599999999999E-4</v>
      </c>
      <c r="CI494">
        <v>1.1171899999999999E-3</v>
      </c>
      <c r="CJ494">
        <v>1.6010499999999999E-3</v>
      </c>
      <c r="CK494">
        <v>1.53375E-3</v>
      </c>
      <c r="CL494">
        <v>1.15113E-3</v>
      </c>
    </row>
    <row r="495" spans="2:90" x14ac:dyDescent="0.2">
      <c r="B495">
        <v>94.5</v>
      </c>
      <c r="C495">
        <v>3.93E-5</v>
      </c>
      <c r="D495">
        <v>3.7299999999999999E-5</v>
      </c>
      <c r="E495">
        <v>4.5500000000000001E-5</v>
      </c>
      <c r="F495">
        <v>1.7172299999999999E-3</v>
      </c>
      <c r="G495">
        <v>4.1263600000000002E-4</v>
      </c>
      <c r="H495">
        <v>8.9930000000000001E-4</v>
      </c>
      <c r="I495">
        <v>1.4327700000000001E-3</v>
      </c>
      <c r="J495">
        <v>1.22646E-3</v>
      </c>
      <c r="K495">
        <v>5.3496699999999999E-3</v>
      </c>
      <c r="L495">
        <v>3.1193499999999999E-3</v>
      </c>
      <c r="M495">
        <v>4.2326600000000001E-3</v>
      </c>
      <c r="N495">
        <v>7.0268099999999997E-3</v>
      </c>
      <c r="O495">
        <v>3.7980900000000001E-3</v>
      </c>
      <c r="P495">
        <v>3.81708E-3</v>
      </c>
      <c r="Q495">
        <v>2.7735699999999999E-3</v>
      </c>
      <c r="R495">
        <v>1.64175E-3</v>
      </c>
      <c r="S495">
        <v>1.25723E-3</v>
      </c>
      <c r="T495">
        <v>2.3489000000000001E-3</v>
      </c>
      <c r="U495">
        <v>1.5877300000000001E-3</v>
      </c>
      <c r="V495">
        <v>1.77791E-3</v>
      </c>
      <c r="W495">
        <v>1.37404E-3</v>
      </c>
      <c r="X495">
        <v>1.32668E-3</v>
      </c>
      <c r="Y495">
        <v>1.3829000000000001E-3</v>
      </c>
      <c r="Z495">
        <v>8.0457399999999996E-4</v>
      </c>
      <c r="AA495">
        <v>1.1449699999999999E-3</v>
      </c>
      <c r="AB495">
        <v>1.5395599999999999E-3</v>
      </c>
      <c r="AC495">
        <v>1.8075999999999999E-3</v>
      </c>
      <c r="AD495">
        <v>2.5710099999999999E-3</v>
      </c>
      <c r="AE495">
        <v>3.2332300000000001E-3</v>
      </c>
      <c r="AF495">
        <v>2.3596200000000002E-3</v>
      </c>
      <c r="AG495">
        <v>1.04703E-3</v>
      </c>
      <c r="AH495">
        <v>3.8726400000000001E-4</v>
      </c>
      <c r="AI495">
        <v>4.3414000000000001E-4</v>
      </c>
      <c r="AJ495">
        <v>2.4011700000000001E-4</v>
      </c>
      <c r="AK495">
        <v>2.1794300000000001E-4</v>
      </c>
      <c r="AL495">
        <v>2.7990699999999997E-4</v>
      </c>
      <c r="AM495">
        <v>3.44185E-4</v>
      </c>
      <c r="AN495">
        <v>5.0227799999999999E-4</v>
      </c>
      <c r="AO495">
        <v>4.81738E-4</v>
      </c>
      <c r="AP495">
        <v>6.3572200000000002E-4</v>
      </c>
      <c r="AQ495">
        <v>9.4562699999999999E-4</v>
      </c>
      <c r="AR495">
        <v>1.83943E-3</v>
      </c>
      <c r="AS495">
        <v>4.0130499999999998E-3</v>
      </c>
      <c r="AT495">
        <v>3.9725000000000003E-3</v>
      </c>
      <c r="AU495">
        <v>3.9280000000000001E-3</v>
      </c>
      <c r="AV495">
        <v>3.1747500000000001E-3</v>
      </c>
      <c r="AW495">
        <v>0</v>
      </c>
      <c r="AX495">
        <v>0</v>
      </c>
      <c r="AY495">
        <v>0</v>
      </c>
      <c r="AZ495">
        <v>6.86E-5</v>
      </c>
      <c r="BA495">
        <v>2.5948399999999998E-4</v>
      </c>
      <c r="BB495">
        <v>1.42237E-4</v>
      </c>
      <c r="BC495">
        <v>6.4860799999999995E-4</v>
      </c>
      <c r="BD495">
        <v>3.1660400000000002E-3</v>
      </c>
      <c r="BE495">
        <v>2.0138199999999999E-3</v>
      </c>
      <c r="BF495">
        <v>8.3704199999999997E-4</v>
      </c>
      <c r="BG495">
        <v>7.1675199999999997E-4</v>
      </c>
      <c r="BH495">
        <v>6.7261700000000003E-4</v>
      </c>
      <c r="BI495">
        <v>2.4366899999999999E-4</v>
      </c>
      <c r="BJ495">
        <v>1.05251E-3</v>
      </c>
      <c r="BK495">
        <v>5.1246400000000002E-4</v>
      </c>
      <c r="BL495">
        <v>3.5900199999999998E-4</v>
      </c>
      <c r="BM495">
        <v>2.7123400000000003E-4</v>
      </c>
      <c r="BN495">
        <v>1.7935600000000001E-4</v>
      </c>
      <c r="BO495">
        <v>1.88698E-4</v>
      </c>
      <c r="BP495">
        <v>2.8497E-4</v>
      </c>
      <c r="BQ495">
        <v>2.8146099999999999E-4</v>
      </c>
      <c r="BR495">
        <v>0</v>
      </c>
      <c r="BS495">
        <v>3.1720099999999997E-4</v>
      </c>
      <c r="BT495">
        <v>7.8954800000000005E-4</v>
      </c>
      <c r="BU495">
        <v>5.0259199999999995E-4</v>
      </c>
      <c r="BV495">
        <v>3.0049999999999999E-4</v>
      </c>
      <c r="BW495">
        <v>6.6916999999999996E-4</v>
      </c>
      <c r="BX495">
        <v>1.9578999999999999E-4</v>
      </c>
      <c r="BY495">
        <v>0</v>
      </c>
      <c r="BZ495">
        <v>9.1899999999999998E-5</v>
      </c>
      <c r="CA495">
        <v>1.15962E-4</v>
      </c>
      <c r="CB495">
        <v>8.4699999999999999E-5</v>
      </c>
      <c r="CC495">
        <v>0</v>
      </c>
      <c r="CD495">
        <v>9.2999999999999997E-5</v>
      </c>
      <c r="CE495">
        <v>1.6966099999999999E-4</v>
      </c>
      <c r="CF495">
        <v>4.5024399999999998E-4</v>
      </c>
      <c r="CG495">
        <v>4.4785099999999998E-4</v>
      </c>
      <c r="CH495">
        <v>4.0066599999999999E-4</v>
      </c>
      <c r="CI495">
        <v>8.4154E-4</v>
      </c>
      <c r="CJ495">
        <v>1.2519600000000001E-3</v>
      </c>
      <c r="CK495">
        <v>1.0960500000000001E-3</v>
      </c>
      <c r="CL495">
        <v>5.6345699999999996E-4</v>
      </c>
    </row>
    <row r="496" spans="2:90" x14ac:dyDescent="0.2">
      <c r="B496">
        <v>95.5</v>
      </c>
      <c r="C496">
        <v>1.9899999999999999E-5</v>
      </c>
      <c r="D496">
        <v>1.7911000000000001E-4</v>
      </c>
      <c r="E496">
        <v>3.5299999999999997E-5</v>
      </c>
      <c r="F496">
        <v>5.6069599999999996E-4</v>
      </c>
      <c r="G496">
        <v>8.5995600000000005E-4</v>
      </c>
      <c r="H496">
        <v>3.1192900000000001E-4</v>
      </c>
      <c r="I496">
        <v>5.0645499999999995E-4</v>
      </c>
      <c r="J496">
        <v>1.1202E-3</v>
      </c>
      <c r="K496">
        <v>1.95306E-3</v>
      </c>
      <c r="L496">
        <v>2.2359200000000002E-3</v>
      </c>
      <c r="M496">
        <v>2.6863999999999998E-3</v>
      </c>
      <c r="N496">
        <v>6.0701699999999997E-3</v>
      </c>
      <c r="O496">
        <v>3.5974100000000001E-3</v>
      </c>
      <c r="P496">
        <v>3.3439799999999999E-3</v>
      </c>
      <c r="Q496">
        <v>3.1530500000000001E-3</v>
      </c>
      <c r="R496">
        <v>1.3363800000000001E-3</v>
      </c>
      <c r="S496">
        <v>1.10246E-3</v>
      </c>
      <c r="T496">
        <v>1.9124299999999999E-3</v>
      </c>
      <c r="U496">
        <v>1.4028199999999999E-3</v>
      </c>
      <c r="V496">
        <v>1.6236499999999999E-3</v>
      </c>
      <c r="W496">
        <v>1.2343600000000001E-3</v>
      </c>
      <c r="X496">
        <v>1.1266399999999999E-3</v>
      </c>
      <c r="Y496">
        <v>1.00489E-3</v>
      </c>
      <c r="Z496">
        <v>5.6037299999999997E-4</v>
      </c>
      <c r="AA496">
        <v>6.6542399999999996E-4</v>
      </c>
      <c r="AB496">
        <v>1.3719800000000001E-3</v>
      </c>
      <c r="AC496">
        <v>1.48325E-3</v>
      </c>
      <c r="AD496">
        <v>2.2763499999999999E-3</v>
      </c>
      <c r="AE496">
        <v>2.6492099999999999E-3</v>
      </c>
      <c r="AF496">
        <v>1.7925599999999999E-3</v>
      </c>
      <c r="AG496">
        <v>9.0132400000000001E-4</v>
      </c>
      <c r="AH496">
        <v>4.7539199999999999E-4</v>
      </c>
      <c r="AI496">
        <v>2.73615E-4</v>
      </c>
      <c r="AJ496">
        <v>1.4726E-4</v>
      </c>
      <c r="AK496">
        <v>1.60414E-4</v>
      </c>
      <c r="AL496">
        <v>2.9519700000000003E-4</v>
      </c>
      <c r="AM496">
        <v>2.8890300000000002E-4</v>
      </c>
      <c r="AN496">
        <v>2.7052499999999998E-4</v>
      </c>
      <c r="AO496">
        <v>4.8751900000000001E-4</v>
      </c>
      <c r="AP496">
        <v>1.2142800000000001E-3</v>
      </c>
      <c r="AQ496">
        <v>1.2206299999999999E-3</v>
      </c>
      <c r="AR496">
        <v>2.2526299999999998E-3</v>
      </c>
      <c r="AS496">
        <v>3.0637699999999999E-3</v>
      </c>
      <c r="AT496">
        <v>7.8135700000000006E-3</v>
      </c>
      <c r="AU496">
        <v>3.5446800000000001E-3</v>
      </c>
      <c r="AV496">
        <v>2.2647800000000001E-3</v>
      </c>
      <c r="AW496">
        <v>9.87E-5</v>
      </c>
      <c r="AX496">
        <v>2.1261699999999999E-4</v>
      </c>
      <c r="AY496">
        <v>3.01045E-4</v>
      </c>
      <c r="AZ496">
        <v>1.9524899999999999E-4</v>
      </c>
      <c r="BA496">
        <v>3.7804199999999998E-4</v>
      </c>
      <c r="BB496">
        <v>4.5477899999999999E-4</v>
      </c>
      <c r="BC496">
        <v>5.1484800000000004E-4</v>
      </c>
      <c r="BD496">
        <v>1.6512899999999999E-3</v>
      </c>
      <c r="BE496">
        <v>1.7337800000000001E-3</v>
      </c>
      <c r="BF496">
        <v>1.0423100000000001E-3</v>
      </c>
      <c r="BG496">
        <v>8.2314499999999995E-4</v>
      </c>
      <c r="BH496">
        <v>4.7567799999999999E-4</v>
      </c>
      <c r="BI496">
        <v>4.49405E-4</v>
      </c>
      <c r="BJ496">
        <v>1.15476E-4</v>
      </c>
      <c r="BK496">
        <v>5.1898700000000005E-4</v>
      </c>
      <c r="BL496">
        <v>2.5531499999999999E-4</v>
      </c>
      <c r="BM496">
        <v>1.31927E-4</v>
      </c>
      <c r="BN496">
        <v>4.3933500000000001E-4</v>
      </c>
      <c r="BO496">
        <v>6.2001299999999999E-4</v>
      </c>
      <c r="BP496">
        <v>2.8399999999999999E-5</v>
      </c>
      <c r="BQ496">
        <v>1.3077600000000001E-4</v>
      </c>
      <c r="BR496">
        <v>8.1500000000000002E-5</v>
      </c>
      <c r="BS496">
        <v>4.0896900000000002E-4</v>
      </c>
      <c r="BT496">
        <v>4.4487299999999998E-4</v>
      </c>
      <c r="BU496">
        <v>9.29232E-4</v>
      </c>
      <c r="BV496">
        <v>4.2285800000000002E-4</v>
      </c>
      <c r="BW496">
        <v>2.3915699999999999E-4</v>
      </c>
      <c r="BX496">
        <v>2.7629100000000001E-4</v>
      </c>
      <c r="BY496">
        <v>2.39573E-4</v>
      </c>
      <c r="BZ496">
        <v>3.3699999999999999E-5</v>
      </c>
      <c r="CA496">
        <v>4.2299999999999998E-5</v>
      </c>
      <c r="CB496">
        <v>1.9899999999999999E-5</v>
      </c>
      <c r="CC496">
        <v>1.5989500000000001E-4</v>
      </c>
      <c r="CD496">
        <v>3.8000000000000002E-5</v>
      </c>
      <c r="CE496">
        <v>1.1320900000000001E-4</v>
      </c>
      <c r="CF496">
        <v>3.6699999999999998E-5</v>
      </c>
      <c r="CG496">
        <v>3.3396000000000001E-4</v>
      </c>
      <c r="CH496">
        <v>2.03115E-4</v>
      </c>
      <c r="CI496">
        <v>9.829280000000001E-4</v>
      </c>
      <c r="CJ496">
        <v>1.17332E-3</v>
      </c>
      <c r="CK496">
        <v>5.1995299999999997E-4</v>
      </c>
      <c r="CL496">
        <v>2.0292500000000001E-4</v>
      </c>
    </row>
    <row r="497" spans="2:90" x14ac:dyDescent="0.2">
      <c r="B497">
        <v>96.5</v>
      </c>
      <c r="C497">
        <v>7.9400000000000002E-6</v>
      </c>
      <c r="D497">
        <v>5.6150499999999999E-3</v>
      </c>
      <c r="E497">
        <v>1.3768400000000001E-4</v>
      </c>
      <c r="F497">
        <v>6.2985000000000005E-4</v>
      </c>
      <c r="G497">
        <v>1.8937000000000001E-4</v>
      </c>
      <c r="H497">
        <v>3.4630700000000002E-4</v>
      </c>
      <c r="I497">
        <v>1.3271100000000001E-3</v>
      </c>
      <c r="J497">
        <v>7.3774300000000001E-4</v>
      </c>
      <c r="K497">
        <v>1.60327E-3</v>
      </c>
      <c r="L497">
        <v>1.3577299999999999E-3</v>
      </c>
      <c r="M497">
        <v>3.3659800000000002E-3</v>
      </c>
      <c r="N497">
        <v>5.2576000000000003E-3</v>
      </c>
      <c r="O497">
        <v>3.5815700000000001E-3</v>
      </c>
      <c r="P497">
        <v>2.9493399999999999E-3</v>
      </c>
      <c r="Q497">
        <v>1.26819E-3</v>
      </c>
      <c r="R497">
        <v>1.2037300000000001E-3</v>
      </c>
      <c r="S497">
        <v>8.5455800000000005E-4</v>
      </c>
      <c r="T497">
        <v>1.6961000000000001E-3</v>
      </c>
      <c r="U497">
        <v>1.1383599999999999E-3</v>
      </c>
      <c r="V497">
        <v>1.3071000000000001E-3</v>
      </c>
      <c r="W497">
        <v>9.4658700000000004E-4</v>
      </c>
      <c r="X497">
        <v>8.2342699999999995E-4</v>
      </c>
      <c r="Y497">
        <v>9.2689599999999997E-4</v>
      </c>
      <c r="Z497">
        <v>5.3899199999999997E-4</v>
      </c>
      <c r="AA497">
        <v>5.8908500000000004E-4</v>
      </c>
      <c r="AB497">
        <v>1.09286E-3</v>
      </c>
      <c r="AC497">
        <v>1.21189E-3</v>
      </c>
      <c r="AD497">
        <v>1.8566500000000001E-3</v>
      </c>
      <c r="AE497">
        <v>2.15409E-3</v>
      </c>
      <c r="AF497">
        <v>1.7061000000000001E-3</v>
      </c>
      <c r="AG497">
        <v>9.6998199999999998E-4</v>
      </c>
      <c r="AH497">
        <v>3.8816399999999998E-4</v>
      </c>
      <c r="AI497">
        <v>2.4792400000000001E-4</v>
      </c>
      <c r="AJ497">
        <v>3.3632900000000001E-4</v>
      </c>
      <c r="AK497">
        <v>1.23633E-4</v>
      </c>
      <c r="AL497">
        <v>2.08097E-4</v>
      </c>
      <c r="AM497">
        <v>2.1416E-4</v>
      </c>
      <c r="AN497">
        <v>3.8089999999999999E-4</v>
      </c>
      <c r="AO497">
        <v>3.61758E-4</v>
      </c>
      <c r="AP497">
        <v>5.1302699999999999E-4</v>
      </c>
      <c r="AQ497">
        <v>1.0544199999999999E-3</v>
      </c>
      <c r="AR497">
        <v>1.2348000000000001E-3</v>
      </c>
      <c r="AS497">
        <v>2.0906399999999999E-3</v>
      </c>
      <c r="AT497">
        <v>2.4141599999999998E-3</v>
      </c>
      <c r="AU497">
        <v>3.9861899999999997E-3</v>
      </c>
      <c r="AV497">
        <v>3.2875299999999999E-3</v>
      </c>
      <c r="AW497">
        <v>1.9976E-4</v>
      </c>
      <c r="AX497">
        <v>0</v>
      </c>
      <c r="AY497">
        <v>2.2119899999999999E-4</v>
      </c>
      <c r="AZ497">
        <v>4.0839499999999998E-4</v>
      </c>
      <c r="BA497">
        <v>1.6129800000000001E-4</v>
      </c>
      <c r="BB497">
        <v>5.5671599999999996E-4</v>
      </c>
      <c r="BC497">
        <v>1.01098E-4</v>
      </c>
      <c r="BD497">
        <v>1.0299899999999999E-3</v>
      </c>
      <c r="BE497">
        <v>4.4625399999999999E-4</v>
      </c>
      <c r="BF497">
        <v>4.30961E-4</v>
      </c>
      <c r="BG497">
        <v>2.9042800000000002E-4</v>
      </c>
      <c r="BH497">
        <v>4.4990600000000003E-4</v>
      </c>
      <c r="BI497">
        <v>2.7586599999999999E-4</v>
      </c>
      <c r="BJ497">
        <v>3.4620099999999997E-4</v>
      </c>
      <c r="BK497">
        <v>3.0135600000000002E-4</v>
      </c>
      <c r="BL497">
        <v>3.9011500000000001E-4</v>
      </c>
      <c r="BM497">
        <v>2.16095E-4</v>
      </c>
      <c r="BN497">
        <v>5.1056400000000003E-4</v>
      </c>
      <c r="BO497">
        <v>3.8579199999999998E-4</v>
      </c>
      <c r="BP497">
        <v>1.14843E-4</v>
      </c>
      <c r="BQ497">
        <v>2.6445199999999998E-4</v>
      </c>
      <c r="BR497">
        <v>5.6400000000000002E-5</v>
      </c>
      <c r="BS497">
        <v>3.7239400000000001E-4</v>
      </c>
      <c r="BT497">
        <v>2.47266E-4</v>
      </c>
      <c r="BU497">
        <v>7.0624000000000001E-4</v>
      </c>
      <c r="BV497">
        <v>1.7499599999999999E-4</v>
      </c>
      <c r="BW497">
        <v>6.39721E-4</v>
      </c>
      <c r="BX497">
        <v>1.3950799999999999E-4</v>
      </c>
      <c r="BY497">
        <v>1.2892000000000001E-4</v>
      </c>
      <c r="BZ497">
        <v>0</v>
      </c>
      <c r="CA497">
        <v>0</v>
      </c>
      <c r="CB497">
        <v>7.5400000000000003E-5</v>
      </c>
      <c r="CC497">
        <v>4.85E-5</v>
      </c>
      <c r="CD497">
        <v>6.3200000000000005E-5</v>
      </c>
      <c r="CE497">
        <v>1.29047E-4</v>
      </c>
      <c r="CF497">
        <v>2.8183199999999998E-4</v>
      </c>
      <c r="CG497">
        <v>3.8207900000000001E-4</v>
      </c>
      <c r="CH497">
        <v>2.2512899999999999E-4</v>
      </c>
      <c r="CI497">
        <v>9.2657099999999995E-4</v>
      </c>
      <c r="CJ497">
        <v>8.2997099999999999E-4</v>
      </c>
      <c r="CK497">
        <v>7.2574499999999997E-4</v>
      </c>
      <c r="CL497">
        <v>2.7556400000000001E-4</v>
      </c>
    </row>
    <row r="498" spans="2:90" x14ac:dyDescent="0.2">
      <c r="B498">
        <v>97.5</v>
      </c>
      <c r="C498">
        <v>5.4500000000000003E-5</v>
      </c>
      <c r="D498">
        <v>1.6500000000000001E-5</v>
      </c>
      <c r="E498">
        <v>1.01E-5</v>
      </c>
      <c r="F498">
        <v>4.48052E-4</v>
      </c>
      <c r="G498">
        <v>3.1223900000000002E-4</v>
      </c>
      <c r="H498">
        <v>4.2298299999999999E-4</v>
      </c>
      <c r="I498">
        <v>9.1661300000000004E-4</v>
      </c>
      <c r="J498">
        <v>7.0120399999999998E-4</v>
      </c>
      <c r="K498">
        <v>1.35388E-3</v>
      </c>
      <c r="L498">
        <v>1.6001500000000001E-3</v>
      </c>
      <c r="M498">
        <v>2.7607299999999999E-3</v>
      </c>
      <c r="N498">
        <v>3.4086699999999999E-3</v>
      </c>
      <c r="O498">
        <v>3.6418100000000001E-3</v>
      </c>
      <c r="P498">
        <v>2.2017199999999999E-3</v>
      </c>
      <c r="Q498">
        <v>1.0168099999999999E-3</v>
      </c>
      <c r="R498">
        <v>1.0591800000000001E-3</v>
      </c>
      <c r="S498">
        <v>8.3532099999999998E-4</v>
      </c>
      <c r="T498">
        <v>1.59553E-3</v>
      </c>
      <c r="U498">
        <v>9.1136099999999996E-4</v>
      </c>
      <c r="V498">
        <v>1.52593E-3</v>
      </c>
      <c r="W498">
        <v>9.3964700000000005E-4</v>
      </c>
      <c r="X498">
        <v>8.6354300000000004E-4</v>
      </c>
      <c r="Y498">
        <v>7.0507899999999995E-4</v>
      </c>
      <c r="Z498">
        <v>5.3392900000000004E-4</v>
      </c>
      <c r="AA498">
        <v>3.78969E-4</v>
      </c>
      <c r="AB498">
        <v>7.4713799999999995E-4</v>
      </c>
      <c r="AC498">
        <v>1.18655E-3</v>
      </c>
      <c r="AD498">
        <v>1.9476999999999999E-3</v>
      </c>
      <c r="AE498">
        <v>2.3550099999999998E-3</v>
      </c>
      <c r="AF498">
        <v>1.8251400000000001E-3</v>
      </c>
      <c r="AG498">
        <v>7.3018300000000003E-4</v>
      </c>
      <c r="AH498">
        <v>2.7273899999999998E-4</v>
      </c>
      <c r="AI498">
        <v>3.34724E-4</v>
      </c>
      <c r="AJ498">
        <v>1.2221700000000001E-4</v>
      </c>
      <c r="AK498">
        <v>1.2515700000000001E-4</v>
      </c>
      <c r="AL498">
        <v>1.7991599999999999E-4</v>
      </c>
      <c r="AM498">
        <v>1.9813E-4</v>
      </c>
      <c r="AN498">
        <v>2.8668299999999998E-4</v>
      </c>
      <c r="AO498">
        <v>2.0939299999999999E-4</v>
      </c>
      <c r="AP498">
        <v>5.4393699999999998E-4</v>
      </c>
      <c r="AQ498">
        <v>7.5511999999999997E-4</v>
      </c>
      <c r="AR498">
        <v>1.53808E-3</v>
      </c>
      <c r="AS498">
        <v>2.99987E-3</v>
      </c>
      <c r="AT498">
        <v>2.6836999999999998E-3</v>
      </c>
      <c r="AU498">
        <v>3.24859E-3</v>
      </c>
      <c r="AV498">
        <v>2.2376599999999998E-3</v>
      </c>
      <c r="AW498">
        <v>6.0600000000000003E-5</v>
      </c>
      <c r="AX498">
        <v>8.7600000000000002E-5</v>
      </c>
      <c r="AY498">
        <v>1.8130899999999999E-4</v>
      </c>
      <c r="AZ498">
        <v>1.19537E-4</v>
      </c>
      <c r="BA498">
        <v>4.72256E-4</v>
      </c>
      <c r="BB498">
        <v>2.98673E-4</v>
      </c>
      <c r="BC498">
        <v>4.2535700000000001E-4</v>
      </c>
      <c r="BD498">
        <v>2.0261300000000001E-3</v>
      </c>
      <c r="BE498">
        <v>2.6022699999999997E-4</v>
      </c>
      <c r="BF498">
        <v>2.8456E-4</v>
      </c>
      <c r="BG498">
        <v>9.2492200000000001E-4</v>
      </c>
      <c r="BH498">
        <v>3.48248E-4</v>
      </c>
      <c r="BI498">
        <v>1.0827699999999999E-4</v>
      </c>
      <c r="BJ498">
        <v>1.9530900000000001E-4</v>
      </c>
      <c r="BK498">
        <v>2.5705900000000002E-4</v>
      </c>
      <c r="BL498">
        <v>0</v>
      </c>
      <c r="BM498">
        <v>2.1109899999999999E-4</v>
      </c>
      <c r="BN498">
        <v>5.2347600000000004E-4</v>
      </c>
      <c r="BO498">
        <v>2.5351600000000002E-4</v>
      </c>
      <c r="BP498">
        <v>2.4600000000000002E-5</v>
      </c>
      <c r="BQ498">
        <v>4.8023100000000002E-4</v>
      </c>
      <c r="BR498">
        <v>2.7900000000000001E-5</v>
      </c>
      <c r="BS498">
        <v>2.35481E-4</v>
      </c>
      <c r="BT498">
        <v>3.1335299999999999E-4</v>
      </c>
      <c r="BU498">
        <v>1.1465500000000001E-4</v>
      </c>
      <c r="BV498">
        <v>2.1190099999999999E-4</v>
      </c>
      <c r="BW498">
        <v>6.4803699999999996E-4</v>
      </c>
      <c r="BX498">
        <v>1.8243299999999999E-4</v>
      </c>
      <c r="BY498">
        <v>5.2899999999999998E-5</v>
      </c>
      <c r="BZ498">
        <v>5.8199999999999998E-5</v>
      </c>
      <c r="CA498">
        <v>1.09619E-4</v>
      </c>
      <c r="CB498">
        <v>2.4600000000000002E-5</v>
      </c>
      <c r="CC498">
        <v>1.1845000000000001E-4</v>
      </c>
      <c r="CD498">
        <v>5.2099999999999999E-5</v>
      </c>
      <c r="CE498">
        <v>1.20244E-4</v>
      </c>
      <c r="CF498">
        <v>4.18E-5</v>
      </c>
      <c r="CG498">
        <v>5.6189800000000002E-4</v>
      </c>
      <c r="CH498">
        <v>2.6229699999999999E-4</v>
      </c>
      <c r="CI498">
        <v>2.8835999999999998E-4</v>
      </c>
      <c r="CJ498">
        <v>5.9051399999999999E-4</v>
      </c>
      <c r="CK498">
        <v>6.9699300000000003E-4</v>
      </c>
      <c r="CL498">
        <v>2.2627699999999999E-4</v>
      </c>
    </row>
    <row r="499" spans="2:90" x14ac:dyDescent="0.2">
      <c r="B499">
        <v>98.5</v>
      </c>
      <c r="C499">
        <v>1.6200000000000001E-5</v>
      </c>
      <c r="D499">
        <v>1.2300000000000001E-6</v>
      </c>
      <c r="E499">
        <v>1.7799999999999999E-5</v>
      </c>
      <c r="F499">
        <v>6.3186399999999999E-4</v>
      </c>
      <c r="G499">
        <v>1.9124800000000001E-4</v>
      </c>
      <c r="H499">
        <v>1.8021700000000001E-4</v>
      </c>
      <c r="I499">
        <v>3.6602599999999998E-4</v>
      </c>
      <c r="J499">
        <v>4.3025700000000002E-4</v>
      </c>
      <c r="K499">
        <v>1.0411800000000001E-3</v>
      </c>
      <c r="L499">
        <v>8.36011E-4</v>
      </c>
      <c r="M499">
        <v>2.35768E-3</v>
      </c>
      <c r="N499">
        <v>3.0551100000000002E-3</v>
      </c>
      <c r="O499">
        <v>2.6715599999999999E-3</v>
      </c>
      <c r="P499">
        <v>2.50066E-3</v>
      </c>
      <c r="Q499">
        <v>9.3114900000000004E-4</v>
      </c>
      <c r="R499">
        <v>8.3589799999999996E-4</v>
      </c>
      <c r="S499">
        <v>7.6169599999999997E-4</v>
      </c>
      <c r="T499">
        <v>1.61305E-3</v>
      </c>
      <c r="U499">
        <v>7.4374200000000004E-4</v>
      </c>
      <c r="V499">
        <v>9.1246899999999995E-4</v>
      </c>
      <c r="W499">
        <v>8.2263400000000004E-4</v>
      </c>
      <c r="X499">
        <v>5.9855100000000001E-4</v>
      </c>
      <c r="Y499">
        <v>5.0076199999999997E-4</v>
      </c>
      <c r="Z499">
        <v>3.2275700000000001E-4</v>
      </c>
      <c r="AA499">
        <v>4.62499E-4</v>
      </c>
      <c r="AB499">
        <v>8.2064499999999995E-4</v>
      </c>
      <c r="AC499">
        <v>7.9354700000000002E-4</v>
      </c>
      <c r="AD499">
        <v>1.4383E-3</v>
      </c>
      <c r="AE499">
        <v>1.7748900000000001E-3</v>
      </c>
      <c r="AF499">
        <v>2.2300499999999999E-3</v>
      </c>
      <c r="AG499">
        <v>7.0817299999999998E-4</v>
      </c>
      <c r="AH499">
        <v>3.1709300000000001E-4</v>
      </c>
      <c r="AI499">
        <v>1.49658E-4</v>
      </c>
      <c r="AJ499">
        <v>1.2816800000000001E-4</v>
      </c>
      <c r="AK499">
        <v>7.4999999999999993E-5</v>
      </c>
      <c r="AL499">
        <v>1.8153000000000001E-4</v>
      </c>
      <c r="AM499">
        <v>1.5043399999999999E-4</v>
      </c>
      <c r="AN499">
        <v>1.18397E-4</v>
      </c>
      <c r="AO499">
        <v>3.2080599999999998E-4</v>
      </c>
      <c r="AP499">
        <v>2.3055300000000001E-4</v>
      </c>
      <c r="AQ499">
        <v>5.6852599999999997E-4</v>
      </c>
      <c r="AR499">
        <v>1.0225500000000001E-3</v>
      </c>
      <c r="AS499">
        <v>1.62755E-3</v>
      </c>
      <c r="AT499">
        <v>2.10224E-3</v>
      </c>
      <c r="AU499">
        <v>2.5057500000000002E-3</v>
      </c>
      <c r="AV499">
        <v>1.9884199999999999E-3</v>
      </c>
      <c r="AW499">
        <v>0</v>
      </c>
      <c r="AX499">
        <v>0</v>
      </c>
      <c r="AY499">
        <v>4.7700000000000001E-5</v>
      </c>
      <c r="AZ499">
        <v>2.0975099999999999E-4</v>
      </c>
      <c r="BA499">
        <v>1.0437099999999999E-4</v>
      </c>
      <c r="BB499">
        <v>1.1164599999999999E-4</v>
      </c>
      <c r="BC499">
        <v>7.7447400000000004E-4</v>
      </c>
      <c r="BD499">
        <v>1.1086E-3</v>
      </c>
      <c r="BE499">
        <v>2.2096600000000001E-4</v>
      </c>
      <c r="BF499">
        <v>3.7993800000000002E-4</v>
      </c>
      <c r="BG499">
        <v>1.65694E-4</v>
      </c>
      <c r="BH499">
        <v>3.3890100000000001E-4</v>
      </c>
      <c r="BI499">
        <v>5.1400000000000003E-5</v>
      </c>
      <c r="BJ499">
        <v>3.0298E-4</v>
      </c>
      <c r="BK499">
        <v>2.1101599999999999E-4</v>
      </c>
      <c r="BL499">
        <v>1.1399400000000001E-4</v>
      </c>
      <c r="BM499">
        <v>5.2200000000000002E-5</v>
      </c>
      <c r="BN499">
        <v>2.65686E-4</v>
      </c>
      <c r="BO499">
        <v>7.6899999999999999E-5</v>
      </c>
      <c r="BP499">
        <v>2.4131599999999999E-4</v>
      </c>
      <c r="BQ499">
        <v>8.1799999999999996E-5</v>
      </c>
      <c r="BR499">
        <v>0</v>
      </c>
      <c r="BS499">
        <v>1.5802200000000001E-4</v>
      </c>
      <c r="BT499">
        <v>3.8500000000000001E-5</v>
      </c>
      <c r="BU499">
        <v>5.9390599999999995E-4</v>
      </c>
      <c r="BV499">
        <v>1.9129999999999999E-4</v>
      </c>
      <c r="BW499">
        <v>1.8224499999999999E-4</v>
      </c>
      <c r="BX499">
        <v>3.2700000000000002E-5</v>
      </c>
      <c r="BY499">
        <v>1.8362700000000001E-4</v>
      </c>
      <c r="BZ499">
        <v>0</v>
      </c>
      <c r="CA499">
        <v>1.15659E-4</v>
      </c>
      <c r="CB499">
        <v>6.6400000000000001E-5</v>
      </c>
      <c r="CC499">
        <v>0</v>
      </c>
      <c r="CD499">
        <v>9.4199999999999999E-5</v>
      </c>
      <c r="CE499">
        <v>0</v>
      </c>
      <c r="CF499">
        <v>0</v>
      </c>
      <c r="CG499">
        <v>4.40047E-4</v>
      </c>
      <c r="CH499">
        <v>1.9331599999999999E-4</v>
      </c>
      <c r="CI499">
        <v>5.69829E-4</v>
      </c>
      <c r="CJ499">
        <v>5.1673300000000001E-4</v>
      </c>
      <c r="CK499">
        <v>4.0069599999999997E-4</v>
      </c>
      <c r="CL499">
        <v>7.6347100000000005E-4</v>
      </c>
    </row>
    <row r="500" spans="2:90" x14ac:dyDescent="0.2">
      <c r="B500">
        <v>99.5</v>
      </c>
      <c r="C500">
        <v>1.4399999999999999E-5</v>
      </c>
      <c r="D500">
        <v>1.2500000000000001E-5</v>
      </c>
      <c r="E500">
        <v>2.5400000000000001E-5</v>
      </c>
      <c r="F500">
        <v>4.21E-5</v>
      </c>
      <c r="G500">
        <v>7.4599999999999997E-5</v>
      </c>
      <c r="H500">
        <v>2.2629099999999999E-4</v>
      </c>
      <c r="I500">
        <v>5.4180199999999997E-4</v>
      </c>
      <c r="J500">
        <v>2.9593499999999999E-4</v>
      </c>
      <c r="K500">
        <v>9.940140000000001E-4</v>
      </c>
      <c r="L500">
        <v>1.0722399999999999E-3</v>
      </c>
      <c r="M500">
        <v>1.9602700000000001E-3</v>
      </c>
      <c r="N500">
        <v>1.5871100000000001E-3</v>
      </c>
      <c r="O500">
        <v>1.9342599999999999E-3</v>
      </c>
      <c r="P500">
        <v>2.0662699999999998E-3</v>
      </c>
      <c r="Q500">
        <v>2.5043399999999999E-3</v>
      </c>
      <c r="R500">
        <v>1.04141E-3</v>
      </c>
      <c r="S500">
        <v>6.5492800000000004E-4</v>
      </c>
      <c r="T500">
        <v>1.23796E-3</v>
      </c>
      <c r="U500">
        <v>7.7966600000000004E-4</v>
      </c>
      <c r="V500">
        <v>1.1998099999999999E-3</v>
      </c>
      <c r="W500">
        <v>8.9617600000000005E-4</v>
      </c>
      <c r="X500">
        <v>6.5443900000000004E-4</v>
      </c>
      <c r="Y500">
        <v>5.0421799999999996E-4</v>
      </c>
      <c r="Z500">
        <v>2.4927499999999997E-4</v>
      </c>
      <c r="AA500">
        <v>3.2077599999999999E-4</v>
      </c>
      <c r="AB500">
        <v>6.3550800000000001E-4</v>
      </c>
      <c r="AC500">
        <v>6.8443200000000001E-4</v>
      </c>
      <c r="AD500">
        <v>1.15825E-3</v>
      </c>
      <c r="AE500">
        <v>1.34559E-3</v>
      </c>
      <c r="AF500">
        <v>1.4830100000000001E-3</v>
      </c>
      <c r="AG500">
        <v>5.35517E-4</v>
      </c>
      <c r="AH500">
        <v>1.9426E-4</v>
      </c>
      <c r="AI500">
        <v>2.23883E-4</v>
      </c>
      <c r="AJ500">
        <v>1.03002E-4</v>
      </c>
      <c r="AK500">
        <v>1.3237500000000001E-4</v>
      </c>
      <c r="AL500">
        <v>1.2626099999999999E-4</v>
      </c>
      <c r="AM500">
        <v>1.7538499999999999E-4</v>
      </c>
      <c r="AN500">
        <v>1.2218900000000001E-4</v>
      </c>
      <c r="AO500">
        <v>9.6100000000000005E-5</v>
      </c>
      <c r="AP500">
        <v>2.3941199999999999E-4</v>
      </c>
      <c r="AQ500">
        <v>4.9408899999999996E-4</v>
      </c>
      <c r="AR500">
        <v>1.21587E-3</v>
      </c>
      <c r="AS500">
        <v>1.4300000000000001E-3</v>
      </c>
      <c r="AT500">
        <v>1.8587199999999999E-3</v>
      </c>
      <c r="AU500">
        <v>1.94572E-3</v>
      </c>
      <c r="AV500">
        <v>2.96496E-3</v>
      </c>
      <c r="AW500">
        <v>0</v>
      </c>
      <c r="AX500">
        <v>0</v>
      </c>
      <c r="AY500">
        <v>4.7599999999999998E-5</v>
      </c>
      <c r="AZ500">
        <v>1.04368E-4</v>
      </c>
      <c r="BA500">
        <v>2.6770500000000003E-4</v>
      </c>
      <c r="BB500">
        <v>5.3199999999999999E-5</v>
      </c>
      <c r="BC500">
        <v>3.1949499999999999E-4</v>
      </c>
      <c r="BD500">
        <v>9.6956600000000005E-4</v>
      </c>
      <c r="BE500">
        <v>8.0076699999999997E-4</v>
      </c>
      <c r="BF500">
        <v>0</v>
      </c>
      <c r="BG500">
        <v>4.19462E-4</v>
      </c>
      <c r="BH500">
        <v>1.21864E-4</v>
      </c>
      <c r="BI500">
        <v>1.5859399999999999E-4</v>
      </c>
      <c r="BJ500">
        <v>5.2435199999999996E-4</v>
      </c>
      <c r="BK500">
        <v>4.0896800000000001E-4</v>
      </c>
      <c r="BL500">
        <v>1.9389400000000001E-4</v>
      </c>
      <c r="BM500">
        <v>6.0800000000000001E-5</v>
      </c>
      <c r="BN500">
        <v>1.96498E-4</v>
      </c>
      <c r="BO500">
        <v>3.6900000000000002E-5</v>
      </c>
      <c r="BP500">
        <v>2.87E-5</v>
      </c>
      <c r="BQ500">
        <v>1.1345600000000001E-4</v>
      </c>
      <c r="BR500">
        <v>0</v>
      </c>
      <c r="BS500">
        <v>0</v>
      </c>
      <c r="BT500">
        <v>3.1441599999999998E-4</v>
      </c>
      <c r="BU500">
        <v>4.0268299999999998E-4</v>
      </c>
      <c r="BV500">
        <v>2.1695300000000001E-4</v>
      </c>
      <c r="BW500">
        <v>3.23896E-4</v>
      </c>
      <c r="BX500">
        <v>1.20196E-4</v>
      </c>
      <c r="BY500">
        <v>1.4143700000000001E-4</v>
      </c>
      <c r="BZ500">
        <v>1.13188E-4</v>
      </c>
      <c r="CA500">
        <v>8.2000000000000001E-5</v>
      </c>
      <c r="CB500">
        <v>3.6300000000000001E-5</v>
      </c>
      <c r="CC500">
        <v>8.53E-5</v>
      </c>
      <c r="CD500">
        <v>6.4499999999999996E-5</v>
      </c>
      <c r="CE500">
        <v>8.4300000000000003E-5</v>
      </c>
      <c r="CF500">
        <v>3.9100000000000002E-5</v>
      </c>
      <c r="CG500">
        <v>7.8300000000000006E-5</v>
      </c>
      <c r="CH500">
        <v>1.6907000000000001E-4</v>
      </c>
      <c r="CI500">
        <v>4.4994399999999997E-4</v>
      </c>
      <c r="CJ500">
        <v>4.5509100000000002E-4</v>
      </c>
      <c r="CK500">
        <v>6.7866499999999995E-4</v>
      </c>
      <c r="CL500">
        <v>5.2403300000000003E-4</v>
      </c>
    </row>
    <row r="501" spans="2:90" x14ac:dyDescent="0.2">
      <c r="B501">
        <v>100.5</v>
      </c>
      <c r="C501">
        <v>1.33E-5</v>
      </c>
      <c r="D501">
        <v>3.9299999999999996E-6</v>
      </c>
      <c r="E501">
        <v>0</v>
      </c>
      <c r="F501">
        <v>8.0117299999999997E-4</v>
      </c>
      <c r="G501">
        <v>1.03492E-4</v>
      </c>
      <c r="H501">
        <v>1.24678E-4</v>
      </c>
      <c r="I501">
        <v>2.33687E-4</v>
      </c>
      <c r="J501">
        <v>4.6773099999999998E-4</v>
      </c>
      <c r="K501">
        <v>5.5004999999999995E-4</v>
      </c>
      <c r="L501">
        <v>1.1291300000000001E-3</v>
      </c>
      <c r="M501">
        <v>1.81043E-3</v>
      </c>
      <c r="N501">
        <v>1.79871E-3</v>
      </c>
      <c r="O501">
        <v>1.75578E-3</v>
      </c>
      <c r="P501">
        <v>1.51885E-3</v>
      </c>
      <c r="Q501">
        <v>6.0091500000000004E-4</v>
      </c>
      <c r="R501">
        <v>7.1269599999999997E-4</v>
      </c>
      <c r="S501">
        <v>4.7436800000000002E-4</v>
      </c>
      <c r="T501">
        <v>8.94107E-4</v>
      </c>
      <c r="U501">
        <v>6.1156000000000003E-4</v>
      </c>
      <c r="V501">
        <v>9.3337400000000005E-4</v>
      </c>
      <c r="W501">
        <v>4.8536199999999998E-4</v>
      </c>
      <c r="X501">
        <v>4.0158400000000002E-4</v>
      </c>
      <c r="Y501">
        <v>5.8991100000000004E-4</v>
      </c>
      <c r="Z501">
        <v>3.8020300000000002E-4</v>
      </c>
      <c r="AA501">
        <v>3.0665199999999998E-4</v>
      </c>
      <c r="AB501">
        <v>6.40589E-4</v>
      </c>
      <c r="AC501">
        <v>4.6112900000000001E-4</v>
      </c>
      <c r="AD501">
        <v>8.4183900000000004E-4</v>
      </c>
      <c r="AE501">
        <v>1.1725100000000001E-3</v>
      </c>
      <c r="AF501">
        <v>9.7809299999999997E-4</v>
      </c>
      <c r="AG501">
        <v>6.3149899999999999E-4</v>
      </c>
      <c r="AH501">
        <v>2.24291E-4</v>
      </c>
      <c r="AI501">
        <v>9.1000000000000003E-5</v>
      </c>
      <c r="AJ501">
        <v>7.2899999999999997E-5</v>
      </c>
      <c r="AK501">
        <v>7.8800000000000004E-5</v>
      </c>
      <c r="AL501">
        <v>8.7399999999999997E-5</v>
      </c>
      <c r="AM501">
        <v>1.05E-4</v>
      </c>
      <c r="AN501">
        <v>3.1521799999999998E-4</v>
      </c>
      <c r="AO501">
        <v>8.9800000000000001E-5</v>
      </c>
      <c r="AP501">
        <v>2.9497099999999999E-4</v>
      </c>
      <c r="AQ501">
        <v>2.8516799999999998E-4</v>
      </c>
      <c r="AR501">
        <v>7.0943799999999995E-4</v>
      </c>
      <c r="AS501">
        <v>1.21871E-3</v>
      </c>
      <c r="AT501">
        <v>1.5048800000000001E-3</v>
      </c>
      <c r="AU501">
        <v>1.68183E-3</v>
      </c>
      <c r="AV501">
        <v>1.4203600000000001E-3</v>
      </c>
      <c r="AW501">
        <v>0</v>
      </c>
      <c r="AX501">
        <v>0</v>
      </c>
      <c r="AY501">
        <v>0</v>
      </c>
      <c r="AZ501">
        <v>0</v>
      </c>
      <c r="BA501">
        <v>1.76E-4</v>
      </c>
      <c r="BB501">
        <v>2.3219199999999999E-4</v>
      </c>
      <c r="BC501">
        <v>7.0599999999999995E-5</v>
      </c>
      <c r="BD501">
        <v>2.1744500000000001E-3</v>
      </c>
      <c r="BE501">
        <v>0</v>
      </c>
      <c r="BF501">
        <v>6.6600000000000006E-5</v>
      </c>
      <c r="BG501">
        <v>2.9331600000000001E-4</v>
      </c>
      <c r="BH501">
        <v>1.92404E-4</v>
      </c>
      <c r="BI501">
        <v>6.7426599999999997E-4</v>
      </c>
      <c r="BJ501">
        <v>8.6600000000000004E-5</v>
      </c>
      <c r="BK501">
        <v>1.38763E-4</v>
      </c>
      <c r="BL501">
        <v>0</v>
      </c>
      <c r="BM501">
        <v>8.5699999999999996E-5</v>
      </c>
      <c r="BN501">
        <v>1.09356E-4</v>
      </c>
      <c r="BO501">
        <v>2.1997E-4</v>
      </c>
      <c r="BP501">
        <v>6.5699999999999998E-5</v>
      </c>
      <c r="BQ501">
        <v>0</v>
      </c>
      <c r="BR501">
        <v>6.2799999999999995E-5</v>
      </c>
      <c r="BS501">
        <v>6.3499999999999999E-5</v>
      </c>
      <c r="BT501">
        <v>1.8126399999999999E-4</v>
      </c>
      <c r="BU501">
        <v>2.1099199999999999E-4</v>
      </c>
      <c r="BV501">
        <v>1.3675800000000001E-4</v>
      </c>
      <c r="BW501">
        <v>2.40559E-4</v>
      </c>
      <c r="BX501">
        <v>8.0199999999999998E-5</v>
      </c>
      <c r="BY501">
        <v>0</v>
      </c>
      <c r="BZ501">
        <v>7.5099999999999996E-5</v>
      </c>
      <c r="CA501">
        <v>3.1000000000000001E-5</v>
      </c>
      <c r="CB501">
        <v>3.9199999999999997E-5</v>
      </c>
      <c r="CC501">
        <v>0</v>
      </c>
      <c r="CD501">
        <v>0</v>
      </c>
      <c r="CE501">
        <v>1.6187600000000001E-4</v>
      </c>
      <c r="CF501">
        <v>3.7299999999999999E-5</v>
      </c>
      <c r="CG501">
        <v>0</v>
      </c>
      <c r="CH501">
        <v>7.2999999999999999E-5</v>
      </c>
      <c r="CI501">
        <v>7.7249700000000003E-4</v>
      </c>
      <c r="CJ501">
        <v>3.3176899999999999E-4</v>
      </c>
      <c r="CK501">
        <v>4.4530500000000001E-4</v>
      </c>
      <c r="CL501">
        <v>6.3737899999999998E-4</v>
      </c>
    </row>
    <row r="502" spans="2:90" x14ac:dyDescent="0.2">
      <c r="B502">
        <v>101.5</v>
      </c>
      <c r="C502">
        <v>1.49E-5</v>
      </c>
      <c r="D502">
        <v>0</v>
      </c>
      <c r="E502">
        <v>0</v>
      </c>
      <c r="F502">
        <v>3.2700000000000002E-5</v>
      </c>
      <c r="G502">
        <v>1.39214E-4</v>
      </c>
      <c r="H502">
        <v>7.5799999999999999E-5</v>
      </c>
      <c r="I502">
        <v>4.3330799999999998E-4</v>
      </c>
      <c r="J502">
        <v>3.8443199999999998E-4</v>
      </c>
      <c r="K502">
        <v>6.58279E-4</v>
      </c>
      <c r="L502">
        <v>6.8233699999999998E-4</v>
      </c>
      <c r="M502">
        <v>1.0466E-3</v>
      </c>
      <c r="N502">
        <v>2.2280400000000001E-3</v>
      </c>
      <c r="O502">
        <v>1.2618600000000001E-3</v>
      </c>
      <c r="P502">
        <v>1.1393200000000001E-3</v>
      </c>
      <c r="Q502">
        <v>1.8868699999999999E-3</v>
      </c>
      <c r="R502">
        <v>5.1139100000000004E-4</v>
      </c>
      <c r="S502">
        <v>4.8688699999999998E-4</v>
      </c>
      <c r="T502">
        <v>7.6006200000000004E-4</v>
      </c>
      <c r="U502">
        <v>5.6891500000000002E-4</v>
      </c>
      <c r="V502">
        <v>5.2327199999999997E-4</v>
      </c>
      <c r="W502">
        <v>4.3844700000000001E-4</v>
      </c>
      <c r="X502">
        <v>5.0625500000000005E-4</v>
      </c>
      <c r="Y502">
        <v>4.5489400000000001E-4</v>
      </c>
      <c r="Z502">
        <v>1.93387E-4</v>
      </c>
      <c r="AA502">
        <v>2.27533E-4</v>
      </c>
      <c r="AB502">
        <v>3.86747E-4</v>
      </c>
      <c r="AC502">
        <v>4.4652199999999998E-4</v>
      </c>
      <c r="AD502">
        <v>6.9373500000000001E-4</v>
      </c>
      <c r="AE502">
        <v>8.3946599999999998E-4</v>
      </c>
      <c r="AF502">
        <v>9.7528899999999995E-4</v>
      </c>
      <c r="AG502">
        <v>5.0150699999999999E-4</v>
      </c>
      <c r="AH502">
        <v>1.7684299999999999E-4</v>
      </c>
      <c r="AI502">
        <v>1.06778E-4</v>
      </c>
      <c r="AJ502">
        <v>5.5600000000000003E-5</v>
      </c>
      <c r="AK502">
        <v>4.6199999999999998E-5</v>
      </c>
      <c r="AL502">
        <v>5.9299999999999998E-5</v>
      </c>
      <c r="AM502">
        <v>6.1799999999999998E-5</v>
      </c>
      <c r="AN502">
        <v>1.3809400000000001E-4</v>
      </c>
      <c r="AO502">
        <v>1.5399399999999999E-4</v>
      </c>
      <c r="AP502">
        <v>7.5900000000000002E-5</v>
      </c>
      <c r="AQ502">
        <v>4.23056E-4</v>
      </c>
      <c r="AR502">
        <v>1.1242400000000001E-3</v>
      </c>
      <c r="AS502">
        <v>1.11911E-3</v>
      </c>
      <c r="AT502">
        <v>1.1962400000000001E-3</v>
      </c>
      <c r="AU502">
        <v>1.17179E-3</v>
      </c>
      <c r="AV502">
        <v>1.0311299999999999E-3</v>
      </c>
      <c r="AW502">
        <v>0</v>
      </c>
      <c r="AX502">
        <v>0</v>
      </c>
      <c r="AY502">
        <v>0</v>
      </c>
      <c r="AZ502">
        <v>1.93222E-4</v>
      </c>
      <c r="BA502">
        <v>0</v>
      </c>
      <c r="BB502">
        <v>2.6745799999999999E-4</v>
      </c>
      <c r="BC502">
        <v>2.8059299999999999E-4</v>
      </c>
      <c r="BD502">
        <v>6.0399999999999998E-5</v>
      </c>
      <c r="BE502">
        <v>1.0231999999999999E-3</v>
      </c>
      <c r="BF502">
        <v>4.2400000000000001E-5</v>
      </c>
      <c r="BG502">
        <v>2.77392E-4</v>
      </c>
      <c r="BH502">
        <v>1.7811300000000001E-4</v>
      </c>
      <c r="BI502">
        <v>4.1940800000000002E-4</v>
      </c>
      <c r="BJ502">
        <v>3.5133199999999999E-4</v>
      </c>
      <c r="BK502">
        <v>1.8669100000000001E-4</v>
      </c>
      <c r="BL502">
        <v>0</v>
      </c>
      <c r="BM502">
        <v>8.7297099999999995E-4</v>
      </c>
      <c r="BN502">
        <v>0</v>
      </c>
      <c r="BO502">
        <v>0</v>
      </c>
      <c r="BP502">
        <v>0</v>
      </c>
      <c r="BQ502">
        <v>0</v>
      </c>
      <c r="BR502">
        <v>0</v>
      </c>
      <c r="BS502">
        <v>0</v>
      </c>
      <c r="BT502">
        <v>3.4999999999999997E-5</v>
      </c>
      <c r="BU502">
        <v>1.9990200000000001E-4</v>
      </c>
      <c r="BV502">
        <v>6.0685399999999999E-4</v>
      </c>
      <c r="BW502">
        <v>5.2850599999999998E-4</v>
      </c>
      <c r="BX502">
        <v>5.1400000000000003E-5</v>
      </c>
      <c r="BY502">
        <v>0</v>
      </c>
      <c r="BZ502">
        <v>5.3900000000000002E-5</v>
      </c>
      <c r="CA502">
        <v>0</v>
      </c>
      <c r="CB502">
        <v>0</v>
      </c>
      <c r="CC502">
        <v>0</v>
      </c>
      <c r="CD502">
        <v>0</v>
      </c>
      <c r="CE502">
        <v>8.9800000000000001E-5</v>
      </c>
      <c r="CF502">
        <v>0</v>
      </c>
      <c r="CG502">
        <v>2.5597899999999998E-4</v>
      </c>
      <c r="CH502">
        <v>9.2399999999999996E-5</v>
      </c>
      <c r="CI502">
        <v>2.2196800000000001E-4</v>
      </c>
      <c r="CJ502">
        <v>3.4241099999999998E-4</v>
      </c>
      <c r="CK502">
        <v>2.9650400000000001E-4</v>
      </c>
      <c r="CL502">
        <v>4.1732500000000002E-4</v>
      </c>
    </row>
    <row r="503" spans="2:90" x14ac:dyDescent="0.2">
      <c r="B503">
        <v>102.5</v>
      </c>
      <c r="C503">
        <v>0</v>
      </c>
      <c r="D503">
        <v>8.4499999999999994E-5</v>
      </c>
      <c r="E503">
        <v>0</v>
      </c>
      <c r="F503">
        <v>0</v>
      </c>
      <c r="G503">
        <v>1.5299999999999999E-5</v>
      </c>
      <c r="H503">
        <v>8.3200000000000003E-5</v>
      </c>
      <c r="I503">
        <v>8.1199999999999995E-5</v>
      </c>
      <c r="J503">
        <v>1.27871E-4</v>
      </c>
      <c r="K503">
        <v>5.5842700000000001E-4</v>
      </c>
      <c r="L503">
        <v>3.5659299999999999E-4</v>
      </c>
      <c r="M503">
        <v>6.5080499999999996E-4</v>
      </c>
      <c r="N503">
        <v>1.8672199999999999E-3</v>
      </c>
      <c r="O503">
        <v>9.7436300000000001E-4</v>
      </c>
      <c r="P503">
        <v>1.03644E-3</v>
      </c>
      <c r="Q503">
        <v>2.1133100000000002E-3</v>
      </c>
      <c r="R503">
        <v>4.19868E-4</v>
      </c>
      <c r="S503">
        <v>2.6845999999999999E-4</v>
      </c>
      <c r="T503">
        <v>7.1916700000000005E-4</v>
      </c>
      <c r="U503">
        <v>3.9319600000000001E-4</v>
      </c>
      <c r="V503">
        <v>4.6667099999999999E-4</v>
      </c>
      <c r="W503">
        <v>3.18549E-4</v>
      </c>
      <c r="X503">
        <v>2.72992E-4</v>
      </c>
      <c r="Y503">
        <v>5.5904999999999995E-4</v>
      </c>
      <c r="Z503">
        <v>1.6486499999999999E-4</v>
      </c>
      <c r="AA503">
        <v>1.4269E-4</v>
      </c>
      <c r="AB503">
        <v>4.0476500000000002E-4</v>
      </c>
      <c r="AC503">
        <v>3.1999900000000001E-4</v>
      </c>
      <c r="AD503">
        <v>4.9175900000000003E-4</v>
      </c>
      <c r="AE503">
        <v>6.5001900000000005E-4</v>
      </c>
      <c r="AF503">
        <v>8.2566699999999998E-4</v>
      </c>
      <c r="AG503">
        <v>2.0174599999999999E-4</v>
      </c>
      <c r="AH503">
        <v>1.3511999999999999E-4</v>
      </c>
      <c r="AI503">
        <v>9.6299999999999996E-5</v>
      </c>
      <c r="AJ503">
        <v>3.7299999999999999E-5</v>
      </c>
      <c r="AK503">
        <v>3.6900000000000002E-5</v>
      </c>
      <c r="AL503">
        <v>4.9799999999999998E-5</v>
      </c>
      <c r="AM503">
        <v>6.7799999999999995E-5</v>
      </c>
      <c r="AN503">
        <v>8.6100000000000006E-5</v>
      </c>
      <c r="AO503">
        <v>9.6700000000000006E-5</v>
      </c>
      <c r="AP503">
        <v>1.0019299999999999E-4</v>
      </c>
      <c r="AQ503">
        <v>1.5118299999999999E-4</v>
      </c>
      <c r="AR503">
        <v>5.7869200000000001E-4</v>
      </c>
      <c r="AS503">
        <v>6.4207499999999998E-4</v>
      </c>
      <c r="AT503">
        <v>1.23923E-3</v>
      </c>
      <c r="AU503">
        <v>8.8849399999999998E-4</v>
      </c>
      <c r="AV503">
        <v>6.0161000000000004E-4</v>
      </c>
      <c r="AW503">
        <v>0</v>
      </c>
      <c r="AX503">
        <v>0</v>
      </c>
      <c r="AY503">
        <v>0</v>
      </c>
      <c r="AZ503">
        <v>0</v>
      </c>
      <c r="BA503">
        <v>2.5235900000000001E-4</v>
      </c>
      <c r="BB503">
        <v>0</v>
      </c>
      <c r="BC503">
        <v>0</v>
      </c>
      <c r="BD503">
        <v>2.2005100000000001E-3</v>
      </c>
      <c r="BE503">
        <v>7.1400000000000001E-5</v>
      </c>
      <c r="BF503">
        <v>7.6211599999999997E-4</v>
      </c>
      <c r="BG503">
        <v>2.7531399999999997E-4</v>
      </c>
      <c r="BH503">
        <v>6.1099999999999994E-5</v>
      </c>
      <c r="BI503">
        <v>2.2874599999999999E-4</v>
      </c>
      <c r="BJ503">
        <v>5.1799999999999999E-5</v>
      </c>
      <c r="BK503">
        <v>0</v>
      </c>
      <c r="BL503">
        <v>7.4900000000000005E-5</v>
      </c>
      <c r="BM503">
        <v>0</v>
      </c>
      <c r="BN503">
        <v>1.71015E-4</v>
      </c>
      <c r="BO503">
        <v>0</v>
      </c>
      <c r="BP503">
        <v>1.00283E-4</v>
      </c>
      <c r="BQ503">
        <v>9.6000000000000002E-5</v>
      </c>
      <c r="BR503">
        <v>3.6000000000000001E-5</v>
      </c>
      <c r="BS503">
        <v>4.6316599999999999E-4</v>
      </c>
      <c r="BT503">
        <v>6.7100000000000005E-5</v>
      </c>
      <c r="BU503">
        <v>2.0641799999999999E-4</v>
      </c>
      <c r="BV503">
        <v>9.9500000000000006E-5</v>
      </c>
      <c r="BW503">
        <v>9.1500000000000001E-5</v>
      </c>
      <c r="BX503">
        <v>0</v>
      </c>
      <c r="BY503">
        <v>0</v>
      </c>
      <c r="BZ503">
        <v>0</v>
      </c>
      <c r="CA503">
        <v>1.8300000000000001E-5</v>
      </c>
      <c r="CB503">
        <v>0</v>
      </c>
      <c r="CC503">
        <v>8.7399999999999997E-5</v>
      </c>
      <c r="CD503">
        <v>2.9799999999999999E-5</v>
      </c>
      <c r="CE503">
        <v>5.8199999999999998E-5</v>
      </c>
      <c r="CF503">
        <v>0</v>
      </c>
      <c r="CG503">
        <v>0</v>
      </c>
      <c r="CH503">
        <v>0</v>
      </c>
      <c r="CI503">
        <v>1.9126599999999999E-4</v>
      </c>
      <c r="CJ503">
        <v>3.3699999999999999E-5</v>
      </c>
      <c r="CK503">
        <v>2.20972E-4</v>
      </c>
      <c r="CL503">
        <v>3.1488600000000001E-4</v>
      </c>
    </row>
    <row r="504" spans="2:90" x14ac:dyDescent="0.2">
      <c r="B504">
        <v>103.5</v>
      </c>
      <c r="C504">
        <v>4.0612500000000002E-4</v>
      </c>
      <c r="D504">
        <v>3.1199999999999999E-5</v>
      </c>
      <c r="E504">
        <v>0</v>
      </c>
      <c r="F504">
        <v>0</v>
      </c>
      <c r="G504">
        <v>3.9900000000000001E-5</v>
      </c>
      <c r="H504">
        <v>1.8600000000000001E-5</v>
      </c>
      <c r="I504">
        <v>3.7400000000000001E-5</v>
      </c>
      <c r="J504">
        <v>6.0800000000000001E-5</v>
      </c>
      <c r="K504">
        <v>3.3873399999999999E-4</v>
      </c>
      <c r="L504">
        <v>3.64991E-4</v>
      </c>
      <c r="M504">
        <v>6.5545700000000002E-4</v>
      </c>
      <c r="N504">
        <v>1.0042E-3</v>
      </c>
      <c r="O504">
        <v>8.6869599999999996E-4</v>
      </c>
      <c r="P504">
        <v>1.0677600000000001E-3</v>
      </c>
      <c r="Q504">
        <v>1.16084E-3</v>
      </c>
      <c r="R504">
        <v>4.5664499999999999E-4</v>
      </c>
      <c r="S504">
        <v>2.32088E-4</v>
      </c>
      <c r="T504">
        <v>4.4422500000000002E-4</v>
      </c>
      <c r="U504">
        <v>3.4708599999999998E-4</v>
      </c>
      <c r="V504">
        <v>5.1917399999999996E-4</v>
      </c>
      <c r="W504">
        <v>3.81586E-4</v>
      </c>
      <c r="X504">
        <v>2.38464E-4</v>
      </c>
      <c r="Y504">
        <v>2.6421099999999998E-4</v>
      </c>
      <c r="Z504">
        <v>1.83213E-4</v>
      </c>
      <c r="AA504">
        <v>1.47971E-4</v>
      </c>
      <c r="AB504">
        <v>1.8370600000000001E-4</v>
      </c>
      <c r="AC504">
        <v>2.8576399999999998E-4</v>
      </c>
      <c r="AD504">
        <v>5.5924800000000004E-4</v>
      </c>
      <c r="AE504">
        <v>6.2674599999999997E-4</v>
      </c>
      <c r="AF504">
        <v>4.55733E-4</v>
      </c>
      <c r="AG504">
        <v>2.63727E-4</v>
      </c>
      <c r="AH504">
        <v>3.3496099999999999E-4</v>
      </c>
      <c r="AI504">
        <v>5.3199999999999999E-5</v>
      </c>
      <c r="AJ504">
        <v>4.99E-5</v>
      </c>
      <c r="AK504">
        <v>2.09E-5</v>
      </c>
      <c r="AL504">
        <v>3.82E-5</v>
      </c>
      <c r="AM504">
        <v>2.4499999999999999E-5</v>
      </c>
      <c r="AN504">
        <v>7.0599999999999995E-5</v>
      </c>
      <c r="AO504">
        <v>2.62E-5</v>
      </c>
      <c r="AP504">
        <v>1.2994999999999999E-4</v>
      </c>
      <c r="AQ504">
        <v>4.6699999999999997E-5</v>
      </c>
      <c r="AR504">
        <v>2.13747E-4</v>
      </c>
      <c r="AS504">
        <v>5.4085600000000004E-4</v>
      </c>
      <c r="AT504">
        <v>5.1472099999999999E-4</v>
      </c>
      <c r="AU504">
        <v>6.4995000000000005E-4</v>
      </c>
      <c r="AV504">
        <v>6.4453299999999998E-4</v>
      </c>
      <c r="AW504">
        <v>0</v>
      </c>
      <c r="AX504">
        <v>8.81E-5</v>
      </c>
      <c r="AY504">
        <v>6.9900000000000005E-5</v>
      </c>
      <c r="AZ504">
        <v>0</v>
      </c>
      <c r="BA504">
        <v>1.41982E-4</v>
      </c>
      <c r="BB504">
        <v>9.5799999999999998E-5</v>
      </c>
      <c r="BC504">
        <v>0</v>
      </c>
      <c r="BD504">
        <v>6.64001E-4</v>
      </c>
      <c r="BE504">
        <v>0</v>
      </c>
      <c r="BF504">
        <v>1.13157E-4</v>
      </c>
      <c r="BG504">
        <v>2.64849E-4</v>
      </c>
      <c r="BH504">
        <v>8.1463800000000002E-4</v>
      </c>
      <c r="BI504">
        <v>6.1699999999999995E-5</v>
      </c>
      <c r="BJ504">
        <v>0</v>
      </c>
      <c r="BK504">
        <v>4.6699999999999997E-5</v>
      </c>
      <c r="BL504">
        <v>1.6082499999999999E-4</v>
      </c>
      <c r="BM504">
        <v>0</v>
      </c>
      <c r="BN504">
        <v>4.7700000000000001E-5</v>
      </c>
      <c r="BO504">
        <v>0</v>
      </c>
      <c r="BP504">
        <v>4.3300000000000002E-5</v>
      </c>
      <c r="BQ504">
        <v>0</v>
      </c>
      <c r="BR504">
        <v>0</v>
      </c>
      <c r="BS504">
        <v>0</v>
      </c>
      <c r="BT504">
        <v>3.6000000000000001E-5</v>
      </c>
      <c r="BU504">
        <v>1.2269399999999999E-4</v>
      </c>
      <c r="BV504">
        <v>1.81712E-4</v>
      </c>
      <c r="BW504">
        <v>9.8599999999999998E-5</v>
      </c>
      <c r="BX504">
        <v>3.96E-5</v>
      </c>
      <c r="BY504">
        <v>0</v>
      </c>
      <c r="BZ504">
        <v>8.0599999999999994E-5</v>
      </c>
      <c r="CA504">
        <v>4.5300000000000003E-5</v>
      </c>
      <c r="CB504">
        <v>0</v>
      </c>
      <c r="CC504">
        <v>0</v>
      </c>
      <c r="CD504">
        <v>2.8500000000000002E-5</v>
      </c>
      <c r="CE504">
        <v>1.16956E-4</v>
      </c>
      <c r="CF504">
        <v>0</v>
      </c>
      <c r="CG504">
        <v>0</v>
      </c>
      <c r="CH504">
        <v>9.87E-5</v>
      </c>
      <c r="CI504">
        <v>2.0875000000000001E-4</v>
      </c>
      <c r="CJ504">
        <v>1.14987E-4</v>
      </c>
      <c r="CK504">
        <v>5.3399999999999997E-5</v>
      </c>
      <c r="CL504">
        <v>0</v>
      </c>
    </row>
    <row r="505" spans="2:90" x14ac:dyDescent="0.2">
      <c r="B505">
        <v>104.5</v>
      </c>
      <c r="C505">
        <v>0</v>
      </c>
      <c r="D505">
        <v>2.0800000000000001E-5</v>
      </c>
      <c r="E505">
        <v>0</v>
      </c>
      <c r="F505">
        <v>1.4149799999999999E-4</v>
      </c>
      <c r="G505">
        <v>2.4499999999999999E-5</v>
      </c>
      <c r="H505">
        <v>2.8900000000000001E-5</v>
      </c>
      <c r="I505">
        <v>7.0230200000000003E-4</v>
      </c>
      <c r="J505">
        <v>1.9317999999999999E-4</v>
      </c>
      <c r="K505">
        <v>3.7389900000000002E-4</v>
      </c>
      <c r="L505">
        <v>3.67439E-4</v>
      </c>
      <c r="M505">
        <v>4.6589E-4</v>
      </c>
      <c r="N505">
        <v>1.04295E-3</v>
      </c>
      <c r="O505">
        <v>6.9505999999999995E-4</v>
      </c>
      <c r="P505">
        <v>6.3181100000000003E-4</v>
      </c>
      <c r="Q505">
        <v>2.0389799999999999E-4</v>
      </c>
      <c r="R505">
        <v>3.2510599999999997E-4</v>
      </c>
      <c r="S505">
        <v>2.4105E-4</v>
      </c>
      <c r="T505">
        <v>3.6917500000000002E-4</v>
      </c>
      <c r="U505">
        <v>2.84171E-4</v>
      </c>
      <c r="V505">
        <v>3.0568300000000001E-4</v>
      </c>
      <c r="W505">
        <v>2.4732699999999999E-4</v>
      </c>
      <c r="X505">
        <v>2.35293E-4</v>
      </c>
      <c r="Y505">
        <v>1.7325000000000001E-4</v>
      </c>
      <c r="Z505">
        <v>8.9699999999999998E-5</v>
      </c>
      <c r="AA505">
        <v>1.35959E-4</v>
      </c>
      <c r="AB505">
        <v>1.80707E-4</v>
      </c>
      <c r="AC505">
        <v>1.4404700000000001E-4</v>
      </c>
      <c r="AD505">
        <v>4.5419900000000002E-4</v>
      </c>
      <c r="AE505">
        <v>4.2455200000000002E-4</v>
      </c>
      <c r="AF505">
        <v>5.8547700000000005E-4</v>
      </c>
      <c r="AG505">
        <v>2.05921E-4</v>
      </c>
      <c r="AH505">
        <v>8.1199999999999995E-5</v>
      </c>
      <c r="AI505">
        <v>7.7000000000000001E-5</v>
      </c>
      <c r="AJ505">
        <v>8.8499999999999996E-5</v>
      </c>
      <c r="AK505">
        <v>1.84E-5</v>
      </c>
      <c r="AL505">
        <v>3.6999999999999998E-5</v>
      </c>
      <c r="AM505">
        <v>2.5500000000000001E-6</v>
      </c>
      <c r="AN505">
        <v>4.1199999999999999E-5</v>
      </c>
      <c r="AO505">
        <v>4.0599999999999998E-5</v>
      </c>
      <c r="AP505">
        <v>5.91E-5</v>
      </c>
      <c r="AQ505">
        <v>1.3584799999999999E-4</v>
      </c>
      <c r="AR505">
        <v>1.8024800000000001E-4</v>
      </c>
      <c r="AS505">
        <v>5.9294000000000003E-4</v>
      </c>
      <c r="AT505">
        <v>3.6599499999999998E-4</v>
      </c>
      <c r="AU505">
        <v>3.5544899999999998E-4</v>
      </c>
      <c r="AV505">
        <v>5.6024299999999998E-4</v>
      </c>
      <c r="AW505">
        <v>0</v>
      </c>
      <c r="AX505">
        <v>0</v>
      </c>
      <c r="AY505">
        <v>0</v>
      </c>
      <c r="AZ505">
        <v>0</v>
      </c>
      <c r="BA505">
        <v>0</v>
      </c>
      <c r="BB505">
        <v>0</v>
      </c>
      <c r="BC505">
        <v>2.9799999999999999E-5</v>
      </c>
      <c r="BD505">
        <v>0</v>
      </c>
      <c r="BE505">
        <v>1.7447299999999999E-4</v>
      </c>
      <c r="BF505">
        <v>5.8199999999999998E-5</v>
      </c>
      <c r="BG505">
        <v>1.1663E-4</v>
      </c>
      <c r="BH505">
        <v>2.3835100000000001E-4</v>
      </c>
      <c r="BI505">
        <v>4.9851400000000003E-4</v>
      </c>
      <c r="BJ505">
        <v>1.48658E-4</v>
      </c>
      <c r="BK505">
        <v>0</v>
      </c>
      <c r="BL505">
        <v>0</v>
      </c>
      <c r="BM505">
        <v>0</v>
      </c>
      <c r="BN505">
        <v>0</v>
      </c>
      <c r="BO505">
        <v>0</v>
      </c>
      <c r="BP505">
        <v>1.4275900000000001E-4</v>
      </c>
      <c r="BQ505">
        <v>1.5558400000000001E-4</v>
      </c>
      <c r="BR505">
        <v>0</v>
      </c>
      <c r="BS505">
        <v>1.11785E-4</v>
      </c>
      <c r="BT505">
        <v>0</v>
      </c>
      <c r="BU505">
        <v>0</v>
      </c>
      <c r="BV505">
        <v>7.9400000000000006E-5</v>
      </c>
      <c r="BW505">
        <v>0</v>
      </c>
      <c r="BX505">
        <v>1.18266E-4</v>
      </c>
      <c r="BY505">
        <v>6.41E-5</v>
      </c>
      <c r="BZ505">
        <v>3.3500000000000001E-5</v>
      </c>
      <c r="CA505">
        <v>0</v>
      </c>
      <c r="CB505">
        <v>0</v>
      </c>
      <c r="CC505">
        <v>0</v>
      </c>
      <c r="CD505">
        <v>4.7800000000000003E-5</v>
      </c>
      <c r="CE505">
        <v>0</v>
      </c>
      <c r="CF505">
        <v>4.5599999999999997E-5</v>
      </c>
      <c r="CG505">
        <v>0</v>
      </c>
      <c r="CH505">
        <v>0</v>
      </c>
      <c r="CI505">
        <v>1.5217799999999999E-4</v>
      </c>
      <c r="CJ505">
        <v>4.0000000000000003E-5</v>
      </c>
      <c r="CK505">
        <v>1.3441200000000001E-4</v>
      </c>
      <c r="CL505">
        <v>2.7641900000000002E-4</v>
      </c>
    </row>
    <row r="506" spans="2:90" x14ac:dyDescent="0.2">
      <c r="B506">
        <v>105.5</v>
      </c>
      <c r="C506">
        <v>0</v>
      </c>
      <c r="D506">
        <v>0</v>
      </c>
      <c r="E506">
        <v>0</v>
      </c>
      <c r="F506">
        <v>1.3153399999999999E-4</v>
      </c>
      <c r="G506">
        <v>3.9500000000000003E-6</v>
      </c>
      <c r="H506">
        <v>7.6899999999999999E-5</v>
      </c>
      <c r="I506">
        <v>1.1509400000000001E-4</v>
      </c>
      <c r="J506">
        <v>6.4081200000000004E-4</v>
      </c>
      <c r="K506">
        <v>1.89629E-4</v>
      </c>
      <c r="L506">
        <v>2.6960900000000003E-4</v>
      </c>
      <c r="M506">
        <v>3.8900600000000001E-4</v>
      </c>
      <c r="N506">
        <v>7.2527599999999996E-4</v>
      </c>
      <c r="O506">
        <v>5.5871800000000004E-4</v>
      </c>
      <c r="P506">
        <v>5.9404599999999998E-4</v>
      </c>
      <c r="Q506">
        <v>1.70667E-4</v>
      </c>
      <c r="R506">
        <v>3.0374699999999999E-4</v>
      </c>
      <c r="S506">
        <v>1.43583E-4</v>
      </c>
      <c r="T506">
        <v>2.6541200000000003E-4</v>
      </c>
      <c r="U506">
        <v>2.0275100000000001E-4</v>
      </c>
      <c r="V506">
        <v>1.6376800000000001E-4</v>
      </c>
      <c r="W506">
        <v>3.0164800000000001E-4</v>
      </c>
      <c r="X506">
        <v>1.13173E-4</v>
      </c>
      <c r="Y506">
        <v>1.3313800000000001E-4</v>
      </c>
      <c r="Z506">
        <v>1.7522499999999999E-4</v>
      </c>
      <c r="AA506">
        <v>9.0600000000000007E-5</v>
      </c>
      <c r="AB506">
        <v>1.02295E-4</v>
      </c>
      <c r="AC506">
        <v>1.3656599999999999E-4</v>
      </c>
      <c r="AD506">
        <v>3.1496900000000001E-4</v>
      </c>
      <c r="AE506">
        <v>1.9941199999999999E-4</v>
      </c>
      <c r="AF506">
        <v>1.7801500000000001E-4</v>
      </c>
      <c r="AG506">
        <v>1.8007799999999999E-4</v>
      </c>
      <c r="AH506">
        <v>3.8800000000000001E-5</v>
      </c>
      <c r="AI506">
        <v>3.9900000000000001E-5</v>
      </c>
      <c r="AJ506">
        <v>1.8499999999999999E-5</v>
      </c>
      <c r="AK506">
        <v>1.8499999999999999E-5</v>
      </c>
      <c r="AL506">
        <v>1.29E-5</v>
      </c>
      <c r="AM506">
        <v>1.9300000000000002E-5</v>
      </c>
      <c r="AN506">
        <v>8.1100000000000003E-6</v>
      </c>
      <c r="AO506">
        <v>5.1999999999999997E-5</v>
      </c>
      <c r="AP506">
        <v>6.8499999999999998E-5</v>
      </c>
      <c r="AQ506">
        <v>6.9300000000000004E-5</v>
      </c>
      <c r="AR506">
        <v>9.4400000000000004E-5</v>
      </c>
      <c r="AS506">
        <v>3.2726199999999998E-4</v>
      </c>
      <c r="AT506">
        <v>6.1398900000000001E-4</v>
      </c>
      <c r="AU506">
        <v>4.10517E-4</v>
      </c>
      <c r="AV506">
        <v>3.80529E-4</v>
      </c>
      <c r="AW506">
        <v>0</v>
      </c>
      <c r="AX506">
        <v>0</v>
      </c>
      <c r="AY506">
        <v>0</v>
      </c>
      <c r="AZ506">
        <v>0</v>
      </c>
      <c r="BA506">
        <v>0</v>
      </c>
      <c r="BB506">
        <v>0</v>
      </c>
      <c r="BC506">
        <v>0</v>
      </c>
      <c r="BD506">
        <v>0</v>
      </c>
      <c r="BE506">
        <v>1.9845999999999999E-4</v>
      </c>
      <c r="BF506">
        <v>1.86064E-4</v>
      </c>
      <c r="BG506">
        <v>5.2099999999999999E-5</v>
      </c>
      <c r="BH506">
        <v>0</v>
      </c>
      <c r="BI506">
        <v>0</v>
      </c>
      <c r="BJ506">
        <v>0</v>
      </c>
      <c r="BK506">
        <v>0</v>
      </c>
      <c r="BL506">
        <v>0</v>
      </c>
      <c r="BM506">
        <v>5.0300000000000003E-5</v>
      </c>
      <c r="BN506">
        <v>5.3999999999999998E-5</v>
      </c>
      <c r="BO506">
        <v>0</v>
      </c>
      <c r="BP506">
        <v>3.0300000000000001E-5</v>
      </c>
      <c r="BQ506">
        <v>0</v>
      </c>
      <c r="BR506">
        <v>0</v>
      </c>
      <c r="BS506">
        <v>0</v>
      </c>
      <c r="BT506">
        <v>0</v>
      </c>
      <c r="BU506">
        <v>7.3300000000000006E-5</v>
      </c>
      <c r="BV506">
        <v>1.5087400000000001E-4</v>
      </c>
      <c r="BW506">
        <v>0</v>
      </c>
      <c r="BX506">
        <v>0</v>
      </c>
      <c r="BY506">
        <v>0</v>
      </c>
      <c r="BZ506">
        <v>0</v>
      </c>
      <c r="CA506">
        <v>2.0999999999999999E-5</v>
      </c>
      <c r="CB506">
        <v>0</v>
      </c>
      <c r="CC506">
        <v>0</v>
      </c>
      <c r="CD506">
        <v>0</v>
      </c>
      <c r="CE506">
        <v>0</v>
      </c>
      <c r="CF506">
        <v>0</v>
      </c>
      <c r="CG506">
        <v>0</v>
      </c>
      <c r="CH506">
        <v>0</v>
      </c>
      <c r="CI506">
        <v>0</v>
      </c>
      <c r="CJ506">
        <v>1.8684800000000001E-4</v>
      </c>
      <c r="CK506">
        <v>4.8699999999999998E-5</v>
      </c>
      <c r="CL506">
        <v>6.9200000000000002E-5</v>
      </c>
    </row>
    <row r="507" spans="2:90" x14ac:dyDescent="0.2">
      <c r="B507">
        <v>106.5</v>
      </c>
      <c r="C507">
        <v>1.8E-5</v>
      </c>
      <c r="D507">
        <v>0</v>
      </c>
      <c r="E507">
        <v>0</v>
      </c>
      <c r="F507">
        <v>3.0800000000000002E-6</v>
      </c>
      <c r="G507">
        <v>1.6500000000000001E-6</v>
      </c>
      <c r="H507">
        <v>9.8200000000000008E-6</v>
      </c>
      <c r="I507">
        <v>2.3799999999999999E-5</v>
      </c>
      <c r="J507">
        <v>3.4600000000000001E-5</v>
      </c>
      <c r="K507">
        <v>1.2183100000000001E-4</v>
      </c>
      <c r="L507">
        <v>1.7324699999999999E-4</v>
      </c>
      <c r="M507">
        <v>2.8410499999999999E-4</v>
      </c>
      <c r="N507">
        <v>2.8138799999999998E-4</v>
      </c>
      <c r="O507">
        <v>8.9211200000000003E-4</v>
      </c>
      <c r="P507">
        <v>3.7762100000000002E-4</v>
      </c>
      <c r="Q507">
        <v>8.5599999999999994E-5</v>
      </c>
      <c r="R507">
        <v>1.504E-4</v>
      </c>
      <c r="S507">
        <v>1.0214500000000001E-4</v>
      </c>
      <c r="T507">
        <v>2.6813199999999997E-4</v>
      </c>
      <c r="U507">
        <v>1.7247000000000001E-4</v>
      </c>
      <c r="V507">
        <v>1.78615E-4</v>
      </c>
      <c r="W507">
        <v>1.97009E-4</v>
      </c>
      <c r="X507">
        <v>9.0799999999999998E-5</v>
      </c>
      <c r="Y507">
        <v>1.1554500000000001E-4</v>
      </c>
      <c r="Z507">
        <v>8.9599999999999996E-5</v>
      </c>
      <c r="AA507">
        <v>7.1500000000000003E-5</v>
      </c>
      <c r="AB507">
        <v>1.2410200000000001E-4</v>
      </c>
      <c r="AC507">
        <v>9.0099999999999995E-5</v>
      </c>
      <c r="AD507">
        <v>2.7077399999999999E-4</v>
      </c>
      <c r="AE507">
        <v>2.23005E-4</v>
      </c>
      <c r="AF507">
        <v>3.0001700000000002E-4</v>
      </c>
      <c r="AG507">
        <v>5.6799999999999998E-5</v>
      </c>
      <c r="AH507">
        <v>1.03485E-4</v>
      </c>
      <c r="AI507">
        <v>3.1999999999999999E-5</v>
      </c>
      <c r="AJ507">
        <v>5.7299999999999997E-5</v>
      </c>
      <c r="AK507">
        <v>1.0499999999999999E-5</v>
      </c>
      <c r="AL507">
        <v>1.04E-5</v>
      </c>
      <c r="AM507">
        <v>2.5400000000000001E-5</v>
      </c>
      <c r="AN507">
        <v>1.8E-5</v>
      </c>
      <c r="AO507">
        <v>5.91E-5</v>
      </c>
      <c r="AP507">
        <v>9.4800000000000007E-6</v>
      </c>
      <c r="AQ507">
        <v>1.8300000000000001E-5</v>
      </c>
      <c r="AR507">
        <v>4.6999999999999997E-5</v>
      </c>
      <c r="AS507">
        <v>2.1908400000000001E-4</v>
      </c>
      <c r="AT507">
        <v>2.2654000000000001E-4</v>
      </c>
      <c r="AU507">
        <v>2.8713799999999999E-4</v>
      </c>
      <c r="AV507">
        <v>3.9366100000000001E-4</v>
      </c>
      <c r="AW507">
        <v>0</v>
      </c>
      <c r="AX507">
        <v>0</v>
      </c>
      <c r="AY507">
        <v>0</v>
      </c>
      <c r="AZ507">
        <v>0</v>
      </c>
      <c r="BA507">
        <v>0</v>
      </c>
      <c r="BB507">
        <v>0</v>
      </c>
      <c r="BC507">
        <v>0</v>
      </c>
      <c r="BD507">
        <v>0</v>
      </c>
      <c r="BE507">
        <v>7.4800000000000002E-5</v>
      </c>
      <c r="BF507">
        <v>0</v>
      </c>
      <c r="BG507">
        <v>6.1600000000000007E-5</v>
      </c>
      <c r="BH507">
        <v>9.5199999999999997E-5</v>
      </c>
      <c r="BI507">
        <v>0</v>
      </c>
      <c r="BJ507">
        <v>5.8600000000000001E-5</v>
      </c>
      <c r="BK507">
        <v>0</v>
      </c>
      <c r="BL507">
        <v>3.3899999999999997E-5</v>
      </c>
      <c r="BM507">
        <v>0</v>
      </c>
      <c r="BN507">
        <v>1.0969200000000001E-4</v>
      </c>
      <c r="BO507">
        <v>0</v>
      </c>
      <c r="BP507">
        <v>0</v>
      </c>
      <c r="BQ507">
        <v>0</v>
      </c>
      <c r="BR507">
        <v>0</v>
      </c>
      <c r="BS507">
        <v>0</v>
      </c>
      <c r="BT507">
        <v>0</v>
      </c>
      <c r="BU507">
        <v>0</v>
      </c>
      <c r="BV507">
        <v>0</v>
      </c>
      <c r="BW507">
        <v>3.6199999999999999E-5</v>
      </c>
      <c r="BX507">
        <v>0</v>
      </c>
      <c r="BY507">
        <v>0</v>
      </c>
      <c r="BZ507">
        <v>0</v>
      </c>
      <c r="CA507">
        <v>0</v>
      </c>
      <c r="CB507">
        <v>0</v>
      </c>
      <c r="CC507">
        <v>2.62E-5</v>
      </c>
      <c r="CD507">
        <v>0</v>
      </c>
      <c r="CE507">
        <v>0</v>
      </c>
      <c r="CF507">
        <v>0</v>
      </c>
      <c r="CG507">
        <v>0</v>
      </c>
      <c r="CH507">
        <v>4.8000000000000001E-5</v>
      </c>
      <c r="CI507">
        <v>3.9700000000000003E-5</v>
      </c>
      <c r="CJ507">
        <v>0</v>
      </c>
      <c r="CK507">
        <v>4.0200000000000001E-5</v>
      </c>
      <c r="CL507">
        <v>2.1667999999999999E-4</v>
      </c>
    </row>
    <row r="508" spans="2:90" x14ac:dyDescent="0.2">
      <c r="B508">
        <v>107.5</v>
      </c>
      <c r="C508">
        <v>0</v>
      </c>
      <c r="D508">
        <v>0</v>
      </c>
      <c r="E508">
        <v>0</v>
      </c>
      <c r="F508">
        <v>0</v>
      </c>
      <c r="G508">
        <v>0</v>
      </c>
      <c r="H508">
        <v>1.2500000000000001E-6</v>
      </c>
      <c r="I508">
        <v>5.3399999999999997E-6</v>
      </c>
      <c r="J508">
        <v>1.11E-6</v>
      </c>
      <c r="K508">
        <v>5.3600000000000002E-5</v>
      </c>
      <c r="L508">
        <v>7.2799999999999994E-5</v>
      </c>
      <c r="M508">
        <v>1.88486E-4</v>
      </c>
      <c r="N508">
        <v>3.2602800000000002E-4</v>
      </c>
      <c r="O508">
        <v>2.2755E-4</v>
      </c>
      <c r="P508">
        <v>2.0913799999999999E-4</v>
      </c>
      <c r="Q508">
        <v>6.6799999999999997E-5</v>
      </c>
      <c r="R508">
        <v>1.15312E-4</v>
      </c>
      <c r="S508">
        <v>6.6299999999999999E-5</v>
      </c>
      <c r="T508">
        <v>1.82688E-4</v>
      </c>
      <c r="U508">
        <v>1.21202E-4</v>
      </c>
      <c r="V508">
        <v>1.17485E-4</v>
      </c>
      <c r="W508">
        <v>1.09203E-4</v>
      </c>
      <c r="X508">
        <v>1.26964E-4</v>
      </c>
      <c r="Y508">
        <v>1.0101499999999999E-4</v>
      </c>
      <c r="Z508">
        <v>2.8E-5</v>
      </c>
      <c r="AA508">
        <v>6.7600000000000003E-5</v>
      </c>
      <c r="AB508">
        <v>6.4399999999999993E-5</v>
      </c>
      <c r="AC508">
        <v>5.2099999999999999E-5</v>
      </c>
      <c r="AD508">
        <v>1.3029900000000001E-4</v>
      </c>
      <c r="AE508">
        <v>6.0271800000000003E-4</v>
      </c>
      <c r="AF508">
        <v>9.6799999999999995E-5</v>
      </c>
      <c r="AG508">
        <v>1.2421200000000001E-4</v>
      </c>
      <c r="AH508">
        <v>2.4899999999999999E-5</v>
      </c>
      <c r="AI508">
        <v>2.5000000000000001E-5</v>
      </c>
      <c r="AJ508">
        <v>4.1499999999999999E-5</v>
      </c>
      <c r="AK508">
        <v>4.9499999999999997E-5</v>
      </c>
      <c r="AL508">
        <v>1.1199999999999999E-5</v>
      </c>
      <c r="AM508">
        <v>1.0699999999999999E-5</v>
      </c>
      <c r="AN508">
        <v>4.8699999999999998E-5</v>
      </c>
      <c r="AO508">
        <v>4.0899999999999998E-5</v>
      </c>
      <c r="AP508">
        <v>4.9799999999999998E-6</v>
      </c>
      <c r="AQ508">
        <v>1.18581E-4</v>
      </c>
      <c r="AR508">
        <v>6.2299999999999996E-5</v>
      </c>
      <c r="AS508">
        <v>2.2817099999999999E-4</v>
      </c>
      <c r="AT508">
        <v>1.07111E-4</v>
      </c>
      <c r="AU508">
        <v>1.5342399999999999E-4</v>
      </c>
      <c r="AV508">
        <v>1.63346E-4</v>
      </c>
      <c r="AW508">
        <v>0</v>
      </c>
      <c r="AX508">
        <v>0</v>
      </c>
      <c r="AY508">
        <v>0</v>
      </c>
      <c r="AZ508">
        <v>0</v>
      </c>
      <c r="BA508">
        <v>0</v>
      </c>
      <c r="BB508">
        <v>0</v>
      </c>
      <c r="BC508">
        <v>0</v>
      </c>
      <c r="BD508">
        <v>0</v>
      </c>
      <c r="BE508">
        <v>0</v>
      </c>
      <c r="BF508">
        <v>0</v>
      </c>
      <c r="BG508">
        <v>0</v>
      </c>
      <c r="BH508">
        <v>2.7100000000000001E-5</v>
      </c>
      <c r="BI508">
        <v>5.2299999999999997E-5</v>
      </c>
      <c r="BJ508">
        <v>0</v>
      </c>
      <c r="BK508">
        <v>3.2475400000000001E-4</v>
      </c>
      <c r="BL508">
        <v>0</v>
      </c>
      <c r="BM508">
        <v>5.0500000000000001E-5</v>
      </c>
      <c r="BN508">
        <v>0</v>
      </c>
      <c r="BO508">
        <v>0</v>
      </c>
      <c r="BP508">
        <v>5.8199999999999998E-5</v>
      </c>
      <c r="BQ508">
        <v>0</v>
      </c>
      <c r="BR508">
        <v>0</v>
      </c>
      <c r="BS508">
        <v>1.5802200000000001E-4</v>
      </c>
      <c r="BT508">
        <v>0</v>
      </c>
      <c r="BU508">
        <v>0</v>
      </c>
      <c r="BV508">
        <v>3.9700000000000003E-5</v>
      </c>
      <c r="BW508">
        <v>0</v>
      </c>
      <c r="BX508">
        <v>4.1199999999999999E-5</v>
      </c>
      <c r="BY508">
        <v>5.8E-5</v>
      </c>
      <c r="BZ508">
        <v>0</v>
      </c>
      <c r="CA508">
        <v>2.4000000000000001E-5</v>
      </c>
      <c r="CB508">
        <v>0</v>
      </c>
      <c r="CC508">
        <v>0</v>
      </c>
      <c r="CD508">
        <v>0</v>
      </c>
      <c r="CE508">
        <v>0</v>
      </c>
      <c r="CF508">
        <v>0</v>
      </c>
      <c r="CG508">
        <v>0</v>
      </c>
      <c r="CH508">
        <v>0</v>
      </c>
      <c r="CI508">
        <v>9.6100000000000005E-5</v>
      </c>
      <c r="CJ508">
        <v>5.5899999999999997E-5</v>
      </c>
      <c r="CK508">
        <v>7.7200000000000006E-5</v>
      </c>
      <c r="CL508">
        <v>0</v>
      </c>
    </row>
    <row r="509" spans="2:90" x14ac:dyDescent="0.2">
      <c r="B509">
        <v>108.5</v>
      </c>
      <c r="C509">
        <v>0</v>
      </c>
      <c r="D509">
        <v>0</v>
      </c>
      <c r="E509">
        <v>0</v>
      </c>
      <c r="F509">
        <v>0</v>
      </c>
      <c r="G509">
        <v>0</v>
      </c>
      <c r="H509">
        <v>0</v>
      </c>
      <c r="I509">
        <v>6.64E-6</v>
      </c>
      <c r="J509">
        <v>2.4998899999999999E-4</v>
      </c>
      <c r="K509">
        <v>9.2800000000000006E-5</v>
      </c>
      <c r="L509">
        <v>2.6929900000000002E-4</v>
      </c>
      <c r="M509">
        <v>1.86868E-4</v>
      </c>
      <c r="N509">
        <v>1.49829E-4</v>
      </c>
      <c r="O509">
        <v>1.1120699999999999E-4</v>
      </c>
      <c r="P509">
        <v>2.6873000000000001E-4</v>
      </c>
      <c r="Q509">
        <v>1.11328E-4</v>
      </c>
      <c r="R509">
        <v>1.3106899999999999E-4</v>
      </c>
      <c r="S509">
        <v>5.3699999999999997E-5</v>
      </c>
      <c r="T509">
        <v>1.2851299999999999E-4</v>
      </c>
      <c r="U509">
        <v>1.03731E-4</v>
      </c>
      <c r="V509">
        <v>7.7600000000000002E-5</v>
      </c>
      <c r="W509">
        <v>1.2575299999999999E-4</v>
      </c>
      <c r="X509">
        <v>7.4400000000000006E-5</v>
      </c>
      <c r="Y509">
        <v>6.05E-5</v>
      </c>
      <c r="Z509">
        <v>6.1199999999999999E-6</v>
      </c>
      <c r="AA509">
        <v>6.5699999999999998E-6</v>
      </c>
      <c r="AB509">
        <v>5.6900000000000001E-5</v>
      </c>
      <c r="AC509">
        <v>6.3100000000000002E-5</v>
      </c>
      <c r="AD509">
        <v>9.7700000000000003E-5</v>
      </c>
      <c r="AE509">
        <v>1.02328E-4</v>
      </c>
      <c r="AF509">
        <v>8.2200000000000006E-5</v>
      </c>
      <c r="AG509">
        <v>8.4499999999999994E-5</v>
      </c>
      <c r="AH509">
        <v>4.0800000000000002E-5</v>
      </c>
      <c r="AI509">
        <v>9.8600000000000005E-6</v>
      </c>
      <c r="AJ509">
        <v>2.4300000000000001E-5</v>
      </c>
      <c r="AK509">
        <v>1.49E-5</v>
      </c>
      <c r="AL509">
        <v>1.01E-5</v>
      </c>
      <c r="AM509">
        <v>0</v>
      </c>
      <c r="AN509">
        <v>1.8099999999999999E-5</v>
      </c>
      <c r="AO509">
        <v>0</v>
      </c>
      <c r="AP509">
        <v>0</v>
      </c>
      <c r="AQ509">
        <v>2.83E-6</v>
      </c>
      <c r="AR509">
        <v>7.64E-5</v>
      </c>
      <c r="AS509">
        <v>9.9699999999999998E-5</v>
      </c>
      <c r="AT509">
        <v>1.5954200000000001E-4</v>
      </c>
      <c r="AU509">
        <v>1.42805E-4</v>
      </c>
      <c r="AV509">
        <v>4.2700000000000001E-5</v>
      </c>
      <c r="AW509">
        <v>0</v>
      </c>
      <c r="AX509">
        <v>0</v>
      </c>
      <c r="AY509">
        <v>0</v>
      </c>
      <c r="AZ509">
        <v>0</v>
      </c>
      <c r="BA509">
        <v>0</v>
      </c>
      <c r="BB509">
        <v>0</v>
      </c>
      <c r="BC509">
        <v>0</v>
      </c>
      <c r="BD509">
        <v>0</v>
      </c>
      <c r="BE509">
        <v>0</v>
      </c>
      <c r="BF509">
        <v>0</v>
      </c>
      <c r="BG509">
        <v>4.6300000000000001E-5</v>
      </c>
      <c r="BH509">
        <v>0</v>
      </c>
      <c r="BI509">
        <v>0</v>
      </c>
      <c r="BJ509">
        <v>3.4799999999999999E-5</v>
      </c>
      <c r="BK509">
        <v>0</v>
      </c>
      <c r="BL509">
        <v>1.6148200000000001E-4</v>
      </c>
      <c r="BM509">
        <v>0</v>
      </c>
      <c r="BN509">
        <v>0</v>
      </c>
      <c r="BO509">
        <v>0</v>
      </c>
      <c r="BP509">
        <v>0</v>
      </c>
      <c r="BQ509">
        <v>0</v>
      </c>
      <c r="BR509">
        <v>0</v>
      </c>
      <c r="BS509">
        <v>0</v>
      </c>
      <c r="BT509">
        <v>0</v>
      </c>
      <c r="BU509">
        <v>1.80345E-4</v>
      </c>
      <c r="BV509">
        <v>3.7400000000000001E-5</v>
      </c>
      <c r="BW509">
        <v>0</v>
      </c>
      <c r="BX509">
        <v>0</v>
      </c>
      <c r="BY509">
        <v>0</v>
      </c>
      <c r="BZ509">
        <v>0</v>
      </c>
      <c r="CA509">
        <v>0</v>
      </c>
      <c r="CB509">
        <v>0</v>
      </c>
      <c r="CC509">
        <v>0</v>
      </c>
      <c r="CD509">
        <v>0</v>
      </c>
      <c r="CE509">
        <v>0</v>
      </c>
      <c r="CF509">
        <v>0</v>
      </c>
      <c r="CG509">
        <v>0</v>
      </c>
      <c r="CH509">
        <v>0</v>
      </c>
      <c r="CI509">
        <v>0</v>
      </c>
      <c r="CJ509">
        <v>0</v>
      </c>
      <c r="CK509">
        <v>0</v>
      </c>
      <c r="CL509">
        <v>0</v>
      </c>
    </row>
    <row r="510" spans="2:90" x14ac:dyDescent="0.2">
      <c r="B510">
        <v>109.5</v>
      </c>
      <c r="C510">
        <v>0</v>
      </c>
      <c r="D510">
        <v>0</v>
      </c>
      <c r="E510">
        <v>2.6699999999999998E-5</v>
      </c>
      <c r="F510">
        <v>2.60473E-4</v>
      </c>
      <c r="G510">
        <v>0</v>
      </c>
      <c r="H510">
        <v>0</v>
      </c>
      <c r="I510">
        <v>8.0700000000000007E-6</v>
      </c>
      <c r="J510">
        <v>1.06E-5</v>
      </c>
      <c r="K510">
        <v>5.5000000000000002E-5</v>
      </c>
      <c r="L510">
        <v>1.1772700000000001E-4</v>
      </c>
      <c r="M510">
        <v>2.1705800000000001E-4</v>
      </c>
      <c r="N510">
        <v>4.49E-5</v>
      </c>
      <c r="O510">
        <v>1.63039E-4</v>
      </c>
      <c r="P510">
        <v>1.3323799999999999E-4</v>
      </c>
      <c r="Q510">
        <v>3.6900000000000002E-5</v>
      </c>
      <c r="R510">
        <v>1.2443299999999999E-4</v>
      </c>
      <c r="S510">
        <v>8.5400000000000002E-5</v>
      </c>
      <c r="T510">
        <v>1.40128E-4</v>
      </c>
      <c r="U510">
        <v>8.42E-5</v>
      </c>
      <c r="V510">
        <v>8.7399999999999997E-5</v>
      </c>
      <c r="W510">
        <v>1.4794799999999999E-4</v>
      </c>
      <c r="X510">
        <v>1.0388200000000001E-4</v>
      </c>
      <c r="Y510">
        <v>5.94E-5</v>
      </c>
      <c r="Z510">
        <v>8.0400000000000003E-5</v>
      </c>
      <c r="AA510">
        <v>2.62E-5</v>
      </c>
      <c r="AB510">
        <v>8.4300000000000003E-5</v>
      </c>
      <c r="AC510">
        <v>4.5300000000000003E-5</v>
      </c>
      <c r="AD510">
        <v>1.3961999999999999E-4</v>
      </c>
      <c r="AE510">
        <v>1.28057E-4</v>
      </c>
      <c r="AF510">
        <v>6.7600000000000003E-5</v>
      </c>
      <c r="AG510">
        <v>4.6600000000000001E-5</v>
      </c>
      <c r="AH510">
        <v>1.1099600000000001E-4</v>
      </c>
      <c r="AI510">
        <v>7.8599999999999993E-6</v>
      </c>
      <c r="AJ510">
        <v>4.6700000000000002E-6</v>
      </c>
      <c r="AK510">
        <v>0</v>
      </c>
      <c r="AL510">
        <v>3.5899999999999999E-6</v>
      </c>
      <c r="AM510">
        <v>2.0999999999999998E-6</v>
      </c>
      <c r="AN510">
        <v>5.2700000000000004E-6</v>
      </c>
      <c r="AO510">
        <v>0</v>
      </c>
      <c r="AP510">
        <v>2.9000000000000002E-6</v>
      </c>
      <c r="AQ510">
        <v>1.65847E-4</v>
      </c>
      <c r="AR510">
        <v>0</v>
      </c>
      <c r="AS510">
        <v>3.4392E-4</v>
      </c>
      <c r="AT510">
        <v>5.4400000000000001E-5</v>
      </c>
      <c r="AU510">
        <v>1.7365600000000001E-4</v>
      </c>
      <c r="AV510">
        <v>3.9499999999999998E-5</v>
      </c>
      <c r="AW510">
        <v>0</v>
      </c>
      <c r="AX510">
        <v>0</v>
      </c>
      <c r="AY510">
        <v>0</v>
      </c>
      <c r="AZ510">
        <v>0</v>
      </c>
      <c r="BA510">
        <v>0</v>
      </c>
      <c r="BB510">
        <v>4.2700000000000001E-5</v>
      </c>
      <c r="BC510">
        <v>3.7693699999999999E-4</v>
      </c>
      <c r="BD510">
        <v>0</v>
      </c>
      <c r="BE510">
        <v>0</v>
      </c>
      <c r="BF510">
        <v>0</v>
      </c>
      <c r="BG510">
        <v>0</v>
      </c>
      <c r="BH510">
        <v>2.8799999999999999E-5</v>
      </c>
      <c r="BI510">
        <v>5.3900000000000002E-5</v>
      </c>
      <c r="BJ510">
        <v>0</v>
      </c>
      <c r="BK510">
        <v>0</v>
      </c>
      <c r="BL510">
        <v>0</v>
      </c>
      <c r="BM510">
        <v>5.1E-5</v>
      </c>
      <c r="BN510">
        <v>0</v>
      </c>
      <c r="BO510">
        <v>0</v>
      </c>
      <c r="BP510">
        <v>0</v>
      </c>
      <c r="BQ510">
        <v>0</v>
      </c>
      <c r="BR510">
        <v>0</v>
      </c>
      <c r="BS510">
        <v>7.5500000000000006E-5</v>
      </c>
      <c r="BT510">
        <v>0</v>
      </c>
      <c r="BU510">
        <v>0</v>
      </c>
      <c r="BV510">
        <v>0</v>
      </c>
      <c r="BW510">
        <v>6.0800000000000001E-5</v>
      </c>
      <c r="BX510">
        <v>0</v>
      </c>
      <c r="BY510">
        <v>2.8399999999999999E-5</v>
      </c>
      <c r="BZ510">
        <v>0</v>
      </c>
      <c r="CA510">
        <v>1.66E-5</v>
      </c>
      <c r="CB510">
        <v>0</v>
      </c>
      <c r="CC510">
        <v>0</v>
      </c>
      <c r="CD510">
        <v>0</v>
      </c>
      <c r="CE510">
        <v>0</v>
      </c>
      <c r="CF510">
        <v>0</v>
      </c>
      <c r="CG510">
        <v>0</v>
      </c>
      <c r="CH510">
        <v>0</v>
      </c>
      <c r="CI510">
        <v>5.9899999999999999E-5</v>
      </c>
      <c r="CJ510">
        <v>6.02E-5</v>
      </c>
      <c r="CK510">
        <v>0</v>
      </c>
      <c r="CL510">
        <v>7.3200000000000004E-5</v>
      </c>
    </row>
    <row r="511" spans="2:90" x14ac:dyDescent="0.2">
      <c r="B511">
        <v>110.5</v>
      </c>
      <c r="C511">
        <v>0</v>
      </c>
      <c r="D511">
        <v>2.0800000000000001E-5</v>
      </c>
      <c r="E511">
        <v>0</v>
      </c>
      <c r="F511">
        <v>0</v>
      </c>
      <c r="G511">
        <v>0</v>
      </c>
      <c r="H511">
        <v>0</v>
      </c>
      <c r="I511">
        <v>8.1699999999999997E-6</v>
      </c>
      <c r="J511">
        <v>1.4100000000000001E-6</v>
      </c>
      <c r="K511">
        <v>8.3999999999999995E-5</v>
      </c>
      <c r="L511">
        <v>1.4399999999999999E-5</v>
      </c>
      <c r="M511">
        <v>1.29362E-4</v>
      </c>
      <c r="N511">
        <v>2.41E-5</v>
      </c>
      <c r="O511">
        <v>9.2E-5</v>
      </c>
      <c r="P511">
        <v>1.1647800000000001E-4</v>
      </c>
      <c r="Q511">
        <v>7.52E-6</v>
      </c>
      <c r="R511">
        <v>6.8800000000000005E-5</v>
      </c>
      <c r="S511">
        <v>2.0000000000000002E-5</v>
      </c>
      <c r="T511">
        <v>7.1299999999999998E-5</v>
      </c>
      <c r="U511">
        <v>5.9200000000000002E-5</v>
      </c>
      <c r="V511">
        <v>2.4600000000000002E-5</v>
      </c>
      <c r="W511">
        <v>5.8E-5</v>
      </c>
      <c r="X511">
        <v>6.8399999999999996E-5</v>
      </c>
      <c r="Y511">
        <v>1.3699999999999999E-5</v>
      </c>
      <c r="Z511">
        <v>1.1600000000000001E-5</v>
      </c>
      <c r="AA511">
        <v>7.1600000000000001E-6</v>
      </c>
      <c r="AB511">
        <v>5.3300000000000001E-5</v>
      </c>
      <c r="AC511">
        <v>1.15E-5</v>
      </c>
      <c r="AD511">
        <v>5.8499999999999999E-5</v>
      </c>
      <c r="AE511">
        <v>2.1500000000000001E-5</v>
      </c>
      <c r="AF511">
        <v>3.6600000000000002E-5</v>
      </c>
      <c r="AG511">
        <v>2.1299999999999999E-5</v>
      </c>
      <c r="AH511">
        <v>4.5700000000000003E-6</v>
      </c>
      <c r="AI511">
        <v>1.2500000000000001E-5</v>
      </c>
      <c r="AJ511">
        <v>3.14E-6</v>
      </c>
      <c r="AK511">
        <v>0</v>
      </c>
      <c r="AL511">
        <v>1.2500000000000001E-6</v>
      </c>
      <c r="AM511">
        <v>1.24E-6</v>
      </c>
      <c r="AN511">
        <v>0</v>
      </c>
      <c r="AO511">
        <v>0</v>
      </c>
      <c r="AP511">
        <v>1.1400000000000001E-6</v>
      </c>
      <c r="AQ511">
        <v>0</v>
      </c>
      <c r="AR511">
        <v>9.8300000000000008E-6</v>
      </c>
      <c r="AS511">
        <v>1.76539E-4</v>
      </c>
      <c r="AT511">
        <v>1.81E-6</v>
      </c>
      <c r="AU511">
        <v>4.4400000000000002E-5</v>
      </c>
      <c r="AV511">
        <v>4.4499999999999997E-5</v>
      </c>
      <c r="AW511">
        <v>0</v>
      </c>
      <c r="AX511">
        <v>0</v>
      </c>
      <c r="AY511">
        <v>0</v>
      </c>
      <c r="AZ511">
        <v>0</v>
      </c>
      <c r="BA511">
        <v>0</v>
      </c>
      <c r="BB511">
        <v>0</v>
      </c>
      <c r="BC511">
        <v>0</v>
      </c>
      <c r="BD511">
        <v>0</v>
      </c>
      <c r="BE511">
        <v>0</v>
      </c>
      <c r="BF511">
        <v>0</v>
      </c>
      <c r="BG511">
        <v>4.7299999999999998E-5</v>
      </c>
      <c r="BH511">
        <v>0</v>
      </c>
      <c r="BI511">
        <v>0</v>
      </c>
      <c r="BJ511">
        <v>7.9499999999999994E-5</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row>
    <row r="512" spans="2:90" x14ac:dyDescent="0.2">
      <c r="B512">
        <v>111.5</v>
      </c>
      <c r="C512">
        <v>0</v>
      </c>
      <c r="D512">
        <v>0</v>
      </c>
      <c r="E512">
        <v>0</v>
      </c>
      <c r="F512">
        <v>0</v>
      </c>
      <c r="G512">
        <v>0</v>
      </c>
      <c r="H512">
        <v>0</v>
      </c>
      <c r="I512">
        <v>3.1700000000000001E-6</v>
      </c>
      <c r="J512">
        <v>1.0900000000000001E-5</v>
      </c>
      <c r="K512">
        <v>2.5899999999999999E-5</v>
      </c>
      <c r="L512">
        <v>6.3200000000000005E-5</v>
      </c>
      <c r="M512">
        <v>6.9499999999999995E-5</v>
      </c>
      <c r="N512">
        <v>0</v>
      </c>
      <c r="O512">
        <v>1.9548800000000001E-4</v>
      </c>
      <c r="P512">
        <v>3.96E-5</v>
      </c>
      <c r="Q512">
        <v>9.6139999999999995E-4</v>
      </c>
      <c r="R512">
        <v>4.2299999999999998E-5</v>
      </c>
      <c r="S512">
        <v>1.9899999999999999E-5</v>
      </c>
      <c r="T512">
        <v>5.6400000000000002E-5</v>
      </c>
      <c r="U512">
        <v>1.00889E-4</v>
      </c>
      <c r="V512">
        <v>5.94E-5</v>
      </c>
      <c r="W512">
        <v>5.5000000000000002E-5</v>
      </c>
      <c r="X512">
        <v>5.9299999999999998E-5</v>
      </c>
      <c r="Y512">
        <v>1.5699999999999999E-5</v>
      </c>
      <c r="Z512">
        <v>3.2399999999999999E-6</v>
      </c>
      <c r="AA512">
        <v>6.4999999999999996E-6</v>
      </c>
      <c r="AB512">
        <v>2.8900000000000001E-5</v>
      </c>
      <c r="AC512">
        <v>4.34E-6</v>
      </c>
      <c r="AD512">
        <v>3.7100000000000001E-5</v>
      </c>
      <c r="AE512">
        <v>6.58E-5</v>
      </c>
      <c r="AF512">
        <v>6.3899999999999995E-5</v>
      </c>
      <c r="AG512">
        <v>3.1300000000000002E-5</v>
      </c>
      <c r="AH512">
        <v>2.43E-6</v>
      </c>
      <c r="AI512">
        <v>2.48E-5</v>
      </c>
      <c r="AJ512">
        <v>2.9400000000000001E-7</v>
      </c>
      <c r="AK512">
        <v>1.3400000000000001E-6</v>
      </c>
      <c r="AL512">
        <v>0</v>
      </c>
      <c r="AM512">
        <v>0</v>
      </c>
      <c r="AN512">
        <v>0</v>
      </c>
      <c r="AO512">
        <v>1.8700000000000001E-5</v>
      </c>
      <c r="AP512">
        <v>0</v>
      </c>
      <c r="AQ512">
        <v>0</v>
      </c>
      <c r="AR512">
        <v>1.9081100000000001E-4</v>
      </c>
      <c r="AS512">
        <v>1.62552E-4</v>
      </c>
      <c r="AT512">
        <v>1.19E-5</v>
      </c>
      <c r="AU512">
        <v>1.4399999999999999E-5</v>
      </c>
      <c r="AV512">
        <v>8.7299999999999994E-6</v>
      </c>
      <c r="AW512">
        <v>0</v>
      </c>
      <c r="AX512">
        <v>0</v>
      </c>
      <c r="AY512">
        <v>0</v>
      </c>
      <c r="AZ512">
        <v>0</v>
      </c>
      <c r="BA512">
        <v>0</v>
      </c>
      <c r="BB512">
        <v>0</v>
      </c>
      <c r="BC512">
        <v>0</v>
      </c>
      <c r="BD512">
        <v>0</v>
      </c>
      <c r="BE512">
        <v>0</v>
      </c>
      <c r="BF512">
        <v>0</v>
      </c>
      <c r="BG512">
        <v>0</v>
      </c>
      <c r="BH512">
        <v>2.8600000000000001E-5</v>
      </c>
      <c r="BI512">
        <v>0</v>
      </c>
      <c r="BJ512">
        <v>0</v>
      </c>
      <c r="BK512">
        <v>0</v>
      </c>
      <c r="BL512">
        <v>3.2199999999999997E-5</v>
      </c>
      <c r="BM512">
        <v>0</v>
      </c>
      <c r="BN512">
        <v>0</v>
      </c>
      <c r="BO512">
        <v>0</v>
      </c>
      <c r="BP512">
        <v>0</v>
      </c>
      <c r="BQ512">
        <v>0</v>
      </c>
      <c r="BR512">
        <v>0</v>
      </c>
      <c r="BS512">
        <v>0</v>
      </c>
      <c r="BT512">
        <v>0</v>
      </c>
      <c r="BU512">
        <v>0</v>
      </c>
      <c r="BV512">
        <v>3.9700000000000003E-5</v>
      </c>
      <c r="BW512">
        <v>0</v>
      </c>
      <c r="BX512">
        <v>0</v>
      </c>
      <c r="BY512">
        <v>0</v>
      </c>
      <c r="BZ512">
        <v>0</v>
      </c>
      <c r="CA512">
        <v>0</v>
      </c>
      <c r="CB512">
        <v>0</v>
      </c>
      <c r="CC512">
        <v>0</v>
      </c>
      <c r="CD512">
        <v>0</v>
      </c>
      <c r="CE512">
        <v>0</v>
      </c>
      <c r="CF512">
        <v>0</v>
      </c>
      <c r="CG512">
        <v>0</v>
      </c>
      <c r="CH512">
        <v>0</v>
      </c>
      <c r="CI512">
        <v>0</v>
      </c>
      <c r="CJ512">
        <v>0</v>
      </c>
      <c r="CK512">
        <v>0</v>
      </c>
      <c r="CL512">
        <v>0</v>
      </c>
    </row>
    <row r="513" spans="2:90" x14ac:dyDescent="0.2">
      <c r="B513">
        <v>112.5</v>
      </c>
      <c r="C513">
        <v>0</v>
      </c>
      <c r="D513">
        <v>0</v>
      </c>
      <c r="E513">
        <v>0</v>
      </c>
      <c r="F513">
        <v>0</v>
      </c>
      <c r="G513">
        <v>0</v>
      </c>
      <c r="H513">
        <v>0</v>
      </c>
      <c r="I513">
        <v>3.5899999999999999E-6</v>
      </c>
      <c r="J513">
        <v>0</v>
      </c>
      <c r="K513">
        <v>3.0300000000000001E-5</v>
      </c>
      <c r="L513">
        <v>0</v>
      </c>
      <c r="M513">
        <v>6.1099999999999994E-5</v>
      </c>
      <c r="N513">
        <v>8.81E-5</v>
      </c>
      <c r="O513">
        <v>3.9700000000000003E-5</v>
      </c>
      <c r="P513">
        <v>4.2299999999999998E-5</v>
      </c>
      <c r="Q513">
        <v>1.04E-5</v>
      </c>
      <c r="R513">
        <v>2.51E-5</v>
      </c>
      <c r="S513">
        <v>1.0900000000000001E-5</v>
      </c>
      <c r="T513">
        <v>2.8500000000000002E-5</v>
      </c>
      <c r="U513">
        <v>1.13E-5</v>
      </c>
      <c r="V513">
        <v>4.2040900000000001E-4</v>
      </c>
      <c r="W513">
        <v>1.7499999999999998E-5</v>
      </c>
      <c r="X513">
        <v>3.04E-5</v>
      </c>
      <c r="Y513">
        <v>2.1999999999999999E-5</v>
      </c>
      <c r="Z513">
        <v>2.6100000000000001E-5</v>
      </c>
      <c r="AA513">
        <v>0</v>
      </c>
      <c r="AB513">
        <v>5.5199999999999997E-6</v>
      </c>
      <c r="AC513">
        <v>9.3899999999999999E-6</v>
      </c>
      <c r="AD513">
        <v>3.4400000000000003E-5</v>
      </c>
      <c r="AE513">
        <v>1.59E-5</v>
      </c>
      <c r="AF513">
        <v>5.8199999999999998E-5</v>
      </c>
      <c r="AG513">
        <v>0</v>
      </c>
      <c r="AH513">
        <v>5.3700000000000003E-6</v>
      </c>
      <c r="AI513">
        <v>7.1300000000000003E-6</v>
      </c>
      <c r="AJ513">
        <v>6.4699999999999999E-6</v>
      </c>
      <c r="AK513">
        <v>1.49E-5</v>
      </c>
      <c r="AL513">
        <v>0</v>
      </c>
      <c r="AM513">
        <v>1.68E-6</v>
      </c>
      <c r="AN513">
        <v>0</v>
      </c>
      <c r="AO513">
        <v>0</v>
      </c>
      <c r="AP513">
        <v>0</v>
      </c>
      <c r="AQ513">
        <v>0</v>
      </c>
      <c r="AR513">
        <v>0</v>
      </c>
      <c r="AS513">
        <v>1.13723E-4</v>
      </c>
      <c r="AT513">
        <v>0</v>
      </c>
      <c r="AU513">
        <v>1.5800000000000001E-5</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4.9499999999999997E-5</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row>
    <row r="514" spans="2:90" x14ac:dyDescent="0.2">
      <c r="B514">
        <v>113.5</v>
      </c>
      <c r="C514">
        <v>0</v>
      </c>
      <c r="D514">
        <v>0</v>
      </c>
      <c r="E514">
        <v>0</v>
      </c>
      <c r="F514">
        <v>0</v>
      </c>
      <c r="G514">
        <v>6.7100000000000001E-6</v>
      </c>
      <c r="H514">
        <v>0</v>
      </c>
      <c r="I514">
        <v>6.3400000000000003E-6</v>
      </c>
      <c r="J514">
        <v>1.0499999999999999E-5</v>
      </c>
      <c r="K514">
        <v>2.6599999999999999E-5</v>
      </c>
      <c r="L514">
        <v>0</v>
      </c>
      <c r="M514">
        <v>5.8499999999999999E-6</v>
      </c>
      <c r="N514">
        <v>6.0099999999999997E-5</v>
      </c>
      <c r="O514">
        <v>3.7100000000000001E-5</v>
      </c>
      <c r="P514">
        <v>1.5400000000000002E-5</v>
      </c>
      <c r="Q514">
        <v>6.64E-6</v>
      </c>
      <c r="R514">
        <v>1.77E-5</v>
      </c>
      <c r="S514">
        <v>1.1600000000000001E-5</v>
      </c>
      <c r="T514">
        <v>3.2700000000000002E-5</v>
      </c>
      <c r="U514">
        <v>3.3299999999999999E-6</v>
      </c>
      <c r="V514">
        <v>3.4199999999999998E-5</v>
      </c>
      <c r="W514">
        <v>1.6799999999999998E-5</v>
      </c>
      <c r="X514">
        <v>4.6900000000000002E-5</v>
      </c>
      <c r="Y514">
        <v>2.1999999999999999E-5</v>
      </c>
      <c r="Z514">
        <v>4.4900000000000002E-6</v>
      </c>
      <c r="AA514">
        <v>2.4399999999999999E-6</v>
      </c>
      <c r="AB514">
        <v>3.5300000000000001E-6</v>
      </c>
      <c r="AC514">
        <v>1.6300000000000001E-6</v>
      </c>
      <c r="AD514">
        <v>1.8899999999999999E-5</v>
      </c>
      <c r="AE514">
        <v>3.4199999999999998E-5</v>
      </c>
      <c r="AF514">
        <v>9.9999999999999995E-7</v>
      </c>
      <c r="AG514">
        <v>6.9099999999999999E-5</v>
      </c>
      <c r="AH514">
        <v>4.9599999999999999E-5</v>
      </c>
      <c r="AI514">
        <v>0</v>
      </c>
      <c r="AJ514">
        <v>0</v>
      </c>
      <c r="AK514">
        <v>8.2200000000000003E-7</v>
      </c>
      <c r="AL514">
        <v>0</v>
      </c>
      <c r="AM514">
        <v>5.7800000000000001E-7</v>
      </c>
      <c r="AN514">
        <v>0</v>
      </c>
      <c r="AO514">
        <v>0</v>
      </c>
      <c r="AP514">
        <v>0</v>
      </c>
      <c r="AQ514">
        <v>4.0799999999999999E-6</v>
      </c>
      <c r="AR514">
        <v>0</v>
      </c>
      <c r="AS514">
        <v>8.2999999999999998E-5</v>
      </c>
      <c r="AT514">
        <v>0</v>
      </c>
      <c r="AU514">
        <v>2.5400000000000001E-5</v>
      </c>
      <c r="AV514">
        <v>3.0599999999999998E-5</v>
      </c>
      <c r="AW514">
        <v>0</v>
      </c>
      <c r="AX514">
        <v>0</v>
      </c>
      <c r="AY514">
        <v>0</v>
      </c>
      <c r="AZ514">
        <v>0</v>
      </c>
      <c r="BA514">
        <v>0</v>
      </c>
      <c r="BB514">
        <v>0</v>
      </c>
      <c r="BC514">
        <v>0</v>
      </c>
      <c r="BD514">
        <v>0</v>
      </c>
      <c r="BE514">
        <v>0</v>
      </c>
      <c r="BF514">
        <v>0</v>
      </c>
      <c r="BG514">
        <v>0</v>
      </c>
      <c r="BH514">
        <v>0</v>
      </c>
      <c r="BI514">
        <v>0</v>
      </c>
      <c r="BJ514">
        <v>0</v>
      </c>
      <c r="BK514">
        <v>0</v>
      </c>
      <c r="BL514">
        <v>6.0900000000000003E-5</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row>
    <row r="515" spans="2:90" x14ac:dyDescent="0.2">
      <c r="B515">
        <v>114.5</v>
      </c>
      <c r="C515">
        <v>0</v>
      </c>
      <c r="D515">
        <v>0</v>
      </c>
      <c r="E515">
        <v>0</v>
      </c>
      <c r="F515">
        <v>0</v>
      </c>
      <c r="G515">
        <v>0</v>
      </c>
      <c r="H515">
        <v>0</v>
      </c>
      <c r="I515">
        <v>4.6800000000000001E-6</v>
      </c>
      <c r="J515">
        <v>0</v>
      </c>
      <c r="K515">
        <v>2.2099999999999998E-5</v>
      </c>
      <c r="L515">
        <v>5.31E-6</v>
      </c>
      <c r="M515">
        <v>3.8000000000000002E-5</v>
      </c>
      <c r="N515">
        <v>3.8500000000000001E-5</v>
      </c>
      <c r="O515">
        <v>1.15E-5</v>
      </c>
      <c r="P515">
        <v>1.9899999999999999E-5</v>
      </c>
      <c r="Q515">
        <v>1.2099999999999999E-5</v>
      </c>
      <c r="R515">
        <v>2.6599999999999999E-5</v>
      </c>
      <c r="S515">
        <v>3.1199999999999999E-5</v>
      </c>
      <c r="T515">
        <v>3.5099999999999999E-5</v>
      </c>
      <c r="U515">
        <v>5.1799999999999999E-5</v>
      </c>
      <c r="V515">
        <v>5.31E-6</v>
      </c>
      <c r="W515">
        <v>2.3499999999999999E-5</v>
      </c>
      <c r="X515">
        <v>1.45E-5</v>
      </c>
      <c r="Y515">
        <v>6.2600000000000002E-6</v>
      </c>
      <c r="Z515">
        <v>2.3600000000000001E-5</v>
      </c>
      <c r="AA515">
        <v>3.7100000000000001E-6</v>
      </c>
      <c r="AB515">
        <v>2.7499999999999999E-6</v>
      </c>
      <c r="AC515">
        <v>5.2800000000000003E-6</v>
      </c>
      <c r="AD515">
        <v>3.7700000000000002E-5</v>
      </c>
      <c r="AE515">
        <v>1.7799999999999999E-5</v>
      </c>
      <c r="AF515">
        <v>8.0600000000000008E-6</v>
      </c>
      <c r="AG515">
        <v>0</v>
      </c>
      <c r="AH515">
        <v>2.5100000000000001E-6</v>
      </c>
      <c r="AI515">
        <v>0</v>
      </c>
      <c r="AJ515">
        <v>0</v>
      </c>
      <c r="AK515">
        <v>2.3700000000000002E-6</v>
      </c>
      <c r="AL515">
        <v>3.49E-6</v>
      </c>
      <c r="AM515">
        <v>0</v>
      </c>
      <c r="AN515">
        <v>0</v>
      </c>
      <c r="AO515">
        <v>0</v>
      </c>
      <c r="AP515">
        <v>1.11E-5</v>
      </c>
      <c r="AQ515">
        <v>0</v>
      </c>
      <c r="AR515">
        <v>0</v>
      </c>
      <c r="AS515">
        <v>0</v>
      </c>
      <c r="AT515">
        <v>0</v>
      </c>
      <c r="AU515">
        <v>1.4E-5</v>
      </c>
      <c r="AV515">
        <v>0</v>
      </c>
      <c r="AW515">
        <v>0</v>
      </c>
      <c r="AX515">
        <v>0</v>
      </c>
      <c r="AY515">
        <v>0</v>
      </c>
      <c r="AZ515">
        <v>0</v>
      </c>
      <c r="BA515">
        <v>0</v>
      </c>
      <c r="BB515">
        <v>0</v>
      </c>
      <c r="BC515">
        <v>0</v>
      </c>
      <c r="BD515">
        <v>0</v>
      </c>
      <c r="BE515">
        <v>0</v>
      </c>
      <c r="BF515">
        <v>0</v>
      </c>
      <c r="BG515">
        <v>0</v>
      </c>
      <c r="BH515">
        <v>1.3940299999999999E-4</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row>
    <row r="516" spans="2:90" x14ac:dyDescent="0.2">
      <c r="B516">
        <v>115.5</v>
      </c>
      <c r="C516">
        <v>0</v>
      </c>
      <c r="D516">
        <v>0</v>
      </c>
      <c r="E516">
        <v>0</v>
      </c>
      <c r="F516">
        <v>0</v>
      </c>
      <c r="G516">
        <v>0</v>
      </c>
      <c r="H516">
        <v>0</v>
      </c>
      <c r="I516">
        <v>0</v>
      </c>
      <c r="J516">
        <v>1.0499999999999999E-5</v>
      </c>
      <c r="K516">
        <v>7.0899999999999999E-6</v>
      </c>
      <c r="L516">
        <v>0</v>
      </c>
      <c r="M516">
        <v>0</v>
      </c>
      <c r="N516">
        <v>0</v>
      </c>
      <c r="O516">
        <v>6.5799999999999997E-6</v>
      </c>
      <c r="P516">
        <v>5.04E-6</v>
      </c>
      <c r="Q516">
        <v>2.65E-6</v>
      </c>
      <c r="R516">
        <v>2.8799999999999999E-5</v>
      </c>
      <c r="S516">
        <v>7.9000000000000006E-6</v>
      </c>
      <c r="T516">
        <v>9.4199999999999996E-6</v>
      </c>
      <c r="U516">
        <v>5.5400000000000003E-6</v>
      </c>
      <c r="V516">
        <v>6.5100000000000004E-6</v>
      </c>
      <c r="W516">
        <v>6.37E-6</v>
      </c>
      <c r="X516">
        <v>1.59E-6</v>
      </c>
      <c r="Y516">
        <v>7.5900000000000002E-6</v>
      </c>
      <c r="Z516">
        <v>1.66E-6</v>
      </c>
      <c r="AA516">
        <v>2.2500000000000001E-6</v>
      </c>
      <c r="AB516">
        <v>0</v>
      </c>
      <c r="AC516">
        <v>0</v>
      </c>
      <c r="AD516">
        <v>8.2300000000000008E-6</v>
      </c>
      <c r="AE516">
        <v>7.17E-6</v>
      </c>
      <c r="AF516">
        <v>0</v>
      </c>
      <c r="AG516">
        <v>0</v>
      </c>
      <c r="AH516">
        <v>0</v>
      </c>
      <c r="AI516">
        <v>0</v>
      </c>
      <c r="AJ516">
        <v>0</v>
      </c>
      <c r="AK516">
        <v>0</v>
      </c>
      <c r="AL516">
        <v>0</v>
      </c>
      <c r="AM516">
        <v>0</v>
      </c>
      <c r="AN516">
        <v>8.5099999999999998E-6</v>
      </c>
      <c r="AO516">
        <v>0</v>
      </c>
      <c r="AP516">
        <v>0</v>
      </c>
      <c r="AQ516">
        <v>0</v>
      </c>
      <c r="AR516">
        <v>0</v>
      </c>
      <c r="AS516">
        <v>1.1113299999999999E-4</v>
      </c>
      <c r="AT516">
        <v>0</v>
      </c>
      <c r="AU516">
        <v>5.8000000000000004E-6</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row>
    <row r="517" spans="2:90" x14ac:dyDescent="0.2">
      <c r="B517">
        <v>116.5</v>
      </c>
      <c r="C517">
        <v>0</v>
      </c>
      <c r="D517">
        <v>0</v>
      </c>
      <c r="E517">
        <v>0</v>
      </c>
      <c r="F517">
        <v>0</v>
      </c>
      <c r="G517">
        <v>0</v>
      </c>
      <c r="H517">
        <v>0</v>
      </c>
      <c r="I517">
        <v>0</v>
      </c>
      <c r="J517">
        <v>0</v>
      </c>
      <c r="K517">
        <v>1.1800000000000001E-5</v>
      </c>
      <c r="L517">
        <v>0</v>
      </c>
      <c r="M517">
        <v>5.1100000000000002E-5</v>
      </c>
      <c r="N517">
        <v>1.9199999999999999E-5</v>
      </c>
      <c r="O517">
        <v>0</v>
      </c>
      <c r="P517">
        <v>1.0499999999999999E-6</v>
      </c>
      <c r="Q517">
        <v>1.2099999999999999E-5</v>
      </c>
      <c r="R517">
        <v>0</v>
      </c>
      <c r="S517">
        <v>1.3E-7</v>
      </c>
      <c r="T517">
        <v>7.4900000000000005E-7</v>
      </c>
      <c r="U517">
        <v>6.1500000000000004E-6</v>
      </c>
      <c r="V517">
        <v>1.13E-5</v>
      </c>
      <c r="W517">
        <v>9.0699999999999996E-6</v>
      </c>
      <c r="X517">
        <v>3.19E-6</v>
      </c>
      <c r="Y517">
        <v>1.9000000000000001E-5</v>
      </c>
      <c r="Z517">
        <v>1.5299999999999999E-5</v>
      </c>
      <c r="AA517">
        <v>9.0800000000000003E-7</v>
      </c>
      <c r="AB517">
        <v>1.8700000000000001E-6</v>
      </c>
      <c r="AC517">
        <v>3.76E-6</v>
      </c>
      <c r="AD517">
        <v>2.2399999999999999E-5</v>
      </c>
      <c r="AE517">
        <v>1.0000000000000001E-5</v>
      </c>
      <c r="AF517">
        <v>0</v>
      </c>
      <c r="AG517">
        <v>3.0900000000000001E-6</v>
      </c>
      <c r="AH517">
        <v>0</v>
      </c>
      <c r="AI517">
        <v>0</v>
      </c>
      <c r="AJ517">
        <v>0</v>
      </c>
      <c r="AK517">
        <v>7.7899999999999997E-7</v>
      </c>
      <c r="AL517">
        <v>0</v>
      </c>
      <c r="AM517">
        <v>0</v>
      </c>
      <c r="AN517">
        <v>0</v>
      </c>
      <c r="AO517">
        <v>0</v>
      </c>
      <c r="AP517">
        <v>0</v>
      </c>
      <c r="AQ517">
        <v>0</v>
      </c>
      <c r="AR517">
        <v>0</v>
      </c>
      <c r="AS517">
        <v>0</v>
      </c>
      <c r="AT517">
        <v>0</v>
      </c>
      <c r="AU517">
        <v>8.9400000000000008E-6</v>
      </c>
      <c r="AV517">
        <v>0</v>
      </c>
      <c r="AW517">
        <v>0</v>
      </c>
      <c r="AX517">
        <v>0</v>
      </c>
      <c r="AY517">
        <v>0</v>
      </c>
      <c r="AZ517">
        <v>0</v>
      </c>
      <c r="BA517">
        <v>0</v>
      </c>
      <c r="BB517">
        <v>0</v>
      </c>
      <c r="BC517">
        <v>0</v>
      </c>
      <c r="BD517">
        <v>0</v>
      </c>
      <c r="BE517">
        <v>0</v>
      </c>
      <c r="BF517">
        <v>0</v>
      </c>
      <c r="BG517">
        <v>5.27E-5</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row>
    <row r="518" spans="2:90" x14ac:dyDescent="0.2">
      <c r="B518">
        <v>117.5</v>
      </c>
      <c r="C518">
        <v>0</v>
      </c>
      <c r="D518">
        <v>0</v>
      </c>
      <c r="E518">
        <v>0</v>
      </c>
      <c r="F518">
        <v>0</v>
      </c>
      <c r="G518">
        <v>0</v>
      </c>
      <c r="H518">
        <v>0</v>
      </c>
      <c r="I518">
        <v>5.1599999999999997E-6</v>
      </c>
      <c r="J518">
        <v>1.7498500000000001E-4</v>
      </c>
      <c r="K518">
        <v>8.4700000000000002E-6</v>
      </c>
      <c r="L518">
        <v>0</v>
      </c>
      <c r="M518">
        <v>0</v>
      </c>
      <c r="N518">
        <v>0</v>
      </c>
      <c r="O518">
        <v>2.1399999999999998E-6</v>
      </c>
      <c r="P518">
        <v>0</v>
      </c>
      <c r="Q518">
        <v>7.8399999999999995E-6</v>
      </c>
      <c r="R518">
        <v>1.5699999999999999E-5</v>
      </c>
      <c r="S518">
        <v>8.8800000000000001E-7</v>
      </c>
      <c r="T518">
        <v>8.2600000000000005E-6</v>
      </c>
      <c r="U518">
        <v>9.2299999999999999E-7</v>
      </c>
      <c r="V518">
        <v>6.1299999999999998E-6</v>
      </c>
      <c r="W518">
        <v>1.75E-6</v>
      </c>
      <c r="X518">
        <v>0</v>
      </c>
      <c r="Y518">
        <v>0</v>
      </c>
      <c r="Z518">
        <v>4.8999999999999997E-6</v>
      </c>
      <c r="AA518">
        <v>0</v>
      </c>
      <c r="AB518">
        <v>5.5199999999999997E-6</v>
      </c>
      <c r="AC518">
        <v>8.4600000000000003E-6</v>
      </c>
      <c r="AD518">
        <v>7.6000000000000001E-6</v>
      </c>
      <c r="AE518">
        <v>0</v>
      </c>
      <c r="AF518">
        <v>5.1399999999999999E-6</v>
      </c>
      <c r="AG518">
        <v>0</v>
      </c>
      <c r="AH518">
        <v>0</v>
      </c>
      <c r="AI518">
        <v>0</v>
      </c>
      <c r="AJ518">
        <v>0</v>
      </c>
      <c r="AK518">
        <v>0</v>
      </c>
      <c r="AL518">
        <v>0</v>
      </c>
      <c r="AM518">
        <v>0</v>
      </c>
      <c r="AN518">
        <v>0</v>
      </c>
      <c r="AO518">
        <v>0</v>
      </c>
      <c r="AP518">
        <v>0</v>
      </c>
      <c r="AQ518">
        <v>0</v>
      </c>
      <c r="AR518">
        <v>0</v>
      </c>
      <c r="AS518">
        <v>1.1113299999999999E-4</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row>
    <row r="519" spans="2:90" x14ac:dyDescent="0.2">
      <c r="B519">
        <v>118.5</v>
      </c>
      <c r="C519">
        <v>0</v>
      </c>
      <c r="D519">
        <v>0</v>
      </c>
      <c r="E519">
        <v>0</v>
      </c>
      <c r="F519">
        <v>0</v>
      </c>
      <c r="G519">
        <v>0</v>
      </c>
      <c r="H519">
        <v>0</v>
      </c>
      <c r="I519">
        <v>0</v>
      </c>
      <c r="J519">
        <v>1.7498500000000001E-4</v>
      </c>
      <c r="K519">
        <v>0</v>
      </c>
      <c r="L519">
        <v>0</v>
      </c>
      <c r="M519">
        <v>2.0699999999999998E-5</v>
      </c>
      <c r="N519">
        <v>3.8500000000000004E-6</v>
      </c>
      <c r="O519">
        <v>0</v>
      </c>
      <c r="P519">
        <v>0</v>
      </c>
      <c r="Q519">
        <v>0</v>
      </c>
      <c r="R519">
        <v>3.8199999999999998E-6</v>
      </c>
      <c r="S519">
        <v>1.3E-7</v>
      </c>
      <c r="T519">
        <v>6.9800000000000001E-6</v>
      </c>
      <c r="U519">
        <v>6.4899999999999995E-7</v>
      </c>
      <c r="V519">
        <v>1.5400000000000001E-6</v>
      </c>
      <c r="W519">
        <v>5.4399999999999996E-6</v>
      </c>
      <c r="X519">
        <v>6.2400000000000004E-6</v>
      </c>
      <c r="Y519">
        <v>2.3900000000000001E-7</v>
      </c>
      <c r="Z519">
        <v>0</v>
      </c>
      <c r="AA519">
        <v>3.63E-6</v>
      </c>
      <c r="AB519">
        <v>0</v>
      </c>
      <c r="AC519">
        <v>0</v>
      </c>
      <c r="AD519">
        <v>0</v>
      </c>
      <c r="AE519">
        <v>1.1000000000000001E-6</v>
      </c>
      <c r="AF519">
        <v>2.4499999999999998E-6</v>
      </c>
      <c r="AG519">
        <v>0</v>
      </c>
      <c r="AH519">
        <v>7.8499999999999994E-6</v>
      </c>
      <c r="AI519">
        <v>0</v>
      </c>
      <c r="AJ519">
        <v>0</v>
      </c>
      <c r="AK519">
        <v>0</v>
      </c>
      <c r="AL519">
        <v>0</v>
      </c>
      <c r="AM519">
        <v>0</v>
      </c>
      <c r="AN519">
        <v>0</v>
      </c>
      <c r="AO519">
        <v>0</v>
      </c>
      <c r="AP519">
        <v>0</v>
      </c>
      <c r="AQ519">
        <v>0</v>
      </c>
      <c r="AR519">
        <v>0</v>
      </c>
      <c r="AS519">
        <v>1.1113299999999999E-4</v>
      </c>
      <c r="AT519">
        <v>0</v>
      </c>
      <c r="AU519">
        <v>1.2099999999999999E-5</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row>
    <row r="520" spans="2:90" x14ac:dyDescent="0.2">
      <c r="B520">
        <v>119.5</v>
      </c>
      <c r="C520">
        <v>0</v>
      </c>
      <c r="D520">
        <v>0</v>
      </c>
      <c r="E520">
        <v>0</v>
      </c>
      <c r="F520">
        <v>0</v>
      </c>
      <c r="G520">
        <v>0</v>
      </c>
      <c r="H520">
        <v>0</v>
      </c>
      <c r="I520">
        <v>0</v>
      </c>
      <c r="J520">
        <v>4.3599999999999998E-6</v>
      </c>
      <c r="K520">
        <v>0</v>
      </c>
      <c r="L520">
        <v>0</v>
      </c>
      <c r="M520">
        <v>3.41892E-4</v>
      </c>
      <c r="N520">
        <v>0</v>
      </c>
      <c r="O520">
        <v>4.9899999999999997E-6</v>
      </c>
      <c r="P520">
        <v>2.1299999999999999E-6</v>
      </c>
      <c r="Q520">
        <v>4.3499999999999999E-6</v>
      </c>
      <c r="R520">
        <v>3.5500000000000002E-5</v>
      </c>
      <c r="S520">
        <v>3.0700000000000001E-5</v>
      </c>
      <c r="T520">
        <v>5.6799999999999998E-5</v>
      </c>
      <c r="U520">
        <v>7.0299999999999996E-6</v>
      </c>
      <c r="V520">
        <v>1.49E-5</v>
      </c>
      <c r="W520">
        <v>6.0000000000000002E-5</v>
      </c>
      <c r="X520">
        <v>6.2299999999999996E-5</v>
      </c>
      <c r="Y520">
        <v>0</v>
      </c>
      <c r="Z520">
        <v>9.1600000000000004E-6</v>
      </c>
      <c r="AA520">
        <v>2.04E-6</v>
      </c>
      <c r="AB520">
        <v>2.4899999999999999E-5</v>
      </c>
      <c r="AC520">
        <v>9.1300000000000007E-6</v>
      </c>
      <c r="AD520">
        <v>5.2700000000000004E-6</v>
      </c>
      <c r="AE520">
        <v>2.6299999999999999E-5</v>
      </c>
      <c r="AF520">
        <v>4.5300000000000003E-5</v>
      </c>
      <c r="AG520">
        <v>0</v>
      </c>
      <c r="AH520">
        <v>3.8199999999999998E-6</v>
      </c>
      <c r="AI520">
        <v>3.8299999999999998E-6</v>
      </c>
      <c r="AJ520">
        <v>0</v>
      </c>
      <c r="AK520">
        <v>2.6599999999999999E-6</v>
      </c>
      <c r="AL520">
        <v>1.2300000000000001E-5</v>
      </c>
      <c r="AM520">
        <v>1.2099999999999999E-5</v>
      </c>
      <c r="AN520">
        <v>0</v>
      </c>
      <c r="AO520">
        <v>0</v>
      </c>
      <c r="AP520">
        <v>0</v>
      </c>
      <c r="AQ520">
        <v>0</v>
      </c>
      <c r="AR520">
        <v>1.6341899999999999E-4</v>
      </c>
      <c r="AS520">
        <v>1.1113299999999999E-4</v>
      </c>
      <c r="AT520">
        <v>0</v>
      </c>
      <c r="AU520">
        <v>6.3600000000000001E-5</v>
      </c>
      <c r="AV520">
        <v>2.8099999999999999E-5</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row>
  </sheetData>
  <conditionalFormatting sqref="J287:J316">
    <cfRule type="colorScale" priority="13">
      <colorScale>
        <cfvo type="min"/>
        <cfvo type="max"/>
        <color rgb="FFFCFCFF"/>
        <color rgb="FFF8696B"/>
      </colorScale>
    </cfRule>
  </conditionalFormatting>
  <conditionalFormatting sqref="K287:K316">
    <cfRule type="colorScale" priority="12">
      <colorScale>
        <cfvo type="min"/>
        <cfvo type="max"/>
        <color rgb="FFFCFCFF"/>
        <color rgb="FFF8696B"/>
      </colorScale>
    </cfRule>
  </conditionalFormatting>
  <conditionalFormatting sqref="L287:L316">
    <cfRule type="colorScale" priority="11">
      <colorScale>
        <cfvo type="min"/>
        <cfvo type="max"/>
        <color rgb="FFFCFCFF"/>
        <color rgb="FFF8696B"/>
      </colorScale>
    </cfRule>
  </conditionalFormatting>
  <conditionalFormatting sqref="M287:M316">
    <cfRule type="colorScale" priority="10">
      <colorScale>
        <cfvo type="min"/>
        <cfvo type="max"/>
        <color rgb="FFFCFCFF"/>
        <color rgb="FFF8696B"/>
      </colorScale>
    </cfRule>
  </conditionalFormatting>
  <conditionalFormatting sqref="N287:N316">
    <cfRule type="colorScale" priority="9">
      <colorScale>
        <cfvo type="min"/>
        <cfvo type="max"/>
        <color rgb="FFFCFCFF"/>
        <color rgb="FFF8696B"/>
      </colorScale>
    </cfRule>
  </conditionalFormatting>
  <conditionalFormatting sqref="O287:O316">
    <cfRule type="colorScale" priority="8">
      <colorScale>
        <cfvo type="min"/>
        <cfvo type="max"/>
        <color rgb="FFFCFCFF"/>
        <color rgb="FFF8696B"/>
      </colorScale>
    </cfRule>
  </conditionalFormatting>
  <conditionalFormatting sqref="P287:P316">
    <cfRule type="colorScale" priority="7">
      <colorScale>
        <cfvo type="min"/>
        <cfvo type="max"/>
        <color rgb="FFFCFCFF"/>
        <color rgb="FFF8696B"/>
      </colorScale>
    </cfRule>
  </conditionalFormatting>
  <conditionalFormatting sqref="Q287:Q316">
    <cfRule type="colorScale" priority="6">
      <colorScale>
        <cfvo type="min"/>
        <cfvo type="max"/>
        <color rgb="FFFCFCFF"/>
        <color rgb="FFF8696B"/>
      </colorScale>
    </cfRule>
  </conditionalFormatting>
  <conditionalFormatting sqref="R287:R316">
    <cfRule type="colorScale" priority="5">
      <colorScale>
        <cfvo type="min"/>
        <cfvo type="max"/>
        <color rgb="FFFCFCFF"/>
        <color rgb="FFF8696B"/>
      </colorScale>
    </cfRule>
  </conditionalFormatting>
  <conditionalFormatting sqref="S287:S316">
    <cfRule type="colorScale" priority="4">
      <colorScale>
        <cfvo type="min"/>
        <cfvo type="max"/>
        <color rgb="FFFCFCFF"/>
        <color rgb="FFF8696B"/>
      </colorScale>
    </cfRule>
  </conditionalFormatting>
  <conditionalFormatting sqref="T287:T316">
    <cfRule type="colorScale" priority="3">
      <colorScale>
        <cfvo type="min"/>
        <cfvo type="max"/>
        <color rgb="FFFCFCFF"/>
        <color rgb="FFF8696B"/>
      </colorScale>
    </cfRule>
  </conditionalFormatting>
  <conditionalFormatting sqref="U287:U316">
    <cfRule type="colorScale" priority="2">
      <colorScale>
        <cfvo type="min"/>
        <cfvo type="max"/>
        <color rgb="FFFCFCFF"/>
        <color rgb="FFF8696B"/>
      </colorScale>
    </cfRule>
  </conditionalFormatting>
  <conditionalFormatting sqref="V287:V316">
    <cfRule type="colorScale" priority="1">
      <colorScale>
        <cfvo type="min"/>
        <cfvo type="max"/>
        <color rgb="FFFCFCFF"/>
        <color rgb="FFF8696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63C2-76F4-014C-9ABF-7C6AD627E5EB}">
  <dimension ref="A1"/>
  <sheetViews>
    <sheetView workbookViewId="0"/>
  </sheetViews>
  <sheetFormatPr baseColWidth="10" defaultRowHeight="16"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4164-A883-8049-99F0-3BB88A19EFD7}">
  <dimension ref="A1:BF301"/>
  <sheetViews>
    <sheetView workbookViewId="0">
      <selection activeCell="B46" sqref="B46"/>
    </sheetView>
  </sheetViews>
  <sheetFormatPr baseColWidth="10" defaultRowHeight="16" x14ac:dyDescent="0.2"/>
  <sheetData>
    <row r="1" spans="1:14" x14ac:dyDescent="0.2">
      <c r="A1" t="s">
        <v>60</v>
      </c>
    </row>
    <row r="2" spans="1:14" x14ac:dyDescent="0.2">
      <c r="A2">
        <v>0</v>
      </c>
    </row>
    <row r="3" spans="1:14" x14ac:dyDescent="0.2">
      <c r="A3" t="s">
        <v>61</v>
      </c>
    </row>
    <row r="4" spans="1:14" x14ac:dyDescent="0.2">
      <c r="A4">
        <v>0</v>
      </c>
    </row>
    <row r="5" spans="1:14" x14ac:dyDescent="0.2">
      <c r="A5" t="s">
        <v>62</v>
      </c>
    </row>
    <row r="6" spans="1:14" x14ac:dyDescent="0.2">
      <c r="A6">
        <v>0</v>
      </c>
    </row>
    <row r="7" spans="1:14" x14ac:dyDescent="0.2">
      <c r="A7" t="s">
        <v>63</v>
      </c>
    </row>
    <row r="8" spans="1:14" x14ac:dyDescent="0.2">
      <c r="A8">
        <v>2026</v>
      </c>
    </row>
    <row r="9" spans="1:14" x14ac:dyDescent="0.2">
      <c r="A9" t="s">
        <v>64</v>
      </c>
    </row>
    <row r="10" spans="1:14" x14ac:dyDescent="0.2">
      <c r="B10">
        <v>0</v>
      </c>
    </row>
    <row r="11" spans="1:14" x14ac:dyDescent="0.2">
      <c r="A11" t="s">
        <v>65</v>
      </c>
    </row>
    <row r="12" spans="1:14" x14ac:dyDescent="0.2">
      <c r="B12">
        <v>2024</v>
      </c>
    </row>
    <row r="13" spans="1:14" x14ac:dyDescent="0.2">
      <c r="A13" t="s">
        <v>66</v>
      </c>
    </row>
    <row r="14" spans="1:14" x14ac:dyDescent="0.2">
      <c r="A14">
        <v>1991</v>
      </c>
      <c r="B14">
        <v>0.28452300000000003</v>
      </c>
      <c r="C14">
        <v>0.48249999999999998</v>
      </c>
      <c r="D14">
        <v>0.60438899999999995</v>
      </c>
      <c r="E14">
        <v>0.72995900000000002</v>
      </c>
      <c r="F14">
        <v>0.84377100000000005</v>
      </c>
      <c r="G14">
        <v>0.88239199999999995</v>
      </c>
      <c r="H14">
        <v>1.0201260000000001</v>
      </c>
      <c r="I14">
        <v>1.1225909999999999</v>
      </c>
      <c r="J14">
        <v>1.134854</v>
      </c>
      <c r="K14">
        <v>1.2371589999999999</v>
      </c>
      <c r="L14">
        <v>1.235978</v>
      </c>
      <c r="M14">
        <v>1.2956080000000001</v>
      </c>
      <c r="N14">
        <v>1.2467280000000001</v>
      </c>
    </row>
    <row r="15" spans="1:14" x14ac:dyDescent="0.2">
      <c r="A15">
        <f>A14+1</f>
        <v>1992</v>
      </c>
      <c r="B15">
        <v>0.39680300000000002</v>
      </c>
      <c r="C15">
        <v>0.46469700000000003</v>
      </c>
      <c r="D15">
        <v>0.65119000000000005</v>
      </c>
      <c r="E15">
        <v>0.71367599999999998</v>
      </c>
      <c r="F15">
        <v>0.81854300000000002</v>
      </c>
      <c r="G15">
        <v>0.98578699999999997</v>
      </c>
      <c r="H15">
        <v>1.0304199999999999</v>
      </c>
      <c r="I15">
        <v>1.199786</v>
      </c>
      <c r="J15">
        <v>1.236505</v>
      </c>
      <c r="K15">
        <v>1.2692399999999999</v>
      </c>
      <c r="L15">
        <v>1.1931400000000001</v>
      </c>
      <c r="M15">
        <v>1.3574299999999999</v>
      </c>
      <c r="N15">
        <v>1.431386</v>
      </c>
    </row>
    <row r="16" spans="1:14" x14ac:dyDescent="0.2">
      <c r="A16">
        <f t="shared" ref="A16:A46" si="0">A15+1</f>
        <v>1993</v>
      </c>
      <c r="B16">
        <v>0.494728</v>
      </c>
      <c r="C16">
        <v>0.61207100000000003</v>
      </c>
      <c r="D16">
        <v>0.65181699999999998</v>
      </c>
      <c r="E16">
        <v>0.77485800000000005</v>
      </c>
      <c r="F16">
        <v>0.93447599999999997</v>
      </c>
      <c r="G16">
        <v>1.062411</v>
      </c>
      <c r="H16">
        <v>1.1977340000000001</v>
      </c>
      <c r="I16">
        <v>1.2404189999999999</v>
      </c>
      <c r="J16">
        <v>1.423335</v>
      </c>
      <c r="K16">
        <v>1.5398320000000001</v>
      </c>
      <c r="L16">
        <v>1.5757289999999999</v>
      </c>
      <c r="M16">
        <v>1.6087020000000001</v>
      </c>
      <c r="N16">
        <v>1.5076879999999999</v>
      </c>
    </row>
    <row r="17" spans="1:14" x14ac:dyDescent="0.2">
      <c r="A17">
        <f t="shared" si="0"/>
        <v>1994</v>
      </c>
      <c r="B17">
        <v>0.40005000000000002</v>
      </c>
      <c r="C17">
        <v>0.65162600000000004</v>
      </c>
      <c r="D17">
        <v>0.73238999999999999</v>
      </c>
      <c r="E17">
        <v>0.74580299999999999</v>
      </c>
      <c r="F17">
        <v>0.72697299999999998</v>
      </c>
      <c r="G17">
        <v>1.0700460000000001</v>
      </c>
      <c r="H17">
        <v>1.379894</v>
      </c>
      <c r="I17">
        <v>1.3248629999999999</v>
      </c>
      <c r="J17">
        <v>1.3350200000000001</v>
      </c>
      <c r="K17">
        <v>1.4090069999999999</v>
      </c>
      <c r="L17">
        <v>1.3970400000000001</v>
      </c>
      <c r="M17">
        <v>1.277838</v>
      </c>
      <c r="N17">
        <v>1.369793</v>
      </c>
    </row>
    <row r="18" spans="1:14" x14ac:dyDescent="0.2">
      <c r="A18">
        <f t="shared" si="0"/>
        <v>1995</v>
      </c>
      <c r="B18">
        <v>0.38561099999999998</v>
      </c>
      <c r="C18">
        <v>0.50526499999999996</v>
      </c>
      <c r="D18">
        <v>0.728522</v>
      </c>
      <c r="E18">
        <v>0.84324500000000002</v>
      </c>
      <c r="F18">
        <v>0.84729600000000005</v>
      </c>
      <c r="G18">
        <v>0.96959200000000001</v>
      </c>
      <c r="H18">
        <v>1.231843</v>
      </c>
      <c r="I18">
        <v>1.2963020000000001</v>
      </c>
      <c r="J18">
        <v>1.4006780000000001</v>
      </c>
      <c r="K18">
        <v>1.4019509999999999</v>
      </c>
      <c r="L18">
        <v>1.3922330000000001</v>
      </c>
      <c r="M18">
        <v>1.094948</v>
      </c>
      <c r="N18">
        <v>1.305507</v>
      </c>
    </row>
    <row r="19" spans="1:14" x14ac:dyDescent="0.2">
      <c r="A19">
        <f t="shared" si="0"/>
        <v>1996</v>
      </c>
      <c r="B19">
        <v>0.33560600000000002</v>
      </c>
      <c r="C19">
        <v>0.44507400000000003</v>
      </c>
      <c r="D19">
        <v>0.68436399999999997</v>
      </c>
      <c r="E19">
        <v>0.79676499999999995</v>
      </c>
      <c r="F19">
        <v>0.94837899999999997</v>
      </c>
      <c r="G19">
        <v>0.95551900000000001</v>
      </c>
      <c r="H19">
        <v>1.025466</v>
      </c>
      <c r="I19">
        <v>1.0996980000000001</v>
      </c>
      <c r="J19">
        <v>1.418002</v>
      </c>
      <c r="K19">
        <v>1.489233</v>
      </c>
      <c r="L19">
        <v>1.520591</v>
      </c>
      <c r="M19">
        <v>1.7019010000000001</v>
      </c>
      <c r="N19">
        <v>1.601963</v>
      </c>
    </row>
    <row r="20" spans="1:14" x14ac:dyDescent="0.2">
      <c r="A20">
        <f t="shared" si="0"/>
        <v>1997</v>
      </c>
      <c r="B20">
        <v>0.32671699999999998</v>
      </c>
      <c r="C20">
        <v>0.47687000000000002</v>
      </c>
      <c r="D20">
        <v>0.55904500000000001</v>
      </c>
      <c r="E20">
        <v>0.74756400000000001</v>
      </c>
      <c r="F20">
        <v>0.88880800000000004</v>
      </c>
      <c r="G20">
        <v>1.0740890000000001</v>
      </c>
      <c r="H20">
        <v>1.095178</v>
      </c>
      <c r="I20">
        <v>1.2356579999999999</v>
      </c>
      <c r="J20">
        <v>1.2867249999999999</v>
      </c>
      <c r="K20">
        <v>1.399735</v>
      </c>
      <c r="L20">
        <v>1.5612710000000001</v>
      </c>
      <c r="M20">
        <v>1.363416</v>
      </c>
      <c r="N20">
        <v>1.3377540000000001</v>
      </c>
    </row>
    <row r="21" spans="1:14" x14ac:dyDescent="0.2">
      <c r="A21">
        <f t="shared" si="0"/>
        <v>1998</v>
      </c>
      <c r="B21">
        <v>0.36938399999999999</v>
      </c>
      <c r="C21">
        <v>0.58930199999999999</v>
      </c>
      <c r="D21">
        <v>0.61837600000000004</v>
      </c>
      <c r="E21">
        <v>0.62162799999999996</v>
      </c>
      <c r="F21">
        <v>0.77956800000000004</v>
      </c>
      <c r="G21">
        <v>1.0400160000000001</v>
      </c>
      <c r="H21">
        <v>1.169286</v>
      </c>
      <c r="I21">
        <v>1.2758579999999999</v>
      </c>
      <c r="J21">
        <v>1.3161309999999999</v>
      </c>
      <c r="K21">
        <v>1.427718</v>
      </c>
      <c r="L21">
        <v>1.4483630000000001</v>
      </c>
      <c r="M21">
        <v>1.436974</v>
      </c>
      <c r="N21">
        <v>1.5283709999999999</v>
      </c>
    </row>
    <row r="22" spans="1:14" x14ac:dyDescent="0.2">
      <c r="A22">
        <f t="shared" si="0"/>
        <v>1999</v>
      </c>
      <c r="B22">
        <v>0.40445599999999998</v>
      </c>
      <c r="C22">
        <v>0.50701600000000002</v>
      </c>
      <c r="D22">
        <v>0.64339199999999996</v>
      </c>
      <c r="E22">
        <v>0.70229399999999997</v>
      </c>
      <c r="F22">
        <v>0.72863199999999995</v>
      </c>
      <c r="G22">
        <v>0.89366199999999996</v>
      </c>
      <c r="H22">
        <v>1.0377289999999999</v>
      </c>
      <c r="I22">
        <v>1.2527239999999999</v>
      </c>
      <c r="J22">
        <v>1.2239679999999999</v>
      </c>
      <c r="K22">
        <v>1.42242</v>
      </c>
      <c r="L22">
        <v>0.99487000000000003</v>
      </c>
      <c r="M22">
        <v>1.4022030000000001</v>
      </c>
      <c r="N22">
        <v>1.238645</v>
      </c>
    </row>
    <row r="23" spans="1:14" x14ac:dyDescent="0.2">
      <c r="A23">
        <f t="shared" si="0"/>
        <v>2000</v>
      </c>
      <c r="B23">
        <v>0.35296699999999998</v>
      </c>
      <c r="C23">
        <v>0.52565700000000004</v>
      </c>
      <c r="D23">
        <v>0.62991600000000003</v>
      </c>
      <c r="E23">
        <v>0.731738</v>
      </c>
      <c r="F23">
        <v>0.77970799999999996</v>
      </c>
      <c r="G23">
        <v>0.80663799999999997</v>
      </c>
      <c r="H23">
        <v>0.96790500000000002</v>
      </c>
      <c r="I23">
        <v>1.0148429999999999</v>
      </c>
      <c r="J23">
        <v>1.2528760000000001</v>
      </c>
      <c r="K23">
        <v>1.2864180000000001</v>
      </c>
      <c r="L23">
        <v>1.1081369999999999</v>
      </c>
      <c r="M23">
        <v>1.083882</v>
      </c>
      <c r="N23">
        <v>1.358762</v>
      </c>
    </row>
    <row r="24" spans="1:14" x14ac:dyDescent="0.2">
      <c r="A24">
        <f t="shared" si="0"/>
        <v>2001</v>
      </c>
      <c r="B24">
        <v>0.32898699999999997</v>
      </c>
      <c r="C24">
        <v>0.504776</v>
      </c>
      <c r="D24">
        <v>0.66791199999999995</v>
      </c>
      <c r="E24">
        <v>0.78550399999999998</v>
      </c>
      <c r="F24">
        <v>0.96381399999999995</v>
      </c>
      <c r="G24">
        <v>0.98563999999999996</v>
      </c>
      <c r="H24">
        <v>1.061105</v>
      </c>
      <c r="I24">
        <v>1.132863</v>
      </c>
      <c r="J24">
        <v>1.319515</v>
      </c>
      <c r="K24">
        <v>1.411108</v>
      </c>
      <c r="L24">
        <v>1.568255</v>
      </c>
      <c r="M24">
        <v>1.4723919999999999</v>
      </c>
      <c r="N24">
        <v>1.4949209999999999</v>
      </c>
    </row>
    <row r="25" spans="1:14" x14ac:dyDescent="0.2">
      <c r="A25">
        <f t="shared" si="0"/>
        <v>2002</v>
      </c>
      <c r="B25">
        <v>0.38494299999999998</v>
      </c>
      <c r="C25">
        <v>0.509822</v>
      </c>
      <c r="D25">
        <v>0.66734300000000002</v>
      </c>
      <c r="E25">
        <v>0.798844</v>
      </c>
      <c r="F25">
        <v>0.91085199999999999</v>
      </c>
      <c r="G25">
        <v>1.025741</v>
      </c>
      <c r="H25">
        <v>1.1129640000000001</v>
      </c>
      <c r="I25">
        <v>1.101521</v>
      </c>
      <c r="J25">
        <v>1.283517</v>
      </c>
      <c r="K25">
        <v>1.4421729999999999</v>
      </c>
      <c r="L25">
        <v>1.578749</v>
      </c>
      <c r="M25">
        <v>1.289712</v>
      </c>
      <c r="N25">
        <v>1.5678030000000001</v>
      </c>
    </row>
    <row r="26" spans="1:14" x14ac:dyDescent="0.2">
      <c r="A26">
        <f t="shared" si="0"/>
        <v>2003</v>
      </c>
      <c r="B26">
        <v>0.48924099999999998</v>
      </c>
      <c r="C26">
        <v>0.54878400000000005</v>
      </c>
      <c r="D26">
        <v>0.65156099999999995</v>
      </c>
      <c r="E26">
        <v>0.76883900000000005</v>
      </c>
      <c r="F26">
        <v>0.86300399999999999</v>
      </c>
      <c r="G26">
        <v>0.95278399999999996</v>
      </c>
      <c r="H26">
        <v>1.08565</v>
      </c>
      <c r="I26">
        <v>1.2015290000000001</v>
      </c>
      <c r="J26">
        <v>1.2115769999999999</v>
      </c>
      <c r="K26">
        <v>1.194453</v>
      </c>
      <c r="L26">
        <v>1.374064</v>
      </c>
      <c r="M26">
        <v>1.354663</v>
      </c>
      <c r="N26">
        <v>1.7094419999999999</v>
      </c>
    </row>
    <row r="27" spans="1:14" x14ac:dyDescent="0.2">
      <c r="A27">
        <f t="shared" si="0"/>
        <v>2004</v>
      </c>
      <c r="B27">
        <v>0.40848600000000002</v>
      </c>
      <c r="C27">
        <v>0.58389100000000005</v>
      </c>
      <c r="D27">
        <v>0.64124700000000001</v>
      </c>
      <c r="E27">
        <v>0.75987199999999999</v>
      </c>
      <c r="F27">
        <v>0.88763199999999998</v>
      </c>
      <c r="G27">
        <v>0.924377</v>
      </c>
      <c r="H27">
        <v>1.0355049999999999</v>
      </c>
      <c r="I27">
        <v>1.1762520000000001</v>
      </c>
      <c r="J27">
        <v>1.1268119999999999</v>
      </c>
      <c r="K27">
        <v>1.166779</v>
      </c>
      <c r="L27">
        <v>1.3094969999999999</v>
      </c>
      <c r="M27">
        <v>1.2536240000000001</v>
      </c>
      <c r="N27">
        <v>1.184688</v>
      </c>
    </row>
    <row r="28" spans="1:14" x14ac:dyDescent="0.2">
      <c r="A28">
        <f t="shared" si="0"/>
        <v>2005</v>
      </c>
      <c r="B28">
        <v>0.35106999999999999</v>
      </c>
      <c r="C28">
        <v>0.50822699999999998</v>
      </c>
      <c r="D28">
        <v>0.64109099999999997</v>
      </c>
      <c r="E28">
        <v>0.74170999999999998</v>
      </c>
      <c r="F28">
        <v>0.88013399999999997</v>
      </c>
      <c r="G28">
        <v>0.959955</v>
      </c>
      <c r="H28">
        <v>1.0616909999999999</v>
      </c>
      <c r="I28">
        <v>1.0742039999999999</v>
      </c>
      <c r="J28">
        <v>1.21628</v>
      </c>
      <c r="K28">
        <v>1.2679849999999999</v>
      </c>
      <c r="L28">
        <v>1.2174879999999999</v>
      </c>
      <c r="M28">
        <v>1.0755049999999999</v>
      </c>
      <c r="N28">
        <v>1.342282</v>
      </c>
    </row>
    <row r="29" spans="1:14" x14ac:dyDescent="0.2">
      <c r="A29">
        <f t="shared" si="0"/>
        <v>2006</v>
      </c>
      <c r="B29">
        <v>0.30552200000000002</v>
      </c>
      <c r="C29">
        <v>0.44837700000000003</v>
      </c>
      <c r="D29">
        <v>0.60639900000000002</v>
      </c>
      <c r="E29">
        <v>0.75533099999999997</v>
      </c>
      <c r="F29">
        <v>0.85766500000000001</v>
      </c>
      <c r="G29">
        <v>0.95863100000000001</v>
      </c>
      <c r="H29">
        <v>1.0603100000000001</v>
      </c>
      <c r="I29">
        <v>1.116617</v>
      </c>
      <c r="J29">
        <v>1.1901029999999999</v>
      </c>
      <c r="K29">
        <v>1.2182010000000001</v>
      </c>
      <c r="L29">
        <v>1.279677</v>
      </c>
      <c r="M29">
        <v>1.384137</v>
      </c>
      <c r="N29">
        <v>1.4170780000000001</v>
      </c>
    </row>
    <row r="30" spans="1:14" x14ac:dyDescent="0.2">
      <c r="A30">
        <f t="shared" si="0"/>
        <v>2007</v>
      </c>
      <c r="B30">
        <v>0.34900599999999998</v>
      </c>
      <c r="C30">
        <v>0.50743300000000002</v>
      </c>
      <c r="D30">
        <v>0.64234500000000005</v>
      </c>
      <c r="E30">
        <v>0.78293400000000002</v>
      </c>
      <c r="F30">
        <v>0.960534</v>
      </c>
      <c r="G30">
        <v>1.1003240000000001</v>
      </c>
      <c r="H30">
        <v>1.192178</v>
      </c>
      <c r="I30">
        <v>1.266491</v>
      </c>
      <c r="J30">
        <v>1.3268930000000001</v>
      </c>
      <c r="K30">
        <v>1.4877260000000001</v>
      </c>
      <c r="L30">
        <v>1.4437880000000001</v>
      </c>
      <c r="M30">
        <v>1.7285440000000001</v>
      </c>
      <c r="N30">
        <v>1.511781</v>
      </c>
    </row>
    <row r="31" spans="1:14" x14ac:dyDescent="0.2">
      <c r="A31">
        <f t="shared" si="0"/>
        <v>2008</v>
      </c>
      <c r="B31">
        <v>0.32822200000000001</v>
      </c>
      <c r="C31">
        <v>0.51871400000000001</v>
      </c>
      <c r="D31">
        <v>0.65268899999999996</v>
      </c>
      <c r="E31">
        <v>0.77393699999999999</v>
      </c>
      <c r="F31">
        <v>0.89990499999999995</v>
      </c>
      <c r="G31">
        <v>1.054227</v>
      </c>
      <c r="H31">
        <v>1.1165659999999999</v>
      </c>
      <c r="I31">
        <v>1.288861</v>
      </c>
      <c r="J31">
        <v>1.452421</v>
      </c>
      <c r="K31">
        <v>1.5277050000000001</v>
      </c>
      <c r="L31">
        <v>1.56043</v>
      </c>
      <c r="M31">
        <v>1.8735520000000001</v>
      </c>
      <c r="N31">
        <v>1.6446879999999999</v>
      </c>
    </row>
    <row r="32" spans="1:14" x14ac:dyDescent="0.2">
      <c r="A32">
        <f t="shared" si="0"/>
        <v>2009</v>
      </c>
      <c r="B32">
        <v>0.33960600000000002</v>
      </c>
      <c r="C32">
        <v>0.52512999999999999</v>
      </c>
      <c r="D32">
        <v>0.70476799999999995</v>
      </c>
      <c r="E32">
        <v>0.87862600000000002</v>
      </c>
      <c r="F32">
        <v>0.999417</v>
      </c>
      <c r="G32">
        <v>1.1304920000000001</v>
      </c>
      <c r="H32">
        <v>1.3982870000000001</v>
      </c>
      <c r="I32">
        <v>1.479225</v>
      </c>
      <c r="J32">
        <v>1.5578810000000001</v>
      </c>
      <c r="K32">
        <v>1.576152</v>
      </c>
      <c r="L32">
        <v>1.8069390000000001</v>
      </c>
      <c r="M32">
        <v>2.0257019999999999</v>
      </c>
      <c r="N32">
        <v>2.2220789999999999</v>
      </c>
    </row>
    <row r="33" spans="1:14" x14ac:dyDescent="0.2">
      <c r="A33">
        <f t="shared" si="0"/>
        <v>2010</v>
      </c>
      <c r="B33">
        <v>0.38077299999999997</v>
      </c>
      <c r="C33">
        <v>0.48998900000000001</v>
      </c>
      <c r="D33">
        <v>0.66752999999999996</v>
      </c>
      <c r="E33">
        <v>0.90904700000000005</v>
      </c>
      <c r="F33">
        <v>1.1142650000000001</v>
      </c>
      <c r="G33">
        <v>1.276856</v>
      </c>
      <c r="H33">
        <v>1.3736079999999999</v>
      </c>
      <c r="I33">
        <v>1.5857559999999999</v>
      </c>
      <c r="J33">
        <v>1.679019</v>
      </c>
      <c r="K33">
        <v>1.9234530000000001</v>
      </c>
      <c r="L33">
        <v>1.9479040000000001</v>
      </c>
      <c r="M33">
        <v>2.0770390000000001</v>
      </c>
      <c r="N33">
        <v>2.2711610000000002</v>
      </c>
    </row>
    <row r="34" spans="1:14" x14ac:dyDescent="0.2">
      <c r="A34">
        <f t="shared" si="0"/>
        <v>2011</v>
      </c>
      <c r="B34">
        <v>0.29030600000000001</v>
      </c>
      <c r="C34">
        <v>0.50827699999999998</v>
      </c>
      <c r="D34">
        <v>0.66555200000000003</v>
      </c>
      <c r="E34">
        <v>0.80944099999999997</v>
      </c>
      <c r="F34">
        <v>0.97145899999999996</v>
      </c>
      <c r="G34">
        <v>1.223768</v>
      </c>
      <c r="H34">
        <v>1.3421730000000001</v>
      </c>
      <c r="I34">
        <v>1.513015</v>
      </c>
      <c r="J34">
        <v>1.5817399999999999</v>
      </c>
      <c r="K34">
        <v>1.6233379999999999</v>
      </c>
      <c r="L34">
        <v>2.0795689999999998</v>
      </c>
      <c r="M34">
        <v>1.7072309999999999</v>
      </c>
      <c r="N34">
        <v>2.2422369999999998</v>
      </c>
    </row>
    <row r="35" spans="1:14" x14ac:dyDescent="0.2">
      <c r="A35">
        <f t="shared" si="0"/>
        <v>2012</v>
      </c>
      <c r="B35">
        <v>0.27060800000000002</v>
      </c>
      <c r="C35">
        <v>0.40947600000000001</v>
      </c>
      <c r="D35">
        <v>0.64321300000000003</v>
      </c>
      <c r="E35">
        <v>0.82413800000000004</v>
      </c>
      <c r="F35">
        <v>0.97392000000000001</v>
      </c>
      <c r="G35">
        <v>1.169735</v>
      </c>
      <c r="H35">
        <v>1.302818</v>
      </c>
      <c r="I35">
        <v>1.5094510000000001</v>
      </c>
      <c r="J35">
        <v>1.5988690000000001</v>
      </c>
      <c r="K35">
        <v>1.6366750000000001</v>
      </c>
      <c r="L35">
        <v>1.680013</v>
      </c>
      <c r="M35">
        <v>2.0311520000000001</v>
      </c>
      <c r="N35">
        <v>2.0621330000000002</v>
      </c>
    </row>
    <row r="36" spans="1:14" x14ac:dyDescent="0.2">
      <c r="A36">
        <f t="shared" si="0"/>
        <v>2013</v>
      </c>
      <c r="B36">
        <v>0.28956500000000002</v>
      </c>
      <c r="C36">
        <v>0.44213799999999998</v>
      </c>
      <c r="D36">
        <v>0.56446200000000002</v>
      </c>
      <c r="E36">
        <v>0.78057200000000004</v>
      </c>
      <c r="F36">
        <v>1.1301079999999999</v>
      </c>
      <c r="G36">
        <v>1.2814719999999999</v>
      </c>
      <c r="H36">
        <v>1.439581</v>
      </c>
      <c r="I36">
        <v>1.684725</v>
      </c>
      <c r="J36">
        <v>1.8273520000000001</v>
      </c>
      <c r="K36">
        <v>1.7857339999999999</v>
      </c>
      <c r="L36">
        <v>1.9339040000000001</v>
      </c>
      <c r="M36">
        <v>2.1590829999999999</v>
      </c>
      <c r="N36">
        <v>2.1821830000000002</v>
      </c>
    </row>
    <row r="37" spans="1:14" x14ac:dyDescent="0.2">
      <c r="A37">
        <f t="shared" si="0"/>
        <v>2014</v>
      </c>
      <c r="B37">
        <v>0.31882100000000002</v>
      </c>
      <c r="C37">
        <v>0.45413199999999998</v>
      </c>
      <c r="D37">
        <v>0.61687899999999996</v>
      </c>
      <c r="E37">
        <v>0.75125600000000003</v>
      </c>
      <c r="F37">
        <v>0.89385599999999998</v>
      </c>
      <c r="G37">
        <v>1.156345</v>
      </c>
      <c r="H37">
        <v>1.306716</v>
      </c>
      <c r="I37">
        <v>1.386355</v>
      </c>
      <c r="J37">
        <v>1.669198</v>
      </c>
      <c r="K37">
        <v>1.7733479999999999</v>
      </c>
      <c r="L37">
        <v>1.704242</v>
      </c>
      <c r="M37">
        <v>1.623389</v>
      </c>
      <c r="N37">
        <v>2.2152340000000001</v>
      </c>
    </row>
    <row r="38" spans="1:14" x14ac:dyDescent="0.2">
      <c r="A38">
        <f t="shared" si="0"/>
        <v>2015</v>
      </c>
      <c r="B38">
        <v>0.40399499999999999</v>
      </c>
      <c r="C38">
        <v>0.46221099999999998</v>
      </c>
      <c r="D38">
        <v>0.57057999999999998</v>
      </c>
      <c r="E38">
        <v>0.69025599999999998</v>
      </c>
      <c r="F38">
        <v>0.78607400000000005</v>
      </c>
      <c r="G38">
        <v>0.88670800000000005</v>
      </c>
      <c r="H38">
        <v>1.1407210000000001</v>
      </c>
      <c r="I38">
        <v>1.1952959999999999</v>
      </c>
      <c r="J38">
        <v>1.3154060000000001</v>
      </c>
      <c r="K38">
        <v>1.670917</v>
      </c>
      <c r="L38">
        <v>1.389203</v>
      </c>
      <c r="M38">
        <v>1.5591619999999999</v>
      </c>
      <c r="N38">
        <v>2.6000770000000002</v>
      </c>
    </row>
    <row r="39" spans="1:14" x14ac:dyDescent="0.2">
      <c r="A39">
        <f t="shared" si="0"/>
        <v>2016</v>
      </c>
      <c r="B39">
        <v>0.40855900000000001</v>
      </c>
      <c r="C39">
        <v>0.53111699999999995</v>
      </c>
      <c r="D39">
        <v>0.55702499999999999</v>
      </c>
      <c r="E39">
        <v>0.64597199999999999</v>
      </c>
      <c r="F39">
        <v>0.73182100000000005</v>
      </c>
      <c r="G39">
        <v>0.799736</v>
      </c>
      <c r="H39">
        <v>0.94050500000000004</v>
      </c>
      <c r="I39">
        <v>1.0434110000000001</v>
      </c>
      <c r="J39">
        <v>1.1779869999999999</v>
      </c>
      <c r="K39">
        <v>0.78776000000000002</v>
      </c>
      <c r="L39">
        <v>0.91117800000000004</v>
      </c>
      <c r="M39">
        <v>1.6839230000000001</v>
      </c>
      <c r="N39">
        <v>1.42947</v>
      </c>
    </row>
    <row r="40" spans="1:14" x14ac:dyDescent="0.2">
      <c r="A40">
        <f t="shared" si="0"/>
        <v>2017</v>
      </c>
      <c r="B40">
        <v>0.40830699999999998</v>
      </c>
      <c r="C40">
        <v>0.49851600000000001</v>
      </c>
      <c r="D40">
        <v>0.65028699999999995</v>
      </c>
      <c r="E40">
        <v>0.69372100000000003</v>
      </c>
      <c r="F40">
        <v>0.75185199999999996</v>
      </c>
      <c r="G40">
        <v>0.827407</v>
      </c>
      <c r="H40">
        <v>0.89392199999999999</v>
      </c>
      <c r="I40">
        <v>0.91115500000000005</v>
      </c>
      <c r="J40">
        <v>1.027504</v>
      </c>
      <c r="K40">
        <v>0.96131800000000001</v>
      </c>
      <c r="L40">
        <v>1.359364</v>
      </c>
      <c r="M40">
        <v>0.70114799999999999</v>
      </c>
      <c r="N40">
        <v>1.5399970000000001</v>
      </c>
    </row>
    <row r="41" spans="1:14" x14ac:dyDescent="0.2">
      <c r="A41">
        <f t="shared" si="0"/>
        <v>2018</v>
      </c>
      <c r="B41">
        <v>0.377245</v>
      </c>
      <c r="C41">
        <v>0.46675299999999997</v>
      </c>
      <c r="D41">
        <v>0.57318199999999997</v>
      </c>
      <c r="E41">
        <v>0.73370000000000002</v>
      </c>
      <c r="F41">
        <v>0.808813</v>
      </c>
      <c r="G41">
        <v>0.85316999999999998</v>
      </c>
      <c r="H41">
        <v>0.90635100000000002</v>
      </c>
      <c r="I41">
        <v>1.0388269999999999</v>
      </c>
      <c r="J41">
        <v>0.93559400000000004</v>
      </c>
      <c r="K41">
        <v>1.1100719999999999</v>
      </c>
      <c r="L41">
        <v>1.359364</v>
      </c>
      <c r="M41">
        <v>1.4022030000000001</v>
      </c>
      <c r="N41">
        <v>1.1296409999999999</v>
      </c>
    </row>
    <row r="42" spans="1:14" x14ac:dyDescent="0.2">
      <c r="A42">
        <f t="shared" si="0"/>
        <v>2019</v>
      </c>
      <c r="B42">
        <v>0.42191200000000001</v>
      </c>
      <c r="C42">
        <v>0.56524700000000005</v>
      </c>
      <c r="D42">
        <v>0.64322500000000005</v>
      </c>
      <c r="E42">
        <v>0.75939800000000002</v>
      </c>
      <c r="F42">
        <v>0.87848300000000001</v>
      </c>
      <c r="G42">
        <v>0.96227600000000002</v>
      </c>
      <c r="H42">
        <v>1.0067980000000001</v>
      </c>
      <c r="I42">
        <v>1.064675</v>
      </c>
      <c r="J42">
        <v>1.034985</v>
      </c>
      <c r="K42">
        <v>1.1818919999999999</v>
      </c>
      <c r="L42">
        <v>0.75417299999999998</v>
      </c>
      <c r="M42">
        <v>1.4022030000000001</v>
      </c>
      <c r="N42">
        <v>1.5399970000000001</v>
      </c>
    </row>
    <row r="43" spans="1:14" x14ac:dyDescent="0.2">
      <c r="A43">
        <f t="shared" si="0"/>
        <v>2020</v>
      </c>
      <c r="B43">
        <v>0.38727899999999998</v>
      </c>
      <c r="C43">
        <v>0.52157900000000001</v>
      </c>
      <c r="D43">
        <v>0.63198299999999996</v>
      </c>
      <c r="E43">
        <v>0.71557199999999999</v>
      </c>
      <c r="F43">
        <v>0.799211</v>
      </c>
      <c r="G43">
        <v>0.95508099999999996</v>
      </c>
      <c r="H43">
        <v>1.005954</v>
      </c>
      <c r="I43">
        <v>1.0402579999999999</v>
      </c>
      <c r="J43">
        <v>1.189235</v>
      </c>
      <c r="K43">
        <v>1.072451</v>
      </c>
      <c r="L43">
        <v>1.208377</v>
      </c>
      <c r="M43">
        <v>0.96073900000000001</v>
      </c>
      <c r="N43">
        <v>1.5399970000000001</v>
      </c>
    </row>
    <row r="44" spans="1:14" x14ac:dyDescent="0.2">
      <c r="A44">
        <f t="shared" si="0"/>
        <v>2021</v>
      </c>
      <c r="B44">
        <v>0.393063</v>
      </c>
      <c r="C44">
        <v>0.479856</v>
      </c>
      <c r="D44">
        <v>0.57371499999999997</v>
      </c>
      <c r="E44">
        <v>0.68978200000000001</v>
      </c>
      <c r="F44">
        <v>0.75687300000000002</v>
      </c>
      <c r="G44">
        <v>0.84131599999999995</v>
      </c>
      <c r="H44">
        <v>1.0106580000000001</v>
      </c>
      <c r="I44">
        <v>1.1298109999999999</v>
      </c>
      <c r="J44">
        <v>1.1597489999999999</v>
      </c>
      <c r="K44">
        <v>1.2693300000000001</v>
      </c>
      <c r="L44">
        <v>1.2144999999999999</v>
      </c>
      <c r="M44">
        <v>1.4022030000000001</v>
      </c>
      <c r="N44">
        <v>1.5399970000000001</v>
      </c>
    </row>
    <row r="45" spans="1:14" x14ac:dyDescent="0.2">
      <c r="A45">
        <f t="shared" si="0"/>
        <v>2022</v>
      </c>
      <c r="B45">
        <v>0.440141</v>
      </c>
      <c r="C45">
        <v>0.50607000000000002</v>
      </c>
      <c r="D45">
        <v>0.57391300000000001</v>
      </c>
      <c r="E45">
        <v>0.72403399999999996</v>
      </c>
      <c r="F45">
        <v>0.83748400000000001</v>
      </c>
      <c r="G45">
        <v>0.88325900000000002</v>
      </c>
      <c r="H45">
        <v>0.98369700000000004</v>
      </c>
      <c r="I45">
        <v>0.97232600000000002</v>
      </c>
      <c r="J45">
        <v>1.271469</v>
      </c>
      <c r="K45">
        <v>1.0442340000000001</v>
      </c>
      <c r="L45">
        <v>1.2345349999999999</v>
      </c>
      <c r="M45">
        <v>0.91030800000000001</v>
      </c>
      <c r="N45">
        <v>1.5399970000000001</v>
      </c>
    </row>
    <row r="46" spans="1:14" x14ac:dyDescent="0.2">
      <c r="A46">
        <f t="shared" si="0"/>
        <v>2023</v>
      </c>
      <c r="B46">
        <v>0.49244700000000002</v>
      </c>
      <c r="C46">
        <v>0.48164200000000001</v>
      </c>
      <c r="D46">
        <v>0.52442100000000003</v>
      </c>
      <c r="E46">
        <v>0.605881</v>
      </c>
      <c r="F46">
        <v>0.79622999999999999</v>
      </c>
      <c r="G46">
        <v>0.91978199999999999</v>
      </c>
      <c r="H46">
        <v>0.95535499999999995</v>
      </c>
      <c r="I46">
        <v>1.045836</v>
      </c>
      <c r="J46">
        <v>1.0881769999999999</v>
      </c>
      <c r="K46">
        <v>1.267231</v>
      </c>
      <c r="L46">
        <v>1.3546560000000001</v>
      </c>
      <c r="M46">
        <v>1.325267</v>
      </c>
      <c r="N46">
        <v>0.95058200000000004</v>
      </c>
    </row>
    <row r="47" spans="1:14" x14ac:dyDescent="0.2">
      <c r="B47">
        <v>0.181032</v>
      </c>
      <c r="C47">
        <v>0.34010299999999999</v>
      </c>
      <c r="D47">
        <v>0.41128500000000001</v>
      </c>
      <c r="E47">
        <v>0.77749000000000001</v>
      </c>
      <c r="F47">
        <v>1.0506310000000001</v>
      </c>
      <c r="G47">
        <v>1.187602</v>
      </c>
      <c r="H47">
        <v>1.401295</v>
      </c>
      <c r="I47">
        <v>1.566716</v>
      </c>
      <c r="J47">
        <v>2.23455</v>
      </c>
      <c r="K47">
        <v>1.990129</v>
      </c>
      <c r="L47">
        <v>1.903567</v>
      </c>
      <c r="M47">
        <v>1.5238579999999999</v>
      </c>
      <c r="N47">
        <v>2.945983</v>
      </c>
    </row>
    <row r="48" spans="1:14" x14ac:dyDescent="0.2">
      <c r="B48">
        <v>0.209231</v>
      </c>
      <c r="C48">
        <v>0.34220800000000001</v>
      </c>
      <c r="D48">
        <v>0.53621399999999997</v>
      </c>
      <c r="E48">
        <v>0.77379900000000001</v>
      </c>
      <c r="F48">
        <v>1.0155479999999999</v>
      </c>
      <c r="G48">
        <v>1.452548</v>
      </c>
      <c r="H48">
        <v>1.405551</v>
      </c>
      <c r="I48">
        <v>1.667173</v>
      </c>
      <c r="J48">
        <v>1.5287550000000001</v>
      </c>
      <c r="K48">
        <v>1.577053</v>
      </c>
      <c r="L48">
        <v>2.0133239999999999</v>
      </c>
      <c r="M48">
        <v>2.126792</v>
      </c>
      <c r="N48">
        <v>1.834381</v>
      </c>
    </row>
    <row r="49" spans="2:14" x14ac:dyDescent="0.2">
      <c r="B49">
        <v>0.21526999999999999</v>
      </c>
      <c r="C49">
        <v>0.31423299999999998</v>
      </c>
      <c r="D49">
        <v>0.43247999999999998</v>
      </c>
      <c r="E49">
        <v>0.60264300000000004</v>
      </c>
      <c r="F49">
        <v>0.92566199999999998</v>
      </c>
      <c r="G49">
        <v>1.3131409999999999</v>
      </c>
      <c r="H49">
        <v>1.268111</v>
      </c>
      <c r="I49">
        <v>1.4732419999999999</v>
      </c>
      <c r="J49">
        <v>1.9851479999999999</v>
      </c>
      <c r="K49">
        <v>1.687624</v>
      </c>
      <c r="L49">
        <v>1.904739</v>
      </c>
      <c r="M49">
        <v>1.426142</v>
      </c>
      <c r="N49">
        <v>2.1221320000000001</v>
      </c>
    </row>
    <row r="50" spans="2:14" x14ac:dyDescent="0.2">
      <c r="B50">
        <v>0.228604</v>
      </c>
      <c r="C50">
        <v>0.368481</v>
      </c>
      <c r="D50">
        <v>0.480966</v>
      </c>
      <c r="E50">
        <v>0.71501400000000004</v>
      </c>
      <c r="F50">
        <v>0.909883</v>
      </c>
      <c r="G50">
        <v>1.212701</v>
      </c>
      <c r="H50">
        <v>1.7231019999999999</v>
      </c>
      <c r="I50">
        <v>1.436339</v>
      </c>
      <c r="J50">
        <v>1.5322549999999999</v>
      </c>
      <c r="K50">
        <v>1.776502</v>
      </c>
      <c r="L50">
        <v>2.037585</v>
      </c>
      <c r="M50">
        <v>1.652323</v>
      </c>
      <c r="N50">
        <v>2.634223</v>
      </c>
    </row>
    <row r="51" spans="2:14" x14ac:dyDescent="0.2">
      <c r="B51">
        <v>0.16897000000000001</v>
      </c>
      <c r="C51">
        <v>0.30957299999999999</v>
      </c>
      <c r="D51">
        <v>0.41369800000000001</v>
      </c>
      <c r="E51">
        <v>0.60761299999999996</v>
      </c>
      <c r="F51">
        <v>0.76675700000000002</v>
      </c>
      <c r="G51">
        <v>1.017531</v>
      </c>
      <c r="H51">
        <v>1.3043279999999999</v>
      </c>
      <c r="I51">
        <v>1.6498409999999999</v>
      </c>
      <c r="J51">
        <v>1.2761070000000001</v>
      </c>
      <c r="K51">
        <v>1.38089</v>
      </c>
      <c r="L51">
        <v>1.982826</v>
      </c>
      <c r="M51">
        <v>2.2334339999999999</v>
      </c>
      <c r="N51">
        <v>2.2229139999999998</v>
      </c>
    </row>
    <row r="52" spans="2:14" x14ac:dyDescent="0.2">
      <c r="B52">
        <v>0.25318800000000002</v>
      </c>
      <c r="C52">
        <v>0.33175900000000003</v>
      </c>
      <c r="D52">
        <v>0.422182</v>
      </c>
      <c r="E52">
        <v>0.54680499999999999</v>
      </c>
      <c r="F52">
        <v>0.71804100000000004</v>
      </c>
      <c r="G52">
        <v>0.84868500000000002</v>
      </c>
      <c r="H52">
        <v>1.0084139999999999</v>
      </c>
      <c r="I52">
        <v>1.261388</v>
      </c>
      <c r="J52">
        <v>1.5808359999999999</v>
      </c>
      <c r="K52">
        <v>1.6121650000000001</v>
      </c>
      <c r="L52">
        <v>2.2016040000000001</v>
      </c>
      <c r="M52">
        <v>2.0448360000000001</v>
      </c>
      <c r="N52">
        <v>2.3949669999999998</v>
      </c>
    </row>
    <row r="53" spans="2:14" x14ac:dyDescent="0.2">
      <c r="B53">
        <v>0.28094599999999997</v>
      </c>
      <c r="C53">
        <v>0.33049299999999998</v>
      </c>
      <c r="D53">
        <v>0.445718</v>
      </c>
      <c r="E53">
        <v>0.49396499999999999</v>
      </c>
      <c r="F53">
        <v>0.58981600000000001</v>
      </c>
      <c r="G53">
        <v>0.81436600000000003</v>
      </c>
      <c r="H53">
        <v>0.90801399999999999</v>
      </c>
      <c r="I53">
        <v>1.0398449999999999</v>
      </c>
      <c r="J53">
        <v>1.2299340000000001</v>
      </c>
      <c r="K53">
        <v>1.2846930000000001</v>
      </c>
      <c r="L53">
        <v>1.5707469999999999</v>
      </c>
      <c r="M53">
        <v>0.68644300000000003</v>
      </c>
      <c r="N53">
        <v>1.740335</v>
      </c>
    </row>
    <row r="54" spans="2:14" x14ac:dyDescent="0.2">
      <c r="B54">
        <v>0.16891400000000001</v>
      </c>
      <c r="C54">
        <v>0.27703800000000001</v>
      </c>
      <c r="D54">
        <v>0.370971</v>
      </c>
      <c r="E54">
        <v>0.54912799999999995</v>
      </c>
      <c r="F54">
        <v>0.66191100000000003</v>
      </c>
      <c r="G54">
        <v>0.836812</v>
      </c>
      <c r="H54">
        <v>1.0274909999999999</v>
      </c>
      <c r="I54">
        <v>1.0000389999999999</v>
      </c>
      <c r="J54">
        <v>1.1154219999999999</v>
      </c>
      <c r="K54">
        <v>1.013625</v>
      </c>
      <c r="L54">
        <v>1.260065</v>
      </c>
      <c r="M54">
        <v>1.1438299999999999</v>
      </c>
      <c r="N54">
        <v>1.10276</v>
      </c>
    </row>
    <row r="55" spans="2:14" x14ac:dyDescent="0.2">
      <c r="B55">
        <v>0.18739800000000001</v>
      </c>
      <c r="C55">
        <v>0.35586499999999999</v>
      </c>
      <c r="D55">
        <v>0.47847499999999998</v>
      </c>
      <c r="E55">
        <v>0.54480600000000001</v>
      </c>
      <c r="F55">
        <v>0.61430300000000004</v>
      </c>
      <c r="G55">
        <v>0.73488500000000001</v>
      </c>
      <c r="H55">
        <v>1.0292559999999999</v>
      </c>
      <c r="I55">
        <v>0.97933899999999996</v>
      </c>
      <c r="J55">
        <v>1.0233030000000001</v>
      </c>
      <c r="K55">
        <v>1.187875</v>
      </c>
      <c r="L55">
        <v>0.85459499999999999</v>
      </c>
      <c r="M55">
        <v>1.3901049999999999</v>
      </c>
      <c r="N55">
        <v>1.7144379999999999</v>
      </c>
    </row>
    <row r="56" spans="2:14" x14ac:dyDescent="0.2">
      <c r="B56">
        <v>0.20061699999999999</v>
      </c>
      <c r="C56">
        <v>0.33301500000000001</v>
      </c>
      <c r="D56">
        <v>0.565419</v>
      </c>
      <c r="E56">
        <v>0.65002899999999997</v>
      </c>
      <c r="F56">
        <v>0.77653300000000003</v>
      </c>
      <c r="G56">
        <v>0.85562199999999999</v>
      </c>
      <c r="H56">
        <v>1.015925</v>
      </c>
      <c r="I56">
        <v>1.1045739999999999</v>
      </c>
      <c r="J56">
        <v>1.287471</v>
      </c>
      <c r="K56">
        <v>1.3700909999999999</v>
      </c>
      <c r="L56">
        <v>1.347148</v>
      </c>
      <c r="M56">
        <v>1.7327520000000001</v>
      </c>
      <c r="N56">
        <v>1.691324</v>
      </c>
    </row>
    <row r="57" spans="2:14" x14ac:dyDescent="0.2">
      <c r="B57">
        <v>0.254853</v>
      </c>
      <c r="C57">
        <v>0.39970800000000001</v>
      </c>
      <c r="D57">
        <v>0.46390500000000001</v>
      </c>
      <c r="E57">
        <v>0.57007099999999999</v>
      </c>
      <c r="F57">
        <v>0.75609700000000002</v>
      </c>
      <c r="G57">
        <v>0.77065700000000004</v>
      </c>
      <c r="H57">
        <v>0.92894600000000005</v>
      </c>
      <c r="I57">
        <v>1.0078860000000001</v>
      </c>
      <c r="J57">
        <v>1.13785</v>
      </c>
      <c r="K57">
        <v>1.520173</v>
      </c>
      <c r="L57">
        <v>1.538978</v>
      </c>
      <c r="M57">
        <v>1.4263939999999999</v>
      </c>
      <c r="N57">
        <v>1.5627679999999999</v>
      </c>
    </row>
    <row r="58" spans="2:14" x14ac:dyDescent="0.2">
      <c r="B58">
        <v>0.24951899999999999</v>
      </c>
      <c r="C58">
        <v>0.408696</v>
      </c>
      <c r="D58">
        <v>0.46436500000000003</v>
      </c>
      <c r="E58">
        <v>0.54804600000000003</v>
      </c>
      <c r="F58">
        <v>0.66187600000000002</v>
      </c>
      <c r="G58">
        <v>0.78319799999999995</v>
      </c>
      <c r="H58">
        <v>0.98684099999999997</v>
      </c>
      <c r="I58">
        <v>0.99909599999999998</v>
      </c>
      <c r="J58">
        <v>1.1486620000000001</v>
      </c>
      <c r="K58">
        <v>1.2854840000000001</v>
      </c>
      <c r="L58">
        <v>1.508885</v>
      </c>
      <c r="M58">
        <v>1.5764800000000001</v>
      </c>
      <c r="N58">
        <v>1.9089700000000001</v>
      </c>
    </row>
    <row r="59" spans="2:14" x14ac:dyDescent="0.2">
      <c r="B59">
        <v>0.21179600000000001</v>
      </c>
      <c r="C59">
        <v>0.400951</v>
      </c>
      <c r="D59">
        <v>0.53620000000000001</v>
      </c>
      <c r="E59">
        <v>0.67201599999999995</v>
      </c>
      <c r="F59">
        <v>0.648231</v>
      </c>
      <c r="G59">
        <v>1.0463</v>
      </c>
      <c r="H59">
        <v>1.165821</v>
      </c>
      <c r="I59">
        <v>1.1066309999999999</v>
      </c>
      <c r="J59">
        <v>1.2193480000000001</v>
      </c>
      <c r="K59">
        <v>1.240532</v>
      </c>
      <c r="L59">
        <v>1.3672040000000001</v>
      </c>
      <c r="M59">
        <v>1.436164</v>
      </c>
      <c r="N59">
        <v>1.4505710000000001</v>
      </c>
    </row>
    <row r="60" spans="2:14" x14ac:dyDescent="0.2">
      <c r="B60">
        <v>0.16853000000000001</v>
      </c>
      <c r="C60">
        <v>0.36255700000000002</v>
      </c>
      <c r="D60">
        <v>0.47814000000000001</v>
      </c>
      <c r="E60">
        <v>0.64849400000000001</v>
      </c>
      <c r="F60">
        <v>0.62374600000000002</v>
      </c>
      <c r="G60">
        <v>0.78512599999999999</v>
      </c>
      <c r="H60">
        <v>0.91089399999999998</v>
      </c>
      <c r="I60">
        <v>1.2809410000000001</v>
      </c>
      <c r="J60">
        <v>1.2222150000000001</v>
      </c>
      <c r="K60">
        <v>1.2540450000000001</v>
      </c>
      <c r="L60">
        <v>1.3994219999999999</v>
      </c>
      <c r="M60">
        <v>1.4217489999999999</v>
      </c>
      <c r="N60">
        <v>1.7401139999999999</v>
      </c>
    </row>
    <row r="61" spans="2:14" x14ac:dyDescent="0.2">
      <c r="B61">
        <v>0.15106700000000001</v>
      </c>
      <c r="C61">
        <v>0.29970200000000002</v>
      </c>
      <c r="D61">
        <v>0.48657600000000001</v>
      </c>
      <c r="E61">
        <v>0.58318499999999995</v>
      </c>
      <c r="F61">
        <v>0.75778999999999996</v>
      </c>
      <c r="G61">
        <v>0.81982500000000003</v>
      </c>
      <c r="H61">
        <v>0.97935799999999995</v>
      </c>
      <c r="I61">
        <v>1.0234099999999999</v>
      </c>
      <c r="J61">
        <v>1.350087</v>
      </c>
      <c r="K61">
        <v>1.461438</v>
      </c>
      <c r="L61">
        <v>1.4874860000000001</v>
      </c>
      <c r="M61">
        <v>1.6392990000000001</v>
      </c>
      <c r="N61">
        <v>1.9638530000000001</v>
      </c>
    </row>
    <row r="62" spans="2:14" x14ac:dyDescent="0.2">
      <c r="B62">
        <v>0.18884400000000001</v>
      </c>
      <c r="C62">
        <v>0.27687800000000001</v>
      </c>
      <c r="D62">
        <v>0.38169399999999998</v>
      </c>
      <c r="E62">
        <v>0.53046700000000002</v>
      </c>
      <c r="F62">
        <v>0.67351899999999998</v>
      </c>
      <c r="G62">
        <v>0.77602300000000002</v>
      </c>
      <c r="H62">
        <v>0.99649699999999997</v>
      </c>
      <c r="I62">
        <v>0.96586000000000005</v>
      </c>
      <c r="J62">
        <v>1.2113149999999999</v>
      </c>
      <c r="K62">
        <v>1.464772</v>
      </c>
      <c r="L62">
        <v>1.0899190000000001</v>
      </c>
      <c r="M62">
        <v>1.5663959999999999</v>
      </c>
      <c r="N62">
        <v>1.951038</v>
      </c>
    </row>
    <row r="63" spans="2:14" x14ac:dyDescent="0.2">
      <c r="B63">
        <v>0.21280199999999999</v>
      </c>
      <c r="C63">
        <v>0.33230199999999999</v>
      </c>
      <c r="D63">
        <v>0.44603199999999998</v>
      </c>
      <c r="E63">
        <v>0.51924099999999995</v>
      </c>
      <c r="F63">
        <v>0.811083</v>
      </c>
      <c r="G63">
        <v>0.88703299999999996</v>
      </c>
      <c r="H63">
        <v>1.0776570000000001</v>
      </c>
      <c r="I63">
        <v>1.2926439999999999</v>
      </c>
      <c r="J63">
        <v>1.591888</v>
      </c>
      <c r="K63">
        <v>1.414569</v>
      </c>
      <c r="L63">
        <v>1.515568</v>
      </c>
      <c r="M63">
        <v>1.6691689999999999</v>
      </c>
      <c r="N63">
        <v>1.9050739999999999</v>
      </c>
    </row>
    <row r="64" spans="2:14" x14ac:dyDescent="0.2">
      <c r="B64">
        <v>0.21629300000000001</v>
      </c>
      <c r="C64">
        <v>0.35085</v>
      </c>
      <c r="D64">
        <v>0.39224999999999999</v>
      </c>
      <c r="E64">
        <v>0.52630500000000002</v>
      </c>
      <c r="F64">
        <v>0.61573800000000001</v>
      </c>
      <c r="G64">
        <v>0.88169699999999995</v>
      </c>
      <c r="H64">
        <v>1.0375490000000001</v>
      </c>
      <c r="I64">
        <v>1.008256</v>
      </c>
      <c r="J64">
        <v>1.2785960000000001</v>
      </c>
      <c r="K64">
        <v>1.1322099999999999</v>
      </c>
      <c r="L64">
        <v>1.6660600000000001</v>
      </c>
      <c r="M64">
        <v>1.759817</v>
      </c>
      <c r="N64">
        <v>2.1923080000000001</v>
      </c>
    </row>
    <row r="65" spans="2:14" x14ac:dyDescent="0.2">
      <c r="B65">
        <v>0.21914500000000001</v>
      </c>
      <c r="C65">
        <v>0.39812399999999998</v>
      </c>
      <c r="D65">
        <v>0.47004400000000002</v>
      </c>
      <c r="E65">
        <v>0.52096699999999996</v>
      </c>
      <c r="F65">
        <v>0.722163</v>
      </c>
      <c r="G65">
        <v>0.75936899999999996</v>
      </c>
      <c r="H65">
        <v>0.924925</v>
      </c>
      <c r="I65">
        <v>1.0349159999999999</v>
      </c>
      <c r="J65">
        <v>1.2359530000000001</v>
      </c>
      <c r="K65">
        <v>1.338122</v>
      </c>
      <c r="L65">
        <v>1.7817449999999999</v>
      </c>
      <c r="M65">
        <v>1.625572</v>
      </c>
      <c r="N65">
        <v>2.0478869999999998</v>
      </c>
    </row>
    <row r="66" spans="2:14" x14ac:dyDescent="0.2">
      <c r="B66">
        <v>0.20141700000000001</v>
      </c>
      <c r="C66">
        <v>0.35550500000000002</v>
      </c>
      <c r="D66">
        <v>0.61672700000000003</v>
      </c>
      <c r="E66">
        <v>0.729437</v>
      </c>
      <c r="F66">
        <v>0.74993699999999996</v>
      </c>
      <c r="G66">
        <v>1.0004189999999999</v>
      </c>
      <c r="H66">
        <v>0.98182599999999998</v>
      </c>
      <c r="I66">
        <v>1.030861</v>
      </c>
      <c r="J66">
        <v>1.2778210000000001</v>
      </c>
      <c r="K66">
        <v>1.4190499999999999</v>
      </c>
      <c r="L66">
        <v>1.4735609999999999</v>
      </c>
      <c r="M66">
        <v>1.765574</v>
      </c>
      <c r="N66">
        <v>1.5391170000000001</v>
      </c>
    </row>
    <row r="67" spans="2:14" x14ac:dyDescent="0.2">
      <c r="B67">
        <v>0.268623</v>
      </c>
      <c r="C67">
        <v>0.40246300000000002</v>
      </c>
      <c r="D67">
        <v>0.54386100000000004</v>
      </c>
      <c r="E67">
        <v>0.68498000000000003</v>
      </c>
      <c r="F67">
        <v>0.71279999999999999</v>
      </c>
      <c r="G67">
        <v>0.90426200000000001</v>
      </c>
      <c r="H67">
        <v>1.006335</v>
      </c>
      <c r="I67">
        <v>1.0534460000000001</v>
      </c>
      <c r="J67">
        <v>1.009736</v>
      </c>
      <c r="K67">
        <v>1.139011</v>
      </c>
      <c r="L67">
        <v>1.4741340000000001</v>
      </c>
      <c r="M67">
        <v>1.4095759999999999</v>
      </c>
      <c r="N67">
        <v>2.1082510000000001</v>
      </c>
    </row>
    <row r="68" spans="2:14" x14ac:dyDescent="0.2">
      <c r="B68">
        <v>0.34165000000000001</v>
      </c>
      <c r="C68">
        <v>0.41899399999999998</v>
      </c>
      <c r="D68">
        <v>0.64775099999999997</v>
      </c>
      <c r="E68">
        <v>0.70983200000000002</v>
      </c>
      <c r="F68">
        <v>0.886409</v>
      </c>
      <c r="G68">
        <v>0.86874899999999999</v>
      </c>
      <c r="H68">
        <v>1.123543</v>
      </c>
      <c r="I68">
        <v>1.2394240000000001</v>
      </c>
      <c r="J68">
        <v>1.268921</v>
      </c>
      <c r="K68">
        <v>1.284637</v>
      </c>
      <c r="L68">
        <v>1.3685890000000001</v>
      </c>
      <c r="M68">
        <v>1.7473209999999999</v>
      </c>
      <c r="N68">
        <v>1.780308</v>
      </c>
    </row>
    <row r="69" spans="2:14" x14ac:dyDescent="0.2">
      <c r="B69">
        <v>0.28382299999999999</v>
      </c>
      <c r="C69">
        <v>0.51573800000000003</v>
      </c>
      <c r="D69">
        <v>0.59500699999999995</v>
      </c>
      <c r="E69">
        <v>0.74977199999999999</v>
      </c>
      <c r="F69">
        <v>0.89492700000000003</v>
      </c>
      <c r="G69">
        <v>0.93152999999999997</v>
      </c>
      <c r="H69">
        <v>1.1192200000000001</v>
      </c>
      <c r="I69">
        <v>1.02684</v>
      </c>
      <c r="J69">
        <v>1.278627</v>
      </c>
      <c r="K69">
        <v>1.5515749999999999</v>
      </c>
      <c r="L69">
        <v>1.5370600000000001</v>
      </c>
      <c r="M69">
        <v>2.3751730000000002</v>
      </c>
      <c r="N69">
        <v>1.712005</v>
      </c>
    </row>
    <row r="70" spans="2:14" x14ac:dyDescent="0.2">
      <c r="B70">
        <v>0.23066999999999999</v>
      </c>
      <c r="C70">
        <v>0.39415800000000001</v>
      </c>
      <c r="D70">
        <v>0.53936300000000004</v>
      </c>
      <c r="E70">
        <v>0.69834399999999996</v>
      </c>
      <c r="F70">
        <v>0.85853900000000005</v>
      </c>
      <c r="G70">
        <v>0.93055200000000005</v>
      </c>
      <c r="H70">
        <v>0.99254600000000004</v>
      </c>
      <c r="I70">
        <v>1.222539</v>
      </c>
      <c r="J70">
        <v>1.383086</v>
      </c>
      <c r="K70">
        <v>1.229117</v>
      </c>
      <c r="L70">
        <v>1.400692</v>
      </c>
      <c r="M70">
        <v>1.504434</v>
      </c>
      <c r="N70">
        <v>1.681657</v>
      </c>
    </row>
    <row r="71" spans="2:14" x14ac:dyDescent="0.2">
      <c r="B71">
        <v>0.17879500000000001</v>
      </c>
      <c r="C71">
        <v>0.45732699999999998</v>
      </c>
      <c r="D71">
        <v>0.60450899999999996</v>
      </c>
      <c r="E71">
        <v>0.67908800000000002</v>
      </c>
      <c r="F71">
        <v>0.78869</v>
      </c>
      <c r="G71">
        <v>0.86578200000000005</v>
      </c>
      <c r="H71">
        <v>1.057634</v>
      </c>
      <c r="I71">
        <v>1.1711020000000001</v>
      </c>
      <c r="J71">
        <v>1.278715</v>
      </c>
      <c r="K71">
        <v>1.336333</v>
      </c>
      <c r="L71">
        <v>1.6686460000000001</v>
      </c>
      <c r="M71">
        <v>1.5188870000000001</v>
      </c>
      <c r="N71">
        <v>1.7038139999999999</v>
      </c>
    </row>
    <row r="72" spans="2:14" x14ac:dyDescent="0.2">
      <c r="B72">
        <v>0.29449500000000001</v>
      </c>
      <c r="C72">
        <v>0.49299300000000001</v>
      </c>
      <c r="D72">
        <v>0.63747399999999999</v>
      </c>
      <c r="E72">
        <v>0.80954300000000001</v>
      </c>
      <c r="F72">
        <v>0.92833200000000005</v>
      </c>
      <c r="G72">
        <v>1.059545</v>
      </c>
      <c r="H72">
        <v>1.0019480000000001</v>
      </c>
      <c r="I72">
        <v>1.3145020000000001</v>
      </c>
      <c r="J72">
        <v>1.3087059999999999</v>
      </c>
      <c r="K72">
        <v>1.2682070000000001</v>
      </c>
      <c r="L72">
        <v>1.416606</v>
      </c>
      <c r="M72">
        <v>1.3672299999999999</v>
      </c>
      <c r="N72">
        <v>1.3853530000000001</v>
      </c>
    </row>
    <row r="73" spans="2:14" x14ac:dyDescent="0.2">
      <c r="B73">
        <v>0.219837</v>
      </c>
      <c r="C73">
        <v>0.49112600000000001</v>
      </c>
      <c r="D73">
        <v>0.60091399999999995</v>
      </c>
      <c r="E73">
        <v>0.73042099999999999</v>
      </c>
      <c r="F73">
        <v>0.85730399999999995</v>
      </c>
      <c r="G73">
        <v>0.946021</v>
      </c>
      <c r="H73">
        <v>0.98745499999999997</v>
      </c>
      <c r="I73">
        <v>1.1535660000000001</v>
      </c>
      <c r="J73">
        <v>1.6395219999999999</v>
      </c>
      <c r="K73">
        <v>1.372385</v>
      </c>
      <c r="L73">
        <v>1.7082250000000001</v>
      </c>
      <c r="M73">
        <v>1.5395049999999999</v>
      </c>
      <c r="N73">
        <v>1.681943</v>
      </c>
    </row>
    <row r="74" spans="2:14" x14ac:dyDescent="0.2">
      <c r="B74">
        <v>0.241369</v>
      </c>
      <c r="C74">
        <v>0.50874200000000003</v>
      </c>
      <c r="D74">
        <v>0.68820099999999995</v>
      </c>
      <c r="E74">
        <v>0.81473399999999996</v>
      </c>
      <c r="F74">
        <v>1.0096719999999999</v>
      </c>
      <c r="G74">
        <v>1.0676129999999999</v>
      </c>
      <c r="H74">
        <v>1.120889</v>
      </c>
      <c r="I74">
        <v>1.3589990000000001</v>
      </c>
      <c r="J74">
        <v>1.449254</v>
      </c>
      <c r="K74">
        <v>1.7689649999999999</v>
      </c>
      <c r="L74">
        <v>1.76668</v>
      </c>
      <c r="M74">
        <v>2.0491760000000001</v>
      </c>
      <c r="N74">
        <v>2.4859800000000001</v>
      </c>
    </row>
    <row r="75" spans="2:14" x14ac:dyDescent="0.2">
      <c r="B75">
        <v>0.244199</v>
      </c>
      <c r="C75">
        <v>0.49573600000000001</v>
      </c>
      <c r="D75">
        <v>0.65744800000000003</v>
      </c>
      <c r="E75">
        <v>0.80405800000000005</v>
      </c>
      <c r="F75">
        <v>1.096676</v>
      </c>
      <c r="G75">
        <v>1.139772</v>
      </c>
      <c r="H75">
        <v>1.2597970000000001</v>
      </c>
      <c r="I75">
        <v>1.3764689999999999</v>
      </c>
      <c r="J75">
        <v>1.190453</v>
      </c>
      <c r="K75">
        <v>1.389302</v>
      </c>
      <c r="L75">
        <v>1.628763</v>
      </c>
      <c r="M75">
        <v>2.1606260000000002</v>
      </c>
      <c r="N75">
        <v>2.2212079999999998</v>
      </c>
    </row>
    <row r="76" spans="2:14" x14ac:dyDescent="0.2">
      <c r="B76">
        <v>0.21620800000000001</v>
      </c>
      <c r="C76">
        <v>0.51073900000000005</v>
      </c>
      <c r="D76">
        <v>0.65330600000000005</v>
      </c>
      <c r="E76">
        <v>0.78546300000000002</v>
      </c>
      <c r="F76">
        <v>0.90699300000000005</v>
      </c>
      <c r="G76">
        <v>1.066171</v>
      </c>
      <c r="H76">
        <v>1.158908</v>
      </c>
      <c r="I76">
        <v>1.245592</v>
      </c>
      <c r="J76">
        <v>1.35805</v>
      </c>
      <c r="K76">
        <v>1.419216</v>
      </c>
      <c r="L76">
        <v>1.364557</v>
      </c>
      <c r="M76">
        <v>1.4962880000000001</v>
      </c>
      <c r="N76">
        <v>2.0158830000000001</v>
      </c>
    </row>
    <row r="77" spans="2:14" x14ac:dyDescent="0.2">
      <c r="B77">
        <v>0.28487000000000001</v>
      </c>
      <c r="C77">
        <v>0.40972599999999998</v>
      </c>
      <c r="D77">
        <v>0.59167000000000003</v>
      </c>
      <c r="E77">
        <v>0.73826999999999998</v>
      </c>
      <c r="F77">
        <v>0.86517900000000003</v>
      </c>
      <c r="G77">
        <v>1.008383</v>
      </c>
      <c r="H77">
        <v>1.353602</v>
      </c>
      <c r="I77">
        <v>1.203433</v>
      </c>
      <c r="J77">
        <v>1.340427</v>
      </c>
      <c r="K77">
        <v>1.4243650000000001</v>
      </c>
      <c r="L77">
        <v>1.499627</v>
      </c>
      <c r="M77">
        <v>1.7109099999999999</v>
      </c>
      <c r="N77">
        <v>1.9809270000000001</v>
      </c>
    </row>
    <row r="78" spans="2:14" x14ac:dyDescent="0.2">
      <c r="B78">
        <v>0.22758500000000001</v>
      </c>
      <c r="C78">
        <v>0.516289</v>
      </c>
      <c r="D78">
        <v>0.57708999999999999</v>
      </c>
      <c r="E78">
        <v>0.72065400000000002</v>
      </c>
      <c r="F78">
        <v>0.97343199999999996</v>
      </c>
      <c r="G78">
        <v>1.172609</v>
      </c>
      <c r="H78">
        <v>1.2651490000000001</v>
      </c>
      <c r="I78">
        <v>1.460853</v>
      </c>
      <c r="J78">
        <v>1.5132650000000001</v>
      </c>
      <c r="K78">
        <v>1.4036420000000001</v>
      </c>
      <c r="L78">
        <v>1.7170719999999999</v>
      </c>
      <c r="M78">
        <v>1.821966</v>
      </c>
      <c r="N78">
        <v>1.965128</v>
      </c>
    </row>
    <row r="79" spans="2:14" x14ac:dyDescent="0.2">
      <c r="B79">
        <v>0.392706</v>
      </c>
      <c r="C79">
        <v>0.44526399999999999</v>
      </c>
      <c r="D79">
        <v>0.56732099999999996</v>
      </c>
      <c r="E79">
        <v>0.69324300000000005</v>
      </c>
      <c r="F79">
        <v>0.73662099999999997</v>
      </c>
      <c r="G79">
        <v>0.97780699999999998</v>
      </c>
      <c r="H79">
        <v>1.135734</v>
      </c>
      <c r="I79">
        <v>1.3356159999999999</v>
      </c>
      <c r="J79">
        <v>1.5338620000000001</v>
      </c>
      <c r="K79">
        <v>1.4838020000000001</v>
      </c>
      <c r="L79">
        <v>1.6376740000000001</v>
      </c>
      <c r="M79">
        <v>1.6383239999999999</v>
      </c>
      <c r="N79">
        <v>2.0123989999999998</v>
      </c>
    </row>
    <row r="80" spans="2:14" x14ac:dyDescent="0.2">
      <c r="B80">
        <v>0.34692299999999998</v>
      </c>
      <c r="C80">
        <v>0.44218400000000002</v>
      </c>
      <c r="D80">
        <v>0.56648100000000001</v>
      </c>
      <c r="E80">
        <v>0.67539700000000003</v>
      </c>
      <c r="F80">
        <v>0.74183500000000002</v>
      </c>
      <c r="G80">
        <v>0.86418399999999995</v>
      </c>
      <c r="H80">
        <v>1.0637380000000001</v>
      </c>
      <c r="I80">
        <v>1.270078</v>
      </c>
      <c r="J80">
        <v>1.545194</v>
      </c>
      <c r="K80">
        <v>1.45499</v>
      </c>
      <c r="L80">
        <v>1.445562</v>
      </c>
      <c r="M80">
        <v>1.481606</v>
      </c>
      <c r="N80">
        <v>1.595836</v>
      </c>
    </row>
    <row r="81" spans="1:14" x14ac:dyDescent="0.2">
      <c r="B81">
        <v>0.27817399999999998</v>
      </c>
      <c r="C81">
        <v>0.52399600000000002</v>
      </c>
      <c r="D81">
        <v>0.57384400000000002</v>
      </c>
      <c r="E81">
        <v>0.68766400000000005</v>
      </c>
      <c r="F81">
        <v>0.76449699999999998</v>
      </c>
      <c r="G81">
        <v>0.79473800000000006</v>
      </c>
      <c r="H81">
        <v>0.88347299999999995</v>
      </c>
      <c r="I81">
        <v>0.91882399999999997</v>
      </c>
      <c r="J81">
        <v>1.19346</v>
      </c>
      <c r="K81">
        <v>1.846487</v>
      </c>
      <c r="L81">
        <v>1.2435639999999999</v>
      </c>
      <c r="M81">
        <v>1.2283599999999999</v>
      </c>
      <c r="N81">
        <v>1.3927290000000001</v>
      </c>
    </row>
    <row r="82" spans="1:14" x14ac:dyDescent="0.2">
      <c r="B82">
        <v>0.24168100000000001</v>
      </c>
      <c r="C82">
        <v>0.48802400000000001</v>
      </c>
      <c r="D82">
        <v>0.62144999999999995</v>
      </c>
      <c r="E82">
        <v>0.649308</v>
      </c>
      <c r="F82">
        <v>0.73966600000000005</v>
      </c>
      <c r="G82">
        <v>0.78247299999999997</v>
      </c>
      <c r="H82">
        <v>0.88883599999999996</v>
      </c>
      <c r="I82">
        <v>0.92283099999999996</v>
      </c>
      <c r="J82">
        <v>0.99785900000000005</v>
      </c>
      <c r="K82">
        <v>1.012586</v>
      </c>
      <c r="L82">
        <v>1.323337</v>
      </c>
      <c r="M82">
        <v>1.02</v>
      </c>
      <c r="N82">
        <v>1.813204</v>
      </c>
    </row>
    <row r="83" spans="1:14" x14ac:dyDescent="0.2">
      <c r="B83">
        <v>0.20951700000000001</v>
      </c>
      <c r="C83">
        <v>0.44154900000000002</v>
      </c>
      <c r="D83">
        <v>0.57545599999999997</v>
      </c>
      <c r="E83">
        <v>0.66468300000000002</v>
      </c>
      <c r="F83">
        <v>0.75621899999999997</v>
      </c>
      <c r="G83">
        <v>0.75022200000000006</v>
      </c>
      <c r="H83">
        <v>0.84531400000000001</v>
      </c>
      <c r="I83">
        <v>0.88573800000000003</v>
      </c>
      <c r="J83">
        <v>0.72225700000000004</v>
      </c>
      <c r="K83">
        <v>0.83824600000000005</v>
      </c>
      <c r="L83">
        <v>0.876</v>
      </c>
      <c r="M83">
        <v>1.073925</v>
      </c>
      <c r="N83">
        <v>0.96364499999999997</v>
      </c>
    </row>
    <row r="84" spans="1:14" x14ac:dyDescent="0.2">
      <c r="B84">
        <v>0.292267</v>
      </c>
      <c r="C84">
        <v>0.50546199999999997</v>
      </c>
      <c r="D84">
        <v>0.64191500000000001</v>
      </c>
      <c r="E84">
        <v>0.71473900000000001</v>
      </c>
      <c r="F84">
        <v>0.82308400000000004</v>
      </c>
      <c r="G84">
        <v>0.89860300000000004</v>
      </c>
      <c r="H84">
        <v>0.90103999999999995</v>
      </c>
      <c r="I84">
        <v>0.98917600000000006</v>
      </c>
      <c r="J84">
        <v>0.98556200000000005</v>
      </c>
      <c r="K84">
        <v>1.0428740000000001</v>
      </c>
      <c r="L84">
        <v>1.067753</v>
      </c>
      <c r="M84">
        <v>1.1200000000000001</v>
      </c>
      <c r="N84">
        <v>1.389859</v>
      </c>
    </row>
    <row r="85" spans="1:14" x14ac:dyDescent="0.2">
      <c r="B85">
        <v>0.27794000000000002</v>
      </c>
      <c r="C85">
        <v>0.43996400000000002</v>
      </c>
      <c r="D85">
        <v>0.58972599999999997</v>
      </c>
      <c r="E85">
        <v>0.69561799999999996</v>
      </c>
      <c r="F85">
        <v>0.77438799999999997</v>
      </c>
      <c r="G85">
        <v>0.85426299999999999</v>
      </c>
      <c r="H85">
        <v>0.95997699999999997</v>
      </c>
      <c r="I85">
        <v>1.233141</v>
      </c>
      <c r="J85">
        <v>1.022545</v>
      </c>
      <c r="K85">
        <v>1.3499639999999999</v>
      </c>
      <c r="L85">
        <v>1.306772</v>
      </c>
      <c r="M85">
        <v>0.92734000000000005</v>
      </c>
      <c r="N85">
        <v>1.388903</v>
      </c>
    </row>
    <row r="86" spans="1:14" x14ac:dyDescent="0.2">
      <c r="B86">
        <v>0.34738599999999997</v>
      </c>
      <c r="C86">
        <v>0.45208599999999999</v>
      </c>
      <c r="D86">
        <v>0.58267999999999998</v>
      </c>
      <c r="E86">
        <v>0.66819600000000001</v>
      </c>
      <c r="F86">
        <v>0.76391900000000001</v>
      </c>
      <c r="G86">
        <v>0.85268600000000006</v>
      </c>
      <c r="H86">
        <v>0.94489400000000001</v>
      </c>
      <c r="I86">
        <v>0.97167000000000003</v>
      </c>
      <c r="J86">
        <v>1.121618</v>
      </c>
      <c r="K86">
        <v>1.4737530000000001</v>
      </c>
      <c r="L86">
        <v>1.241663</v>
      </c>
      <c r="M86">
        <v>0.89533600000000002</v>
      </c>
      <c r="N86">
        <v>1.2474689999999999</v>
      </c>
    </row>
    <row r="87" spans="1:14" x14ac:dyDescent="0.2">
      <c r="B87">
        <v>0.31524400000000002</v>
      </c>
      <c r="C87">
        <v>0.41814699999999999</v>
      </c>
      <c r="D87">
        <v>0.52996200000000004</v>
      </c>
      <c r="E87">
        <v>0.64178000000000002</v>
      </c>
      <c r="F87">
        <v>0.78415800000000002</v>
      </c>
      <c r="G87">
        <v>0.92456099999999997</v>
      </c>
      <c r="H87">
        <v>0.97910699999999995</v>
      </c>
      <c r="I87">
        <v>1.023728</v>
      </c>
      <c r="J87">
        <v>1.1658440000000001</v>
      </c>
      <c r="K87">
        <v>1.1374</v>
      </c>
      <c r="L87">
        <v>1.4452499999999999</v>
      </c>
      <c r="M87">
        <v>1.8451820000000001</v>
      </c>
      <c r="N87">
        <v>1.4279999999999999</v>
      </c>
    </row>
    <row r="88" spans="1:14" x14ac:dyDescent="0.2">
      <c r="B88">
        <v>0.329231</v>
      </c>
      <c r="C88">
        <v>0.47575699999999999</v>
      </c>
      <c r="D88">
        <v>0.57828800000000002</v>
      </c>
      <c r="E88">
        <v>0.61925200000000002</v>
      </c>
      <c r="F88">
        <v>0.70358299999999996</v>
      </c>
      <c r="G88">
        <v>0.94511400000000001</v>
      </c>
      <c r="H88">
        <v>1.0050600000000001</v>
      </c>
      <c r="I88">
        <v>1.041018</v>
      </c>
      <c r="J88">
        <v>1.137651</v>
      </c>
      <c r="K88">
        <v>1.205803</v>
      </c>
      <c r="L88">
        <v>1.3140829999999999</v>
      </c>
      <c r="M88">
        <v>1.435522</v>
      </c>
      <c r="N88">
        <v>1.791366</v>
      </c>
    </row>
    <row r="89" spans="1:14" x14ac:dyDescent="0.2">
      <c r="A89" t="s">
        <v>67</v>
      </c>
    </row>
    <row r="90" spans="1:14" x14ac:dyDescent="0.2">
      <c r="A90">
        <v>1970</v>
      </c>
    </row>
    <row r="91" spans="1:14" x14ac:dyDescent="0.2">
      <c r="A91">
        <v>1971</v>
      </c>
    </row>
    <row r="92" spans="1:14" x14ac:dyDescent="0.2">
      <c r="A92">
        <v>1972</v>
      </c>
    </row>
    <row r="93" spans="1:14" x14ac:dyDescent="0.2">
      <c r="A93">
        <v>1973</v>
      </c>
    </row>
    <row r="94" spans="1:14" x14ac:dyDescent="0.2">
      <c r="A94">
        <v>1974</v>
      </c>
    </row>
    <row r="95" spans="1:14" x14ac:dyDescent="0.2">
      <c r="A95">
        <v>1975</v>
      </c>
    </row>
    <row r="96" spans="1:14" x14ac:dyDescent="0.2">
      <c r="A96">
        <v>1976</v>
      </c>
    </row>
    <row r="97" spans="1:1" x14ac:dyDescent="0.2">
      <c r="A97">
        <v>1977</v>
      </c>
    </row>
    <row r="98" spans="1:1" x14ac:dyDescent="0.2">
      <c r="A98">
        <v>1978</v>
      </c>
    </row>
    <row r="99" spans="1:1" x14ac:dyDescent="0.2">
      <c r="A99">
        <v>1979</v>
      </c>
    </row>
    <row r="100" spans="1:1" x14ac:dyDescent="0.2">
      <c r="A100">
        <v>1980</v>
      </c>
    </row>
    <row r="101" spans="1:1" x14ac:dyDescent="0.2">
      <c r="A101">
        <v>1981</v>
      </c>
    </row>
    <row r="102" spans="1:1" x14ac:dyDescent="0.2">
      <c r="A102">
        <v>1982</v>
      </c>
    </row>
    <row r="103" spans="1:1" x14ac:dyDescent="0.2">
      <c r="A103">
        <v>1983</v>
      </c>
    </row>
    <row r="104" spans="1:1" x14ac:dyDescent="0.2">
      <c r="A104">
        <v>1984</v>
      </c>
    </row>
    <row r="105" spans="1:1" x14ac:dyDescent="0.2">
      <c r="A105">
        <v>1985</v>
      </c>
    </row>
    <row r="106" spans="1:1" x14ac:dyDescent="0.2">
      <c r="A106">
        <v>1986</v>
      </c>
    </row>
    <row r="107" spans="1:1" x14ac:dyDescent="0.2">
      <c r="A107">
        <v>1987</v>
      </c>
    </row>
    <row r="108" spans="1:1" x14ac:dyDescent="0.2">
      <c r="A108">
        <v>1988</v>
      </c>
    </row>
    <row r="109" spans="1:1" x14ac:dyDescent="0.2">
      <c r="A109">
        <v>1989</v>
      </c>
    </row>
    <row r="110" spans="1:1" x14ac:dyDescent="0.2">
      <c r="A110">
        <v>1990</v>
      </c>
    </row>
    <row r="111" spans="1:1" x14ac:dyDescent="0.2">
      <c r="A111">
        <v>1991</v>
      </c>
    </row>
    <row r="112" spans="1:1" x14ac:dyDescent="0.2">
      <c r="A112">
        <v>1992</v>
      </c>
    </row>
    <row r="113" spans="1:1" x14ac:dyDescent="0.2">
      <c r="A113">
        <v>1993</v>
      </c>
    </row>
    <row r="114" spans="1:1" x14ac:dyDescent="0.2">
      <c r="A114">
        <v>1994</v>
      </c>
    </row>
    <row r="115" spans="1:1" x14ac:dyDescent="0.2">
      <c r="A115">
        <v>1995</v>
      </c>
    </row>
    <row r="116" spans="1:1" x14ac:dyDescent="0.2">
      <c r="A116">
        <v>1996</v>
      </c>
    </row>
    <row r="117" spans="1:1" x14ac:dyDescent="0.2">
      <c r="A117">
        <v>1997</v>
      </c>
    </row>
    <row r="118" spans="1:1" x14ac:dyDescent="0.2">
      <c r="A118">
        <v>1998</v>
      </c>
    </row>
    <row r="119" spans="1:1" x14ac:dyDescent="0.2">
      <c r="A119">
        <v>1999</v>
      </c>
    </row>
    <row r="120" spans="1:1" x14ac:dyDescent="0.2">
      <c r="A120">
        <v>2000</v>
      </c>
    </row>
    <row r="121" spans="1:1" x14ac:dyDescent="0.2">
      <c r="A121">
        <v>2001</v>
      </c>
    </row>
    <row r="122" spans="1:1" x14ac:dyDescent="0.2">
      <c r="A122">
        <v>2002</v>
      </c>
    </row>
    <row r="123" spans="1:1" x14ac:dyDescent="0.2">
      <c r="A123">
        <v>2003</v>
      </c>
    </row>
    <row r="124" spans="1:1" x14ac:dyDescent="0.2">
      <c r="A124">
        <v>2004</v>
      </c>
    </row>
    <row r="125" spans="1:1" x14ac:dyDescent="0.2">
      <c r="A125">
        <v>2005</v>
      </c>
    </row>
    <row r="126" spans="1:1" x14ac:dyDescent="0.2">
      <c r="A126">
        <v>2006</v>
      </c>
    </row>
    <row r="127" spans="1:1" x14ac:dyDescent="0.2">
      <c r="A127">
        <v>2007</v>
      </c>
    </row>
    <row r="128" spans="1:1" x14ac:dyDescent="0.2">
      <c r="A128">
        <v>2008</v>
      </c>
    </row>
    <row r="129" spans="1:1" x14ac:dyDescent="0.2">
      <c r="A129">
        <v>2009</v>
      </c>
    </row>
    <row r="130" spans="1:1" x14ac:dyDescent="0.2">
      <c r="A130">
        <v>2010</v>
      </c>
    </row>
    <row r="131" spans="1:1" x14ac:dyDescent="0.2">
      <c r="A131">
        <v>2011</v>
      </c>
    </row>
    <row r="132" spans="1:1" x14ac:dyDescent="0.2">
      <c r="A132">
        <v>2012</v>
      </c>
    </row>
    <row r="133" spans="1:1" x14ac:dyDescent="0.2">
      <c r="A133">
        <v>2013</v>
      </c>
    </row>
    <row r="134" spans="1:1" x14ac:dyDescent="0.2">
      <c r="A134">
        <v>2014</v>
      </c>
    </row>
    <row r="135" spans="1:1" x14ac:dyDescent="0.2">
      <c r="A135">
        <v>2015</v>
      </c>
    </row>
    <row r="136" spans="1:1" x14ac:dyDescent="0.2">
      <c r="A136">
        <v>2016</v>
      </c>
    </row>
    <row r="137" spans="1:1" x14ac:dyDescent="0.2">
      <c r="A137">
        <v>2017</v>
      </c>
    </row>
    <row r="138" spans="1:1" x14ac:dyDescent="0.2">
      <c r="A138">
        <v>2018</v>
      </c>
    </row>
    <row r="139" spans="1:1" x14ac:dyDescent="0.2">
      <c r="A139">
        <v>2019</v>
      </c>
    </row>
    <row r="140" spans="1:1" x14ac:dyDescent="0.2">
      <c r="A140">
        <v>2020</v>
      </c>
    </row>
    <row r="141" spans="1:1" x14ac:dyDescent="0.2">
      <c r="A141">
        <v>2021</v>
      </c>
    </row>
    <row r="142" spans="1:1" x14ac:dyDescent="0.2">
      <c r="A142">
        <v>2022</v>
      </c>
    </row>
    <row r="143" spans="1:1" x14ac:dyDescent="0.2">
      <c r="A143">
        <v>2023</v>
      </c>
    </row>
    <row r="144" spans="1:1" x14ac:dyDescent="0.2">
      <c r="A144">
        <v>2024</v>
      </c>
    </row>
    <row r="145" spans="1:14" x14ac:dyDescent="0.2">
      <c r="A145">
        <v>2025</v>
      </c>
    </row>
    <row r="146" spans="1:14" x14ac:dyDescent="0.2">
      <c r="A146">
        <v>2026</v>
      </c>
    </row>
    <row r="147" spans="1:14" x14ac:dyDescent="0.2">
      <c r="A147" t="s">
        <v>68</v>
      </c>
    </row>
    <row r="148" spans="1:14" x14ac:dyDescent="0.2">
      <c r="A148">
        <v>1970</v>
      </c>
      <c r="B148">
        <v>0.37768699999999999</v>
      </c>
      <c r="C148">
        <v>0.49006699999999997</v>
      </c>
      <c r="D148">
        <v>0.60575000000000001</v>
      </c>
      <c r="E148">
        <v>0.72152000000000005</v>
      </c>
      <c r="F148">
        <v>0.83487800000000001</v>
      </c>
      <c r="G148">
        <v>0.94397600000000004</v>
      </c>
      <c r="H148">
        <v>1.047528</v>
      </c>
      <c r="I148">
        <v>1.144709</v>
      </c>
      <c r="J148">
        <v>1.2350639999999999</v>
      </c>
      <c r="K148">
        <v>1.3184199999999999</v>
      </c>
      <c r="L148">
        <v>1.3948199999999999</v>
      </c>
      <c r="M148">
        <v>1.464459</v>
      </c>
      <c r="N148">
        <v>1.5276369999999999</v>
      </c>
    </row>
    <row r="149" spans="1:14" x14ac:dyDescent="0.2">
      <c r="A149">
        <v>1971</v>
      </c>
      <c r="B149">
        <v>0.371087</v>
      </c>
      <c r="C149">
        <v>0.51301200000000002</v>
      </c>
      <c r="D149">
        <v>0.62936899999999996</v>
      </c>
      <c r="E149">
        <v>0.74515699999999996</v>
      </c>
      <c r="F149">
        <v>0.85802199999999995</v>
      </c>
      <c r="G149">
        <v>0.96625099999999997</v>
      </c>
      <c r="H149">
        <v>1.06867</v>
      </c>
      <c r="I149">
        <v>1.16455</v>
      </c>
      <c r="J149">
        <v>1.253511</v>
      </c>
      <c r="K149">
        <v>1.335439</v>
      </c>
      <c r="L149">
        <v>1.4104190000000001</v>
      </c>
      <c r="M149">
        <v>1.478677</v>
      </c>
      <c r="N149">
        <v>1.5405359999999999</v>
      </c>
    </row>
    <row r="150" spans="1:14" x14ac:dyDescent="0.2">
      <c r="A150">
        <v>1972</v>
      </c>
      <c r="B150">
        <v>0.396623</v>
      </c>
      <c r="C150">
        <v>0.49368200000000001</v>
      </c>
      <c r="D150">
        <v>0.63920999999999994</v>
      </c>
      <c r="E150">
        <v>0.75566299999999997</v>
      </c>
      <c r="F150">
        <v>0.86881900000000001</v>
      </c>
      <c r="G150">
        <v>0.97703700000000004</v>
      </c>
      <c r="H150">
        <v>1.079215</v>
      </c>
      <c r="I150">
        <v>1.174685</v>
      </c>
      <c r="J150">
        <v>1.263118</v>
      </c>
      <c r="K150">
        <v>1.3444449999999999</v>
      </c>
      <c r="L150">
        <v>1.418784</v>
      </c>
      <c r="M150">
        <v>1.4863869999999999</v>
      </c>
      <c r="N150">
        <v>1.547598</v>
      </c>
    </row>
    <row r="151" spans="1:14" x14ac:dyDescent="0.2">
      <c r="A151">
        <v>1973</v>
      </c>
      <c r="B151">
        <v>0.38256499999999999</v>
      </c>
      <c r="C151">
        <v>0.53672299999999995</v>
      </c>
      <c r="D151">
        <v>0.63790000000000002</v>
      </c>
      <c r="E151">
        <v>0.78353700000000004</v>
      </c>
      <c r="F151">
        <v>0.89698199999999995</v>
      </c>
      <c r="G151">
        <v>1.0048280000000001</v>
      </c>
      <c r="H151">
        <v>1.1061319999999999</v>
      </c>
      <c r="I151">
        <v>1.200367</v>
      </c>
      <c r="J151">
        <v>1.2873270000000001</v>
      </c>
      <c r="K151">
        <v>1.3670359999999999</v>
      </c>
      <c r="L151">
        <v>1.4396899999999999</v>
      </c>
      <c r="M151">
        <v>1.5056</v>
      </c>
      <c r="N151">
        <v>1.5651489999999999</v>
      </c>
    </row>
    <row r="152" spans="1:14" x14ac:dyDescent="0.2">
      <c r="A152">
        <v>1974</v>
      </c>
      <c r="B152">
        <v>0.41024699999999997</v>
      </c>
      <c r="C152">
        <v>0.52461500000000005</v>
      </c>
      <c r="D152">
        <v>0.682948</v>
      </c>
      <c r="E152">
        <v>0.78423500000000002</v>
      </c>
      <c r="F152">
        <v>0.92682299999999995</v>
      </c>
      <c r="G152">
        <v>1.0348839999999999</v>
      </c>
      <c r="H152">
        <v>1.1357189999999999</v>
      </c>
      <c r="I152">
        <v>1.2289699999999999</v>
      </c>
      <c r="J152">
        <v>1.3145770000000001</v>
      </c>
      <c r="K152">
        <v>1.3926909999999999</v>
      </c>
      <c r="L152">
        <v>1.4636070000000001</v>
      </c>
      <c r="M152">
        <v>1.527714</v>
      </c>
      <c r="N152">
        <v>1.585458</v>
      </c>
    </row>
    <row r="153" spans="1:14" x14ac:dyDescent="0.2">
      <c r="A153">
        <v>1975</v>
      </c>
      <c r="B153">
        <v>0.35908499999999999</v>
      </c>
      <c r="C153">
        <v>0.64713100000000001</v>
      </c>
      <c r="D153">
        <v>0.76846099999999995</v>
      </c>
      <c r="E153">
        <v>0.92697799999999997</v>
      </c>
      <c r="F153">
        <v>1.0231809999999999</v>
      </c>
      <c r="G153">
        <v>1.1567890000000001</v>
      </c>
      <c r="H153">
        <v>1.2531589999999999</v>
      </c>
      <c r="I153">
        <v>1.3405659999999999</v>
      </c>
      <c r="J153">
        <v>1.419427</v>
      </c>
      <c r="K153">
        <v>1.490283</v>
      </c>
      <c r="L153">
        <v>1.553733</v>
      </c>
      <c r="M153">
        <v>1.6103970000000001</v>
      </c>
      <c r="N153">
        <v>1.660887</v>
      </c>
    </row>
    <row r="154" spans="1:14" x14ac:dyDescent="0.2">
      <c r="A154">
        <v>1976</v>
      </c>
      <c r="B154">
        <v>0.41318100000000002</v>
      </c>
      <c r="C154">
        <v>0.50364200000000003</v>
      </c>
      <c r="D154">
        <v>0.79593599999999998</v>
      </c>
      <c r="E154">
        <v>0.91737900000000006</v>
      </c>
      <c r="F154">
        <v>1.0727930000000001</v>
      </c>
      <c r="G154">
        <v>1.163516</v>
      </c>
      <c r="H154">
        <v>1.28999</v>
      </c>
      <c r="I154">
        <v>1.3781650000000001</v>
      </c>
      <c r="J154">
        <v>1.45679</v>
      </c>
      <c r="K154">
        <v>1.526651</v>
      </c>
      <c r="L154">
        <v>1.5885579999999999</v>
      </c>
      <c r="M154">
        <v>1.643311</v>
      </c>
      <c r="N154">
        <v>1.6916640000000001</v>
      </c>
    </row>
    <row r="155" spans="1:14" x14ac:dyDescent="0.2">
      <c r="A155">
        <v>1977</v>
      </c>
      <c r="B155">
        <v>0.355568</v>
      </c>
      <c r="C155">
        <v>0.69595700000000005</v>
      </c>
      <c r="D155">
        <v>0.79472699999999996</v>
      </c>
      <c r="E155">
        <v>1.087242</v>
      </c>
      <c r="F155">
        <v>1.202615</v>
      </c>
      <c r="G155">
        <v>1.34731</v>
      </c>
      <c r="H155">
        <v>1.424077</v>
      </c>
      <c r="I155">
        <v>1.534521</v>
      </c>
      <c r="J155">
        <v>1.6055189999999999</v>
      </c>
      <c r="K155">
        <v>1.666536</v>
      </c>
      <c r="L155">
        <v>1.7188909999999999</v>
      </c>
      <c r="M155">
        <v>1.7637849999999999</v>
      </c>
      <c r="N155">
        <v>1.8022819999999999</v>
      </c>
    </row>
    <row r="156" spans="1:14" x14ac:dyDescent="0.2">
      <c r="A156">
        <v>1978</v>
      </c>
      <c r="B156">
        <v>0.406719</v>
      </c>
      <c r="C156">
        <v>0.49613699999999999</v>
      </c>
      <c r="D156">
        <v>0.84065699999999999</v>
      </c>
      <c r="E156">
        <v>0.93953699999999996</v>
      </c>
      <c r="F156">
        <v>1.229034</v>
      </c>
      <c r="G156">
        <v>1.339078</v>
      </c>
      <c r="H156">
        <v>1.476836</v>
      </c>
      <c r="I156">
        <v>1.545634</v>
      </c>
      <c r="J156">
        <v>1.64754</v>
      </c>
      <c r="K156">
        <v>1.709784</v>
      </c>
      <c r="L156">
        <v>1.7621</v>
      </c>
      <c r="M156">
        <v>1.805998</v>
      </c>
      <c r="N156">
        <v>1.842811</v>
      </c>
    </row>
    <row r="157" spans="1:14" x14ac:dyDescent="0.2">
      <c r="A157">
        <v>1979</v>
      </c>
      <c r="B157">
        <v>0.38369300000000001</v>
      </c>
      <c r="C157">
        <v>0.602711</v>
      </c>
      <c r="D157">
        <v>0.69788799999999995</v>
      </c>
      <c r="E157">
        <v>1.0425610000000001</v>
      </c>
      <c r="F157">
        <v>1.1372340000000001</v>
      </c>
      <c r="G157">
        <v>1.4193020000000001</v>
      </c>
      <c r="H157">
        <v>1.5196730000000001</v>
      </c>
      <c r="I157">
        <v>1.6463209999999999</v>
      </c>
      <c r="J157">
        <v>1.7032130000000001</v>
      </c>
      <c r="K157">
        <v>1.7929139999999999</v>
      </c>
      <c r="L157">
        <v>1.8430260000000001</v>
      </c>
      <c r="M157">
        <v>1.8835500000000001</v>
      </c>
      <c r="N157">
        <v>1.9161809999999999</v>
      </c>
    </row>
    <row r="158" spans="1:14" x14ac:dyDescent="0.2">
      <c r="A158">
        <v>1980</v>
      </c>
      <c r="B158">
        <v>0.37529800000000002</v>
      </c>
      <c r="C158">
        <v>0.58510099999999998</v>
      </c>
      <c r="D158">
        <v>0.81003800000000004</v>
      </c>
      <c r="E158">
        <v>0.90537199999999995</v>
      </c>
      <c r="F158">
        <v>1.245722</v>
      </c>
      <c r="G158">
        <v>1.3327599999999999</v>
      </c>
      <c r="H158">
        <v>1.6048880000000001</v>
      </c>
      <c r="I158">
        <v>1.6938420000000001</v>
      </c>
      <c r="J158">
        <v>1.8082549999999999</v>
      </c>
      <c r="K158">
        <v>1.852606</v>
      </c>
      <c r="L158">
        <v>1.9298390000000001</v>
      </c>
      <c r="M158">
        <v>1.9678329999999999</v>
      </c>
      <c r="N158">
        <v>1.9967779999999999</v>
      </c>
    </row>
    <row r="159" spans="1:14" x14ac:dyDescent="0.2">
      <c r="A159">
        <v>1981</v>
      </c>
      <c r="B159">
        <v>0.35886400000000002</v>
      </c>
      <c r="C159">
        <v>0.54580600000000001</v>
      </c>
      <c r="D159">
        <v>0.76062099999999999</v>
      </c>
      <c r="E159">
        <v>0.98569099999999998</v>
      </c>
      <c r="F159">
        <v>1.077364</v>
      </c>
      <c r="G159">
        <v>1.411251</v>
      </c>
      <c r="H159">
        <v>1.4898739999999999</v>
      </c>
      <c r="I159">
        <v>1.7523359999999999</v>
      </c>
      <c r="J159">
        <v>1.830932</v>
      </c>
      <c r="K159">
        <v>1.934728</v>
      </c>
      <c r="L159">
        <v>1.968523</v>
      </c>
      <c r="M159">
        <v>2.035498</v>
      </c>
      <c r="N159">
        <v>2.0636899999999998</v>
      </c>
    </row>
    <row r="160" spans="1:14" x14ac:dyDescent="0.2">
      <c r="A160">
        <v>1982</v>
      </c>
      <c r="B160">
        <v>0.351186</v>
      </c>
      <c r="C160">
        <v>0.48303499999999999</v>
      </c>
      <c r="D160">
        <v>0.67362699999999998</v>
      </c>
      <c r="E160">
        <v>0.88853800000000005</v>
      </c>
      <c r="F160">
        <v>1.110943</v>
      </c>
      <c r="G160">
        <v>1.19791</v>
      </c>
      <c r="H160">
        <v>1.5256670000000001</v>
      </c>
      <c r="I160">
        <v>1.5972519999999999</v>
      </c>
      <c r="J160">
        <v>1.852171</v>
      </c>
      <c r="K160">
        <v>1.923035</v>
      </c>
      <c r="L160">
        <v>2.0191439999999998</v>
      </c>
      <c r="M160">
        <v>2.0454690000000002</v>
      </c>
      <c r="N160">
        <v>2.105305</v>
      </c>
    </row>
    <row r="161" spans="1:14" x14ac:dyDescent="0.2">
      <c r="A161">
        <v>1983</v>
      </c>
      <c r="B161">
        <v>0.41311799999999999</v>
      </c>
      <c r="C161">
        <v>0.52337299999999998</v>
      </c>
      <c r="D161">
        <v>0.66028299999999995</v>
      </c>
      <c r="E161">
        <v>0.85100900000000002</v>
      </c>
      <c r="F161">
        <v>1.0622240000000001</v>
      </c>
      <c r="G161">
        <v>1.2781020000000001</v>
      </c>
      <c r="H161">
        <v>1.356571</v>
      </c>
      <c r="I161">
        <v>1.6745669999999999</v>
      </c>
      <c r="J161">
        <v>1.735692</v>
      </c>
      <c r="K161">
        <v>1.979889</v>
      </c>
      <c r="L161">
        <v>2.040095</v>
      </c>
      <c r="M161">
        <v>2.1258430000000001</v>
      </c>
      <c r="N161">
        <v>2.1422699999999999</v>
      </c>
    </row>
    <row r="162" spans="1:14" x14ac:dyDescent="0.2">
      <c r="A162">
        <v>1984</v>
      </c>
      <c r="B162">
        <v>0.41906500000000002</v>
      </c>
      <c r="C162">
        <v>0.50315799999999999</v>
      </c>
      <c r="D162">
        <v>0.61606000000000005</v>
      </c>
      <c r="E162">
        <v>0.75304000000000004</v>
      </c>
      <c r="F162">
        <v>0.94183300000000003</v>
      </c>
      <c r="G162">
        <v>1.149635</v>
      </c>
      <c r="H162">
        <v>1.3610690000000001</v>
      </c>
      <c r="I162">
        <v>1.4344330000000001</v>
      </c>
      <c r="J162">
        <v>1.746961</v>
      </c>
      <c r="K162">
        <v>1.8024789999999999</v>
      </c>
      <c r="L162">
        <v>2.041102</v>
      </c>
      <c r="M162">
        <v>2.0958899999999998</v>
      </c>
      <c r="N162">
        <v>2.1764619999999999</v>
      </c>
    </row>
    <row r="163" spans="1:14" x14ac:dyDescent="0.2">
      <c r="A163">
        <v>1985</v>
      </c>
      <c r="B163">
        <v>0.448378</v>
      </c>
      <c r="C163">
        <v>0.54120500000000005</v>
      </c>
      <c r="D163">
        <v>0.628888</v>
      </c>
      <c r="E163">
        <v>0.74188500000000002</v>
      </c>
      <c r="F163">
        <v>0.87624299999999999</v>
      </c>
      <c r="G163">
        <v>1.0604070000000001</v>
      </c>
      <c r="H163">
        <v>1.2621800000000001</v>
      </c>
      <c r="I163">
        <v>1.46669</v>
      </c>
      <c r="J163">
        <v>1.5326360000000001</v>
      </c>
      <c r="K163">
        <v>1.8375570000000001</v>
      </c>
      <c r="L163">
        <v>1.8855139999999999</v>
      </c>
      <c r="M163">
        <v>2.1167889999999998</v>
      </c>
      <c r="N163">
        <v>2.164555</v>
      </c>
    </row>
    <row r="164" spans="1:14" x14ac:dyDescent="0.2">
      <c r="A164">
        <v>1986</v>
      </c>
      <c r="B164">
        <v>0.37929200000000002</v>
      </c>
      <c r="C164">
        <v>0.509432</v>
      </c>
      <c r="D164">
        <v>0.60405399999999998</v>
      </c>
      <c r="E164">
        <v>0.69178399999999995</v>
      </c>
      <c r="F164">
        <v>0.80347100000000005</v>
      </c>
      <c r="G164">
        <v>0.93551399999999996</v>
      </c>
      <c r="H164">
        <v>1.116665</v>
      </c>
      <c r="I164">
        <v>1.3149770000000001</v>
      </c>
      <c r="J164">
        <v>1.515779</v>
      </c>
      <c r="K164">
        <v>1.577922</v>
      </c>
      <c r="L164">
        <v>1.8790640000000001</v>
      </c>
      <c r="M164">
        <v>1.9233480000000001</v>
      </c>
      <c r="N164">
        <v>2.1511130000000001</v>
      </c>
    </row>
    <row r="165" spans="1:14" x14ac:dyDescent="0.2">
      <c r="A165">
        <v>1987</v>
      </c>
      <c r="B165">
        <v>0.41637299999999999</v>
      </c>
      <c r="C165">
        <v>0.467748</v>
      </c>
      <c r="D165">
        <v>0.60048800000000002</v>
      </c>
      <c r="E165">
        <v>0.69517899999999999</v>
      </c>
      <c r="F165">
        <v>0.78100999999999998</v>
      </c>
      <c r="G165">
        <v>0.88934400000000002</v>
      </c>
      <c r="H165">
        <v>1.0170220000000001</v>
      </c>
      <c r="I165">
        <v>1.1931579999999999</v>
      </c>
      <c r="J165">
        <v>1.3860969999999999</v>
      </c>
      <c r="K165">
        <v>1.5813900000000001</v>
      </c>
      <c r="L165">
        <v>1.638058</v>
      </c>
      <c r="M165">
        <v>1.933878</v>
      </c>
      <c r="N165">
        <v>1.9730760000000001</v>
      </c>
    </row>
    <row r="166" spans="1:14" x14ac:dyDescent="0.2">
      <c r="A166">
        <v>1988</v>
      </c>
      <c r="B166">
        <v>0.38044699999999998</v>
      </c>
      <c r="C166">
        <v>0.48938799999999999</v>
      </c>
      <c r="D166">
        <v>0.54290899999999997</v>
      </c>
      <c r="E166">
        <v>0.67570600000000003</v>
      </c>
      <c r="F166">
        <v>0.76883000000000001</v>
      </c>
      <c r="G166">
        <v>0.85189300000000001</v>
      </c>
      <c r="H166">
        <v>0.956623</v>
      </c>
      <c r="I166">
        <v>1.0801620000000001</v>
      </c>
      <c r="J166">
        <v>1.2518629999999999</v>
      </c>
      <c r="K166">
        <v>1.4402550000000001</v>
      </c>
      <c r="L166">
        <v>1.6310290000000001</v>
      </c>
      <c r="M166">
        <v>1.683303</v>
      </c>
      <c r="N166">
        <v>1.974926</v>
      </c>
    </row>
    <row r="167" spans="1:14" x14ac:dyDescent="0.2">
      <c r="A167">
        <v>1989</v>
      </c>
      <c r="B167">
        <v>0.33052599999999999</v>
      </c>
      <c r="C167">
        <v>0.46304000000000001</v>
      </c>
      <c r="D167">
        <v>0.57440899999999995</v>
      </c>
      <c r="E167">
        <v>0.62799400000000005</v>
      </c>
      <c r="F167">
        <v>0.75901799999999997</v>
      </c>
      <c r="G167">
        <v>0.84901099999999996</v>
      </c>
      <c r="H167">
        <v>0.92799799999999999</v>
      </c>
      <c r="I167">
        <v>1.028046</v>
      </c>
      <c r="J167">
        <v>1.146568</v>
      </c>
      <c r="K167">
        <v>1.313126</v>
      </c>
      <c r="L167">
        <v>1.496405</v>
      </c>
      <c r="M167">
        <v>1.6822090000000001</v>
      </c>
      <c r="N167">
        <v>1.7297359999999999</v>
      </c>
    </row>
    <row r="168" spans="1:14" x14ac:dyDescent="0.2">
      <c r="A168">
        <v>1990</v>
      </c>
      <c r="B168">
        <v>0.33682000000000001</v>
      </c>
      <c r="C168">
        <v>0.47305599999999998</v>
      </c>
      <c r="D168">
        <v>0.60975900000000005</v>
      </c>
      <c r="E168">
        <v>0.72123800000000005</v>
      </c>
      <c r="F168">
        <v>0.77176400000000001</v>
      </c>
      <c r="G168">
        <v>0.89738600000000002</v>
      </c>
      <c r="H168">
        <v>0.98034399999999999</v>
      </c>
      <c r="I168">
        <v>1.0512520000000001</v>
      </c>
      <c r="J168">
        <v>1.1426419999999999</v>
      </c>
      <c r="K168">
        <v>1.2522880000000001</v>
      </c>
      <c r="L168">
        <v>1.410023</v>
      </c>
      <c r="M168">
        <v>1.584727</v>
      </c>
      <c r="N168">
        <v>1.762337</v>
      </c>
    </row>
    <row r="169" spans="1:14" x14ac:dyDescent="0.2">
      <c r="A169">
        <v>1991</v>
      </c>
      <c r="B169">
        <v>0.33222400000000002</v>
      </c>
      <c r="C169">
        <v>0.463034</v>
      </c>
      <c r="D169">
        <v>0.60297900000000004</v>
      </c>
      <c r="E169">
        <v>0.73977999999999999</v>
      </c>
      <c r="F169">
        <v>0.84855000000000003</v>
      </c>
      <c r="G169">
        <v>0.89429199999999998</v>
      </c>
      <c r="H169">
        <v>1.013684</v>
      </c>
      <c r="I169">
        <v>1.089488</v>
      </c>
      <c r="J169">
        <v>1.1527289999999999</v>
      </c>
      <c r="K169">
        <v>1.236259</v>
      </c>
      <c r="L169">
        <v>1.338093</v>
      </c>
      <c r="M169">
        <v>1.4882329999999999</v>
      </c>
      <c r="N169">
        <v>1.6556820000000001</v>
      </c>
    </row>
    <row r="170" spans="1:14" x14ac:dyDescent="0.2">
      <c r="A170">
        <v>1992</v>
      </c>
      <c r="B170">
        <v>0.430724</v>
      </c>
      <c r="C170">
        <v>0.45943499999999998</v>
      </c>
      <c r="D170">
        <v>0.59398399999999996</v>
      </c>
      <c r="E170">
        <v>0.73402800000000001</v>
      </c>
      <c r="F170">
        <v>0.86809899999999995</v>
      </c>
      <c r="G170">
        <v>0.97204699999999999</v>
      </c>
      <c r="H170">
        <v>1.0115099999999999</v>
      </c>
      <c r="I170">
        <v>1.123691</v>
      </c>
      <c r="J170">
        <v>1.191767</v>
      </c>
      <c r="K170">
        <v>1.2470859999999999</v>
      </c>
      <c r="L170">
        <v>1.3227420000000001</v>
      </c>
      <c r="M170">
        <v>1.416922</v>
      </c>
      <c r="N170">
        <v>1.55975</v>
      </c>
    </row>
    <row r="171" spans="1:14" x14ac:dyDescent="0.2">
      <c r="A171">
        <v>1993</v>
      </c>
      <c r="B171">
        <v>0.492282</v>
      </c>
      <c r="C171">
        <v>0.61185299999999998</v>
      </c>
      <c r="D171">
        <v>0.64588800000000002</v>
      </c>
      <c r="E171">
        <v>0.78057799999999999</v>
      </c>
      <c r="F171">
        <v>0.91673400000000005</v>
      </c>
      <c r="G171">
        <v>1.043939</v>
      </c>
      <c r="H171">
        <v>1.1389469999999999</v>
      </c>
      <c r="I171">
        <v>1.1681429999999999</v>
      </c>
      <c r="J171">
        <v>1.2693209999999999</v>
      </c>
      <c r="K171">
        <v>1.3261179999999999</v>
      </c>
      <c r="L171">
        <v>1.370225</v>
      </c>
      <c r="M171">
        <v>1.4349829999999999</v>
      </c>
      <c r="N171">
        <v>1.51875</v>
      </c>
    </row>
    <row r="172" spans="1:14" x14ac:dyDescent="0.2">
      <c r="A172">
        <v>1994</v>
      </c>
      <c r="B172">
        <v>0.40987600000000002</v>
      </c>
      <c r="C172">
        <v>0.61329299999999998</v>
      </c>
      <c r="D172">
        <v>0.73642099999999999</v>
      </c>
      <c r="E172">
        <v>0.77054999999999996</v>
      </c>
      <c r="F172">
        <v>0.90264200000000006</v>
      </c>
      <c r="G172">
        <v>1.034211</v>
      </c>
      <c r="H172">
        <v>1.155443</v>
      </c>
      <c r="I172">
        <v>1.243592</v>
      </c>
      <c r="J172">
        <v>1.2654369999999999</v>
      </c>
      <c r="K172">
        <v>1.3590789999999999</v>
      </c>
      <c r="L172">
        <v>1.4083859999999999</v>
      </c>
      <c r="M172">
        <v>1.4452119999999999</v>
      </c>
      <c r="N172">
        <v>1.5030129999999999</v>
      </c>
    </row>
    <row r="173" spans="1:14" x14ac:dyDescent="0.2">
      <c r="A173">
        <v>1995</v>
      </c>
      <c r="B173">
        <v>0.33145999999999998</v>
      </c>
      <c r="C173">
        <v>0.50952600000000003</v>
      </c>
      <c r="D173">
        <v>0.71587100000000004</v>
      </c>
      <c r="E173">
        <v>0.83907600000000004</v>
      </c>
      <c r="F173">
        <v>0.87106600000000001</v>
      </c>
      <c r="G173">
        <v>0.99938099999999996</v>
      </c>
      <c r="H173">
        <v>1.1260319999999999</v>
      </c>
      <c r="I173">
        <v>1.2416149999999999</v>
      </c>
      <c r="J173">
        <v>1.3237110000000001</v>
      </c>
      <c r="K173">
        <v>1.339351</v>
      </c>
      <c r="L173">
        <v>1.426825</v>
      </c>
      <c r="M173">
        <v>1.470135</v>
      </c>
      <c r="N173">
        <v>1.501233</v>
      </c>
    </row>
    <row r="174" spans="1:14" x14ac:dyDescent="0.2">
      <c r="A174">
        <v>1996</v>
      </c>
      <c r="B174">
        <v>0.37752799999999997</v>
      </c>
      <c r="C174">
        <v>0.42125600000000002</v>
      </c>
      <c r="D174">
        <v>0.60196000000000005</v>
      </c>
      <c r="E174">
        <v>0.80837499999999995</v>
      </c>
      <c r="F174">
        <v>0.92965299999999995</v>
      </c>
      <c r="G174">
        <v>0.95823899999999995</v>
      </c>
      <c r="H174">
        <v>1.082122</v>
      </c>
      <c r="I174">
        <v>1.2036830000000001</v>
      </c>
      <c r="J174">
        <v>1.313812</v>
      </c>
      <c r="K174">
        <v>1.3903160000000001</v>
      </c>
      <c r="L174">
        <v>1.4003969999999999</v>
      </c>
      <c r="M174">
        <v>1.4824679999999999</v>
      </c>
      <c r="N174">
        <v>1.5206170000000001</v>
      </c>
    </row>
    <row r="175" spans="1:14" x14ac:dyDescent="0.2">
      <c r="A175">
        <v>1997</v>
      </c>
      <c r="B175">
        <v>0.43798799999999999</v>
      </c>
      <c r="C175">
        <v>0.48485699999999998</v>
      </c>
      <c r="D175">
        <v>0.53173899999999996</v>
      </c>
      <c r="E175">
        <v>0.71252700000000002</v>
      </c>
      <c r="F175">
        <v>0.91663799999999995</v>
      </c>
      <c r="G175">
        <v>1.0338480000000001</v>
      </c>
      <c r="H175">
        <v>1.057137</v>
      </c>
      <c r="I175">
        <v>1.174936</v>
      </c>
      <c r="J175">
        <v>1.2899769999999999</v>
      </c>
      <c r="K175">
        <v>1.3934219999999999</v>
      </c>
      <c r="L175">
        <v>1.463282</v>
      </c>
      <c r="M175">
        <v>1.4669049999999999</v>
      </c>
      <c r="N175">
        <v>1.542807</v>
      </c>
    </row>
    <row r="176" spans="1:14" x14ac:dyDescent="0.2">
      <c r="A176">
        <v>1998</v>
      </c>
      <c r="B176">
        <v>0.40777099999999999</v>
      </c>
      <c r="C176">
        <v>0.53178800000000004</v>
      </c>
      <c r="D176">
        <v>0.58141399999999999</v>
      </c>
      <c r="E176">
        <v>0.62836899999999996</v>
      </c>
      <c r="F176">
        <v>0.80714300000000005</v>
      </c>
      <c r="G176">
        <v>1.0076989999999999</v>
      </c>
      <c r="H176">
        <v>1.120279</v>
      </c>
      <c r="I176">
        <v>1.1382509999999999</v>
      </c>
      <c r="J176">
        <v>1.2503519999999999</v>
      </c>
      <c r="K176">
        <v>1.3595520000000001</v>
      </c>
      <c r="L176">
        <v>1.4571909999999999</v>
      </c>
      <c r="M176">
        <v>1.521407</v>
      </c>
      <c r="N176">
        <v>1.519638</v>
      </c>
    </row>
    <row r="177" spans="1:14" x14ac:dyDescent="0.2">
      <c r="A177">
        <v>1999</v>
      </c>
      <c r="B177">
        <v>0.40358699999999997</v>
      </c>
      <c r="C177">
        <v>0.50938899999999998</v>
      </c>
      <c r="D177">
        <v>0.63639299999999999</v>
      </c>
      <c r="E177">
        <v>0.68609699999999996</v>
      </c>
      <c r="F177">
        <v>0.73087100000000005</v>
      </c>
      <c r="G177">
        <v>0.90579399999999999</v>
      </c>
      <c r="H177">
        <v>1.101334</v>
      </c>
      <c r="I177">
        <v>1.208154</v>
      </c>
      <c r="J177">
        <v>1.2199530000000001</v>
      </c>
      <c r="K177">
        <v>1.325726</v>
      </c>
      <c r="L177">
        <v>1.428636</v>
      </c>
      <c r="M177">
        <v>1.52016</v>
      </c>
      <c r="N177">
        <v>1.578535</v>
      </c>
    </row>
    <row r="178" spans="1:14" x14ac:dyDescent="0.2">
      <c r="A178">
        <v>2000</v>
      </c>
      <c r="B178">
        <v>0.37770799999999999</v>
      </c>
      <c r="C178">
        <v>0.50999399999999995</v>
      </c>
      <c r="D178">
        <v>0.618923</v>
      </c>
      <c r="E178">
        <v>0.74600999999999995</v>
      </c>
      <c r="F178">
        <v>0.79342999999999997</v>
      </c>
      <c r="G178">
        <v>0.834171</v>
      </c>
      <c r="H178">
        <v>1.0038419999999999</v>
      </c>
      <c r="I178">
        <v>1.1933499999999999</v>
      </c>
      <c r="J178">
        <v>1.293706</v>
      </c>
      <c r="K178">
        <v>1.2988789999999999</v>
      </c>
      <c r="L178">
        <v>1.3980649999999999</v>
      </c>
      <c r="M178">
        <v>1.4945729999999999</v>
      </c>
      <c r="N178">
        <v>1.5799810000000001</v>
      </c>
    </row>
    <row r="179" spans="1:14" x14ac:dyDescent="0.2">
      <c r="A179">
        <v>2001</v>
      </c>
      <c r="B179">
        <v>0.40294999999999997</v>
      </c>
      <c r="C179">
        <v>0.52955200000000002</v>
      </c>
      <c r="D179">
        <v>0.6663</v>
      </c>
      <c r="E179">
        <v>0.77534700000000001</v>
      </c>
      <c r="F179">
        <v>0.89917499999999995</v>
      </c>
      <c r="G179">
        <v>0.94083899999999998</v>
      </c>
      <c r="H179">
        <v>0.97408600000000001</v>
      </c>
      <c r="I179">
        <v>1.135149</v>
      </c>
      <c r="J179">
        <v>1.315434</v>
      </c>
      <c r="K179">
        <v>1.4063349999999999</v>
      </c>
      <c r="L179">
        <v>1.4021079999999999</v>
      </c>
      <c r="M179">
        <v>1.4921580000000001</v>
      </c>
      <c r="N179">
        <v>1.5799369999999999</v>
      </c>
    </row>
    <row r="180" spans="1:14" x14ac:dyDescent="0.2">
      <c r="A180">
        <v>2002</v>
      </c>
      <c r="B180">
        <v>0.43230200000000002</v>
      </c>
      <c r="C180">
        <v>0.52226799999999995</v>
      </c>
      <c r="D180">
        <v>0.65237599999999996</v>
      </c>
      <c r="E180">
        <v>0.78921699999999995</v>
      </c>
      <c r="F180">
        <v>0.89570300000000003</v>
      </c>
      <c r="G180">
        <v>1.0150079999999999</v>
      </c>
      <c r="H180">
        <v>1.0507839999999999</v>
      </c>
      <c r="I180">
        <v>1.0772660000000001</v>
      </c>
      <c r="J180">
        <v>1.231082</v>
      </c>
      <c r="K180">
        <v>1.403937</v>
      </c>
      <c r="L180">
        <v>1.4874510000000001</v>
      </c>
      <c r="M180">
        <v>1.4760450000000001</v>
      </c>
      <c r="N180">
        <v>1.559237</v>
      </c>
    </row>
    <row r="181" spans="1:14" x14ac:dyDescent="0.2">
      <c r="A181">
        <v>2003</v>
      </c>
      <c r="B181">
        <v>0.46959099999999998</v>
      </c>
      <c r="C181">
        <v>0.54574699999999998</v>
      </c>
      <c r="D181">
        <v>0.63904700000000003</v>
      </c>
      <c r="E181">
        <v>0.76924400000000004</v>
      </c>
      <c r="F181">
        <v>0.90364999999999995</v>
      </c>
      <c r="G181">
        <v>1.005835</v>
      </c>
      <c r="H181">
        <v>1.1195409999999999</v>
      </c>
      <c r="I181">
        <v>1.1488860000000001</v>
      </c>
      <c r="J181">
        <v>1.168477</v>
      </c>
      <c r="K181">
        <v>1.3152280000000001</v>
      </c>
      <c r="L181">
        <v>1.481061</v>
      </c>
      <c r="M181">
        <v>1.5577490000000001</v>
      </c>
      <c r="N181">
        <v>1.539822</v>
      </c>
    </row>
    <row r="182" spans="1:14" x14ac:dyDescent="0.2">
      <c r="A182">
        <v>2004</v>
      </c>
      <c r="B182">
        <v>0.40459499999999998</v>
      </c>
      <c r="C182">
        <v>0.571712</v>
      </c>
      <c r="D182">
        <v>0.65086999999999995</v>
      </c>
      <c r="E182">
        <v>0.74424900000000005</v>
      </c>
      <c r="F182">
        <v>0.87225399999999997</v>
      </c>
      <c r="G182">
        <v>1.0027889999999999</v>
      </c>
      <c r="H182">
        <v>1.099934</v>
      </c>
      <c r="I182">
        <v>1.207851</v>
      </c>
      <c r="J182">
        <v>1.2309920000000001</v>
      </c>
      <c r="K182">
        <v>1.2442249999999999</v>
      </c>
      <c r="L182">
        <v>1.3846540000000001</v>
      </c>
      <c r="M182">
        <v>1.5443420000000001</v>
      </c>
      <c r="N182">
        <v>1.6151599999999999</v>
      </c>
    </row>
    <row r="183" spans="1:14" x14ac:dyDescent="0.2">
      <c r="A183">
        <v>2005</v>
      </c>
      <c r="B183">
        <v>0.34021099999999999</v>
      </c>
      <c r="C183">
        <v>0.48806899999999998</v>
      </c>
      <c r="D183">
        <v>0.65763899999999997</v>
      </c>
      <c r="E183">
        <v>0.73686200000000002</v>
      </c>
      <c r="F183">
        <v>0.82844899999999999</v>
      </c>
      <c r="G183">
        <v>0.95328999999999997</v>
      </c>
      <c r="H183">
        <v>1.0797049999999999</v>
      </c>
      <c r="I183">
        <v>1.172118</v>
      </c>
      <c r="J183">
        <v>1.274964</v>
      </c>
      <c r="K183">
        <v>1.2929079999999999</v>
      </c>
      <c r="L183">
        <v>1.3009729999999999</v>
      </c>
      <c r="M183">
        <v>1.43638</v>
      </c>
      <c r="N183">
        <v>1.59127</v>
      </c>
    </row>
    <row r="184" spans="1:14" x14ac:dyDescent="0.2">
      <c r="A184">
        <v>2006</v>
      </c>
      <c r="B184">
        <v>0.32509399999999999</v>
      </c>
      <c r="C184">
        <v>0.45118799999999998</v>
      </c>
      <c r="D184">
        <v>0.60230700000000004</v>
      </c>
      <c r="E184">
        <v>0.77196299999999995</v>
      </c>
      <c r="F184">
        <v>0.848804</v>
      </c>
      <c r="G184">
        <v>0.93618400000000002</v>
      </c>
      <c r="H184">
        <v>1.0555479999999999</v>
      </c>
      <c r="I184">
        <v>1.1756720000000001</v>
      </c>
      <c r="J184">
        <v>1.2613449999999999</v>
      </c>
      <c r="K184">
        <v>1.35728</v>
      </c>
      <c r="L184">
        <v>1.3683540000000001</v>
      </c>
      <c r="M184">
        <v>1.369742</v>
      </c>
      <c r="N184">
        <v>1.498769</v>
      </c>
    </row>
    <row r="185" spans="1:14" x14ac:dyDescent="0.2">
      <c r="A185">
        <v>2007</v>
      </c>
      <c r="B185">
        <v>0.35762699999999997</v>
      </c>
      <c r="C185">
        <v>0.508517</v>
      </c>
      <c r="D185">
        <v>0.64000100000000004</v>
      </c>
      <c r="E185">
        <v>0.79126300000000005</v>
      </c>
      <c r="F185">
        <v>0.95698300000000003</v>
      </c>
      <c r="G185">
        <v>1.0268710000000001</v>
      </c>
      <c r="H185">
        <v>1.1051979999999999</v>
      </c>
      <c r="I185">
        <v>1.214164</v>
      </c>
      <c r="J185">
        <v>1.3231459999999999</v>
      </c>
      <c r="K185">
        <v>1.397397</v>
      </c>
      <c r="L185">
        <v>1.481978</v>
      </c>
      <c r="M185">
        <v>1.482016</v>
      </c>
      <c r="N185">
        <v>1.4728600000000001</v>
      </c>
    </row>
    <row r="186" spans="1:14" x14ac:dyDescent="0.2">
      <c r="A186">
        <v>2008</v>
      </c>
      <c r="B186">
        <v>0.30060100000000001</v>
      </c>
      <c r="C186">
        <v>0.49809700000000001</v>
      </c>
      <c r="D186">
        <v>0.653115</v>
      </c>
      <c r="E186">
        <v>0.78470899999999999</v>
      </c>
      <c r="F186">
        <v>0.93295499999999998</v>
      </c>
      <c r="G186">
        <v>1.09335</v>
      </c>
      <c r="H186">
        <v>1.1563049999999999</v>
      </c>
      <c r="I186">
        <v>1.2266699999999999</v>
      </c>
      <c r="J186">
        <v>1.3271029999999999</v>
      </c>
      <c r="K186">
        <v>1.427338</v>
      </c>
      <c r="L186">
        <v>1.492893</v>
      </c>
      <c r="M186">
        <v>1.5690219999999999</v>
      </c>
      <c r="N186">
        <v>1.5609850000000001</v>
      </c>
    </row>
    <row r="187" spans="1:14" x14ac:dyDescent="0.2">
      <c r="A187">
        <v>2009</v>
      </c>
      <c r="B187">
        <v>0.341586</v>
      </c>
      <c r="C187">
        <v>0.52851199999999998</v>
      </c>
      <c r="D187">
        <v>0.73270599999999997</v>
      </c>
      <c r="E187">
        <v>0.88790199999999997</v>
      </c>
      <c r="F187">
        <v>1.0146029999999999</v>
      </c>
      <c r="G187">
        <v>1.1542110000000001</v>
      </c>
      <c r="H187">
        <v>1.3033570000000001</v>
      </c>
      <c r="I187">
        <v>1.3533930000000001</v>
      </c>
      <c r="J187">
        <v>1.409913</v>
      </c>
      <c r="K187">
        <v>1.496154</v>
      </c>
      <c r="L187">
        <v>1.5822799999999999</v>
      </c>
      <c r="M187">
        <v>1.634123</v>
      </c>
      <c r="N187">
        <v>1.6971510000000001</v>
      </c>
    </row>
    <row r="188" spans="1:14" x14ac:dyDescent="0.2">
      <c r="A188">
        <v>2010</v>
      </c>
      <c r="B188">
        <v>0.30634499999999998</v>
      </c>
      <c r="C188">
        <v>0.49793700000000002</v>
      </c>
      <c r="D188">
        <v>0.68945900000000004</v>
      </c>
      <c r="E188">
        <v>0.89377499999999999</v>
      </c>
      <c r="F188">
        <v>1.045614</v>
      </c>
      <c r="G188">
        <v>1.1663889999999999</v>
      </c>
      <c r="H188">
        <v>1.2982800000000001</v>
      </c>
      <c r="I188">
        <v>1.438563</v>
      </c>
      <c r="J188">
        <v>1.479101</v>
      </c>
      <c r="K188">
        <v>1.5258849999999999</v>
      </c>
      <c r="L188">
        <v>1.602447</v>
      </c>
      <c r="M188">
        <v>1.6791670000000001</v>
      </c>
      <c r="N188">
        <v>1.722021</v>
      </c>
    </row>
    <row r="189" spans="1:14" x14ac:dyDescent="0.2">
      <c r="A189">
        <v>2011</v>
      </c>
      <c r="B189">
        <v>0.28540500000000002</v>
      </c>
      <c r="C189">
        <v>0.473522</v>
      </c>
      <c r="D189">
        <v>0.67002700000000004</v>
      </c>
      <c r="E189">
        <v>0.86167899999999997</v>
      </c>
      <c r="F189">
        <v>1.062406</v>
      </c>
      <c r="G189">
        <v>1.2079089999999999</v>
      </c>
      <c r="H189">
        <v>1.320433</v>
      </c>
      <c r="I189">
        <v>1.442847</v>
      </c>
      <c r="J189">
        <v>1.572975</v>
      </c>
      <c r="K189">
        <v>1.6031029999999999</v>
      </c>
      <c r="L189">
        <v>1.6395379999999999</v>
      </c>
      <c r="M189">
        <v>1.7060420000000001</v>
      </c>
      <c r="N189">
        <v>1.7731509999999999</v>
      </c>
    </row>
    <row r="190" spans="1:14" x14ac:dyDescent="0.2">
      <c r="A190">
        <v>2012</v>
      </c>
      <c r="B190">
        <v>0.29153099999999998</v>
      </c>
      <c r="C190">
        <v>0.410692</v>
      </c>
      <c r="D190">
        <v>0.60249200000000003</v>
      </c>
      <c r="E190">
        <v>0.79909399999999997</v>
      </c>
      <c r="F190">
        <v>0.98805699999999996</v>
      </c>
      <c r="G190">
        <v>1.1840349999999999</v>
      </c>
      <c r="H190">
        <v>1.3233539999999999</v>
      </c>
      <c r="I190">
        <v>1.4287749999999999</v>
      </c>
      <c r="J190">
        <v>1.543579</v>
      </c>
      <c r="K190">
        <v>1.665905</v>
      </c>
      <c r="L190">
        <v>1.6882779999999999</v>
      </c>
      <c r="M190">
        <v>1.7171749999999999</v>
      </c>
      <c r="N190">
        <v>1.7764759999999999</v>
      </c>
    </row>
    <row r="191" spans="1:14" x14ac:dyDescent="0.2">
      <c r="A191">
        <v>2013</v>
      </c>
      <c r="B191">
        <v>0.323438</v>
      </c>
      <c r="C191">
        <v>0.44308399999999998</v>
      </c>
      <c r="D191">
        <v>0.56669899999999995</v>
      </c>
      <c r="E191">
        <v>0.75861599999999996</v>
      </c>
      <c r="F191">
        <v>0.95196599999999998</v>
      </c>
      <c r="G191">
        <v>1.135184</v>
      </c>
      <c r="H191">
        <v>1.323682</v>
      </c>
      <c r="I191">
        <v>1.45441</v>
      </c>
      <c r="J191">
        <v>1.5506249999999999</v>
      </c>
      <c r="K191">
        <v>1.6559919999999999</v>
      </c>
      <c r="L191">
        <v>1.7689360000000001</v>
      </c>
      <c r="M191">
        <v>1.7821899999999999</v>
      </c>
      <c r="N191">
        <v>1.8023750000000001</v>
      </c>
    </row>
    <row r="192" spans="1:14" x14ac:dyDescent="0.2">
      <c r="A192">
        <v>2014</v>
      </c>
      <c r="B192">
        <v>0.42285600000000001</v>
      </c>
      <c r="C192">
        <v>0.48422500000000002</v>
      </c>
      <c r="D192">
        <v>0.60859600000000003</v>
      </c>
      <c r="E192">
        <v>0.73233599999999999</v>
      </c>
      <c r="F192">
        <v>0.92080200000000001</v>
      </c>
      <c r="G192">
        <v>1.1080570000000001</v>
      </c>
      <c r="H192">
        <v>1.2833399999999999</v>
      </c>
      <c r="I192">
        <v>1.462723</v>
      </c>
      <c r="J192">
        <v>1.5836840000000001</v>
      </c>
      <c r="K192">
        <v>1.6698869999999999</v>
      </c>
      <c r="L192">
        <v>1.7653000000000001</v>
      </c>
      <c r="M192">
        <v>1.868571</v>
      </c>
      <c r="N192">
        <v>1.872582</v>
      </c>
    </row>
    <row r="193" spans="1:14" x14ac:dyDescent="0.2">
      <c r="A193">
        <v>2015</v>
      </c>
      <c r="B193">
        <v>0.426118</v>
      </c>
      <c r="C193">
        <v>0.46742699999999998</v>
      </c>
      <c r="D193">
        <v>0.53010699999999999</v>
      </c>
      <c r="E193">
        <v>0.65451199999999998</v>
      </c>
      <c r="F193">
        <v>0.77729499999999996</v>
      </c>
      <c r="G193">
        <v>0.96407200000000004</v>
      </c>
      <c r="H193">
        <v>1.149127</v>
      </c>
      <c r="I193">
        <v>1.3218829999999999</v>
      </c>
      <c r="J193">
        <v>1.498559</v>
      </c>
      <c r="K193">
        <v>1.6167450000000001</v>
      </c>
      <c r="L193">
        <v>1.700188</v>
      </c>
      <c r="M193">
        <v>1.7929200000000001</v>
      </c>
      <c r="N193">
        <v>1.893629</v>
      </c>
    </row>
    <row r="194" spans="1:14" x14ac:dyDescent="0.2">
      <c r="A194">
        <v>2016</v>
      </c>
      <c r="B194">
        <v>0.38258799999999998</v>
      </c>
      <c r="C194">
        <v>0.52605800000000003</v>
      </c>
      <c r="D194">
        <v>0.57030400000000003</v>
      </c>
      <c r="E194">
        <v>0.63306099999999998</v>
      </c>
      <c r="F194">
        <v>0.75532200000000005</v>
      </c>
      <c r="G194">
        <v>0.87431700000000001</v>
      </c>
      <c r="H194">
        <v>1.0561609999999999</v>
      </c>
      <c r="I194">
        <v>1.2355510000000001</v>
      </c>
      <c r="J194">
        <v>1.402236</v>
      </c>
      <c r="K194">
        <v>1.5726880000000001</v>
      </c>
      <c r="L194">
        <v>1.684687</v>
      </c>
      <c r="M194">
        <v>1.7621180000000001</v>
      </c>
      <c r="N194">
        <v>1.849105</v>
      </c>
    </row>
    <row r="195" spans="1:14" x14ac:dyDescent="0.2">
      <c r="A195">
        <v>2017</v>
      </c>
      <c r="B195">
        <v>0.39947300000000002</v>
      </c>
      <c r="C195">
        <v>0.495921</v>
      </c>
      <c r="D195">
        <v>0.64272099999999999</v>
      </c>
      <c r="E195">
        <v>0.68705499999999997</v>
      </c>
      <c r="F195">
        <v>0.74738000000000004</v>
      </c>
      <c r="G195">
        <v>0.865344</v>
      </c>
      <c r="H195">
        <v>0.978746</v>
      </c>
      <c r="I195">
        <v>1.154166</v>
      </c>
      <c r="J195">
        <v>1.3266709999999999</v>
      </c>
      <c r="K195">
        <v>1.486299</v>
      </c>
      <c r="L195">
        <v>1.649735</v>
      </c>
      <c r="M195">
        <v>1.7549159999999999</v>
      </c>
      <c r="N195">
        <v>1.8258319999999999</v>
      </c>
    </row>
    <row r="196" spans="1:14" x14ac:dyDescent="0.2">
      <c r="A196">
        <v>2018</v>
      </c>
      <c r="B196">
        <v>0.41353200000000001</v>
      </c>
      <c r="C196">
        <v>0.477744</v>
      </c>
      <c r="D196">
        <v>0.576492</v>
      </c>
      <c r="E196">
        <v>0.72335300000000002</v>
      </c>
      <c r="F196">
        <v>0.76600699999999999</v>
      </c>
      <c r="G196">
        <v>0.82336500000000001</v>
      </c>
      <c r="H196">
        <v>0.93746600000000002</v>
      </c>
      <c r="I196">
        <v>1.0464310000000001</v>
      </c>
      <c r="J196">
        <v>1.217096</v>
      </c>
      <c r="K196">
        <v>1.384728</v>
      </c>
      <c r="L196">
        <v>1.5395099999999999</v>
      </c>
      <c r="M196">
        <v>1.6982379999999999</v>
      </c>
      <c r="N196">
        <v>1.7989189999999999</v>
      </c>
    </row>
    <row r="197" spans="1:14" x14ac:dyDescent="0.2">
      <c r="A197">
        <v>2019</v>
      </c>
      <c r="B197">
        <v>0.46647899999999998</v>
      </c>
      <c r="C197">
        <v>0.58130499999999996</v>
      </c>
      <c r="D197">
        <v>0.65044800000000003</v>
      </c>
      <c r="E197">
        <v>0.74932600000000005</v>
      </c>
      <c r="F197">
        <v>0.89258599999999999</v>
      </c>
      <c r="G197">
        <v>0.92888099999999996</v>
      </c>
      <c r="H197">
        <v>0.97795799999999999</v>
      </c>
      <c r="I197">
        <v>1.082549</v>
      </c>
      <c r="J197">
        <v>1.181322</v>
      </c>
      <c r="K197">
        <v>1.34154</v>
      </c>
      <c r="L197">
        <v>1.498786</v>
      </c>
      <c r="M197">
        <v>1.6434740000000001</v>
      </c>
      <c r="N197">
        <v>1.792557</v>
      </c>
    </row>
    <row r="198" spans="1:14" x14ac:dyDescent="0.2">
      <c r="A198">
        <v>2020</v>
      </c>
      <c r="B198">
        <v>0.40226899999999999</v>
      </c>
      <c r="C198">
        <v>0.522231</v>
      </c>
      <c r="D198">
        <v>0.63869500000000001</v>
      </c>
      <c r="E198">
        <v>0.70788099999999998</v>
      </c>
      <c r="F198">
        <v>0.80556300000000003</v>
      </c>
      <c r="G198">
        <v>0.94671000000000005</v>
      </c>
      <c r="H198">
        <v>0.98025300000000004</v>
      </c>
      <c r="I198">
        <v>1.02617</v>
      </c>
      <c r="J198">
        <v>1.1273740000000001</v>
      </c>
      <c r="K198">
        <v>1.222675</v>
      </c>
      <c r="L198">
        <v>1.3794420000000001</v>
      </c>
      <c r="M198">
        <v>1.5333330000000001</v>
      </c>
      <c r="N198">
        <v>1.674817</v>
      </c>
    </row>
    <row r="199" spans="1:14" x14ac:dyDescent="0.2">
      <c r="A199">
        <v>2021</v>
      </c>
      <c r="B199">
        <v>0.39195999999999998</v>
      </c>
      <c r="C199">
        <v>0.463783</v>
      </c>
      <c r="D199">
        <v>0.58555199999999996</v>
      </c>
      <c r="E199">
        <v>0.70206500000000005</v>
      </c>
      <c r="F199">
        <v>0.76993</v>
      </c>
      <c r="G199">
        <v>0.86528000000000005</v>
      </c>
      <c r="H199">
        <v>1.0033909999999999</v>
      </c>
      <c r="I199">
        <v>1.033447</v>
      </c>
      <c r="J199">
        <v>1.0756270000000001</v>
      </c>
      <c r="K199">
        <v>1.173001</v>
      </c>
      <c r="L199">
        <v>1.2644949999999999</v>
      </c>
      <c r="M199">
        <v>1.4175599999999999</v>
      </c>
      <c r="N199">
        <v>1.5679149999999999</v>
      </c>
    </row>
    <row r="200" spans="1:14" x14ac:dyDescent="0.2">
      <c r="A200">
        <v>2022</v>
      </c>
      <c r="B200">
        <v>0.44744600000000001</v>
      </c>
      <c r="C200">
        <v>0.50357600000000002</v>
      </c>
      <c r="D200">
        <v>0.57867900000000005</v>
      </c>
      <c r="E200">
        <v>0.70053500000000002</v>
      </c>
      <c r="F200">
        <v>0.81465100000000001</v>
      </c>
      <c r="G200">
        <v>0.87828600000000001</v>
      </c>
      <c r="H200">
        <v>0.96812699999999996</v>
      </c>
      <c r="I200">
        <v>1.0999110000000001</v>
      </c>
      <c r="J200">
        <v>1.1231869999999999</v>
      </c>
      <c r="K200">
        <v>1.158417</v>
      </c>
      <c r="L200">
        <v>1.2488809999999999</v>
      </c>
      <c r="M200">
        <v>1.3336589999999999</v>
      </c>
      <c r="N200">
        <v>1.4803090000000001</v>
      </c>
    </row>
    <row r="201" spans="1:14" x14ac:dyDescent="0.2">
      <c r="A201">
        <v>2023</v>
      </c>
      <c r="B201">
        <v>0.48385</v>
      </c>
      <c r="C201">
        <v>0.47358800000000001</v>
      </c>
      <c r="D201">
        <v>0.53048700000000004</v>
      </c>
      <c r="E201">
        <v>0.60560999999999998</v>
      </c>
      <c r="F201">
        <v>0.72690500000000002</v>
      </c>
      <c r="G201">
        <v>0.84003099999999997</v>
      </c>
      <c r="H201">
        <v>0.90237500000000004</v>
      </c>
      <c r="I201">
        <v>0.990734</v>
      </c>
      <c r="J201">
        <v>1.12093</v>
      </c>
      <c r="K201">
        <v>1.1425780000000001</v>
      </c>
      <c r="L201">
        <v>1.1761900000000001</v>
      </c>
      <c r="M201">
        <v>1.2650809999999999</v>
      </c>
      <c r="N201">
        <v>1.3483560000000001</v>
      </c>
    </row>
    <row r="202" spans="1:14" x14ac:dyDescent="0.2">
      <c r="A202">
        <v>2024</v>
      </c>
      <c r="B202">
        <v>0.40133600000000003</v>
      </c>
      <c r="C202">
        <v>0.66737299999999999</v>
      </c>
      <c r="D202">
        <v>0.66250399999999998</v>
      </c>
      <c r="E202">
        <v>0.71954600000000002</v>
      </c>
      <c r="F202">
        <v>0.79072900000000002</v>
      </c>
      <c r="G202">
        <v>0.90506799999999998</v>
      </c>
      <c r="H202">
        <v>1.009136</v>
      </c>
      <c r="I202">
        <v>1.061077</v>
      </c>
      <c r="J202">
        <v>1.138288</v>
      </c>
      <c r="K202">
        <v>1.257056</v>
      </c>
      <c r="L202">
        <v>1.2673430000000001</v>
      </c>
      <c r="M202">
        <v>1.2899130000000001</v>
      </c>
      <c r="N202">
        <v>1.3682540000000001</v>
      </c>
    </row>
    <row r="203" spans="1:14" x14ac:dyDescent="0.2">
      <c r="A203">
        <v>2025</v>
      </c>
      <c r="B203">
        <v>0.38155099999999997</v>
      </c>
      <c r="C203">
        <v>0.52594200000000002</v>
      </c>
      <c r="D203">
        <v>0.79564000000000001</v>
      </c>
      <c r="E203">
        <v>0.79086900000000004</v>
      </c>
      <c r="F203">
        <v>0.84523499999999996</v>
      </c>
      <c r="G203">
        <v>0.91169599999999995</v>
      </c>
      <c r="H203">
        <v>1.0198849999999999</v>
      </c>
      <c r="I203">
        <v>1.116889</v>
      </c>
      <c r="J203">
        <v>1.1612610000000001</v>
      </c>
      <c r="K203">
        <v>1.2307129999999999</v>
      </c>
      <c r="L203">
        <v>1.3417669999999999</v>
      </c>
      <c r="M203">
        <v>1.344557</v>
      </c>
      <c r="N203">
        <v>1.359964</v>
      </c>
    </row>
    <row r="204" spans="1:14" x14ac:dyDescent="0.2">
      <c r="A204">
        <v>2026</v>
      </c>
      <c r="B204">
        <v>0.38155099999999997</v>
      </c>
      <c r="C204">
        <v>0.50615600000000005</v>
      </c>
      <c r="D204">
        <v>0.65420900000000004</v>
      </c>
      <c r="E204">
        <v>0.92400499999999997</v>
      </c>
      <c r="F204">
        <v>0.91655799999999998</v>
      </c>
      <c r="G204">
        <v>0.96620200000000001</v>
      </c>
      <c r="H204">
        <v>1.0265120000000001</v>
      </c>
      <c r="I204">
        <v>1.1276379999999999</v>
      </c>
      <c r="J204">
        <v>1.2170730000000001</v>
      </c>
      <c r="K204">
        <v>1.2536849999999999</v>
      </c>
      <c r="L204">
        <v>1.3154239999999999</v>
      </c>
      <c r="M204">
        <v>1.418981</v>
      </c>
      <c r="N204">
        <v>1.4146080000000001</v>
      </c>
    </row>
    <row r="205" spans="1:14" x14ac:dyDescent="0.2">
      <c r="A205" t="s">
        <v>69</v>
      </c>
    </row>
    <row r="206" spans="1:14" x14ac:dyDescent="0.2">
      <c r="B206">
        <v>-4.7699999999999999E-2</v>
      </c>
      <c r="C206">
        <v>1.9466000000000001E-2</v>
      </c>
      <c r="D206">
        <v>1.41E-3</v>
      </c>
      <c r="E206">
        <v>-9.8209999999999999E-3</v>
      </c>
      <c r="F206">
        <v>-4.7790000000000003E-3</v>
      </c>
      <c r="G206">
        <v>-1.1900000000000001E-2</v>
      </c>
      <c r="H206">
        <v>6.4419999999999998E-3</v>
      </c>
      <c r="I206">
        <v>3.3103E-2</v>
      </c>
      <c r="J206">
        <v>-1.7874999999999999E-2</v>
      </c>
      <c r="K206">
        <v>8.9999999999999998E-4</v>
      </c>
      <c r="L206">
        <v>-0.102115</v>
      </c>
      <c r="M206">
        <v>-0.19262499999999999</v>
      </c>
      <c r="N206">
        <v>-0.40895399999999998</v>
      </c>
    </row>
    <row r="207" spans="1:14" x14ac:dyDescent="0.2">
      <c r="B207">
        <v>-3.3921E-2</v>
      </c>
      <c r="C207">
        <v>5.2620000000000002E-3</v>
      </c>
      <c r="D207">
        <v>5.7206E-2</v>
      </c>
      <c r="E207">
        <v>-2.0353E-2</v>
      </c>
      <c r="F207">
        <v>-4.9556000000000003E-2</v>
      </c>
      <c r="G207">
        <v>1.374E-2</v>
      </c>
      <c r="H207">
        <v>1.891E-2</v>
      </c>
      <c r="I207">
        <v>7.6094999999999996E-2</v>
      </c>
      <c r="J207">
        <v>4.4738E-2</v>
      </c>
      <c r="K207">
        <v>2.2154E-2</v>
      </c>
      <c r="L207">
        <v>-0.12960199999999999</v>
      </c>
      <c r="M207">
        <v>-5.9492000000000003E-2</v>
      </c>
      <c r="N207">
        <v>-0.12836400000000001</v>
      </c>
    </row>
    <row r="208" spans="1:14" x14ac:dyDescent="0.2">
      <c r="B208">
        <v>2.4459999999999998E-3</v>
      </c>
      <c r="C208">
        <v>2.1800000000000001E-4</v>
      </c>
      <c r="D208">
        <v>5.9290000000000002E-3</v>
      </c>
      <c r="E208">
        <v>-5.7200000000000003E-3</v>
      </c>
      <c r="F208">
        <v>1.7742000000000001E-2</v>
      </c>
      <c r="G208">
        <v>1.8471999999999999E-2</v>
      </c>
      <c r="H208">
        <v>5.8786999999999999E-2</v>
      </c>
      <c r="I208">
        <v>7.2276000000000007E-2</v>
      </c>
      <c r="J208">
        <v>0.15401400000000001</v>
      </c>
      <c r="K208">
        <v>0.21371399999999999</v>
      </c>
      <c r="L208">
        <v>0.20550399999999999</v>
      </c>
      <c r="M208">
        <v>0.17371900000000001</v>
      </c>
      <c r="N208">
        <v>-1.1062000000000001E-2</v>
      </c>
    </row>
    <row r="209" spans="2:14" x14ac:dyDescent="0.2">
      <c r="B209">
        <v>-9.8259999999999997E-3</v>
      </c>
      <c r="C209">
        <v>3.8332999999999999E-2</v>
      </c>
      <c r="D209">
        <v>-4.0309999999999999E-3</v>
      </c>
      <c r="E209">
        <v>-2.4747000000000002E-2</v>
      </c>
      <c r="F209">
        <v>-0.17566899999999999</v>
      </c>
      <c r="G209">
        <v>3.5834999999999999E-2</v>
      </c>
      <c r="H209">
        <v>0.22445100000000001</v>
      </c>
      <c r="I209">
        <v>8.1270999999999996E-2</v>
      </c>
      <c r="J209">
        <v>6.9583000000000006E-2</v>
      </c>
      <c r="K209">
        <v>4.9928E-2</v>
      </c>
      <c r="L209">
        <v>-1.1346E-2</v>
      </c>
      <c r="M209">
        <v>-0.167374</v>
      </c>
      <c r="N209">
        <v>-0.13322000000000001</v>
      </c>
    </row>
    <row r="210" spans="2:14" x14ac:dyDescent="0.2">
      <c r="B210">
        <v>5.4150999999999998E-2</v>
      </c>
      <c r="C210">
        <v>-4.261E-3</v>
      </c>
      <c r="D210">
        <v>1.2651000000000001E-2</v>
      </c>
      <c r="E210">
        <v>4.169E-3</v>
      </c>
      <c r="F210">
        <v>-2.3771E-2</v>
      </c>
      <c r="G210">
        <v>-2.9789E-2</v>
      </c>
      <c r="H210">
        <v>0.105811</v>
      </c>
      <c r="I210">
        <v>5.4686999999999999E-2</v>
      </c>
      <c r="J210">
        <v>7.6966999999999994E-2</v>
      </c>
      <c r="K210">
        <v>6.2600000000000003E-2</v>
      </c>
      <c r="L210">
        <v>-3.4591999999999998E-2</v>
      </c>
      <c r="M210">
        <v>-0.37518699999999999</v>
      </c>
      <c r="N210">
        <v>-0.19572600000000001</v>
      </c>
    </row>
    <row r="211" spans="2:14" x14ac:dyDescent="0.2">
      <c r="B211">
        <v>-4.1921E-2</v>
      </c>
      <c r="C211">
        <v>2.3819E-2</v>
      </c>
      <c r="D211">
        <v>8.2405000000000006E-2</v>
      </c>
      <c r="E211">
        <v>-1.1610000000000001E-2</v>
      </c>
      <c r="F211">
        <v>1.8726E-2</v>
      </c>
      <c r="G211">
        <v>-2.7200000000000002E-3</v>
      </c>
      <c r="H211">
        <v>-5.6655999999999998E-2</v>
      </c>
      <c r="I211">
        <v>-0.10398499999999999</v>
      </c>
      <c r="J211">
        <v>0.10419</v>
      </c>
      <c r="K211">
        <v>9.8917000000000005E-2</v>
      </c>
      <c r="L211">
        <v>0.120194</v>
      </c>
      <c r="M211">
        <v>0.21943299999999999</v>
      </c>
      <c r="N211">
        <v>8.1346000000000002E-2</v>
      </c>
    </row>
    <row r="212" spans="2:14" x14ac:dyDescent="0.2">
      <c r="B212">
        <v>-0.11127099999999999</v>
      </c>
      <c r="C212">
        <v>-7.9869999999999993E-3</v>
      </c>
      <c r="D212">
        <v>2.7306E-2</v>
      </c>
      <c r="E212">
        <v>3.5036999999999999E-2</v>
      </c>
      <c r="F212">
        <v>-2.7831000000000002E-2</v>
      </c>
      <c r="G212">
        <v>4.0240999999999999E-2</v>
      </c>
      <c r="H212">
        <v>3.8040999999999998E-2</v>
      </c>
      <c r="I212">
        <v>6.0721999999999998E-2</v>
      </c>
      <c r="J212">
        <v>-3.2520000000000001E-3</v>
      </c>
      <c r="K212">
        <v>6.313E-3</v>
      </c>
      <c r="L212">
        <v>9.7989000000000007E-2</v>
      </c>
      <c r="M212">
        <v>-0.103489</v>
      </c>
      <c r="N212">
        <v>-0.20505300000000001</v>
      </c>
    </row>
    <row r="213" spans="2:14" x14ac:dyDescent="0.2">
      <c r="B213">
        <v>-3.8386999999999998E-2</v>
      </c>
      <c r="C213">
        <v>5.7514000000000003E-2</v>
      </c>
      <c r="D213">
        <v>3.6963000000000003E-2</v>
      </c>
      <c r="E213">
        <v>-6.7409999999999996E-3</v>
      </c>
      <c r="F213">
        <v>-2.7574999999999999E-2</v>
      </c>
      <c r="G213">
        <v>3.2316999999999999E-2</v>
      </c>
      <c r="H213">
        <v>4.9007000000000002E-2</v>
      </c>
      <c r="I213">
        <v>0.13760700000000001</v>
      </c>
      <c r="J213">
        <v>6.5779000000000004E-2</v>
      </c>
      <c r="K213">
        <v>6.8166000000000004E-2</v>
      </c>
      <c r="L213">
        <v>-8.8280000000000008E-3</v>
      </c>
      <c r="M213">
        <v>-8.4432999999999994E-2</v>
      </c>
      <c r="N213">
        <v>8.7329999999999994E-3</v>
      </c>
    </row>
    <row r="214" spans="2:14" x14ac:dyDescent="0.2">
      <c r="B214">
        <v>8.6899999999999998E-4</v>
      </c>
      <c r="C214">
        <v>-2.3730000000000001E-3</v>
      </c>
      <c r="D214">
        <v>6.999E-3</v>
      </c>
      <c r="E214">
        <v>1.6197E-2</v>
      </c>
      <c r="F214">
        <v>-2.2399999999999998E-3</v>
      </c>
      <c r="G214">
        <v>-1.2132E-2</v>
      </c>
      <c r="H214">
        <v>-6.3604999999999995E-2</v>
      </c>
      <c r="I214">
        <v>4.4569999999999999E-2</v>
      </c>
      <c r="J214">
        <v>4.0150000000000003E-3</v>
      </c>
      <c r="K214">
        <v>9.6694000000000002E-2</v>
      </c>
      <c r="L214">
        <v>-0.43376599999999998</v>
      </c>
      <c r="M214">
        <v>-0.11795700000000001</v>
      </c>
      <c r="N214">
        <v>-0.33989000000000003</v>
      </c>
    </row>
    <row r="215" spans="2:14" x14ac:dyDescent="0.2">
      <c r="B215">
        <v>-2.4742E-2</v>
      </c>
      <c r="C215">
        <v>1.5663E-2</v>
      </c>
      <c r="D215">
        <v>1.0992999999999999E-2</v>
      </c>
      <c r="E215">
        <v>-1.4271000000000001E-2</v>
      </c>
      <c r="F215">
        <v>-1.3722E-2</v>
      </c>
      <c r="G215">
        <v>-2.7532999999999998E-2</v>
      </c>
      <c r="H215">
        <v>-3.5936000000000003E-2</v>
      </c>
      <c r="I215">
        <v>-0.178507</v>
      </c>
      <c r="J215">
        <v>-4.0829999999999998E-2</v>
      </c>
      <c r="K215">
        <v>-1.2461E-2</v>
      </c>
      <c r="L215">
        <v>-0.28992800000000002</v>
      </c>
      <c r="M215">
        <v>-0.41069099999999997</v>
      </c>
      <c r="N215">
        <v>-0.221219</v>
      </c>
    </row>
    <row r="216" spans="2:14" x14ac:dyDescent="0.2">
      <c r="B216">
        <v>-7.3963000000000001E-2</v>
      </c>
      <c r="C216">
        <v>-2.4775999999999999E-2</v>
      </c>
      <c r="D216">
        <v>1.611E-3</v>
      </c>
      <c r="E216">
        <v>1.0156E-2</v>
      </c>
      <c r="F216">
        <v>6.4639000000000002E-2</v>
      </c>
      <c r="G216">
        <v>4.4801000000000001E-2</v>
      </c>
      <c r="H216">
        <v>8.7018999999999999E-2</v>
      </c>
      <c r="I216">
        <v>-2.2859999999999998E-3</v>
      </c>
      <c r="J216">
        <v>4.0810000000000004E-3</v>
      </c>
      <c r="K216">
        <v>4.7730000000000003E-3</v>
      </c>
      <c r="L216">
        <v>0.16614699999999999</v>
      </c>
      <c r="M216">
        <v>-1.9765999999999999E-2</v>
      </c>
      <c r="N216">
        <v>-8.5015999999999994E-2</v>
      </c>
    </row>
    <row r="217" spans="2:14" x14ac:dyDescent="0.2">
      <c r="B217">
        <v>-4.7359999999999999E-2</v>
      </c>
      <c r="C217">
        <v>-1.2444999999999999E-2</v>
      </c>
      <c r="D217">
        <v>1.4966999999999999E-2</v>
      </c>
      <c r="E217">
        <v>9.6270000000000001E-3</v>
      </c>
      <c r="F217">
        <v>1.5148999999999999E-2</v>
      </c>
      <c r="G217">
        <v>1.0732999999999999E-2</v>
      </c>
      <c r="H217">
        <v>6.2179999999999999E-2</v>
      </c>
      <c r="I217">
        <v>2.4254999999999999E-2</v>
      </c>
      <c r="J217">
        <v>5.2435000000000002E-2</v>
      </c>
      <c r="K217">
        <v>3.8235999999999999E-2</v>
      </c>
      <c r="L217">
        <v>9.1298000000000004E-2</v>
      </c>
      <c r="M217">
        <v>-0.186333</v>
      </c>
      <c r="N217">
        <v>8.5660000000000007E-3</v>
      </c>
    </row>
    <row r="218" spans="2:14" x14ac:dyDescent="0.2">
      <c r="B218">
        <v>1.9650999999999998E-2</v>
      </c>
      <c r="C218">
        <v>3.0370000000000002E-3</v>
      </c>
      <c r="D218">
        <v>1.2515E-2</v>
      </c>
      <c r="E218">
        <v>-4.0499999999999998E-4</v>
      </c>
      <c r="F218">
        <v>-4.0646000000000002E-2</v>
      </c>
      <c r="G218">
        <v>-5.3051000000000001E-2</v>
      </c>
      <c r="H218">
        <v>-3.3890999999999998E-2</v>
      </c>
      <c r="I218">
        <v>5.2643000000000002E-2</v>
      </c>
      <c r="J218">
        <v>4.3099999999999999E-2</v>
      </c>
      <c r="K218">
        <v>-0.12077499999999999</v>
      </c>
      <c r="L218">
        <v>-0.10699699999999999</v>
      </c>
      <c r="M218">
        <v>-0.20308599999999999</v>
      </c>
      <c r="N218">
        <v>0.16961999999999999</v>
      </c>
    </row>
    <row r="219" spans="2:14" x14ac:dyDescent="0.2">
      <c r="B219">
        <v>3.8909999999999999E-3</v>
      </c>
      <c r="C219">
        <v>1.2179000000000001E-2</v>
      </c>
      <c r="D219">
        <v>-9.6229999999999996E-3</v>
      </c>
      <c r="E219">
        <v>1.5624000000000001E-2</v>
      </c>
      <c r="F219">
        <v>1.5377999999999999E-2</v>
      </c>
      <c r="G219">
        <v>-7.8411999999999996E-2</v>
      </c>
      <c r="H219">
        <v>-6.4429E-2</v>
      </c>
      <c r="I219">
        <v>-3.1599000000000002E-2</v>
      </c>
      <c r="J219">
        <v>-0.10417999999999999</v>
      </c>
      <c r="K219">
        <v>-7.7446000000000001E-2</v>
      </c>
      <c r="L219">
        <v>-7.5157000000000002E-2</v>
      </c>
      <c r="M219">
        <v>-0.29071799999999998</v>
      </c>
      <c r="N219">
        <v>-0.43047200000000002</v>
      </c>
    </row>
    <row r="220" spans="2:14" x14ac:dyDescent="0.2">
      <c r="B220">
        <v>1.0859000000000001E-2</v>
      </c>
      <c r="C220">
        <v>2.0157999999999999E-2</v>
      </c>
      <c r="D220">
        <v>-1.6548E-2</v>
      </c>
      <c r="E220">
        <v>4.8479999999999999E-3</v>
      </c>
      <c r="F220">
        <v>5.1685000000000002E-2</v>
      </c>
      <c r="G220">
        <v>6.6660000000000001E-3</v>
      </c>
      <c r="H220">
        <v>-1.8013999999999999E-2</v>
      </c>
      <c r="I220">
        <v>-9.7914000000000001E-2</v>
      </c>
      <c r="J220">
        <v>-5.8684E-2</v>
      </c>
      <c r="K220">
        <v>-2.4923000000000001E-2</v>
      </c>
      <c r="L220">
        <v>-8.3485000000000004E-2</v>
      </c>
      <c r="M220">
        <v>-0.360875</v>
      </c>
      <c r="N220">
        <v>-0.24898799999999999</v>
      </c>
    </row>
    <row r="221" spans="2:14" x14ac:dyDescent="0.2">
      <c r="B221">
        <v>-1.9571999999999999E-2</v>
      </c>
      <c r="C221">
        <v>-2.8110000000000001E-3</v>
      </c>
      <c r="D221">
        <v>4.0930000000000003E-3</v>
      </c>
      <c r="E221">
        <v>-1.6632999999999998E-2</v>
      </c>
      <c r="F221">
        <v>8.8610000000000008E-3</v>
      </c>
      <c r="G221">
        <v>2.2447000000000002E-2</v>
      </c>
      <c r="H221">
        <v>4.7619999999999997E-3</v>
      </c>
      <c r="I221">
        <v>-5.9055000000000003E-2</v>
      </c>
      <c r="J221">
        <v>-7.1242E-2</v>
      </c>
      <c r="K221">
        <v>-0.13907900000000001</v>
      </c>
      <c r="L221">
        <v>-8.8677000000000006E-2</v>
      </c>
      <c r="M221">
        <v>1.4395E-2</v>
      </c>
      <c r="N221">
        <v>-8.1691E-2</v>
      </c>
    </row>
    <row r="222" spans="2:14" x14ac:dyDescent="0.2">
      <c r="B222">
        <v>-8.6210000000000002E-3</v>
      </c>
      <c r="C222">
        <v>-1.0839999999999999E-3</v>
      </c>
      <c r="D222">
        <v>2.3440000000000002E-3</v>
      </c>
      <c r="E222">
        <v>-8.3289999999999996E-3</v>
      </c>
      <c r="F222">
        <v>3.5509999999999999E-3</v>
      </c>
      <c r="G222">
        <v>7.3453000000000004E-2</v>
      </c>
      <c r="H222">
        <v>8.6980000000000002E-2</v>
      </c>
      <c r="I222">
        <v>5.2326999999999999E-2</v>
      </c>
      <c r="J222">
        <v>3.7469999999999999E-3</v>
      </c>
      <c r="K222">
        <v>9.0329000000000007E-2</v>
      </c>
      <c r="L222">
        <v>-3.8190000000000002E-2</v>
      </c>
      <c r="M222">
        <v>0.246528</v>
      </c>
      <c r="N222">
        <v>3.8920999999999997E-2</v>
      </c>
    </row>
    <row r="223" spans="2:14" x14ac:dyDescent="0.2">
      <c r="B223">
        <v>2.7621E-2</v>
      </c>
      <c r="C223">
        <v>2.0617E-2</v>
      </c>
      <c r="D223">
        <v>-4.26E-4</v>
      </c>
      <c r="E223">
        <v>-1.0772E-2</v>
      </c>
      <c r="F223">
        <v>-3.3050000000000003E-2</v>
      </c>
      <c r="G223">
        <v>-3.9122999999999998E-2</v>
      </c>
      <c r="H223">
        <v>-3.9738999999999997E-2</v>
      </c>
      <c r="I223">
        <v>6.2191000000000003E-2</v>
      </c>
      <c r="J223">
        <v>0.12531800000000001</v>
      </c>
      <c r="K223">
        <v>0.100367</v>
      </c>
      <c r="L223">
        <v>6.7537E-2</v>
      </c>
      <c r="M223">
        <v>0.30453000000000002</v>
      </c>
      <c r="N223">
        <v>8.3703E-2</v>
      </c>
    </row>
    <row r="224" spans="2:14" x14ac:dyDescent="0.2">
      <c r="B224">
        <v>-1.9789999999999999E-3</v>
      </c>
      <c r="C224">
        <v>-3.382E-3</v>
      </c>
      <c r="D224">
        <v>-2.7938000000000001E-2</v>
      </c>
      <c r="E224">
        <v>-9.2759999999999995E-3</v>
      </c>
      <c r="F224">
        <v>-1.5186E-2</v>
      </c>
      <c r="G224">
        <v>-2.3719E-2</v>
      </c>
      <c r="H224">
        <v>9.493E-2</v>
      </c>
      <c r="I224">
        <v>0.125832</v>
      </c>
      <c r="J224">
        <v>0.14796799999999999</v>
      </c>
      <c r="K224">
        <v>7.9998E-2</v>
      </c>
      <c r="L224">
        <v>0.224659</v>
      </c>
      <c r="M224">
        <v>0.39157900000000001</v>
      </c>
      <c r="N224">
        <v>0.52492799999999995</v>
      </c>
    </row>
    <row r="225" spans="1:14" x14ac:dyDescent="0.2">
      <c r="B225">
        <v>7.4427999999999994E-2</v>
      </c>
      <c r="C225">
        <v>-7.9480000000000002E-3</v>
      </c>
      <c r="D225">
        <v>-2.1929000000000001E-2</v>
      </c>
      <c r="E225">
        <v>1.5272000000000001E-2</v>
      </c>
      <c r="F225">
        <v>6.8651000000000004E-2</v>
      </c>
      <c r="G225">
        <v>0.110467</v>
      </c>
      <c r="H225">
        <v>7.5328000000000006E-2</v>
      </c>
      <c r="I225">
        <v>0.14719299999999999</v>
      </c>
      <c r="J225">
        <v>0.19991800000000001</v>
      </c>
      <c r="K225">
        <v>0.39756799999999998</v>
      </c>
      <c r="L225">
        <v>0.34545700000000001</v>
      </c>
      <c r="M225">
        <v>0.397872</v>
      </c>
      <c r="N225">
        <v>0.54913999999999996</v>
      </c>
    </row>
    <row r="226" spans="1:14" x14ac:dyDescent="0.2">
      <c r="B226">
        <v>4.9020000000000001E-3</v>
      </c>
      <c r="C226">
        <v>3.4754E-2</v>
      </c>
      <c r="D226">
        <v>-4.4749999999999998E-3</v>
      </c>
      <c r="E226">
        <v>-5.2238E-2</v>
      </c>
      <c r="F226">
        <v>-9.0947E-2</v>
      </c>
      <c r="G226">
        <v>1.5859000000000002E-2</v>
      </c>
      <c r="H226">
        <v>2.1739999999999999E-2</v>
      </c>
      <c r="I226">
        <v>7.0167999999999994E-2</v>
      </c>
      <c r="J226">
        <v>8.7650000000000002E-3</v>
      </c>
      <c r="K226">
        <v>2.0235E-2</v>
      </c>
      <c r="L226">
        <v>0.44003100000000001</v>
      </c>
      <c r="M226">
        <v>1.189E-3</v>
      </c>
      <c r="N226">
        <v>0.469086</v>
      </c>
    </row>
    <row r="227" spans="1:14" x14ac:dyDescent="0.2">
      <c r="B227">
        <v>-2.0923000000000001E-2</v>
      </c>
      <c r="C227">
        <v>-1.2160000000000001E-3</v>
      </c>
      <c r="D227">
        <v>4.0722000000000001E-2</v>
      </c>
      <c r="E227">
        <v>2.5042999999999999E-2</v>
      </c>
      <c r="F227">
        <v>-1.4137E-2</v>
      </c>
      <c r="G227">
        <v>-1.43E-2</v>
      </c>
      <c r="H227">
        <v>-2.0535999999999999E-2</v>
      </c>
      <c r="I227">
        <v>8.0675999999999998E-2</v>
      </c>
      <c r="J227">
        <v>5.5289999999999999E-2</v>
      </c>
      <c r="K227">
        <v>-2.9229999999999999E-2</v>
      </c>
      <c r="L227">
        <v>-8.2649999999999998E-3</v>
      </c>
      <c r="M227">
        <v>0.31397700000000001</v>
      </c>
      <c r="N227">
        <v>0.28565699999999999</v>
      </c>
    </row>
    <row r="228" spans="1:14" x14ac:dyDescent="0.2">
      <c r="B228">
        <v>-3.3873E-2</v>
      </c>
      <c r="C228">
        <v>-9.4499999999999998E-4</v>
      </c>
      <c r="D228">
        <v>-2.2369999999999998E-3</v>
      </c>
      <c r="E228">
        <v>2.1954999999999999E-2</v>
      </c>
      <c r="F228">
        <v>0.17814199999999999</v>
      </c>
      <c r="G228">
        <v>0.146288</v>
      </c>
      <c r="H228">
        <v>0.115899</v>
      </c>
      <c r="I228">
        <v>0.23031499999999999</v>
      </c>
      <c r="J228">
        <v>0.276727</v>
      </c>
      <c r="K228">
        <v>0.129742</v>
      </c>
      <c r="L228">
        <v>0.164968</v>
      </c>
      <c r="M228">
        <v>0.37689299999999998</v>
      </c>
      <c r="N228">
        <v>0.37980799999999998</v>
      </c>
    </row>
    <row r="229" spans="1:14" x14ac:dyDescent="0.2">
      <c r="B229">
        <v>-0.104034</v>
      </c>
      <c r="C229">
        <v>-3.0093000000000002E-2</v>
      </c>
      <c r="D229">
        <v>8.2830000000000004E-3</v>
      </c>
      <c r="E229">
        <v>1.8919999999999999E-2</v>
      </c>
      <c r="F229">
        <v>-2.6946000000000001E-2</v>
      </c>
      <c r="G229">
        <v>4.8287999999999998E-2</v>
      </c>
      <c r="H229">
        <v>2.3376000000000001E-2</v>
      </c>
      <c r="I229">
        <v>-7.6368000000000005E-2</v>
      </c>
      <c r="J229">
        <v>8.5514000000000007E-2</v>
      </c>
      <c r="K229">
        <v>0.103461</v>
      </c>
      <c r="L229">
        <v>-6.1058000000000001E-2</v>
      </c>
      <c r="M229">
        <v>-0.24518200000000001</v>
      </c>
      <c r="N229">
        <v>0.34265200000000001</v>
      </c>
    </row>
    <row r="230" spans="1:14" x14ac:dyDescent="0.2">
      <c r="B230">
        <v>-2.2123E-2</v>
      </c>
      <c r="C230">
        <v>-5.2160000000000002E-3</v>
      </c>
      <c r="D230">
        <v>4.0473000000000002E-2</v>
      </c>
      <c r="E230">
        <v>3.5743999999999998E-2</v>
      </c>
      <c r="F230">
        <v>8.7779999999999993E-3</v>
      </c>
      <c r="G230">
        <v>-7.7364000000000002E-2</v>
      </c>
      <c r="H230">
        <v>-8.4060000000000003E-3</v>
      </c>
      <c r="I230">
        <v>-0.12658700000000001</v>
      </c>
      <c r="J230">
        <v>-0.18315300000000001</v>
      </c>
      <c r="K230">
        <v>5.4171999999999998E-2</v>
      </c>
      <c r="L230">
        <v>-0.31098500000000001</v>
      </c>
      <c r="M230">
        <v>-0.23375799999999999</v>
      </c>
      <c r="N230">
        <v>0.70644799999999996</v>
      </c>
    </row>
    <row r="231" spans="1:14" x14ac:dyDescent="0.2">
      <c r="B231">
        <v>2.5971000000000001E-2</v>
      </c>
      <c r="C231">
        <v>5.0590000000000001E-3</v>
      </c>
      <c r="D231">
        <v>-1.3278999999999999E-2</v>
      </c>
      <c r="E231">
        <v>1.2911000000000001E-2</v>
      </c>
      <c r="F231">
        <v>-2.3501000000000001E-2</v>
      </c>
      <c r="G231">
        <v>-7.4580999999999995E-2</v>
      </c>
      <c r="H231">
        <v>-0.11565599999999999</v>
      </c>
      <c r="I231">
        <v>-0.19214000000000001</v>
      </c>
      <c r="J231">
        <v>-0.224249</v>
      </c>
      <c r="K231">
        <v>-0.78492799999999996</v>
      </c>
      <c r="L231">
        <v>-0.773509</v>
      </c>
      <c r="M231">
        <v>-7.8195000000000001E-2</v>
      </c>
      <c r="N231">
        <v>-0.41963499999999998</v>
      </c>
    </row>
    <row r="232" spans="1:14" x14ac:dyDescent="0.2">
      <c r="B232">
        <v>8.8339999999999998E-3</v>
      </c>
      <c r="C232">
        <v>2.5950000000000001E-3</v>
      </c>
      <c r="D232">
        <v>7.5649999999999997E-3</v>
      </c>
      <c r="E232">
        <v>6.6660000000000001E-3</v>
      </c>
      <c r="F232">
        <v>4.4720000000000003E-3</v>
      </c>
      <c r="G232">
        <v>-3.7936999999999999E-2</v>
      </c>
      <c r="H232">
        <v>-8.4823999999999997E-2</v>
      </c>
      <c r="I232">
        <v>-0.243011</v>
      </c>
      <c r="J232">
        <v>-0.29916700000000002</v>
      </c>
      <c r="K232">
        <v>-0.52498</v>
      </c>
      <c r="L232">
        <v>-0.29037099999999999</v>
      </c>
      <c r="M232">
        <v>-1.053768</v>
      </c>
      <c r="N232">
        <v>-0.28583500000000001</v>
      </c>
    </row>
    <row r="233" spans="1:14" x14ac:dyDescent="0.2">
      <c r="B233">
        <v>-3.6287E-2</v>
      </c>
      <c r="C233">
        <v>-1.0992E-2</v>
      </c>
      <c r="D233">
        <v>-3.31E-3</v>
      </c>
      <c r="E233">
        <v>1.0345999999999999E-2</v>
      </c>
      <c r="F233">
        <v>4.2805999999999997E-2</v>
      </c>
      <c r="G233">
        <v>2.9805000000000002E-2</v>
      </c>
      <c r="H233">
        <v>-3.1116000000000001E-2</v>
      </c>
      <c r="I233">
        <v>-7.6039999999999996E-3</v>
      </c>
      <c r="J233">
        <v>-0.281503</v>
      </c>
      <c r="K233">
        <v>-0.27465600000000001</v>
      </c>
      <c r="L233">
        <v>-0.180146</v>
      </c>
      <c r="M233">
        <v>-0.29603499999999999</v>
      </c>
      <c r="N233">
        <v>-0.66927800000000004</v>
      </c>
    </row>
    <row r="234" spans="1:14" x14ac:dyDescent="0.2">
      <c r="B234">
        <v>-4.4567000000000002E-2</v>
      </c>
      <c r="C234">
        <v>-1.6057999999999999E-2</v>
      </c>
      <c r="D234">
        <v>-7.2220000000000001E-3</v>
      </c>
      <c r="E234">
        <v>1.0071999999999999E-2</v>
      </c>
      <c r="F234">
        <v>-1.4102999999999999E-2</v>
      </c>
      <c r="G234">
        <v>3.3395000000000001E-2</v>
      </c>
      <c r="H234">
        <v>2.8840000000000001E-2</v>
      </c>
      <c r="I234">
        <v>-1.7874000000000001E-2</v>
      </c>
      <c r="J234">
        <v>-0.14633699999999999</v>
      </c>
      <c r="K234">
        <v>-0.15964800000000001</v>
      </c>
      <c r="L234">
        <v>-0.74461299999999997</v>
      </c>
      <c r="M234">
        <v>-0.24127100000000001</v>
      </c>
      <c r="N234">
        <v>-0.25256000000000001</v>
      </c>
    </row>
    <row r="235" spans="1:14" x14ac:dyDescent="0.2">
      <c r="B235">
        <v>-1.4991000000000001E-2</v>
      </c>
      <c r="C235">
        <v>-6.5200000000000002E-4</v>
      </c>
      <c r="D235">
        <v>-6.7120000000000001E-3</v>
      </c>
      <c r="E235">
        <v>7.6899999999999998E-3</v>
      </c>
      <c r="F235">
        <v>-6.352E-3</v>
      </c>
      <c r="G235">
        <v>8.3719999999999992E-3</v>
      </c>
      <c r="H235">
        <v>2.5701000000000002E-2</v>
      </c>
      <c r="I235">
        <v>1.4088E-2</v>
      </c>
      <c r="J235">
        <v>6.1860999999999999E-2</v>
      </c>
      <c r="K235">
        <v>-0.150224</v>
      </c>
      <c r="L235">
        <v>-0.17106499999999999</v>
      </c>
      <c r="M235">
        <v>-0.57259400000000005</v>
      </c>
      <c r="N235">
        <v>-0.13482</v>
      </c>
    </row>
    <row r="236" spans="1:14" x14ac:dyDescent="0.2">
      <c r="B236">
        <v>1.103E-3</v>
      </c>
      <c r="C236">
        <v>1.6073E-2</v>
      </c>
      <c r="D236">
        <v>-1.1838E-2</v>
      </c>
      <c r="E236">
        <v>-1.2283000000000001E-2</v>
      </c>
      <c r="F236">
        <v>-1.3056999999999999E-2</v>
      </c>
      <c r="G236">
        <v>-2.3963999999999999E-2</v>
      </c>
      <c r="H236">
        <v>7.267E-3</v>
      </c>
      <c r="I236">
        <v>9.6364000000000005E-2</v>
      </c>
      <c r="J236">
        <v>8.4122000000000002E-2</v>
      </c>
      <c r="K236">
        <v>9.6328999999999998E-2</v>
      </c>
      <c r="L236">
        <v>-4.9994999999999998E-2</v>
      </c>
      <c r="M236">
        <v>-1.5357000000000001E-2</v>
      </c>
      <c r="N236">
        <v>-2.7917999999999998E-2</v>
      </c>
    </row>
    <row r="237" spans="1:14" x14ac:dyDescent="0.2">
      <c r="B237">
        <v>-7.3049999999999999E-3</v>
      </c>
      <c r="C237">
        <v>2.4949999999999998E-3</v>
      </c>
      <c r="D237">
        <v>-4.7660000000000003E-3</v>
      </c>
      <c r="E237">
        <v>2.3498999999999999E-2</v>
      </c>
      <c r="F237">
        <v>2.2832999999999999E-2</v>
      </c>
      <c r="G237">
        <v>4.973E-3</v>
      </c>
      <c r="H237">
        <v>1.5569E-2</v>
      </c>
      <c r="I237">
        <v>-0.127585</v>
      </c>
      <c r="J237">
        <v>0.148282</v>
      </c>
      <c r="K237">
        <v>-0.11418300000000001</v>
      </c>
      <c r="L237">
        <v>-1.4345999999999999E-2</v>
      </c>
      <c r="M237">
        <v>-0.42335099999999998</v>
      </c>
      <c r="N237">
        <v>5.9687999999999998E-2</v>
      </c>
    </row>
    <row r="238" spans="1:14" x14ac:dyDescent="0.2">
      <c r="B238">
        <v>8.5959999999999995E-3</v>
      </c>
      <c r="C238">
        <v>8.0540000000000004E-3</v>
      </c>
      <c r="D238">
        <v>-6.0660000000000002E-3</v>
      </c>
      <c r="E238">
        <v>2.7099999999999997E-4</v>
      </c>
      <c r="F238">
        <v>6.9323999999999997E-2</v>
      </c>
      <c r="G238">
        <v>7.9751000000000002E-2</v>
      </c>
      <c r="H238">
        <v>5.2979999999999999E-2</v>
      </c>
      <c r="I238">
        <v>5.5101999999999998E-2</v>
      </c>
      <c r="J238">
        <v>-3.2752999999999997E-2</v>
      </c>
      <c r="K238">
        <v>0.124653</v>
      </c>
      <c r="L238">
        <v>0.17846600000000001</v>
      </c>
      <c r="M238">
        <v>6.0186000000000003E-2</v>
      </c>
      <c r="N238">
        <v>-0.39777400000000002</v>
      </c>
    </row>
    <row r="239" spans="1:14" x14ac:dyDescent="0.2">
      <c r="A239" t="s">
        <v>70</v>
      </c>
    </row>
    <row r="240" spans="1:14" x14ac:dyDescent="0.2">
      <c r="B240">
        <v>-2.7659999999999998E-3</v>
      </c>
      <c r="C240">
        <v>-3.0000000000000001E-5</v>
      </c>
      <c r="D240">
        <v>-0.10410700000000001</v>
      </c>
      <c r="E240">
        <v>4.0603E-2</v>
      </c>
      <c r="F240">
        <v>8.4603999999999999E-2</v>
      </c>
      <c r="G240">
        <v>7.041E-2</v>
      </c>
      <c r="H240">
        <v>-9.1226000000000002E-2</v>
      </c>
      <c r="I240">
        <v>1.0687E-2</v>
      </c>
      <c r="J240">
        <v>0.39334200000000002</v>
      </c>
      <c r="K240">
        <v>0.19505600000000001</v>
      </c>
      <c r="L240">
        <v>-2.0596E-2</v>
      </c>
      <c r="M240">
        <v>-0.23583599999999999</v>
      </c>
      <c r="N240">
        <v>0.83626299999999998</v>
      </c>
    </row>
    <row r="241" spans="2:14" x14ac:dyDescent="0.2">
      <c r="B241">
        <v>-6.979E-3</v>
      </c>
      <c r="C241">
        <v>-2.6329000000000002E-2</v>
      </c>
      <c r="D241">
        <v>3.1032000000000001E-2</v>
      </c>
      <c r="E241">
        <v>6.8034999999999998E-2</v>
      </c>
      <c r="F241">
        <v>9.1883999999999993E-2</v>
      </c>
      <c r="G241">
        <v>0.26056800000000002</v>
      </c>
      <c r="H241">
        <v>7.8452999999999995E-2</v>
      </c>
      <c r="I241">
        <v>3.5824000000000002E-2</v>
      </c>
      <c r="J241">
        <v>-0.196663</v>
      </c>
      <c r="K241">
        <v>-0.27109100000000003</v>
      </c>
      <c r="L241">
        <v>6.9195999999999994E-2</v>
      </c>
      <c r="M241">
        <v>0.29795300000000002</v>
      </c>
      <c r="N241">
        <v>-0.31238100000000002</v>
      </c>
    </row>
    <row r="242" spans="2:14" x14ac:dyDescent="0.2">
      <c r="B242">
        <v>-4.0530000000000002E-3</v>
      </c>
      <c r="C242">
        <v>-4.0069E-2</v>
      </c>
      <c r="D242">
        <v>-3.8866999999999999E-2</v>
      </c>
      <c r="E242">
        <v>-2.1871999999999999E-2</v>
      </c>
      <c r="F242">
        <v>0.106685</v>
      </c>
      <c r="G242">
        <v>0.24097099999999999</v>
      </c>
      <c r="H242">
        <v>-6.3386999999999999E-2</v>
      </c>
      <c r="I242">
        <v>7.5828999999999994E-2</v>
      </c>
      <c r="J242">
        <v>0.248528</v>
      </c>
      <c r="K242">
        <v>5.0850000000000001E-3</v>
      </c>
      <c r="L242">
        <v>-4.0349000000000003E-2</v>
      </c>
      <c r="M242">
        <v>-0.37692900000000001</v>
      </c>
      <c r="N242">
        <v>-5.8895000000000003E-2</v>
      </c>
    </row>
    <row r="243" spans="2:14" x14ac:dyDescent="0.2">
      <c r="B243">
        <v>-6.0600000000000003E-3</v>
      </c>
      <c r="C243">
        <v>-1.2612E-2</v>
      </c>
      <c r="D243">
        <v>-1.9599999999999999E-4</v>
      </c>
      <c r="E243">
        <v>9.9750000000000005E-2</v>
      </c>
      <c r="F243">
        <v>0.14794099999999999</v>
      </c>
      <c r="G243">
        <v>0.223747</v>
      </c>
      <c r="H243">
        <v>0.488344</v>
      </c>
      <c r="I243">
        <v>7.502E-3</v>
      </c>
      <c r="J243">
        <v>8.6910000000000008E-3</v>
      </c>
      <c r="K243">
        <v>6.1219000000000003E-2</v>
      </c>
      <c r="L243">
        <v>0.24076600000000001</v>
      </c>
      <c r="M243">
        <v>-0.16872699999999999</v>
      </c>
      <c r="N243">
        <v>0.46512900000000001</v>
      </c>
    </row>
    <row r="244" spans="2:14" x14ac:dyDescent="0.2">
      <c r="B244">
        <v>-2.9537000000000001E-2</v>
      </c>
      <c r="C244">
        <v>-4.9147000000000003E-2</v>
      </c>
      <c r="D244">
        <v>-4.8462999999999999E-2</v>
      </c>
      <c r="E244">
        <v>3.3898999999999999E-2</v>
      </c>
      <c r="F244">
        <v>6.8094000000000002E-2</v>
      </c>
      <c r="G244">
        <v>0.14505399999999999</v>
      </c>
      <c r="H244">
        <v>0.211924</v>
      </c>
      <c r="I244">
        <v>0.36880099999999999</v>
      </c>
      <c r="J244">
        <v>-0.23069899999999999</v>
      </c>
      <c r="K244">
        <v>-9.2035000000000006E-2</v>
      </c>
      <c r="L244">
        <v>0.19215299999999999</v>
      </c>
      <c r="M244">
        <v>0.57879999999999998</v>
      </c>
      <c r="N244">
        <v>6.7290000000000003E-2</v>
      </c>
    </row>
    <row r="245" spans="2:14" x14ac:dyDescent="0.2">
      <c r="B245">
        <v>3.5274E-2</v>
      </c>
      <c r="C245">
        <v>2.3909999999999999E-3</v>
      </c>
      <c r="D245">
        <v>-3.7249999999999998E-2</v>
      </c>
      <c r="E245">
        <v>-2.9724E-2</v>
      </c>
      <c r="F245">
        <v>3.8907999999999998E-2</v>
      </c>
      <c r="G245">
        <v>1.9266999999999999E-2</v>
      </c>
      <c r="H245">
        <v>1.3488E-2</v>
      </c>
      <c r="I245">
        <v>9.9024000000000001E-2</v>
      </c>
      <c r="J245">
        <v>0.20294300000000001</v>
      </c>
      <c r="K245">
        <v>0.13600300000000001</v>
      </c>
      <c r="L245">
        <v>0.64060099999999998</v>
      </c>
      <c r="M245">
        <v>0.38114300000000001</v>
      </c>
      <c r="N245">
        <v>0.41775299999999999</v>
      </c>
    </row>
    <row r="246" spans="2:14" x14ac:dyDescent="0.2">
      <c r="B246">
        <v>8.1834000000000004E-2</v>
      </c>
      <c r="C246">
        <v>-1.4113000000000001E-2</v>
      </c>
      <c r="D246">
        <v>3.0339000000000001E-2</v>
      </c>
      <c r="E246">
        <v>-6.6416000000000003E-2</v>
      </c>
      <c r="F246">
        <v>-7.8724000000000002E-2</v>
      </c>
      <c r="G246">
        <v>1.9875E-2</v>
      </c>
      <c r="H246">
        <v>-2.7826E-2</v>
      </c>
      <c r="I246">
        <v>-1.244E-2</v>
      </c>
      <c r="J246">
        <v>-1.4519000000000001E-2</v>
      </c>
      <c r="K246">
        <v>-5.9725E-2</v>
      </c>
      <c r="L246">
        <v>1.6441999999999998E-2</v>
      </c>
      <c r="M246">
        <v>-0.761683</v>
      </c>
      <c r="N246">
        <v>-0.238732</v>
      </c>
    </row>
    <row r="247" spans="2:14" x14ac:dyDescent="0.2">
      <c r="B247">
        <v>-4.071E-3</v>
      </c>
      <c r="C247">
        <v>-4.9015000000000003E-2</v>
      </c>
      <c r="D247">
        <v>-6.8507999999999999E-2</v>
      </c>
      <c r="E247">
        <v>2.8316999999999998E-2</v>
      </c>
      <c r="F247">
        <v>1.902E-3</v>
      </c>
      <c r="G247">
        <v>4.5009E-2</v>
      </c>
      <c r="H247">
        <v>0.119654</v>
      </c>
      <c r="I247">
        <v>-1.475E-3</v>
      </c>
      <c r="J247">
        <v>-2.436E-2</v>
      </c>
      <c r="K247">
        <v>-0.21212300000000001</v>
      </c>
      <c r="L247">
        <v>-0.16594900000000001</v>
      </c>
      <c r="M247">
        <v>-0.30335600000000001</v>
      </c>
      <c r="N247">
        <v>-0.63060300000000002</v>
      </c>
    </row>
    <row r="248" spans="2:14" x14ac:dyDescent="0.2">
      <c r="B248">
        <v>1.1117999999999999E-2</v>
      </c>
      <c r="C248">
        <v>2.2759000000000001E-2</v>
      </c>
      <c r="D248">
        <v>1.1949E-2</v>
      </c>
      <c r="E248">
        <v>-5.3336000000000001E-2</v>
      </c>
      <c r="F248">
        <v>-5.679E-2</v>
      </c>
      <c r="G248">
        <v>-0.102033</v>
      </c>
      <c r="H248">
        <v>7.0210999999999996E-2</v>
      </c>
      <c r="I248">
        <v>-4.4781000000000001E-2</v>
      </c>
      <c r="J248">
        <v>-0.11257499999999999</v>
      </c>
      <c r="K248">
        <v>1.8915999999999999E-2</v>
      </c>
      <c r="L248">
        <v>-0.48909999999999998</v>
      </c>
      <c r="M248">
        <v>2.6782E-2</v>
      </c>
      <c r="N248">
        <v>-5.1595000000000002E-2</v>
      </c>
    </row>
    <row r="249" spans="2:14" x14ac:dyDescent="0.2">
      <c r="B249">
        <v>2.6744E-2</v>
      </c>
      <c r="C249">
        <v>6.966E-3</v>
      </c>
      <c r="D249">
        <v>0.10408000000000001</v>
      </c>
      <c r="E249">
        <v>3.6511000000000002E-2</v>
      </c>
      <c r="F249">
        <v>3.8670999999999997E-2</v>
      </c>
      <c r="G249">
        <v>2.1589000000000001E-2</v>
      </c>
      <c r="H249">
        <v>2.4264000000000001E-2</v>
      </c>
      <c r="I249">
        <v>4.3203999999999999E-2</v>
      </c>
      <c r="J249">
        <v>0.141565</v>
      </c>
      <c r="K249">
        <v>0.21609400000000001</v>
      </c>
      <c r="L249">
        <v>7.1998999999999994E-2</v>
      </c>
      <c r="M249">
        <v>0.45244200000000001</v>
      </c>
      <c r="N249">
        <v>3.2169999999999997E-2</v>
      </c>
    </row>
    <row r="250" spans="2:14" x14ac:dyDescent="0.2">
      <c r="B250">
        <v>2.9427999999999999E-2</v>
      </c>
      <c r="C250">
        <v>7.6193999999999998E-2</v>
      </c>
      <c r="D250">
        <v>9.4479999999999998E-3</v>
      </c>
      <c r="E250">
        <v>-3.8677000000000003E-2</v>
      </c>
      <c r="F250">
        <v>1.237E-3</v>
      </c>
      <c r="G250">
        <v>-0.13589100000000001</v>
      </c>
      <c r="H250">
        <v>-6.0588000000000003E-2</v>
      </c>
      <c r="I250">
        <v>-8.6804000000000006E-2</v>
      </c>
      <c r="J250">
        <v>-4.6863000000000002E-2</v>
      </c>
      <c r="K250">
        <v>0.35607</v>
      </c>
      <c r="L250">
        <v>0.27845799999999998</v>
      </c>
      <c r="M250">
        <v>0.20743200000000001</v>
      </c>
      <c r="N250">
        <v>-2.52E-4</v>
      </c>
    </row>
    <row r="251" spans="2:14" x14ac:dyDescent="0.2">
      <c r="B251">
        <v>-8.123E-3</v>
      </c>
      <c r="C251">
        <v>-2.2145000000000001E-2</v>
      </c>
      <c r="D251">
        <v>-2.9803E-2</v>
      </c>
      <c r="E251">
        <v>-9.9307000000000006E-2</v>
      </c>
      <c r="F251">
        <v>-0.13527600000000001</v>
      </c>
      <c r="G251">
        <v>-0.19039800000000001</v>
      </c>
      <c r="H251">
        <v>-0.127362</v>
      </c>
      <c r="I251">
        <v>-0.13889899999999999</v>
      </c>
      <c r="J251">
        <v>-0.113146</v>
      </c>
      <c r="K251">
        <v>4.7607999999999998E-2</v>
      </c>
      <c r="L251">
        <v>0.20311599999999999</v>
      </c>
      <c r="M251">
        <v>0.34198000000000001</v>
      </c>
      <c r="N251">
        <v>0.38703500000000002</v>
      </c>
    </row>
    <row r="252" spans="2:14" x14ac:dyDescent="0.2">
      <c r="B252">
        <v>-2.7179999999999999E-3</v>
      </c>
      <c r="C252">
        <v>-3.0904000000000001E-2</v>
      </c>
      <c r="D252">
        <v>-2.7234999999999999E-2</v>
      </c>
      <c r="E252">
        <v>3.2980000000000002E-2</v>
      </c>
      <c r="F252">
        <v>-0.13666700000000001</v>
      </c>
      <c r="G252">
        <v>8.1777000000000002E-2</v>
      </c>
      <c r="H252">
        <v>3.5480999999999999E-2</v>
      </c>
      <c r="I252">
        <v>-0.104866</v>
      </c>
      <c r="J252">
        <v>-3.8598E-2</v>
      </c>
      <c r="K252">
        <v>-2.8112000000000002E-2</v>
      </c>
      <c r="L252">
        <v>2.5069000000000001E-2</v>
      </c>
      <c r="M252">
        <v>0.19286500000000001</v>
      </c>
      <c r="N252">
        <v>-5.5593999999999998E-2</v>
      </c>
    </row>
    <row r="253" spans="2:14" x14ac:dyDescent="0.2">
      <c r="B253">
        <v>-4.9439999999999996E-3</v>
      </c>
      <c r="C253">
        <v>3.771E-3</v>
      </c>
      <c r="D253">
        <v>-6.9571999999999995E-2</v>
      </c>
      <c r="E253">
        <v>-4.7372999999999998E-2</v>
      </c>
      <c r="F253">
        <v>-0.13369500000000001</v>
      </c>
      <c r="G253">
        <v>-0.14691499999999999</v>
      </c>
      <c r="H253">
        <v>-0.19067400000000001</v>
      </c>
      <c r="I253">
        <v>7.1370000000000003E-2</v>
      </c>
      <c r="J253">
        <v>-9.3660999999999994E-2</v>
      </c>
      <c r="K253">
        <v>3.8170000000000001E-3</v>
      </c>
      <c r="L253">
        <v>3.9715E-2</v>
      </c>
      <c r="M253">
        <v>0.15700800000000001</v>
      </c>
      <c r="N253">
        <v>0.235733</v>
      </c>
    </row>
    <row r="254" spans="2:14" x14ac:dyDescent="0.2">
      <c r="B254">
        <v>-4.6517000000000003E-2</v>
      </c>
      <c r="C254">
        <v>3.0709999999999999E-3</v>
      </c>
      <c r="D254">
        <v>2.6016999999999998E-2</v>
      </c>
      <c r="E254">
        <v>-8.7221000000000007E-2</v>
      </c>
      <c r="F254">
        <v>-5.0596000000000002E-2</v>
      </c>
      <c r="G254">
        <v>-7.3845999999999995E-2</v>
      </c>
      <c r="H254">
        <v>-7.9255000000000006E-2</v>
      </c>
      <c r="I254">
        <v>-0.14920800000000001</v>
      </c>
      <c r="J254">
        <v>4.4052000000000001E-2</v>
      </c>
      <c r="K254">
        <v>0.163636</v>
      </c>
      <c r="L254">
        <v>0.15296399999999999</v>
      </c>
      <c r="M254">
        <v>0.36394799999999999</v>
      </c>
      <c r="N254">
        <v>0.44004700000000002</v>
      </c>
    </row>
    <row r="255" spans="2:14" x14ac:dyDescent="0.2">
      <c r="B255">
        <v>-4.0382000000000001E-2</v>
      </c>
      <c r="C255">
        <v>-6.4536999999999997E-2</v>
      </c>
      <c r="D255">
        <v>-2.5139000000000002E-2</v>
      </c>
      <c r="E255">
        <v>-6.0449999999999997E-2</v>
      </c>
      <c r="F255">
        <v>-0.12354999999999999</v>
      </c>
      <c r="G255">
        <v>-0.188162</v>
      </c>
      <c r="H255">
        <v>-3.7672999999999998E-2</v>
      </c>
      <c r="I255">
        <v>-0.17875199999999999</v>
      </c>
      <c r="J255">
        <v>-7.1026000000000006E-2</v>
      </c>
      <c r="K255">
        <v>0.16406999999999999</v>
      </c>
      <c r="L255">
        <v>-0.30453000000000002</v>
      </c>
      <c r="M255">
        <v>0.30443399999999998</v>
      </c>
      <c r="N255">
        <v>0.40499600000000002</v>
      </c>
    </row>
    <row r="256" spans="2:14" x14ac:dyDescent="0.2">
      <c r="B256">
        <v>-6.0999999999999997E-4</v>
      </c>
      <c r="C256">
        <v>-4.2160999999999997E-2</v>
      </c>
      <c r="D256">
        <v>1.193E-3</v>
      </c>
      <c r="E256">
        <v>-1.882E-3</v>
      </c>
      <c r="F256">
        <v>0.109227</v>
      </c>
      <c r="G256">
        <v>-5.2764999999999999E-2</v>
      </c>
      <c r="H256">
        <v>-1.8283000000000001E-2</v>
      </c>
      <c r="I256">
        <v>0.18376999999999999</v>
      </c>
      <c r="J256">
        <v>0.348937</v>
      </c>
      <c r="K256">
        <v>0.145484</v>
      </c>
      <c r="L256">
        <v>0.12692400000000001</v>
      </c>
      <c r="M256">
        <v>0.36031999999999997</v>
      </c>
      <c r="N256">
        <v>0.38224900000000001</v>
      </c>
    </row>
    <row r="257" spans="2:14" x14ac:dyDescent="0.2">
      <c r="B257">
        <v>5.071E-3</v>
      </c>
      <c r="C257">
        <v>-7.8390000000000005E-3</v>
      </c>
      <c r="D257">
        <v>-9.4653000000000001E-2</v>
      </c>
      <c r="E257">
        <v>-4.2692000000000001E-2</v>
      </c>
      <c r="F257">
        <v>-1.9796000000000001E-2</v>
      </c>
      <c r="G257">
        <v>3.6937999999999999E-2</v>
      </c>
      <c r="H257">
        <v>-3.9857999999999998E-2</v>
      </c>
      <c r="I257">
        <v>-0.16871700000000001</v>
      </c>
      <c r="J257">
        <v>6.5864000000000006E-2</v>
      </c>
      <c r="K257">
        <v>-0.1053</v>
      </c>
      <c r="L257">
        <v>0.30462800000000001</v>
      </c>
      <c r="M257">
        <v>0.45204</v>
      </c>
      <c r="N257">
        <v>0.61046299999999998</v>
      </c>
    </row>
    <row r="258" spans="2:14" x14ac:dyDescent="0.2">
      <c r="B258">
        <v>2.1465999999999999E-2</v>
      </c>
      <c r="C258">
        <v>3.9008000000000001E-2</v>
      </c>
      <c r="D258">
        <v>-3.493E-3</v>
      </c>
      <c r="E258">
        <v>-9.7716999999999998E-2</v>
      </c>
      <c r="F258">
        <v>3.2231000000000003E-2</v>
      </c>
      <c r="G258">
        <v>-1.8593999999999999E-2</v>
      </c>
      <c r="H258">
        <v>-5.7106999999999998E-2</v>
      </c>
      <c r="I258">
        <v>-0.127636</v>
      </c>
      <c r="J258">
        <v>-5.0095000000000001E-2</v>
      </c>
      <c r="K258">
        <v>0.12567300000000001</v>
      </c>
      <c r="L258">
        <v>0.44944499999999998</v>
      </c>
      <c r="M258">
        <v>0.339808</v>
      </c>
      <c r="N258">
        <v>0.46459299999999998</v>
      </c>
    </row>
    <row r="259" spans="2:14" x14ac:dyDescent="0.2">
      <c r="B259">
        <v>-9.4719999999999995E-3</v>
      </c>
      <c r="C259">
        <v>-1.7382999999999999E-2</v>
      </c>
      <c r="D259">
        <v>0.106942</v>
      </c>
      <c r="E259">
        <v>8.6421999999999999E-2</v>
      </c>
      <c r="F259">
        <v>-3.1946000000000002E-2</v>
      </c>
      <c r="G259">
        <v>0.122975</v>
      </c>
      <c r="H259">
        <v>2.8903000000000002E-2</v>
      </c>
      <c r="I259">
        <v>-7.4992000000000003E-2</v>
      </c>
      <c r="J259">
        <v>-2.9826999999999999E-2</v>
      </c>
      <c r="K259">
        <v>0.106295</v>
      </c>
      <c r="L259">
        <v>0.137409</v>
      </c>
      <c r="M259">
        <v>0.48188700000000001</v>
      </c>
      <c r="N259">
        <v>-4.4132999999999999E-2</v>
      </c>
    </row>
    <row r="260" spans="2:14" x14ac:dyDescent="0.2">
      <c r="B260">
        <v>4.2372E-2</v>
      </c>
      <c r="C260">
        <v>3.4705E-2</v>
      </c>
      <c r="D260">
        <v>4.4727999999999997E-2</v>
      </c>
      <c r="E260">
        <v>3.0461999999999999E-2</v>
      </c>
      <c r="F260">
        <v>-6.6063999999999998E-2</v>
      </c>
      <c r="G260">
        <v>-4.2352000000000001E-2</v>
      </c>
      <c r="H260">
        <v>-2.1618999999999999E-2</v>
      </c>
      <c r="I260">
        <v>3.9820000000000003E-3</v>
      </c>
      <c r="J260">
        <v>-0.214059</v>
      </c>
      <c r="K260">
        <v>-0.17150499999999999</v>
      </c>
      <c r="L260">
        <v>5.6653000000000002E-2</v>
      </c>
      <c r="M260">
        <v>0.13975099999999999</v>
      </c>
      <c r="N260">
        <v>0.54574500000000004</v>
      </c>
    </row>
    <row r="261" spans="2:14" x14ac:dyDescent="0.2">
      <c r="B261">
        <v>9.5883999999999997E-2</v>
      </c>
      <c r="C261">
        <v>3.4701999999999997E-2</v>
      </c>
      <c r="D261">
        <v>0.15881700000000001</v>
      </c>
      <c r="E261">
        <v>7.1877999999999997E-2</v>
      </c>
      <c r="F261">
        <v>0.100635</v>
      </c>
      <c r="G261">
        <v>-6.9310999999999998E-2</v>
      </c>
      <c r="H261">
        <v>2.8324999999999999E-2</v>
      </c>
      <c r="I261">
        <v>0.120189</v>
      </c>
      <c r="J261">
        <v>0.10736</v>
      </c>
      <c r="K261">
        <v>5.6925999999999997E-2</v>
      </c>
      <c r="L261">
        <v>-4.2802E-2</v>
      </c>
      <c r="M261">
        <v>0.40720699999999999</v>
      </c>
      <c r="N261">
        <v>0.237257</v>
      </c>
    </row>
    <row r="262" spans="2:14" x14ac:dyDescent="0.2">
      <c r="B262">
        <v>7.2072999999999998E-2</v>
      </c>
      <c r="C262">
        <v>0.113163</v>
      </c>
      <c r="D262">
        <v>9.7027000000000002E-2</v>
      </c>
      <c r="E262">
        <v>0.132548</v>
      </c>
      <c r="F262">
        <v>0.13645299999999999</v>
      </c>
      <c r="G262">
        <v>-3.689E-3</v>
      </c>
      <c r="H262">
        <v>4.3182999999999999E-2</v>
      </c>
      <c r="I262">
        <v>-0.149838</v>
      </c>
      <c r="J262">
        <v>5.4920999999999998E-2</v>
      </c>
      <c r="K262">
        <v>0.39014300000000002</v>
      </c>
      <c r="L262">
        <v>0.21754000000000001</v>
      </c>
      <c r="M262">
        <v>1.0465930000000001</v>
      </c>
      <c r="N262">
        <v>9.3457999999999999E-2</v>
      </c>
    </row>
    <row r="263" spans="2:14" x14ac:dyDescent="0.2">
      <c r="B263">
        <v>5.2616000000000003E-2</v>
      </c>
      <c r="C263">
        <v>5.0479999999999997E-2</v>
      </c>
      <c r="D263">
        <v>3.6204E-2</v>
      </c>
      <c r="E263">
        <v>8.7246000000000004E-2</v>
      </c>
      <c r="F263">
        <v>0.138156</v>
      </c>
      <c r="G263">
        <v>4.1496999999999999E-2</v>
      </c>
      <c r="H263">
        <v>-6.3701999999999995E-2</v>
      </c>
      <c r="I263">
        <v>8.0671000000000007E-2</v>
      </c>
      <c r="J263">
        <v>0.11566800000000001</v>
      </c>
      <c r="K263">
        <v>2.2241E-2</v>
      </c>
      <c r="L263">
        <v>0.160917</v>
      </c>
      <c r="M263">
        <v>0.26873200000000003</v>
      </c>
      <c r="N263">
        <v>8.7050000000000002E-2</v>
      </c>
    </row>
    <row r="264" spans="2:14" x14ac:dyDescent="0.2">
      <c r="B264">
        <v>8.6529999999999992E-3</v>
      </c>
      <c r="C264">
        <v>0.13961999999999999</v>
      </c>
      <c r="D264">
        <v>0.14368500000000001</v>
      </c>
      <c r="E264">
        <v>3.8878999999999997E-2</v>
      </c>
      <c r="F264">
        <v>5.0606999999999999E-2</v>
      </c>
      <c r="G264">
        <v>-7.3200000000000001E-3</v>
      </c>
      <c r="H264">
        <v>2.5017999999999999E-2</v>
      </c>
      <c r="I264">
        <v>2.5772E-2</v>
      </c>
      <c r="J264">
        <v>2.4836E-2</v>
      </c>
      <c r="K264">
        <v>6.9369E-2</v>
      </c>
      <c r="L264">
        <v>0.36465999999999998</v>
      </c>
      <c r="M264">
        <v>0.34051300000000001</v>
      </c>
      <c r="N264">
        <v>0.201902</v>
      </c>
    </row>
    <row r="265" spans="2:14" x14ac:dyDescent="0.2">
      <c r="B265">
        <v>0.107326</v>
      </c>
      <c r="C265">
        <v>0.13491700000000001</v>
      </c>
      <c r="D265">
        <v>0.14781</v>
      </c>
      <c r="E265">
        <v>0.15332799999999999</v>
      </c>
      <c r="F265">
        <v>9.6182000000000004E-2</v>
      </c>
      <c r="G265">
        <v>0.101867</v>
      </c>
      <c r="H265">
        <v>-7.9239000000000004E-2</v>
      </c>
      <c r="I265">
        <v>0.13167400000000001</v>
      </c>
      <c r="J265">
        <v>-6.6080000000000002E-3</v>
      </c>
      <c r="K265">
        <v>-3.6205000000000001E-2</v>
      </c>
      <c r="L265">
        <v>4.3410000000000002E-3</v>
      </c>
      <c r="M265">
        <v>9.2269000000000004E-2</v>
      </c>
      <c r="N265">
        <v>-9.0594999999999995E-2</v>
      </c>
    </row>
    <row r="266" spans="2:14" x14ac:dyDescent="0.2">
      <c r="B266">
        <v>6.2514E-2</v>
      </c>
      <c r="C266">
        <v>0.14038800000000001</v>
      </c>
      <c r="D266">
        <v>0.101216</v>
      </c>
      <c r="E266">
        <v>7.9642000000000004E-2</v>
      </c>
      <c r="F266">
        <v>4.6046999999999998E-2</v>
      </c>
      <c r="G266">
        <v>-7.3657E-2</v>
      </c>
      <c r="H266">
        <v>-0.143729</v>
      </c>
      <c r="I266">
        <v>-4.1445999999999997E-2</v>
      </c>
      <c r="J266">
        <v>0.320274</v>
      </c>
      <c r="K266">
        <v>4.0023999999999997E-2</v>
      </c>
      <c r="L266">
        <v>0.28555799999999998</v>
      </c>
      <c r="M266">
        <v>0.189693</v>
      </c>
      <c r="N266">
        <v>0.117684</v>
      </c>
    </row>
    <row r="267" spans="2:14" x14ac:dyDescent="0.2">
      <c r="B267">
        <v>6.2595999999999999E-2</v>
      </c>
      <c r="C267">
        <v>0.13658600000000001</v>
      </c>
      <c r="D267">
        <v>0.127608</v>
      </c>
      <c r="E267">
        <v>7.8373999999999999E-2</v>
      </c>
      <c r="F267">
        <v>0.127417</v>
      </c>
      <c r="G267">
        <v>-8.8249999999999995E-3</v>
      </c>
      <c r="H267">
        <v>-0.15415200000000001</v>
      </c>
      <c r="I267">
        <v>4.0535000000000002E-2</v>
      </c>
      <c r="J267">
        <v>4.7685999999999999E-2</v>
      </c>
      <c r="K267">
        <v>0.37236799999999998</v>
      </c>
      <c r="L267">
        <v>0.25883</v>
      </c>
      <c r="M267">
        <v>0.64335900000000001</v>
      </c>
      <c r="N267">
        <v>0.78527000000000002</v>
      </c>
    </row>
    <row r="268" spans="2:14" x14ac:dyDescent="0.2">
      <c r="B268">
        <v>8.3868999999999999E-2</v>
      </c>
      <c r="C268">
        <v>0.14510999999999999</v>
      </c>
      <c r="D268">
        <v>0.129943</v>
      </c>
      <c r="E268">
        <v>6.2827999999999995E-2</v>
      </c>
      <c r="F268">
        <v>0.18745600000000001</v>
      </c>
      <c r="G268">
        <v>5.1977000000000002E-2</v>
      </c>
      <c r="H268">
        <v>-1.0277E-2</v>
      </c>
      <c r="I268">
        <v>-2.4967E-2</v>
      </c>
      <c r="J268">
        <v>-0.279893</v>
      </c>
      <c r="K268">
        <v>-3.5048000000000003E-2</v>
      </c>
      <c r="L268">
        <v>0.10169499999999999</v>
      </c>
      <c r="M268">
        <v>0.71605799999999997</v>
      </c>
      <c r="N268">
        <v>0.49557600000000002</v>
      </c>
    </row>
    <row r="269" spans="2:14" x14ac:dyDescent="0.2">
      <c r="B269">
        <v>6.6837999999999995E-2</v>
      </c>
      <c r="C269">
        <v>0.17730499999999999</v>
      </c>
      <c r="D269">
        <v>0.14066899999999999</v>
      </c>
      <c r="E269">
        <v>7.0849999999999996E-2</v>
      </c>
      <c r="F269">
        <v>-1.6829E-2</v>
      </c>
      <c r="G269">
        <v>-6.0345999999999997E-2</v>
      </c>
      <c r="H269">
        <v>-0.13283700000000001</v>
      </c>
      <c r="I269">
        <v>-0.16001699999999999</v>
      </c>
      <c r="J269">
        <v>-0.20561399999999999</v>
      </c>
      <c r="K269">
        <v>-7.7214000000000005E-2</v>
      </c>
      <c r="L269">
        <v>-0.19785700000000001</v>
      </c>
      <c r="M269">
        <v>2.8598999999999999E-2</v>
      </c>
      <c r="N269">
        <v>0.239014</v>
      </c>
    </row>
    <row r="270" spans="2:14" x14ac:dyDescent="0.2">
      <c r="B270">
        <v>0.13229299999999999</v>
      </c>
      <c r="C270">
        <v>0.120534</v>
      </c>
      <c r="D270">
        <v>0.13070399999999999</v>
      </c>
      <c r="E270">
        <v>7.5561000000000003E-2</v>
      </c>
      <c r="F270">
        <v>6.0080000000000003E-3</v>
      </c>
      <c r="G270">
        <v>-9.5868999999999996E-2</v>
      </c>
      <c r="H270">
        <v>5.8999000000000003E-2</v>
      </c>
      <c r="I270">
        <v>-0.188468</v>
      </c>
      <c r="J270">
        <v>-0.19401499999999999</v>
      </c>
      <c r="K270">
        <v>-0.130688</v>
      </c>
      <c r="L270">
        <v>-0.109234</v>
      </c>
      <c r="M270">
        <v>0.23364399999999999</v>
      </c>
      <c r="N270">
        <v>0.20072499999999999</v>
      </c>
    </row>
    <row r="271" spans="2:14" x14ac:dyDescent="0.2">
      <c r="B271">
        <v>5.8309E-2</v>
      </c>
      <c r="C271">
        <v>0.204289</v>
      </c>
      <c r="D271">
        <v>0.14351</v>
      </c>
      <c r="E271">
        <v>9.1513999999999998E-2</v>
      </c>
      <c r="F271">
        <v>0.145644</v>
      </c>
      <c r="G271">
        <v>0.113916</v>
      </c>
      <c r="H271">
        <v>-2.9774999999999999E-2</v>
      </c>
      <c r="I271">
        <v>4.3978999999999997E-2</v>
      </c>
      <c r="J271">
        <v>-2.8181999999999999E-2</v>
      </c>
      <c r="K271">
        <v>-0.14215700000000001</v>
      </c>
      <c r="L271">
        <v>3.1347E-2</v>
      </c>
      <c r="M271">
        <v>0.28876800000000002</v>
      </c>
      <c r="N271">
        <v>0.158973</v>
      </c>
    </row>
    <row r="272" spans="2:14" x14ac:dyDescent="0.2">
      <c r="B272">
        <v>0.171399</v>
      </c>
      <c r="C272">
        <v>0.104293</v>
      </c>
      <c r="D272">
        <v>0.101684</v>
      </c>
      <c r="E272">
        <v>8.5898000000000002E-2</v>
      </c>
      <c r="F272">
        <v>-6.4069000000000001E-2</v>
      </c>
      <c r="G272">
        <v>-5.5586999999999998E-2</v>
      </c>
      <c r="H272">
        <v>-0.119724</v>
      </c>
      <c r="I272">
        <v>-8.9356000000000005E-2</v>
      </c>
      <c r="J272">
        <v>-4.0447999999999998E-2</v>
      </c>
      <c r="K272">
        <v>-7.4968000000000007E-2</v>
      </c>
      <c r="L272">
        <v>-4.4586000000000001E-2</v>
      </c>
      <c r="M272">
        <v>3.0813E-2</v>
      </c>
      <c r="N272">
        <v>0.13589000000000001</v>
      </c>
    </row>
    <row r="273" spans="1:58" x14ac:dyDescent="0.2">
      <c r="B273">
        <v>0.123908</v>
      </c>
      <c r="C273">
        <v>0.113041</v>
      </c>
      <c r="D273">
        <v>0.16089700000000001</v>
      </c>
      <c r="E273">
        <v>0.13259399999999999</v>
      </c>
      <c r="F273">
        <v>6.5932000000000004E-2</v>
      </c>
      <c r="G273">
        <v>-3.4927E-2</v>
      </c>
      <c r="H273">
        <v>-6.0422999999999998E-2</v>
      </c>
      <c r="I273">
        <v>-1.7689E-2</v>
      </c>
      <c r="J273">
        <v>5.5504999999999999E-2</v>
      </c>
      <c r="K273">
        <v>-5.4174E-2</v>
      </c>
      <c r="L273">
        <v>-0.174649</v>
      </c>
      <c r="M273">
        <v>-6.0823000000000002E-2</v>
      </c>
      <c r="N273">
        <v>-0.30176399999999998</v>
      </c>
    </row>
    <row r="274" spans="1:58" x14ac:dyDescent="0.2">
      <c r="B274">
        <v>7.7941999999999997E-2</v>
      </c>
      <c r="C274">
        <v>0.15356800000000001</v>
      </c>
      <c r="D274">
        <v>0.13750499999999999</v>
      </c>
      <c r="E274">
        <v>0.16264999999999999</v>
      </c>
      <c r="F274">
        <v>0.10770200000000001</v>
      </c>
      <c r="G274">
        <v>-2.0664999999999999E-2</v>
      </c>
      <c r="H274">
        <v>-0.14974199999999999</v>
      </c>
      <c r="I274">
        <v>-0.28483799999999998</v>
      </c>
      <c r="J274">
        <v>-0.20047599999999999</v>
      </c>
      <c r="K274">
        <v>0.37844800000000001</v>
      </c>
      <c r="L274">
        <v>-0.361875</v>
      </c>
      <c r="M274">
        <v>-0.28756999999999999</v>
      </c>
      <c r="N274">
        <v>-0.46025300000000002</v>
      </c>
    </row>
    <row r="275" spans="1:58" x14ac:dyDescent="0.2">
      <c r="B275">
        <v>3.2612000000000002E-2</v>
      </c>
      <c r="C275">
        <v>0.138818</v>
      </c>
      <c r="D275">
        <v>0.12970499999999999</v>
      </c>
      <c r="E275">
        <v>7.9515000000000002E-2</v>
      </c>
      <c r="F275">
        <v>8.9776999999999996E-2</v>
      </c>
      <c r="G275">
        <v>-2.4563000000000001E-2</v>
      </c>
      <c r="H275">
        <v>-6.8645999999999999E-2</v>
      </c>
      <c r="I275">
        <v>-0.201548</v>
      </c>
      <c r="J275">
        <v>-0.32095899999999999</v>
      </c>
      <c r="K275">
        <v>-0.37481199999999998</v>
      </c>
      <c r="L275">
        <v>-0.24879499999999999</v>
      </c>
      <c r="M275">
        <v>-0.489734</v>
      </c>
      <c r="N275">
        <v>-1.6456999999999999E-2</v>
      </c>
    </row>
    <row r="276" spans="1:58" x14ac:dyDescent="0.2">
      <c r="B276">
        <v>-6.9100000000000003E-3</v>
      </c>
      <c r="C276">
        <v>0.105142</v>
      </c>
      <c r="D276">
        <v>0.134382</v>
      </c>
      <c r="E276">
        <v>6.4786999999999997E-2</v>
      </c>
      <c r="F276">
        <v>9.0133000000000005E-2</v>
      </c>
      <c r="G276">
        <v>-1.7663000000000002E-2</v>
      </c>
      <c r="H276">
        <v>-7.1785000000000002E-2</v>
      </c>
      <c r="I276">
        <v>-0.133686</v>
      </c>
      <c r="J276">
        <v>-0.48763499999999999</v>
      </c>
      <c r="K276">
        <v>-0.45433899999999999</v>
      </c>
      <c r="L276">
        <v>-0.59109100000000003</v>
      </c>
      <c r="M276">
        <v>-0.38705000000000001</v>
      </c>
      <c r="N276">
        <v>-0.83904599999999996</v>
      </c>
    </row>
    <row r="277" spans="1:58" x14ac:dyDescent="0.2">
      <c r="B277">
        <v>4.8128999999999998E-2</v>
      </c>
      <c r="C277">
        <v>9.6131999999999995E-2</v>
      </c>
      <c r="D277">
        <v>0.144258</v>
      </c>
      <c r="E277">
        <v>9.3303999999999998E-2</v>
      </c>
      <c r="F277">
        <v>4.6929999999999999E-2</v>
      </c>
      <c r="G277">
        <v>3.2313000000000001E-2</v>
      </c>
      <c r="H277">
        <v>-5.5670999999999998E-2</v>
      </c>
      <c r="I277">
        <v>-6.5433000000000005E-2</v>
      </c>
      <c r="J277">
        <v>-0.18876799999999999</v>
      </c>
      <c r="K277">
        <v>-0.209398</v>
      </c>
      <c r="L277">
        <v>-0.36052899999999999</v>
      </c>
      <c r="M277">
        <v>-0.29386200000000001</v>
      </c>
      <c r="N277">
        <v>-0.40645700000000001</v>
      </c>
    </row>
    <row r="278" spans="1:58" x14ac:dyDescent="0.2">
      <c r="B278">
        <v>7.2803000000000007E-2</v>
      </c>
      <c r="C278">
        <v>0.113388</v>
      </c>
      <c r="D278">
        <v>0.14172100000000001</v>
      </c>
      <c r="E278">
        <v>0.11337800000000001</v>
      </c>
      <c r="F278">
        <v>0.10489</v>
      </c>
      <c r="G278">
        <v>4.7287000000000003E-2</v>
      </c>
      <c r="H278">
        <v>-2.1614000000000001E-2</v>
      </c>
      <c r="I278">
        <v>0.22636600000000001</v>
      </c>
      <c r="J278">
        <v>-4.6716000000000001E-2</v>
      </c>
      <c r="K278">
        <v>0.25501600000000002</v>
      </c>
      <c r="L278">
        <v>0.101759</v>
      </c>
      <c r="M278">
        <v>-0.29217199999999999</v>
      </c>
      <c r="N278">
        <v>-0.18229999999999999</v>
      </c>
    </row>
    <row r="279" spans="1:58" x14ac:dyDescent="0.2">
      <c r="B279">
        <v>0.11321000000000001</v>
      </c>
      <c r="C279">
        <v>9.7489000000000006E-2</v>
      </c>
      <c r="D279">
        <v>0.139933</v>
      </c>
      <c r="E279">
        <v>8.7223999999999996E-2</v>
      </c>
      <c r="F279">
        <v>5.5534E-2</v>
      </c>
      <c r="G279">
        <v>3.3581E-2</v>
      </c>
      <c r="H279">
        <v>-2.2000000000000001E-3</v>
      </c>
      <c r="I279">
        <v>-9.9853999999999998E-2</v>
      </c>
      <c r="J279">
        <v>5.0790000000000002E-3</v>
      </c>
      <c r="K279">
        <v>0.39241900000000002</v>
      </c>
      <c r="L279">
        <v>5.1529999999999999E-2</v>
      </c>
      <c r="M279">
        <v>-0.251996</v>
      </c>
      <c r="N279">
        <v>-0.23594399999999999</v>
      </c>
    </row>
    <row r="280" spans="1:58" x14ac:dyDescent="0.2">
      <c r="B280">
        <v>6.2015000000000001E-2</v>
      </c>
      <c r="C280">
        <v>8.4666000000000005E-2</v>
      </c>
      <c r="D280">
        <v>0.124087</v>
      </c>
      <c r="E280">
        <v>0.13953199999999999</v>
      </c>
      <c r="F280">
        <v>0.15207300000000001</v>
      </c>
      <c r="G280">
        <v>0.14113400000000001</v>
      </c>
      <c r="H280">
        <v>9.6337000000000006E-2</v>
      </c>
      <c r="I280">
        <v>5.8562999999999997E-2</v>
      </c>
      <c r="J280">
        <v>5.1548999999999998E-2</v>
      </c>
      <c r="K280">
        <v>7.0850999999999997E-2</v>
      </c>
      <c r="L280">
        <v>0.32438899999999998</v>
      </c>
      <c r="M280">
        <v>0.75684700000000005</v>
      </c>
      <c r="N280">
        <v>7.6815999999999995E-2</v>
      </c>
    </row>
    <row r="281" spans="1:58" x14ac:dyDescent="0.2">
      <c r="B281">
        <v>0.119187</v>
      </c>
      <c r="C281">
        <v>5.8219999999999999E-3</v>
      </c>
      <c r="D281">
        <v>7.1406999999999998E-2</v>
      </c>
      <c r="E281">
        <v>2.2515E-2</v>
      </c>
      <c r="F281">
        <v>1.5998999999999999E-2</v>
      </c>
      <c r="G281">
        <v>0.101032</v>
      </c>
      <c r="H281">
        <v>1.7847999999999999E-2</v>
      </c>
      <c r="I281">
        <v>7.326E-3</v>
      </c>
      <c r="J281">
        <v>6.1000000000000004E-3</v>
      </c>
      <c r="K281">
        <v>3.2393999999999999E-2</v>
      </c>
      <c r="L281">
        <v>0.10635600000000001</v>
      </c>
      <c r="M281">
        <v>0.325824</v>
      </c>
      <c r="N281">
        <v>0.42024299999999998</v>
      </c>
    </row>
    <row r="282" spans="1:58" x14ac:dyDescent="0.2">
      <c r="A282" t="s">
        <v>71</v>
      </c>
    </row>
    <row r="283" spans="1:58" x14ac:dyDescent="0.2">
      <c r="A283">
        <v>0.45445799999999997</v>
      </c>
    </row>
    <row r="284" spans="1:58" x14ac:dyDescent="0.2">
      <c r="A284" t="s">
        <v>72</v>
      </c>
    </row>
    <row r="285" spans="1:58" x14ac:dyDescent="0.2">
      <c r="B285">
        <v>0</v>
      </c>
      <c r="C285">
        <v>0.181584</v>
      </c>
      <c r="D285">
        <v>-3.5782000000000001E-2</v>
      </c>
      <c r="E285">
        <v>0.25790000000000002</v>
      </c>
      <c r="F285">
        <v>0.28832099999999999</v>
      </c>
      <c r="G285">
        <v>1.413597</v>
      </c>
      <c r="H285">
        <v>0.32680500000000001</v>
      </c>
      <c r="I285">
        <v>1.8032490000000001</v>
      </c>
      <c r="J285">
        <v>0.26525300000000002</v>
      </c>
      <c r="K285">
        <v>0.99661699999999998</v>
      </c>
      <c r="L285">
        <v>1.056605</v>
      </c>
      <c r="M285">
        <v>0.69012399999999996</v>
      </c>
      <c r="N285">
        <v>-7.6759999999999997E-3</v>
      </c>
      <c r="O285">
        <v>0.71169099999999996</v>
      </c>
      <c r="P285">
        <v>-0.71490399999999998</v>
      </c>
      <c r="Q285">
        <v>-4.3966999999999999E-2</v>
      </c>
      <c r="R285">
        <v>-1.56975</v>
      </c>
      <c r="S285">
        <v>-0.75395900000000005</v>
      </c>
      <c r="T285">
        <v>-1.176086</v>
      </c>
      <c r="U285">
        <v>-0.904864</v>
      </c>
      <c r="V285">
        <v>0.295736</v>
      </c>
      <c r="W285">
        <v>2.8221E-2</v>
      </c>
      <c r="X285">
        <v>4.5545000000000002E-2</v>
      </c>
      <c r="Y285">
        <v>0.82309500000000002</v>
      </c>
      <c r="Z285">
        <v>-6.4410999999999996E-2</v>
      </c>
      <c r="AA285">
        <v>-0.49177900000000002</v>
      </c>
      <c r="AB285">
        <v>-0.72090100000000001</v>
      </c>
      <c r="AC285">
        <v>-0.32841399999999998</v>
      </c>
      <c r="AD285">
        <v>-0.624892</v>
      </c>
      <c r="AE285">
        <v>-0.44873200000000002</v>
      </c>
      <c r="AF285">
        <v>-0.34740500000000002</v>
      </c>
      <c r="AG285">
        <v>0.435027</v>
      </c>
      <c r="AH285">
        <v>-9.5422000000000007E-2</v>
      </c>
      <c r="AI285">
        <v>-0.20647199999999999</v>
      </c>
      <c r="AJ285">
        <v>-0.43786199999999997</v>
      </c>
      <c r="AK285">
        <v>-0.88153000000000004</v>
      </c>
      <c r="AL285">
        <v>-0.254884</v>
      </c>
      <c r="AM285">
        <v>0.85078100000000001</v>
      </c>
      <c r="AN285">
        <v>0.26369900000000002</v>
      </c>
      <c r="AO285">
        <v>1.3286279999999999</v>
      </c>
      <c r="AP285">
        <v>0.49940000000000001</v>
      </c>
      <c r="AQ285">
        <v>0.64670700000000003</v>
      </c>
      <c r="AR285">
        <v>1.2011000000000001E-2</v>
      </c>
      <c r="AS285">
        <v>0.43080099999999999</v>
      </c>
      <c r="AT285">
        <v>0.56095099999999998</v>
      </c>
      <c r="AU285">
        <v>-2.2621579999999999</v>
      </c>
      <c r="AV285">
        <v>-0.485379</v>
      </c>
      <c r="AW285">
        <v>-0.20866100000000001</v>
      </c>
      <c r="AX285">
        <v>-1.023139</v>
      </c>
      <c r="AY285">
        <v>0.65453600000000001</v>
      </c>
      <c r="AZ285">
        <v>-1.7696719999999999</v>
      </c>
      <c r="BA285">
        <v>-1.5532589999999999</v>
      </c>
      <c r="BB285">
        <v>-0.242252</v>
      </c>
      <c r="BC285">
        <v>-3.4361429999999999</v>
      </c>
      <c r="BD285">
        <v>0.85197100000000003</v>
      </c>
      <c r="BE285">
        <v>0</v>
      </c>
      <c r="BF285">
        <v>0</v>
      </c>
    </row>
    <row r="286" spans="1:58" x14ac:dyDescent="0.2">
      <c r="A286" t="s">
        <v>73</v>
      </c>
    </row>
    <row r="287" spans="1:58" x14ac:dyDescent="0.2">
      <c r="A287">
        <v>0.14267099999999999</v>
      </c>
    </row>
    <row r="288" spans="1:58" x14ac:dyDescent="0.2">
      <c r="A288" t="s">
        <v>74</v>
      </c>
    </row>
    <row r="289" spans="1:57" x14ac:dyDescent="0.2">
      <c r="A289">
        <v>1968</v>
      </c>
      <c r="B289">
        <v>1969</v>
      </c>
      <c r="C289">
        <v>1970</v>
      </c>
      <c r="D289">
        <v>1971</v>
      </c>
      <c r="E289">
        <v>1972</v>
      </c>
      <c r="F289">
        <v>1973</v>
      </c>
      <c r="G289">
        <v>1974</v>
      </c>
      <c r="H289">
        <v>1975</v>
      </c>
      <c r="I289">
        <v>1976</v>
      </c>
      <c r="J289">
        <v>1977</v>
      </c>
      <c r="K289">
        <v>1978</v>
      </c>
      <c r="L289">
        <v>1979</v>
      </c>
      <c r="M289">
        <v>1980</v>
      </c>
      <c r="N289">
        <v>1981</v>
      </c>
      <c r="O289">
        <v>1982</v>
      </c>
      <c r="P289">
        <v>1983</v>
      </c>
      <c r="Q289">
        <v>1984</v>
      </c>
      <c r="R289">
        <v>1985</v>
      </c>
      <c r="S289">
        <v>1986</v>
      </c>
      <c r="T289">
        <v>1987</v>
      </c>
      <c r="U289">
        <v>1988</v>
      </c>
      <c r="V289">
        <v>1989</v>
      </c>
      <c r="W289">
        <v>1990</v>
      </c>
      <c r="X289">
        <v>1991</v>
      </c>
      <c r="Y289">
        <v>1992</v>
      </c>
      <c r="Z289">
        <v>1993</v>
      </c>
      <c r="AA289">
        <v>1994</v>
      </c>
      <c r="AB289">
        <v>1995</v>
      </c>
      <c r="AC289">
        <v>1996</v>
      </c>
      <c r="AD289">
        <v>1997</v>
      </c>
      <c r="AE289">
        <v>1998</v>
      </c>
      <c r="AF289">
        <v>1999</v>
      </c>
      <c r="AG289">
        <v>2000</v>
      </c>
      <c r="AH289">
        <v>2001</v>
      </c>
      <c r="AI289">
        <v>2002</v>
      </c>
      <c r="AJ289">
        <v>2003</v>
      </c>
      <c r="AK289">
        <v>2004</v>
      </c>
      <c r="AL289">
        <v>2005</v>
      </c>
      <c r="AM289">
        <v>2006</v>
      </c>
      <c r="AN289">
        <v>2007</v>
      </c>
      <c r="AO289">
        <v>2008</v>
      </c>
      <c r="AP289">
        <v>2009</v>
      </c>
      <c r="AQ289">
        <v>2010</v>
      </c>
      <c r="AR289">
        <v>2011</v>
      </c>
      <c r="AS289">
        <v>2012</v>
      </c>
      <c r="AT289">
        <v>2013</v>
      </c>
      <c r="AU289">
        <v>2014</v>
      </c>
      <c r="AV289">
        <v>2015</v>
      </c>
      <c r="AW289">
        <v>2016</v>
      </c>
      <c r="AX289">
        <v>2017</v>
      </c>
      <c r="AY289">
        <v>2018</v>
      </c>
      <c r="AZ289">
        <v>2019</v>
      </c>
      <c r="BA289">
        <v>2020</v>
      </c>
      <c r="BB289">
        <v>2021</v>
      </c>
      <c r="BC289">
        <v>2022</v>
      </c>
      <c r="BD289">
        <v>2023</v>
      </c>
    </row>
    <row r="290" spans="1:57" x14ac:dyDescent="0.2">
      <c r="A290" t="s">
        <v>75</v>
      </c>
    </row>
    <row r="291" spans="1:57" x14ac:dyDescent="0.2">
      <c r="A291">
        <v>0</v>
      </c>
      <c r="B291">
        <v>-2.7809E-2</v>
      </c>
      <c r="C291">
        <v>3.8740999999999998E-2</v>
      </c>
      <c r="D291">
        <v>2.6540000000000001E-3</v>
      </c>
      <c r="E291">
        <v>7.2514999999999996E-2</v>
      </c>
      <c r="F291">
        <v>-6.0685000000000003E-2</v>
      </c>
      <c r="G291">
        <v>7.9642000000000004E-2</v>
      </c>
      <c r="H291">
        <v>-7.0528999999999994E-2</v>
      </c>
      <c r="I291">
        <v>6.3879000000000005E-2</v>
      </c>
      <c r="J291">
        <v>5.5979999999999997E-3</v>
      </c>
      <c r="K291">
        <v>-1.6524E-2</v>
      </c>
      <c r="L291">
        <v>-6.1302000000000002E-2</v>
      </c>
      <c r="M291">
        <v>-8.2930000000000004E-2</v>
      </c>
      <c r="N291">
        <v>7.9488000000000003E-2</v>
      </c>
      <c r="O291">
        <v>9.3781000000000003E-2</v>
      </c>
      <c r="P291">
        <v>0.16139100000000001</v>
      </c>
      <c r="Q291">
        <v>-5.9389999999999998E-3</v>
      </c>
      <c r="R291">
        <v>8.7335999999999997E-2</v>
      </c>
      <c r="S291">
        <v>-2.898E-3</v>
      </c>
      <c r="T291">
        <v>-0.14355799999999999</v>
      </c>
      <c r="U291">
        <v>-0.124695</v>
      </c>
      <c r="V291">
        <v>-0.138436</v>
      </c>
      <c r="W291">
        <v>0.121222</v>
      </c>
      <c r="X291">
        <v>0.25480799999999998</v>
      </c>
      <c r="Y291">
        <v>7.1609999999999993E-2</v>
      </c>
      <c r="Z291">
        <v>-0.140736</v>
      </c>
      <c r="AA291">
        <v>-1.0600999999999999E-2</v>
      </c>
      <c r="AB291">
        <v>0.13794699999999999</v>
      </c>
      <c r="AC291">
        <v>6.6460000000000005E-2</v>
      </c>
      <c r="AD291">
        <v>5.6148000000000003E-2</v>
      </c>
      <c r="AE291">
        <v>-1.0122000000000001E-2</v>
      </c>
      <c r="AF291">
        <v>5.4567999999999998E-2</v>
      </c>
      <c r="AG291">
        <v>0.12488100000000001</v>
      </c>
      <c r="AH291">
        <v>0.207617</v>
      </c>
      <c r="AI291">
        <v>5.8642E-2</v>
      </c>
      <c r="AJ291">
        <v>-0.114678</v>
      </c>
      <c r="AK291">
        <v>-0.16012999999999999</v>
      </c>
      <c r="AL291">
        <v>-6.4754000000000006E-2</v>
      </c>
      <c r="AM291">
        <v>-0.23846000000000001</v>
      </c>
      <c r="AN291">
        <v>-0.11064599999999999</v>
      </c>
      <c r="AO291">
        <v>-0.219531</v>
      </c>
      <c r="AP291">
        <v>-0.29033700000000001</v>
      </c>
      <c r="AQ291">
        <v>-0.269098</v>
      </c>
      <c r="AR291">
        <v>-0.16523599999999999</v>
      </c>
      <c r="AS291">
        <v>0.102786</v>
      </c>
      <c r="AT291">
        <v>0.110473</v>
      </c>
      <c r="AU291">
        <v>2.715E-3</v>
      </c>
      <c r="AV291">
        <v>4.5900999999999997E-2</v>
      </c>
      <c r="AW291">
        <v>8.0490999999999993E-2</v>
      </c>
      <c r="AX291">
        <v>0.20096800000000001</v>
      </c>
      <c r="AY291">
        <v>5.2877E-2</v>
      </c>
      <c r="AZ291">
        <v>2.6915999999999999E-2</v>
      </c>
      <c r="BA291">
        <v>0.15931000000000001</v>
      </c>
      <c r="BB291">
        <v>0.23753099999999999</v>
      </c>
      <c r="BC291">
        <v>5.0555000000000003E-2</v>
      </c>
      <c r="BD291">
        <v>0</v>
      </c>
      <c r="BE291">
        <v>0</v>
      </c>
    </row>
    <row r="292" spans="1:57" x14ac:dyDescent="0.2">
      <c r="A292" t="s">
        <v>76</v>
      </c>
    </row>
    <row r="293" spans="1:57" x14ac:dyDescent="0.2">
      <c r="B293">
        <v>3</v>
      </c>
      <c r="C293">
        <v>4</v>
      </c>
      <c r="D293">
        <v>5</v>
      </c>
      <c r="E293">
        <v>6</v>
      </c>
      <c r="F293">
        <v>7</v>
      </c>
      <c r="G293">
        <v>8</v>
      </c>
      <c r="H293">
        <v>9</v>
      </c>
      <c r="I293">
        <v>10</v>
      </c>
      <c r="J293">
        <v>11</v>
      </c>
      <c r="K293">
        <v>12</v>
      </c>
      <c r="L293">
        <v>13</v>
      </c>
      <c r="M293">
        <v>14</v>
      </c>
      <c r="N293">
        <v>15</v>
      </c>
    </row>
    <row r="294" spans="1:57" x14ac:dyDescent="0.2">
      <c r="A294" t="s">
        <v>77</v>
      </c>
    </row>
    <row r="295" spans="1:57" x14ac:dyDescent="0.2">
      <c r="B295">
        <v>0.37768699999999999</v>
      </c>
      <c r="C295">
        <v>0.49006699999999997</v>
      </c>
      <c r="D295">
        <v>0.60575000000000001</v>
      </c>
      <c r="E295">
        <v>0.72152000000000005</v>
      </c>
      <c r="F295">
        <v>0.83487800000000001</v>
      </c>
      <c r="G295">
        <v>0.94397600000000004</v>
      </c>
      <c r="H295">
        <v>1.047528</v>
      </c>
      <c r="I295">
        <v>1.144709</v>
      </c>
      <c r="J295">
        <v>1.2350639999999999</v>
      </c>
      <c r="K295">
        <v>1.3184199999999999</v>
      </c>
      <c r="L295">
        <v>1.3948199999999999</v>
      </c>
      <c r="M295">
        <v>1.464459</v>
      </c>
      <c r="N295">
        <v>1.5276369999999999</v>
      </c>
    </row>
    <row r="296" spans="1:57" x14ac:dyDescent="0.2">
      <c r="A296" t="s">
        <v>78</v>
      </c>
    </row>
    <row r="297" spans="1:57" x14ac:dyDescent="0.2">
      <c r="A297">
        <v>0.88015900000000002</v>
      </c>
    </row>
    <row r="298" spans="1:57" x14ac:dyDescent="0.2">
      <c r="A298" t="s">
        <v>79</v>
      </c>
    </row>
    <row r="299" spans="1:57" x14ac:dyDescent="0.2">
      <c r="A299">
        <v>28.278559999999999</v>
      </c>
    </row>
    <row r="300" spans="1:57" x14ac:dyDescent="0.2">
      <c r="A300" t="s">
        <v>80</v>
      </c>
    </row>
    <row r="301" spans="1:57" x14ac:dyDescent="0.2">
      <c r="A301">
        <v>45.056054000000003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FF4D-FC06-CB4D-A0B7-D4A92985205C}">
  <dimension ref="A1:BF301"/>
  <sheetViews>
    <sheetView workbookViewId="0">
      <selection activeCell="B200" sqref="B200"/>
    </sheetView>
  </sheetViews>
  <sheetFormatPr baseColWidth="10" defaultRowHeight="16" x14ac:dyDescent="0.2"/>
  <sheetData>
    <row r="1" spans="1:14" x14ac:dyDescent="0.2">
      <c r="A1" t="s">
        <v>60</v>
      </c>
    </row>
    <row r="2" spans="1:14" x14ac:dyDescent="0.2">
      <c r="A2">
        <v>0</v>
      </c>
    </row>
    <row r="3" spans="1:14" x14ac:dyDescent="0.2">
      <c r="A3" t="s">
        <v>61</v>
      </c>
    </row>
    <row r="4" spans="1:14" x14ac:dyDescent="0.2">
      <c r="A4">
        <v>0</v>
      </c>
    </row>
    <row r="5" spans="1:14" x14ac:dyDescent="0.2">
      <c r="A5" t="s">
        <v>62</v>
      </c>
    </row>
    <row r="6" spans="1:14" x14ac:dyDescent="0.2">
      <c r="A6">
        <v>0</v>
      </c>
    </row>
    <row r="7" spans="1:14" x14ac:dyDescent="0.2">
      <c r="A7" t="s">
        <v>63</v>
      </c>
    </row>
    <row r="8" spans="1:14" x14ac:dyDescent="0.2">
      <c r="A8">
        <v>2026</v>
      </c>
    </row>
    <row r="9" spans="1:14" x14ac:dyDescent="0.2">
      <c r="A9" t="s">
        <v>64</v>
      </c>
    </row>
    <row r="10" spans="1:14" x14ac:dyDescent="0.2">
      <c r="B10">
        <v>0</v>
      </c>
    </row>
    <row r="11" spans="1:14" x14ac:dyDescent="0.2">
      <c r="A11" t="s">
        <v>65</v>
      </c>
    </row>
    <row r="12" spans="1:14" x14ac:dyDescent="0.2">
      <c r="B12">
        <v>2024</v>
      </c>
    </row>
    <row r="13" spans="1:14" x14ac:dyDescent="0.2">
      <c r="A13" t="s">
        <v>66</v>
      </c>
    </row>
    <row r="14" spans="1:14" x14ac:dyDescent="0.2">
      <c r="A14">
        <v>1991</v>
      </c>
      <c r="B14">
        <v>0.32036100000000001</v>
      </c>
      <c r="C14">
        <v>0.51241999999999999</v>
      </c>
      <c r="D14">
        <v>0.58098899999999998</v>
      </c>
      <c r="E14">
        <v>0.72828999999999999</v>
      </c>
      <c r="F14">
        <v>0.83948100000000003</v>
      </c>
      <c r="G14">
        <v>0.85180699999999998</v>
      </c>
      <c r="H14">
        <v>1.045587</v>
      </c>
      <c r="I14">
        <v>1.0302830000000001</v>
      </c>
      <c r="J14">
        <v>1.1799900000000001</v>
      </c>
      <c r="K14">
        <v>1.2259439999999999</v>
      </c>
      <c r="L14">
        <v>1.2559979999999999</v>
      </c>
      <c r="M14">
        <v>1.3212330000000001</v>
      </c>
      <c r="N14">
        <v>1.290999</v>
      </c>
    </row>
    <row r="15" spans="1:14" x14ac:dyDescent="0.2">
      <c r="A15">
        <f>A14+1</f>
        <v>1992</v>
      </c>
      <c r="B15">
        <v>0.302124</v>
      </c>
      <c r="C15">
        <v>0.388067</v>
      </c>
      <c r="D15">
        <v>0.66828699999999996</v>
      </c>
      <c r="E15">
        <v>0.70531500000000003</v>
      </c>
      <c r="F15">
        <v>0.81509500000000001</v>
      </c>
      <c r="G15">
        <v>0.99585400000000002</v>
      </c>
      <c r="H15">
        <v>1.0300130000000001</v>
      </c>
      <c r="I15">
        <v>1.219697</v>
      </c>
      <c r="J15">
        <v>1.2375130000000001</v>
      </c>
      <c r="K15">
        <v>1.336257</v>
      </c>
      <c r="L15">
        <v>1.1307659999999999</v>
      </c>
      <c r="M15">
        <v>1.394903</v>
      </c>
      <c r="N15">
        <v>1.478896</v>
      </c>
    </row>
    <row r="16" spans="1:14" x14ac:dyDescent="0.2">
      <c r="A16">
        <f t="shared" ref="A16:A46" si="0">A15+1</f>
        <v>1993</v>
      </c>
      <c r="B16">
        <v>0.36400100000000002</v>
      </c>
      <c r="C16">
        <v>0.52606799999999998</v>
      </c>
      <c r="D16">
        <v>0.60027399999999997</v>
      </c>
      <c r="E16">
        <v>0.76415900000000003</v>
      </c>
      <c r="F16">
        <v>0.92356300000000002</v>
      </c>
      <c r="G16">
        <v>1.0389409999999999</v>
      </c>
      <c r="H16">
        <v>1.200982</v>
      </c>
      <c r="I16">
        <v>1.2262120000000001</v>
      </c>
      <c r="J16">
        <v>1.452979</v>
      </c>
      <c r="K16">
        <v>1.611364</v>
      </c>
      <c r="L16">
        <v>1.631899</v>
      </c>
      <c r="M16">
        <v>1.6749270000000001</v>
      </c>
      <c r="N16">
        <v>1.6028039999999999</v>
      </c>
    </row>
    <row r="17" spans="1:14" x14ac:dyDescent="0.2">
      <c r="A17">
        <f t="shared" si="0"/>
        <v>1994</v>
      </c>
      <c r="B17">
        <v>0.31083100000000002</v>
      </c>
      <c r="C17">
        <v>0.56593499999999997</v>
      </c>
      <c r="D17">
        <v>0.66747900000000004</v>
      </c>
      <c r="E17">
        <v>0.69218000000000002</v>
      </c>
      <c r="F17">
        <v>0.662439</v>
      </c>
      <c r="G17">
        <v>1.091342</v>
      </c>
      <c r="H17">
        <v>1.442847</v>
      </c>
      <c r="I17">
        <v>1.3963589999999999</v>
      </c>
      <c r="J17">
        <v>1.4785109999999999</v>
      </c>
      <c r="K17">
        <v>1.4981059999999999</v>
      </c>
      <c r="L17">
        <v>1.5761309999999999</v>
      </c>
      <c r="M17">
        <v>1.3038430000000001</v>
      </c>
      <c r="N17">
        <v>1.6418809999999999</v>
      </c>
    </row>
    <row r="18" spans="1:14" x14ac:dyDescent="0.2">
      <c r="A18">
        <f t="shared" si="0"/>
        <v>1995</v>
      </c>
      <c r="B18">
        <v>0.42076999999999998</v>
      </c>
      <c r="C18">
        <v>0.48730000000000001</v>
      </c>
      <c r="D18">
        <v>0.68217399999999995</v>
      </c>
      <c r="E18">
        <v>0.77939999999999998</v>
      </c>
      <c r="F18">
        <v>0.79531399999999997</v>
      </c>
      <c r="G18">
        <v>0.94408700000000001</v>
      </c>
      <c r="H18">
        <v>1.24936</v>
      </c>
      <c r="I18">
        <v>1.3785879999999999</v>
      </c>
      <c r="J18">
        <v>1.445093</v>
      </c>
      <c r="K18">
        <v>1.449365</v>
      </c>
      <c r="L18">
        <v>1.3749640000000001</v>
      </c>
      <c r="M18">
        <v>0.99391200000000002</v>
      </c>
      <c r="N18">
        <v>1.357145</v>
      </c>
    </row>
    <row r="19" spans="1:14" x14ac:dyDescent="0.2">
      <c r="A19">
        <f t="shared" si="0"/>
        <v>1996</v>
      </c>
      <c r="B19">
        <v>0.36175299999999999</v>
      </c>
      <c r="C19">
        <v>0.53086699999999998</v>
      </c>
      <c r="D19">
        <v>0.65606399999999998</v>
      </c>
      <c r="E19">
        <v>0.75045200000000001</v>
      </c>
      <c r="F19">
        <v>0.87235499999999999</v>
      </c>
      <c r="G19">
        <v>0.87917699999999999</v>
      </c>
      <c r="H19">
        <v>0.99724500000000005</v>
      </c>
      <c r="I19">
        <v>1.078133</v>
      </c>
      <c r="J19">
        <v>1.502918</v>
      </c>
      <c r="K19">
        <v>1.6866859999999999</v>
      </c>
      <c r="L19">
        <v>1.5864320000000001</v>
      </c>
      <c r="M19">
        <v>1.6915089999999999</v>
      </c>
      <c r="N19">
        <v>1.9390289999999999</v>
      </c>
    </row>
    <row r="20" spans="1:14" x14ac:dyDescent="0.2">
      <c r="A20">
        <f t="shared" si="0"/>
        <v>1997</v>
      </c>
      <c r="B20">
        <v>0.288933</v>
      </c>
      <c r="C20">
        <v>0.46672799999999998</v>
      </c>
      <c r="D20">
        <v>0.56787500000000002</v>
      </c>
      <c r="E20">
        <v>0.74322999999999995</v>
      </c>
      <c r="F20">
        <v>0.85811800000000005</v>
      </c>
      <c r="G20">
        <v>1.0236780000000001</v>
      </c>
      <c r="H20">
        <v>1.0501780000000001</v>
      </c>
      <c r="I20">
        <v>1.2743869999999999</v>
      </c>
      <c r="J20">
        <v>1.46591</v>
      </c>
      <c r="K20">
        <v>1.508378</v>
      </c>
      <c r="L20">
        <v>1.7237089999999999</v>
      </c>
      <c r="M20">
        <v>1.3799600000000001</v>
      </c>
      <c r="N20">
        <v>1.3899250000000001</v>
      </c>
    </row>
    <row r="21" spans="1:14" x14ac:dyDescent="0.2">
      <c r="A21">
        <f t="shared" si="0"/>
        <v>1998</v>
      </c>
      <c r="B21">
        <v>0.32803500000000002</v>
      </c>
      <c r="C21">
        <v>0.39264199999999999</v>
      </c>
      <c r="D21">
        <v>0.50458800000000004</v>
      </c>
      <c r="E21">
        <v>0.55177399999999999</v>
      </c>
      <c r="F21">
        <v>0.66306100000000001</v>
      </c>
      <c r="G21">
        <v>0.88866699999999998</v>
      </c>
      <c r="H21">
        <v>0.97489700000000001</v>
      </c>
      <c r="I21">
        <v>1.1535899999999999</v>
      </c>
      <c r="J21">
        <v>1.363977</v>
      </c>
      <c r="K21">
        <v>1.5836269999999999</v>
      </c>
      <c r="L21">
        <v>1.447519</v>
      </c>
      <c r="M21">
        <v>1.4738990000000001</v>
      </c>
      <c r="N21">
        <v>1.514743</v>
      </c>
    </row>
    <row r="22" spans="1:14" x14ac:dyDescent="0.2">
      <c r="A22">
        <f t="shared" si="0"/>
        <v>1999</v>
      </c>
      <c r="B22">
        <v>0.29958699999999999</v>
      </c>
      <c r="C22">
        <v>0.43869399999999997</v>
      </c>
      <c r="D22">
        <v>0.56811500000000004</v>
      </c>
      <c r="E22">
        <v>0.65930100000000003</v>
      </c>
      <c r="F22">
        <v>0.69044099999999997</v>
      </c>
      <c r="G22">
        <v>0.84346200000000005</v>
      </c>
      <c r="H22">
        <v>0.968831</v>
      </c>
      <c r="I22">
        <v>1.203085</v>
      </c>
      <c r="J22">
        <v>1.116152</v>
      </c>
      <c r="K22">
        <v>1.4267240000000001</v>
      </c>
      <c r="L22">
        <v>0.84321000000000002</v>
      </c>
      <c r="M22">
        <v>1.4127609999999999</v>
      </c>
      <c r="N22">
        <v>1.081277</v>
      </c>
    </row>
    <row r="23" spans="1:14" x14ac:dyDescent="0.2">
      <c r="A23">
        <f t="shared" si="0"/>
        <v>2000</v>
      </c>
      <c r="B23">
        <v>0.26014599999999999</v>
      </c>
      <c r="C23">
        <v>0.42357899999999998</v>
      </c>
      <c r="D23">
        <v>0.51590899999999995</v>
      </c>
      <c r="E23">
        <v>0.59996000000000005</v>
      </c>
      <c r="F23">
        <v>0.69964099999999996</v>
      </c>
      <c r="G23">
        <v>0.74584499999999998</v>
      </c>
      <c r="H23">
        <v>0.93278300000000003</v>
      </c>
      <c r="I23">
        <v>0.99856999999999996</v>
      </c>
      <c r="J23">
        <v>1.237811</v>
      </c>
      <c r="K23">
        <v>1.299242</v>
      </c>
      <c r="L23">
        <v>0.96908899999999998</v>
      </c>
      <c r="M23">
        <v>1.1259760000000001</v>
      </c>
      <c r="N23">
        <v>1.359553</v>
      </c>
    </row>
    <row r="24" spans="1:14" x14ac:dyDescent="0.2">
      <c r="A24">
        <f t="shared" si="0"/>
        <v>2001</v>
      </c>
      <c r="B24">
        <v>0.29878900000000003</v>
      </c>
      <c r="C24">
        <v>0.44735000000000003</v>
      </c>
      <c r="D24">
        <v>0.56633</v>
      </c>
      <c r="E24">
        <v>0.676705</v>
      </c>
      <c r="F24">
        <v>0.80643799999999999</v>
      </c>
      <c r="G24">
        <v>0.90500999999999998</v>
      </c>
      <c r="H24">
        <v>1.0061929999999999</v>
      </c>
      <c r="I24">
        <v>1.0414289999999999</v>
      </c>
      <c r="J24">
        <v>1.236383</v>
      </c>
      <c r="K24">
        <v>1.3276410000000001</v>
      </c>
      <c r="L24">
        <v>1.587486</v>
      </c>
      <c r="M24">
        <v>1.1047979999999999</v>
      </c>
      <c r="N24">
        <v>1.3139449999999999</v>
      </c>
    </row>
    <row r="25" spans="1:14" x14ac:dyDescent="0.2">
      <c r="A25">
        <f t="shared" si="0"/>
        <v>2002</v>
      </c>
      <c r="B25">
        <v>0.29432900000000001</v>
      </c>
      <c r="C25">
        <v>0.43608999999999998</v>
      </c>
      <c r="D25">
        <v>0.58434900000000001</v>
      </c>
      <c r="E25">
        <v>0.70362899999999995</v>
      </c>
      <c r="F25">
        <v>0.80343200000000004</v>
      </c>
      <c r="G25">
        <v>0.88575899999999996</v>
      </c>
      <c r="H25">
        <v>1.0195669999999999</v>
      </c>
      <c r="I25">
        <v>0.99466900000000003</v>
      </c>
      <c r="J25">
        <v>1.1277349999999999</v>
      </c>
      <c r="K25">
        <v>1.3210630000000001</v>
      </c>
      <c r="L25">
        <v>1.5000260000000001</v>
      </c>
      <c r="M25">
        <v>1.123813</v>
      </c>
      <c r="N25">
        <v>1.4808829999999999</v>
      </c>
    </row>
    <row r="26" spans="1:14" x14ac:dyDescent="0.2">
      <c r="A26">
        <f t="shared" si="0"/>
        <v>2003</v>
      </c>
      <c r="B26">
        <v>0.35030699999999998</v>
      </c>
      <c r="C26">
        <v>0.44816299999999998</v>
      </c>
      <c r="D26">
        <v>0.56493700000000002</v>
      </c>
      <c r="E26">
        <v>0.71143000000000001</v>
      </c>
      <c r="F26">
        <v>0.78616200000000003</v>
      </c>
      <c r="G26">
        <v>0.84490399999999999</v>
      </c>
      <c r="H26">
        <v>0.98669700000000005</v>
      </c>
      <c r="I26">
        <v>1.0777540000000001</v>
      </c>
      <c r="J26">
        <v>1.146614</v>
      </c>
      <c r="K26">
        <v>1.159851</v>
      </c>
      <c r="L26">
        <v>1.471838</v>
      </c>
      <c r="M26">
        <v>1.121321</v>
      </c>
      <c r="N26">
        <v>1.7164839999999999</v>
      </c>
    </row>
    <row r="27" spans="1:14" x14ac:dyDescent="0.2">
      <c r="A27">
        <f t="shared" si="0"/>
        <v>2004</v>
      </c>
      <c r="B27">
        <v>0.35716999999999999</v>
      </c>
      <c r="C27">
        <v>0.52726600000000001</v>
      </c>
      <c r="D27">
        <v>0.58730700000000002</v>
      </c>
      <c r="E27">
        <v>0.72920099999999999</v>
      </c>
      <c r="F27">
        <v>0.84084800000000004</v>
      </c>
      <c r="G27">
        <v>0.88260700000000003</v>
      </c>
      <c r="H27">
        <v>0.98213200000000001</v>
      </c>
      <c r="I27">
        <v>1.1620630000000001</v>
      </c>
      <c r="J27">
        <v>1.0803769999999999</v>
      </c>
      <c r="K27">
        <v>1.149057</v>
      </c>
      <c r="L27">
        <v>1.2847729999999999</v>
      </c>
      <c r="M27">
        <v>1.204923</v>
      </c>
      <c r="N27">
        <v>1.1451</v>
      </c>
    </row>
    <row r="28" spans="1:14" x14ac:dyDescent="0.2">
      <c r="A28">
        <f t="shared" si="0"/>
        <v>2005</v>
      </c>
      <c r="B28">
        <v>0.29667199999999999</v>
      </c>
      <c r="C28">
        <v>0.41783700000000001</v>
      </c>
      <c r="D28">
        <v>0.55877600000000005</v>
      </c>
      <c r="E28">
        <v>0.68647199999999997</v>
      </c>
      <c r="F28">
        <v>0.83503499999999997</v>
      </c>
      <c r="G28">
        <v>0.90133099999999999</v>
      </c>
      <c r="H28">
        <v>1.0170159999999999</v>
      </c>
      <c r="I28">
        <v>1.0187170000000001</v>
      </c>
      <c r="J28">
        <v>1.1619360000000001</v>
      </c>
      <c r="K28">
        <v>1.2412780000000001</v>
      </c>
      <c r="L28">
        <v>1.102114</v>
      </c>
      <c r="M28">
        <v>0.94503800000000004</v>
      </c>
      <c r="N28">
        <v>1.3148740000000001</v>
      </c>
    </row>
    <row r="29" spans="1:14" x14ac:dyDescent="0.2">
      <c r="A29">
        <f t="shared" si="0"/>
        <v>2006</v>
      </c>
      <c r="B29">
        <v>0.29661399999999999</v>
      </c>
      <c r="C29">
        <v>0.43553199999999997</v>
      </c>
      <c r="D29">
        <v>0.59669899999999998</v>
      </c>
      <c r="E29">
        <v>0.74035499999999999</v>
      </c>
      <c r="F29">
        <v>0.83760699999999999</v>
      </c>
      <c r="G29">
        <v>0.988896</v>
      </c>
      <c r="H29">
        <v>1.023153</v>
      </c>
      <c r="I29">
        <v>1.091018</v>
      </c>
      <c r="J29">
        <v>1.194188</v>
      </c>
      <c r="K29">
        <v>1.192968</v>
      </c>
      <c r="L29">
        <v>1.2618199999999999</v>
      </c>
      <c r="M29">
        <v>1.380325</v>
      </c>
      <c r="N29">
        <v>1.3504659999999999</v>
      </c>
    </row>
    <row r="30" spans="1:14" x14ac:dyDescent="0.2">
      <c r="A30">
        <f t="shared" si="0"/>
        <v>2007</v>
      </c>
      <c r="B30">
        <v>0.38450099999999998</v>
      </c>
      <c r="C30">
        <v>0.49960199999999999</v>
      </c>
      <c r="D30">
        <v>0.64917199999999997</v>
      </c>
      <c r="E30">
        <v>0.75825299999999995</v>
      </c>
      <c r="F30">
        <v>0.93611999999999995</v>
      </c>
      <c r="G30">
        <v>1.1017840000000001</v>
      </c>
      <c r="H30">
        <v>1.204564</v>
      </c>
      <c r="I30">
        <v>1.3299719999999999</v>
      </c>
      <c r="J30">
        <v>1.335844</v>
      </c>
      <c r="K30">
        <v>1.4861930000000001</v>
      </c>
      <c r="L30">
        <v>1.371316</v>
      </c>
      <c r="M30">
        <v>1.658736</v>
      </c>
      <c r="N30">
        <v>1.5233460000000001</v>
      </c>
    </row>
    <row r="31" spans="1:14" x14ac:dyDescent="0.2">
      <c r="A31">
        <f t="shared" si="0"/>
        <v>2008</v>
      </c>
      <c r="B31">
        <v>0.37670399999999998</v>
      </c>
      <c r="C31">
        <v>0.51513100000000001</v>
      </c>
      <c r="D31">
        <v>0.63634999999999997</v>
      </c>
      <c r="E31">
        <v>0.76544000000000001</v>
      </c>
      <c r="F31">
        <v>0.89641099999999996</v>
      </c>
      <c r="G31">
        <v>1.0625519999999999</v>
      </c>
      <c r="H31">
        <v>1.1662680000000001</v>
      </c>
      <c r="I31">
        <v>1.3152200000000001</v>
      </c>
      <c r="J31">
        <v>1.492084</v>
      </c>
      <c r="K31">
        <v>1.593421</v>
      </c>
      <c r="L31">
        <v>1.5352509999999999</v>
      </c>
      <c r="M31">
        <v>1.8495569999999999</v>
      </c>
      <c r="N31">
        <v>1.758524</v>
      </c>
    </row>
    <row r="32" spans="1:14" x14ac:dyDescent="0.2">
      <c r="A32">
        <f t="shared" si="0"/>
        <v>2009</v>
      </c>
      <c r="B32">
        <v>0.38462400000000002</v>
      </c>
      <c r="C32">
        <v>0.51890599999999998</v>
      </c>
      <c r="D32">
        <v>0.64982799999999996</v>
      </c>
      <c r="E32">
        <v>0.86028000000000004</v>
      </c>
      <c r="F32">
        <v>1.0205960000000001</v>
      </c>
      <c r="G32">
        <v>1.1698839999999999</v>
      </c>
      <c r="H32">
        <v>1.4559009999999999</v>
      </c>
      <c r="I32">
        <v>1.599766</v>
      </c>
      <c r="J32">
        <v>1.7033480000000001</v>
      </c>
      <c r="K32">
        <v>1.5826290000000001</v>
      </c>
      <c r="L32">
        <v>1.838894</v>
      </c>
      <c r="M32">
        <v>2.0133200000000002</v>
      </c>
      <c r="N32">
        <v>2.283337</v>
      </c>
    </row>
    <row r="33" spans="1:14" x14ac:dyDescent="0.2">
      <c r="A33">
        <f t="shared" si="0"/>
        <v>2010</v>
      </c>
      <c r="B33">
        <v>0.30493700000000001</v>
      </c>
      <c r="C33">
        <v>0.418854</v>
      </c>
      <c r="D33">
        <v>0.59470199999999995</v>
      </c>
      <c r="E33">
        <v>0.86829299999999998</v>
      </c>
      <c r="F33">
        <v>1.089132</v>
      </c>
      <c r="G33">
        <v>1.2338150000000001</v>
      </c>
      <c r="H33">
        <v>1.3106690000000001</v>
      </c>
      <c r="I33">
        <v>1.542834</v>
      </c>
      <c r="J33">
        <v>1.642147</v>
      </c>
      <c r="K33">
        <v>1.9251940000000001</v>
      </c>
      <c r="L33">
        <v>1.9397450000000001</v>
      </c>
      <c r="M33">
        <v>2.0887950000000002</v>
      </c>
      <c r="N33">
        <v>2.4111009999999999</v>
      </c>
    </row>
    <row r="34" spans="1:14" x14ac:dyDescent="0.2">
      <c r="A34">
        <f t="shared" si="0"/>
        <v>2011</v>
      </c>
      <c r="B34">
        <v>0.282524</v>
      </c>
      <c r="C34">
        <v>0.43179499999999998</v>
      </c>
      <c r="D34">
        <v>0.60476600000000003</v>
      </c>
      <c r="E34">
        <v>0.75055799999999995</v>
      </c>
      <c r="F34">
        <v>0.94544099999999998</v>
      </c>
      <c r="G34">
        <v>1.2177549999999999</v>
      </c>
      <c r="H34">
        <v>1.306883</v>
      </c>
      <c r="I34">
        <v>1.46668</v>
      </c>
      <c r="J34">
        <v>1.5940049999999999</v>
      </c>
      <c r="K34">
        <v>1.5560160000000001</v>
      </c>
      <c r="L34">
        <v>2.1715740000000001</v>
      </c>
      <c r="M34">
        <v>1.666372</v>
      </c>
      <c r="N34">
        <v>2.241555</v>
      </c>
    </row>
    <row r="35" spans="1:14" x14ac:dyDescent="0.2">
      <c r="A35">
        <f t="shared" si="0"/>
        <v>2012</v>
      </c>
      <c r="B35">
        <v>0.236681</v>
      </c>
      <c r="C35">
        <v>0.39281700000000003</v>
      </c>
      <c r="D35">
        <v>0.64432800000000001</v>
      </c>
      <c r="E35">
        <v>0.79041300000000003</v>
      </c>
      <c r="F35">
        <v>0.93017799999999995</v>
      </c>
      <c r="G35">
        <v>1.1794309999999999</v>
      </c>
      <c r="H35">
        <v>1.304324</v>
      </c>
      <c r="I35">
        <v>1.517882</v>
      </c>
      <c r="J35">
        <v>1.570087</v>
      </c>
      <c r="K35">
        <v>1.6499760000000001</v>
      </c>
      <c r="L35">
        <v>1.672369</v>
      </c>
      <c r="M35">
        <v>2.0820780000000001</v>
      </c>
      <c r="N35">
        <v>2.0617209999999999</v>
      </c>
    </row>
    <row r="36" spans="1:14" x14ac:dyDescent="0.2">
      <c r="A36">
        <f t="shared" si="0"/>
        <v>2013</v>
      </c>
      <c r="B36">
        <v>0.312919</v>
      </c>
      <c r="C36">
        <v>0.44198900000000002</v>
      </c>
      <c r="D36">
        <v>0.52968499999999996</v>
      </c>
      <c r="E36">
        <v>0.846974</v>
      </c>
      <c r="F36">
        <v>1.135086</v>
      </c>
      <c r="G36">
        <v>1.2952129999999999</v>
      </c>
      <c r="H36">
        <v>1.438016</v>
      </c>
      <c r="I36">
        <v>1.7193890000000001</v>
      </c>
      <c r="J36">
        <v>1.8606959999999999</v>
      </c>
      <c r="K36">
        <v>1.7648159999999999</v>
      </c>
      <c r="L36">
        <v>1.9372309999999999</v>
      </c>
      <c r="M36">
        <v>2.142471</v>
      </c>
      <c r="N36">
        <v>2.2239659999999999</v>
      </c>
    </row>
    <row r="37" spans="1:14" x14ac:dyDescent="0.2">
      <c r="A37">
        <f t="shared" si="0"/>
        <v>2014</v>
      </c>
      <c r="B37">
        <v>0.36979800000000002</v>
      </c>
      <c r="C37">
        <v>0.45106200000000002</v>
      </c>
      <c r="D37">
        <v>0.57438800000000001</v>
      </c>
      <c r="E37">
        <v>0.73827699999999996</v>
      </c>
      <c r="F37">
        <v>0.88792599999999999</v>
      </c>
      <c r="G37">
        <v>1.1544270000000001</v>
      </c>
      <c r="H37">
        <v>1.351146</v>
      </c>
      <c r="I37">
        <v>1.434606</v>
      </c>
      <c r="J37">
        <v>1.6374010000000001</v>
      </c>
      <c r="K37">
        <v>1.917638</v>
      </c>
      <c r="L37">
        <v>1.699673</v>
      </c>
      <c r="M37">
        <v>1.33222</v>
      </c>
      <c r="N37">
        <v>2.2716240000000001</v>
      </c>
    </row>
    <row r="38" spans="1:14" x14ac:dyDescent="0.2">
      <c r="A38">
        <f t="shared" si="0"/>
        <v>2015</v>
      </c>
      <c r="B38">
        <v>0.308724</v>
      </c>
      <c r="C38">
        <v>0.40539399999999998</v>
      </c>
      <c r="D38">
        <v>0.52888900000000005</v>
      </c>
      <c r="E38">
        <v>0.67902399999999996</v>
      </c>
      <c r="F38">
        <v>0.77960099999999999</v>
      </c>
      <c r="G38">
        <v>0.90523600000000004</v>
      </c>
      <c r="H38">
        <v>1.1852229999999999</v>
      </c>
      <c r="I38">
        <v>1.216013</v>
      </c>
      <c r="J38">
        <v>1.3215859999999999</v>
      </c>
      <c r="K38">
        <v>1.726278</v>
      </c>
      <c r="L38">
        <v>1.3985240000000001</v>
      </c>
      <c r="M38">
        <v>1.589933</v>
      </c>
      <c r="N38">
        <v>2.685187</v>
      </c>
    </row>
    <row r="39" spans="1:14" x14ac:dyDescent="0.2">
      <c r="A39">
        <f t="shared" si="0"/>
        <v>2016</v>
      </c>
      <c r="B39">
        <v>0.299923</v>
      </c>
      <c r="C39">
        <v>0.44045000000000001</v>
      </c>
      <c r="D39">
        <v>0.50202199999999997</v>
      </c>
      <c r="E39">
        <v>0.61027900000000002</v>
      </c>
      <c r="F39">
        <v>0.69886300000000001</v>
      </c>
      <c r="G39">
        <v>0.78767900000000002</v>
      </c>
      <c r="H39">
        <v>0.93647800000000003</v>
      </c>
      <c r="I39">
        <v>1.0528230000000001</v>
      </c>
      <c r="J39">
        <v>1.247463</v>
      </c>
      <c r="K39">
        <v>1.445954</v>
      </c>
      <c r="L39">
        <v>0.92085899999999998</v>
      </c>
      <c r="M39">
        <v>1.706126</v>
      </c>
      <c r="N39">
        <v>1.4174260000000001</v>
      </c>
    </row>
    <row r="40" spans="1:14" x14ac:dyDescent="0.2">
      <c r="A40">
        <f t="shared" si="0"/>
        <v>2017</v>
      </c>
      <c r="B40">
        <v>0.30305199999999999</v>
      </c>
      <c r="C40">
        <v>0.429367</v>
      </c>
      <c r="D40">
        <v>0.57285200000000003</v>
      </c>
      <c r="E40">
        <v>0.63901200000000002</v>
      </c>
      <c r="F40">
        <v>0.70778700000000005</v>
      </c>
      <c r="G40">
        <v>0.79106699999999996</v>
      </c>
      <c r="H40">
        <v>0.86788200000000004</v>
      </c>
      <c r="I40">
        <v>0.87363000000000002</v>
      </c>
      <c r="J40">
        <v>1.0258050000000001</v>
      </c>
      <c r="K40">
        <v>1.4598169999999999</v>
      </c>
      <c r="L40">
        <v>1.4875719999999999</v>
      </c>
      <c r="M40">
        <v>1.423942</v>
      </c>
      <c r="N40">
        <v>1.6296330000000001</v>
      </c>
    </row>
    <row r="41" spans="1:14" x14ac:dyDescent="0.2">
      <c r="A41">
        <f t="shared" si="0"/>
        <v>2018</v>
      </c>
      <c r="B41">
        <v>0.37117899999999998</v>
      </c>
      <c r="C41">
        <v>0.433174</v>
      </c>
      <c r="D41">
        <v>0.51593</v>
      </c>
      <c r="E41">
        <v>0.67051099999999997</v>
      </c>
      <c r="F41">
        <v>0.76722999999999997</v>
      </c>
      <c r="G41">
        <v>0.81536600000000004</v>
      </c>
      <c r="H41">
        <v>0.90876299999999999</v>
      </c>
      <c r="I41">
        <v>1.070281</v>
      </c>
      <c r="J41">
        <v>0.86207100000000003</v>
      </c>
      <c r="K41">
        <v>1.1144780000000001</v>
      </c>
      <c r="L41">
        <v>1.4964090000000001</v>
      </c>
      <c r="M41">
        <v>1.42012</v>
      </c>
      <c r="N41">
        <v>1.133067</v>
      </c>
    </row>
    <row r="42" spans="1:14" x14ac:dyDescent="0.2">
      <c r="A42">
        <f t="shared" si="0"/>
        <v>2019</v>
      </c>
      <c r="B42">
        <v>0.38797199999999998</v>
      </c>
      <c r="C42">
        <v>0.57583799999999996</v>
      </c>
      <c r="D42">
        <v>0.64173000000000002</v>
      </c>
      <c r="E42">
        <v>0.72344299999999995</v>
      </c>
      <c r="F42">
        <v>0.85495399999999999</v>
      </c>
      <c r="G42">
        <v>0.973889</v>
      </c>
      <c r="H42">
        <v>1.035307</v>
      </c>
      <c r="I42">
        <v>1.1230519999999999</v>
      </c>
      <c r="J42">
        <v>1.0471269999999999</v>
      </c>
      <c r="K42">
        <v>1.1771450000000001</v>
      </c>
      <c r="L42">
        <v>1.492494</v>
      </c>
      <c r="M42">
        <v>1.426912</v>
      </c>
      <c r="N42">
        <v>1.697535</v>
      </c>
    </row>
    <row r="43" spans="1:14" x14ac:dyDescent="0.2">
      <c r="A43">
        <f t="shared" si="0"/>
        <v>2020</v>
      </c>
      <c r="B43">
        <v>0.35582999999999998</v>
      </c>
      <c r="C43">
        <v>0.475665</v>
      </c>
      <c r="D43">
        <v>0.60189700000000002</v>
      </c>
      <c r="E43">
        <v>0.69778200000000001</v>
      </c>
      <c r="F43">
        <v>0.75871999999999995</v>
      </c>
      <c r="G43">
        <v>0.94928599999999996</v>
      </c>
      <c r="H43">
        <v>1.0035529999999999</v>
      </c>
      <c r="I43">
        <v>1.163017</v>
      </c>
      <c r="J43">
        <v>1.351963</v>
      </c>
      <c r="K43">
        <v>1.085869</v>
      </c>
      <c r="L43">
        <v>1.479088</v>
      </c>
      <c r="M43">
        <v>1.4423079999999999</v>
      </c>
      <c r="N43">
        <v>1.7025920000000001</v>
      </c>
    </row>
    <row r="44" spans="1:14" x14ac:dyDescent="0.2">
      <c r="A44">
        <f t="shared" si="0"/>
        <v>2021</v>
      </c>
      <c r="B44">
        <v>0.30168200000000001</v>
      </c>
      <c r="C44">
        <v>0.43960300000000002</v>
      </c>
      <c r="D44">
        <v>0.54011100000000001</v>
      </c>
      <c r="E44">
        <v>0.64752600000000005</v>
      </c>
      <c r="F44">
        <v>0.72637499999999999</v>
      </c>
      <c r="G44">
        <v>0.81904600000000005</v>
      </c>
      <c r="H44">
        <v>0.972889</v>
      </c>
      <c r="I44">
        <v>1.197287</v>
      </c>
      <c r="J44">
        <v>1.1439520000000001</v>
      </c>
      <c r="K44">
        <v>1.419926</v>
      </c>
      <c r="L44">
        <v>1.4933609999999999</v>
      </c>
      <c r="M44">
        <v>1.44347</v>
      </c>
      <c r="N44">
        <v>1.7086209999999999</v>
      </c>
    </row>
    <row r="45" spans="1:14" x14ac:dyDescent="0.2">
      <c r="A45">
        <f t="shared" si="0"/>
        <v>2022</v>
      </c>
      <c r="B45">
        <v>0.34124399999999999</v>
      </c>
      <c r="C45">
        <v>0.44676900000000003</v>
      </c>
      <c r="D45">
        <v>0.56720199999999998</v>
      </c>
      <c r="E45">
        <v>0.71362199999999998</v>
      </c>
      <c r="F45">
        <v>0.82402600000000004</v>
      </c>
      <c r="G45">
        <v>0.87589499999999998</v>
      </c>
      <c r="H45">
        <v>0.98320099999999999</v>
      </c>
      <c r="I45">
        <v>0.94433599999999995</v>
      </c>
      <c r="J45">
        <v>1.414771</v>
      </c>
      <c r="K45">
        <v>1.421359</v>
      </c>
      <c r="L45">
        <v>1.2448250000000001</v>
      </c>
      <c r="M45">
        <v>1.4127609999999999</v>
      </c>
      <c r="N45">
        <v>1.6686209999999999</v>
      </c>
    </row>
    <row r="46" spans="1:14" x14ac:dyDescent="0.2">
      <c r="A46">
        <f t="shared" si="0"/>
        <v>2023</v>
      </c>
      <c r="B46">
        <v>0.35921199999999998</v>
      </c>
      <c r="C46">
        <v>0.46289000000000002</v>
      </c>
      <c r="D46">
        <v>0.50783400000000001</v>
      </c>
      <c r="E46">
        <v>0.58643000000000001</v>
      </c>
      <c r="F46">
        <v>0.77694300000000005</v>
      </c>
      <c r="G46">
        <v>0.90954900000000005</v>
      </c>
      <c r="H46">
        <v>0.95306299999999999</v>
      </c>
      <c r="I46">
        <v>1.049769</v>
      </c>
      <c r="J46">
        <v>1.0984860000000001</v>
      </c>
      <c r="K46">
        <v>1.3998539999999999</v>
      </c>
      <c r="L46">
        <v>1.422809</v>
      </c>
      <c r="M46">
        <v>1.328168</v>
      </c>
      <c r="N46">
        <v>0.95465299999999997</v>
      </c>
    </row>
    <row r="47" spans="1:14" x14ac:dyDescent="0.2">
      <c r="B47">
        <v>0.181032</v>
      </c>
      <c r="C47">
        <v>0.34010299999999999</v>
      </c>
      <c r="D47">
        <v>0.41128500000000001</v>
      </c>
      <c r="E47">
        <v>0.77749000000000001</v>
      </c>
      <c r="F47">
        <v>1.0506310000000001</v>
      </c>
      <c r="G47">
        <v>1.187602</v>
      </c>
      <c r="H47">
        <v>1.401295</v>
      </c>
      <c r="I47">
        <v>1.566716</v>
      </c>
      <c r="J47">
        <v>2.23455</v>
      </c>
      <c r="K47">
        <v>1.990129</v>
      </c>
      <c r="L47">
        <v>1.903567</v>
      </c>
      <c r="M47">
        <v>1.5238579999999999</v>
      </c>
      <c r="N47">
        <v>2.945983</v>
      </c>
    </row>
    <row r="48" spans="1:14" x14ac:dyDescent="0.2">
      <c r="B48">
        <v>0.209231</v>
      </c>
      <c r="C48">
        <v>0.34220800000000001</v>
      </c>
      <c r="D48">
        <v>0.53621399999999997</v>
      </c>
      <c r="E48">
        <v>0.77379900000000001</v>
      </c>
      <c r="F48">
        <v>1.0155479999999999</v>
      </c>
      <c r="G48">
        <v>1.452548</v>
      </c>
      <c r="H48">
        <v>1.405551</v>
      </c>
      <c r="I48">
        <v>1.667173</v>
      </c>
      <c r="J48">
        <v>1.5287550000000001</v>
      </c>
      <c r="K48">
        <v>1.577053</v>
      </c>
      <c r="L48">
        <v>2.0133239999999999</v>
      </c>
      <c r="M48">
        <v>2.126792</v>
      </c>
      <c r="N48">
        <v>1.834381</v>
      </c>
    </row>
    <row r="49" spans="2:14" x14ac:dyDescent="0.2">
      <c r="B49">
        <v>0.21526999999999999</v>
      </c>
      <c r="C49">
        <v>0.31423299999999998</v>
      </c>
      <c r="D49">
        <v>0.43247999999999998</v>
      </c>
      <c r="E49">
        <v>0.60264300000000004</v>
      </c>
      <c r="F49">
        <v>0.92566199999999998</v>
      </c>
      <c r="G49">
        <v>1.3131409999999999</v>
      </c>
      <c r="H49">
        <v>1.268111</v>
      </c>
      <c r="I49">
        <v>1.4732419999999999</v>
      </c>
      <c r="J49">
        <v>1.9851479999999999</v>
      </c>
      <c r="K49">
        <v>1.687624</v>
      </c>
      <c r="L49">
        <v>1.904739</v>
      </c>
      <c r="M49">
        <v>1.426142</v>
      </c>
      <c r="N49">
        <v>2.1221320000000001</v>
      </c>
    </row>
    <row r="50" spans="2:14" x14ac:dyDescent="0.2">
      <c r="B50">
        <v>0.228604</v>
      </c>
      <c r="C50">
        <v>0.368481</v>
      </c>
      <c r="D50">
        <v>0.480966</v>
      </c>
      <c r="E50">
        <v>0.71501400000000004</v>
      </c>
      <c r="F50">
        <v>0.909883</v>
      </c>
      <c r="G50">
        <v>1.212701</v>
      </c>
      <c r="H50">
        <v>1.7231019999999999</v>
      </c>
      <c r="I50">
        <v>1.436339</v>
      </c>
      <c r="J50">
        <v>1.5322549999999999</v>
      </c>
      <c r="K50">
        <v>1.776502</v>
      </c>
      <c r="L50">
        <v>2.037585</v>
      </c>
      <c r="M50">
        <v>1.652323</v>
      </c>
      <c r="N50">
        <v>2.634223</v>
      </c>
    </row>
    <row r="51" spans="2:14" x14ac:dyDescent="0.2">
      <c r="B51">
        <v>0.16897000000000001</v>
      </c>
      <c r="C51">
        <v>0.30957299999999999</v>
      </c>
      <c r="D51">
        <v>0.41369800000000001</v>
      </c>
      <c r="E51">
        <v>0.60761299999999996</v>
      </c>
      <c r="F51">
        <v>0.76675700000000002</v>
      </c>
      <c r="G51">
        <v>1.017531</v>
      </c>
      <c r="H51">
        <v>1.3043279999999999</v>
      </c>
      <c r="I51">
        <v>1.6498409999999999</v>
      </c>
      <c r="J51">
        <v>1.2761070000000001</v>
      </c>
      <c r="K51">
        <v>1.38089</v>
      </c>
      <c r="L51">
        <v>1.982826</v>
      </c>
      <c r="M51">
        <v>2.2334339999999999</v>
      </c>
      <c r="N51">
        <v>2.2229139999999998</v>
      </c>
    </row>
    <row r="52" spans="2:14" x14ac:dyDescent="0.2">
      <c r="B52">
        <v>0.25318800000000002</v>
      </c>
      <c r="C52">
        <v>0.33175900000000003</v>
      </c>
      <c r="D52">
        <v>0.422182</v>
      </c>
      <c r="E52">
        <v>0.54680499999999999</v>
      </c>
      <c r="F52">
        <v>0.71804100000000004</v>
      </c>
      <c r="G52">
        <v>0.84868500000000002</v>
      </c>
      <c r="H52">
        <v>1.0084139999999999</v>
      </c>
      <c r="I52">
        <v>1.261388</v>
      </c>
      <c r="J52">
        <v>1.5808359999999999</v>
      </c>
      <c r="K52">
        <v>1.6121650000000001</v>
      </c>
      <c r="L52">
        <v>2.2016040000000001</v>
      </c>
      <c r="M52">
        <v>2.0448360000000001</v>
      </c>
      <c r="N52">
        <v>2.3949669999999998</v>
      </c>
    </row>
    <row r="53" spans="2:14" x14ac:dyDescent="0.2">
      <c r="B53">
        <v>0.28094599999999997</v>
      </c>
      <c r="C53">
        <v>0.33049299999999998</v>
      </c>
      <c r="D53">
        <v>0.445718</v>
      </c>
      <c r="E53">
        <v>0.49396499999999999</v>
      </c>
      <c r="F53">
        <v>0.58981600000000001</v>
      </c>
      <c r="G53">
        <v>0.81436600000000003</v>
      </c>
      <c r="H53">
        <v>0.90801399999999999</v>
      </c>
      <c r="I53">
        <v>1.0398449999999999</v>
      </c>
      <c r="J53">
        <v>1.2299340000000001</v>
      </c>
      <c r="K53">
        <v>1.2846930000000001</v>
      </c>
      <c r="L53">
        <v>1.5707469999999999</v>
      </c>
      <c r="M53">
        <v>0.68644300000000003</v>
      </c>
      <c r="N53">
        <v>1.740335</v>
      </c>
    </row>
    <row r="54" spans="2:14" x14ac:dyDescent="0.2">
      <c r="B54">
        <v>0.16891400000000001</v>
      </c>
      <c r="C54">
        <v>0.27703800000000001</v>
      </c>
      <c r="D54">
        <v>0.370971</v>
      </c>
      <c r="E54">
        <v>0.54912799999999995</v>
      </c>
      <c r="F54">
        <v>0.66191100000000003</v>
      </c>
      <c r="G54">
        <v>0.836812</v>
      </c>
      <c r="H54">
        <v>1.0274909999999999</v>
      </c>
      <c r="I54">
        <v>1.0000389999999999</v>
      </c>
      <c r="J54">
        <v>1.1154219999999999</v>
      </c>
      <c r="K54">
        <v>1.013625</v>
      </c>
      <c r="L54">
        <v>1.260065</v>
      </c>
      <c r="M54">
        <v>1.1438299999999999</v>
      </c>
      <c r="N54">
        <v>1.10276</v>
      </c>
    </row>
    <row r="55" spans="2:14" x14ac:dyDescent="0.2">
      <c r="B55">
        <v>0.18739800000000001</v>
      </c>
      <c r="C55">
        <v>0.35586499999999999</v>
      </c>
      <c r="D55">
        <v>0.47847499999999998</v>
      </c>
      <c r="E55">
        <v>0.54480600000000001</v>
      </c>
      <c r="F55">
        <v>0.61430300000000004</v>
      </c>
      <c r="G55">
        <v>0.73488500000000001</v>
      </c>
      <c r="H55">
        <v>1.0292559999999999</v>
      </c>
      <c r="I55">
        <v>0.97933899999999996</v>
      </c>
      <c r="J55">
        <v>1.0233030000000001</v>
      </c>
      <c r="K55">
        <v>1.187875</v>
      </c>
      <c r="L55">
        <v>0.85459499999999999</v>
      </c>
      <c r="M55">
        <v>1.3901049999999999</v>
      </c>
      <c r="N55">
        <v>1.7144379999999999</v>
      </c>
    </row>
    <row r="56" spans="2:14" x14ac:dyDescent="0.2">
      <c r="B56">
        <v>0.20061699999999999</v>
      </c>
      <c r="C56">
        <v>0.33301500000000001</v>
      </c>
      <c r="D56">
        <v>0.565419</v>
      </c>
      <c r="E56">
        <v>0.65002899999999997</v>
      </c>
      <c r="F56">
        <v>0.77653300000000003</v>
      </c>
      <c r="G56">
        <v>0.85562199999999999</v>
      </c>
      <c r="H56">
        <v>1.015925</v>
      </c>
      <c r="I56">
        <v>1.1045739999999999</v>
      </c>
      <c r="J56">
        <v>1.287471</v>
      </c>
      <c r="K56">
        <v>1.3700909999999999</v>
      </c>
      <c r="L56">
        <v>1.347148</v>
      </c>
      <c r="M56">
        <v>1.7327520000000001</v>
      </c>
      <c r="N56">
        <v>1.691324</v>
      </c>
    </row>
    <row r="57" spans="2:14" x14ac:dyDescent="0.2">
      <c r="B57">
        <v>0.254853</v>
      </c>
      <c r="C57">
        <v>0.39970800000000001</v>
      </c>
      <c r="D57">
        <v>0.46390500000000001</v>
      </c>
      <c r="E57">
        <v>0.57007099999999999</v>
      </c>
      <c r="F57">
        <v>0.75609700000000002</v>
      </c>
      <c r="G57">
        <v>0.77065700000000004</v>
      </c>
      <c r="H57">
        <v>0.92894600000000005</v>
      </c>
      <c r="I57">
        <v>1.0078860000000001</v>
      </c>
      <c r="J57">
        <v>1.13785</v>
      </c>
      <c r="K57">
        <v>1.520173</v>
      </c>
      <c r="L57">
        <v>1.538978</v>
      </c>
      <c r="M57">
        <v>1.4263939999999999</v>
      </c>
      <c r="N57">
        <v>1.5627679999999999</v>
      </c>
    </row>
    <row r="58" spans="2:14" x14ac:dyDescent="0.2">
      <c r="B58">
        <v>0.24951899999999999</v>
      </c>
      <c r="C58">
        <v>0.408696</v>
      </c>
      <c r="D58">
        <v>0.46436500000000003</v>
      </c>
      <c r="E58">
        <v>0.54804600000000003</v>
      </c>
      <c r="F58">
        <v>0.66187600000000002</v>
      </c>
      <c r="G58">
        <v>0.78319799999999995</v>
      </c>
      <c r="H58">
        <v>0.98684099999999997</v>
      </c>
      <c r="I58">
        <v>0.99909599999999998</v>
      </c>
      <c r="J58">
        <v>1.1486620000000001</v>
      </c>
      <c r="K58">
        <v>1.2854840000000001</v>
      </c>
      <c r="L58">
        <v>1.508885</v>
      </c>
      <c r="M58">
        <v>1.5764800000000001</v>
      </c>
      <c r="N58">
        <v>1.9089700000000001</v>
      </c>
    </row>
    <row r="59" spans="2:14" x14ac:dyDescent="0.2">
      <c r="B59">
        <v>0.21179600000000001</v>
      </c>
      <c r="C59">
        <v>0.400951</v>
      </c>
      <c r="D59">
        <v>0.53620000000000001</v>
      </c>
      <c r="E59">
        <v>0.67201599999999995</v>
      </c>
      <c r="F59">
        <v>0.648231</v>
      </c>
      <c r="G59">
        <v>1.0463</v>
      </c>
      <c r="H59">
        <v>1.165821</v>
      </c>
      <c r="I59">
        <v>1.1066309999999999</v>
      </c>
      <c r="J59">
        <v>1.2193480000000001</v>
      </c>
      <c r="K59">
        <v>1.240532</v>
      </c>
      <c r="L59">
        <v>1.3672040000000001</v>
      </c>
      <c r="M59">
        <v>1.436164</v>
      </c>
      <c r="N59">
        <v>1.4505710000000001</v>
      </c>
    </row>
    <row r="60" spans="2:14" x14ac:dyDescent="0.2">
      <c r="B60">
        <v>0.16853000000000001</v>
      </c>
      <c r="C60">
        <v>0.36255700000000002</v>
      </c>
      <c r="D60">
        <v>0.47814000000000001</v>
      </c>
      <c r="E60">
        <v>0.64849400000000001</v>
      </c>
      <c r="F60">
        <v>0.62374600000000002</v>
      </c>
      <c r="G60">
        <v>0.78512599999999999</v>
      </c>
      <c r="H60">
        <v>0.91089399999999998</v>
      </c>
      <c r="I60">
        <v>1.2809410000000001</v>
      </c>
      <c r="J60">
        <v>1.2222150000000001</v>
      </c>
      <c r="K60">
        <v>1.2540450000000001</v>
      </c>
      <c r="L60">
        <v>1.3994219999999999</v>
      </c>
      <c r="M60">
        <v>1.4217489999999999</v>
      </c>
      <c r="N60">
        <v>1.7401139999999999</v>
      </c>
    </row>
    <row r="61" spans="2:14" x14ac:dyDescent="0.2">
      <c r="B61">
        <v>0.15106700000000001</v>
      </c>
      <c r="C61">
        <v>0.29970200000000002</v>
      </c>
      <c r="D61">
        <v>0.48657600000000001</v>
      </c>
      <c r="E61">
        <v>0.58318499999999995</v>
      </c>
      <c r="F61">
        <v>0.75778999999999996</v>
      </c>
      <c r="G61">
        <v>0.81982500000000003</v>
      </c>
      <c r="H61">
        <v>0.97935799999999995</v>
      </c>
      <c r="I61">
        <v>1.0234099999999999</v>
      </c>
      <c r="J61">
        <v>1.350087</v>
      </c>
      <c r="K61">
        <v>1.461438</v>
      </c>
      <c r="L61">
        <v>1.4874860000000001</v>
      </c>
      <c r="M61">
        <v>1.6392990000000001</v>
      </c>
      <c r="N61">
        <v>1.9638530000000001</v>
      </c>
    </row>
    <row r="62" spans="2:14" x14ac:dyDescent="0.2">
      <c r="B62">
        <v>0.18884400000000001</v>
      </c>
      <c r="C62">
        <v>0.27687800000000001</v>
      </c>
      <c r="D62">
        <v>0.38169399999999998</v>
      </c>
      <c r="E62">
        <v>0.53046700000000002</v>
      </c>
      <c r="F62">
        <v>0.67351899999999998</v>
      </c>
      <c r="G62">
        <v>0.77602300000000002</v>
      </c>
      <c r="H62">
        <v>0.99649699999999997</v>
      </c>
      <c r="I62">
        <v>0.96586000000000005</v>
      </c>
      <c r="J62">
        <v>1.2113149999999999</v>
      </c>
      <c r="K62">
        <v>1.464772</v>
      </c>
      <c r="L62">
        <v>1.0899190000000001</v>
      </c>
      <c r="M62">
        <v>1.5663959999999999</v>
      </c>
      <c r="N62">
        <v>1.951038</v>
      </c>
    </row>
    <row r="63" spans="2:14" x14ac:dyDescent="0.2">
      <c r="B63">
        <v>0.21280199999999999</v>
      </c>
      <c r="C63">
        <v>0.33230199999999999</v>
      </c>
      <c r="D63">
        <v>0.44603199999999998</v>
      </c>
      <c r="E63">
        <v>0.51924099999999995</v>
      </c>
      <c r="F63">
        <v>0.811083</v>
      </c>
      <c r="G63">
        <v>0.88703299999999996</v>
      </c>
      <c r="H63">
        <v>1.0776570000000001</v>
      </c>
      <c r="I63">
        <v>1.2926439999999999</v>
      </c>
      <c r="J63">
        <v>1.591888</v>
      </c>
      <c r="K63">
        <v>1.414569</v>
      </c>
      <c r="L63">
        <v>1.515568</v>
      </c>
      <c r="M63">
        <v>1.6691689999999999</v>
      </c>
      <c r="N63">
        <v>1.9050739999999999</v>
      </c>
    </row>
    <row r="64" spans="2:14" x14ac:dyDescent="0.2">
      <c r="B64">
        <v>0.21629300000000001</v>
      </c>
      <c r="C64">
        <v>0.35085</v>
      </c>
      <c r="D64">
        <v>0.39224999999999999</v>
      </c>
      <c r="E64">
        <v>0.52630500000000002</v>
      </c>
      <c r="F64">
        <v>0.61573800000000001</v>
      </c>
      <c r="G64">
        <v>0.88169699999999995</v>
      </c>
      <c r="H64">
        <v>1.0375490000000001</v>
      </c>
      <c r="I64">
        <v>1.008256</v>
      </c>
      <c r="J64">
        <v>1.2785960000000001</v>
      </c>
      <c r="K64">
        <v>1.1322099999999999</v>
      </c>
      <c r="L64">
        <v>1.6660600000000001</v>
      </c>
      <c r="M64">
        <v>1.759817</v>
      </c>
      <c r="N64">
        <v>2.1923080000000001</v>
      </c>
    </row>
    <row r="65" spans="2:14" x14ac:dyDescent="0.2">
      <c r="B65">
        <v>0.21914500000000001</v>
      </c>
      <c r="C65">
        <v>0.39812399999999998</v>
      </c>
      <c r="D65">
        <v>0.47004400000000002</v>
      </c>
      <c r="E65">
        <v>0.52096699999999996</v>
      </c>
      <c r="F65">
        <v>0.722163</v>
      </c>
      <c r="G65">
        <v>0.75936899999999996</v>
      </c>
      <c r="H65">
        <v>0.924925</v>
      </c>
      <c r="I65">
        <v>1.0349159999999999</v>
      </c>
      <c r="J65">
        <v>1.2359530000000001</v>
      </c>
      <c r="K65">
        <v>1.338122</v>
      </c>
      <c r="L65">
        <v>1.7817449999999999</v>
      </c>
      <c r="M65">
        <v>1.625572</v>
      </c>
      <c r="N65">
        <v>2.0478869999999998</v>
      </c>
    </row>
    <row r="66" spans="2:14" x14ac:dyDescent="0.2">
      <c r="B66">
        <v>0.20141700000000001</v>
      </c>
      <c r="C66">
        <v>0.35550500000000002</v>
      </c>
      <c r="D66">
        <v>0.61672700000000003</v>
      </c>
      <c r="E66">
        <v>0.729437</v>
      </c>
      <c r="F66">
        <v>0.74993699999999996</v>
      </c>
      <c r="G66">
        <v>1.0004189999999999</v>
      </c>
      <c r="H66">
        <v>0.98182599999999998</v>
      </c>
      <c r="I66">
        <v>1.030861</v>
      </c>
      <c r="J66">
        <v>1.2778210000000001</v>
      </c>
      <c r="K66">
        <v>1.4190499999999999</v>
      </c>
      <c r="L66">
        <v>1.4735609999999999</v>
      </c>
      <c r="M66">
        <v>1.765574</v>
      </c>
      <c r="N66">
        <v>1.5391170000000001</v>
      </c>
    </row>
    <row r="67" spans="2:14" x14ac:dyDescent="0.2">
      <c r="B67">
        <v>0.268623</v>
      </c>
      <c r="C67">
        <v>0.40246300000000002</v>
      </c>
      <c r="D67">
        <v>0.54386100000000004</v>
      </c>
      <c r="E67">
        <v>0.68498000000000003</v>
      </c>
      <c r="F67">
        <v>0.71279999999999999</v>
      </c>
      <c r="G67">
        <v>0.90426200000000001</v>
      </c>
      <c r="H67">
        <v>1.006335</v>
      </c>
      <c r="I67">
        <v>1.0534460000000001</v>
      </c>
      <c r="J67">
        <v>1.009736</v>
      </c>
      <c r="K67">
        <v>1.139011</v>
      </c>
      <c r="L67">
        <v>1.4741340000000001</v>
      </c>
      <c r="M67">
        <v>1.4095759999999999</v>
      </c>
      <c r="N67">
        <v>2.1082510000000001</v>
      </c>
    </row>
    <row r="68" spans="2:14" x14ac:dyDescent="0.2">
      <c r="B68">
        <v>0.34165000000000001</v>
      </c>
      <c r="C68">
        <v>0.41899399999999998</v>
      </c>
      <c r="D68">
        <v>0.64775099999999997</v>
      </c>
      <c r="E68">
        <v>0.70983200000000002</v>
      </c>
      <c r="F68">
        <v>0.886409</v>
      </c>
      <c r="G68">
        <v>0.86874899999999999</v>
      </c>
      <c r="H68">
        <v>1.123543</v>
      </c>
      <c r="I68">
        <v>1.2394240000000001</v>
      </c>
      <c r="J68">
        <v>1.268921</v>
      </c>
      <c r="K68">
        <v>1.284637</v>
      </c>
      <c r="L68">
        <v>1.3685890000000001</v>
      </c>
      <c r="M68">
        <v>1.7473209999999999</v>
      </c>
      <c r="N68">
        <v>1.780308</v>
      </c>
    </row>
    <row r="69" spans="2:14" x14ac:dyDescent="0.2">
      <c r="B69">
        <v>0.28382299999999999</v>
      </c>
      <c r="C69">
        <v>0.51573800000000003</v>
      </c>
      <c r="D69">
        <v>0.59500699999999995</v>
      </c>
      <c r="E69">
        <v>0.74977199999999999</v>
      </c>
      <c r="F69">
        <v>0.89492700000000003</v>
      </c>
      <c r="G69">
        <v>0.93152999999999997</v>
      </c>
      <c r="H69">
        <v>1.1192200000000001</v>
      </c>
      <c r="I69">
        <v>1.02684</v>
      </c>
      <c r="J69">
        <v>1.278627</v>
      </c>
      <c r="K69">
        <v>1.5515749999999999</v>
      </c>
      <c r="L69">
        <v>1.5370600000000001</v>
      </c>
      <c r="M69">
        <v>2.3751730000000002</v>
      </c>
      <c r="N69">
        <v>1.712005</v>
      </c>
    </row>
    <row r="70" spans="2:14" x14ac:dyDescent="0.2">
      <c r="B70">
        <v>0.23066999999999999</v>
      </c>
      <c r="C70">
        <v>0.39415800000000001</v>
      </c>
      <c r="D70">
        <v>0.53936300000000004</v>
      </c>
      <c r="E70">
        <v>0.69834399999999996</v>
      </c>
      <c r="F70">
        <v>0.85853900000000005</v>
      </c>
      <c r="G70">
        <v>0.93055200000000005</v>
      </c>
      <c r="H70">
        <v>0.99254600000000004</v>
      </c>
      <c r="I70">
        <v>1.222539</v>
      </c>
      <c r="J70">
        <v>1.383086</v>
      </c>
      <c r="K70">
        <v>1.229117</v>
      </c>
      <c r="L70">
        <v>1.400692</v>
      </c>
      <c r="M70">
        <v>1.504434</v>
      </c>
      <c r="N70">
        <v>1.681657</v>
      </c>
    </row>
    <row r="71" spans="2:14" x14ac:dyDescent="0.2">
      <c r="B71">
        <v>0.17879500000000001</v>
      </c>
      <c r="C71">
        <v>0.45732699999999998</v>
      </c>
      <c r="D71">
        <v>0.60450899999999996</v>
      </c>
      <c r="E71">
        <v>0.67908800000000002</v>
      </c>
      <c r="F71">
        <v>0.78869</v>
      </c>
      <c r="G71">
        <v>0.86578200000000005</v>
      </c>
      <c r="H71">
        <v>1.057634</v>
      </c>
      <c r="I71">
        <v>1.1711020000000001</v>
      </c>
      <c r="J71">
        <v>1.278715</v>
      </c>
      <c r="K71">
        <v>1.336333</v>
      </c>
      <c r="L71">
        <v>1.6686460000000001</v>
      </c>
      <c r="M71">
        <v>1.5188870000000001</v>
      </c>
      <c r="N71">
        <v>1.7038139999999999</v>
      </c>
    </row>
    <row r="72" spans="2:14" x14ac:dyDescent="0.2">
      <c r="B72">
        <v>0.29449500000000001</v>
      </c>
      <c r="C72">
        <v>0.49299300000000001</v>
      </c>
      <c r="D72">
        <v>0.63747399999999999</v>
      </c>
      <c r="E72">
        <v>0.80954300000000001</v>
      </c>
      <c r="F72">
        <v>0.92833200000000005</v>
      </c>
      <c r="G72">
        <v>1.059545</v>
      </c>
      <c r="H72">
        <v>1.0019480000000001</v>
      </c>
      <c r="I72">
        <v>1.3145020000000001</v>
      </c>
      <c r="J72">
        <v>1.3087059999999999</v>
      </c>
      <c r="K72">
        <v>1.2682070000000001</v>
      </c>
      <c r="L72">
        <v>1.416606</v>
      </c>
      <c r="M72">
        <v>1.3672299999999999</v>
      </c>
      <c r="N72">
        <v>1.3853530000000001</v>
      </c>
    </row>
    <row r="73" spans="2:14" x14ac:dyDescent="0.2">
      <c r="B73">
        <v>0.219837</v>
      </c>
      <c r="C73">
        <v>0.49112600000000001</v>
      </c>
      <c r="D73">
        <v>0.60091399999999995</v>
      </c>
      <c r="E73">
        <v>0.73042099999999999</v>
      </c>
      <c r="F73">
        <v>0.85730399999999995</v>
      </c>
      <c r="G73">
        <v>0.946021</v>
      </c>
      <c r="H73">
        <v>0.98745499999999997</v>
      </c>
      <c r="I73">
        <v>1.1535660000000001</v>
      </c>
      <c r="J73">
        <v>1.6395219999999999</v>
      </c>
      <c r="K73">
        <v>1.372385</v>
      </c>
      <c r="L73">
        <v>1.7082250000000001</v>
      </c>
      <c r="M73">
        <v>1.5395049999999999</v>
      </c>
      <c r="N73">
        <v>1.681943</v>
      </c>
    </row>
    <row r="74" spans="2:14" x14ac:dyDescent="0.2">
      <c r="B74">
        <v>0.241369</v>
      </c>
      <c r="C74">
        <v>0.50874200000000003</v>
      </c>
      <c r="D74">
        <v>0.68820099999999995</v>
      </c>
      <c r="E74">
        <v>0.81473399999999996</v>
      </c>
      <c r="F74">
        <v>1.0096719999999999</v>
      </c>
      <c r="G74">
        <v>1.0676129999999999</v>
      </c>
      <c r="H74">
        <v>1.120889</v>
      </c>
      <c r="I74">
        <v>1.3589990000000001</v>
      </c>
      <c r="J74">
        <v>1.449254</v>
      </c>
      <c r="K74">
        <v>1.7689649999999999</v>
      </c>
      <c r="L74">
        <v>1.76668</v>
      </c>
      <c r="M74">
        <v>2.0491760000000001</v>
      </c>
      <c r="N74">
        <v>2.4859800000000001</v>
      </c>
    </row>
    <row r="75" spans="2:14" x14ac:dyDescent="0.2">
      <c r="B75">
        <v>0.244199</v>
      </c>
      <c r="C75">
        <v>0.49573600000000001</v>
      </c>
      <c r="D75">
        <v>0.65744800000000003</v>
      </c>
      <c r="E75">
        <v>0.80405800000000005</v>
      </c>
      <c r="F75">
        <v>1.096676</v>
      </c>
      <c r="G75">
        <v>1.139772</v>
      </c>
      <c r="H75">
        <v>1.2597970000000001</v>
      </c>
      <c r="I75">
        <v>1.3764689999999999</v>
      </c>
      <c r="J75">
        <v>1.190453</v>
      </c>
      <c r="K75">
        <v>1.389302</v>
      </c>
      <c r="L75">
        <v>1.628763</v>
      </c>
      <c r="M75">
        <v>2.1606260000000002</v>
      </c>
      <c r="N75">
        <v>2.2212079999999998</v>
      </c>
    </row>
    <row r="76" spans="2:14" x14ac:dyDescent="0.2">
      <c r="B76">
        <v>0.21620800000000001</v>
      </c>
      <c r="C76">
        <v>0.51073900000000005</v>
      </c>
      <c r="D76">
        <v>0.65330600000000005</v>
      </c>
      <c r="E76">
        <v>0.78546300000000002</v>
      </c>
      <c r="F76">
        <v>0.90699300000000005</v>
      </c>
      <c r="G76">
        <v>1.066171</v>
      </c>
      <c r="H76">
        <v>1.158908</v>
      </c>
      <c r="I76">
        <v>1.245592</v>
      </c>
      <c r="J76">
        <v>1.35805</v>
      </c>
      <c r="K76">
        <v>1.419216</v>
      </c>
      <c r="L76">
        <v>1.364557</v>
      </c>
      <c r="M76">
        <v>1.4962880000000001</v>
      </c>
      <c r="N76">
        <v>2.0158830000000001</v>
      </c>
    </row>
    <row r="77" spans="2:14" x14ac:dyDescent="0.2">
      <c r="B77">
        <v>0.28487000000000001</v>
      </c>
      <c r="C77">
        <v>0.40972599999999998</v>
      </c>
      <c r="D77">
        <v>0.59167000000000003</v>
      </c>
      <c r="E77">
        <v>0.73826999999999998</v>
      </c>
      <c r="F77">
        <v>0.86517900000000003</v>
      </c>
      <c r="G77">
        <v>1.008383</v>
      </c>
      <c r="H77">
        <v>1.353602</v>
      </c>
      <c r="I77">
        <v>1.203433</v>
      </c>
      <c r="J77">
        <v>1.340427</v>
      </c>
      <c r="K77">
        <v>1.4243650000000001</v>
      </c>
      <c r="L77">
        <v>1.499627</v>
      </c>
      <c r="M77">
        <v>1.7109099999999999</v>
      </c>
      <c r="N77">
        <v>1.9809270000000001</v>
      </c>
    </row>
    <row r="78" spans="2:14" x14ac:dyDescent="0.2">
      <c r="B78">
        <v>0.22758500000000001</v>
      </c>
      <c r="C78">
        <v>0.516289</v>
      </c>
      <c r="D78">
        <v>0.57708999999999999</v>
      </c>
      <c r="E78">
        <v>0.72065400000000002</v>
      </c>
      <c r="F78">
        <v>0.97343199999999996</v>
      </c>
      <c r="G78">
        <v>1.172609</v>
      </c>
      <c r="H78">
        <v>1.2651490000000001</v>
      </c>
      <c r="I78">
        <v>1.460853</v>
      </c>
      <c r="J78">
        <v>1.5132650000000001</v>
      </c>
      <c r="K78">
        <v>1.4036420000000001</v>
      </c>
      <c r="L78">
        <v>1.7170719999999999</v>
      </c>
      <c r="M78">
        <v>1.821966</v>
      </c>
      <c r="N78">
        <v>1.965128</v>
      </c>
    </row>
    <row r="79" spans="2:14" x14ac:dyDescent="0.2">
      <c r="B79">
        <v>0.392706</v>
      </c>
      <c r="C79">
        <v>0.44526399999999999</v>
      </c>
      <c r="D79">
        <v>0.56732099999999996</v>
      </c>
      <c r="E79">
        <v>0.69324300000000005</v>
      </c>
      <c r="F79">
        <v>0.73662099999999997</v>
      </c>
      <c r="G79">
        <v>0.97780699999999998</v>
      </c>
      <c r="H79">
        <v>1.135734</v>
      </c>
      <c r="I79">
        <v>1.3356159999999999</v>
      </c>
      <c r="J79">
        <v>1.5338620000000001</v>
      </c>
      <c r="K79">
        <v>1.4838020000000001</v>
      </c>
      <c r="L79">
        <v>1.6376740000000001</v>
      </c>
      <c r="M79">
        <v>1.6383239999999999</v>
      </c>
      <c r="N79">
        <v>2.0123989999999998</v>
      </c>
    </row>
    <row r="80" spans="2:14" x14ac:dyDescent="0.2">
      <c r="B80">
        <v>0.34692299999999998</v>
      </c>
      <c r="C80">
        <v>0.44218400000000002</v>
      </c>
      <c r="D80">
        <v>0.56648100000000001</v>
      </c>
      <c r="E80">
        <v>0.67539700000000003</v>
      </c>
      <c r="F80">
        <v>0.74183500000000002</v>
      </c>
      <c r="G80">
        <v>0.86418399999999995</v>
      </c>
      <c r="H80">
        <v>1.0637380000000001</v>
      </c>
      <c r="I80">
        <v>1.270078</v>
      </c>
      <c r="J80">
        <v>1.545194</v>
      </c>
      <c r="K80">
        <v>1.45499</v>
      </c>
      <c r="L80">
        <v>1.445562</v>
      </c>
      <c r="M80">
        <v>1.481606</v>
      </c>
      <c r="N80">
        <v>1.595836</v>
      </c>
    </row>
    <row r="81" spans="1:14" x14ac:dyDescent="0.2">
      <c r="B81">
        <v>0.27817399999999998</v>
      </c>
      <c r="C81">
        <v>0.52399600000000002</v>
      </c>
      <c r="D81">
        <v>0.57384400000000002</v>
      </c>
      <c r="E81">
        <v>0.68766400000000005</v>
      </c>
      <c r="F81">
        <v>0.76449699999999998</v>
      </c>
      <c r="G81">
        <v>0.79473800000000006</v>
      </c>
      <c r="H81">
        <v>0.88347299999999995</v>
      </c>
      <c r="I81">
        <v>0.91882399999999997</v>
      </c>
      <c r="J81">
        <v>1.19346</v>
      </c>
      <c r="K81">
        <v>1.846487</v>
      </c>
      <c r="L81">
        <v>1.2435639999999999</v>
      </c>
      <c r="M81">
        <v>1.2283599999999999</v>
      </c>
      <c r="N81">
        <v>1.3927290000000001</v>
      </c>
    </row>
    <row r="82" spans="1:14" x14ac:dyDescent="0.2">
      <c r="B82">
        <v>0.24168100000000001</v>
      </c>
      <c r="C82">
        <v>0.48802400000000001</v>
      </c>
      <c r="D82">
        <v>0.62144999999999995</v>
      </c>
      <c r="E82">
        <v>0.649308</v>
      </c>
      <c r="F82">
        <v>0.73966600000000005</v>
      </c>
      <c r="G82">
        <v>0.78247299999999997</v>
      </c>
      <c r="H82">
        <v>0.88883599999999996</v>
      </c>
      <c r="I82">
        <v>0.92283099999999996</v>
      </c>
      <c r="J82">
        <v>0.99785900000000005</v>
      </c>
      <c r="K82">
        <v>1.012586</v>
      </c>
      <c r="L82">
        <v>1.323337</v>
      </c>
      <c r="M82">
        <v>1.02</v>
      </c>
      <c r="N82">
        <v>1.813204</v>
      </c>
    </row>
    <row r="83" spans="1:14" x14ac:dyDescent="0.2">
      <c r="B83">
        <v>0.20951700000000001</v>
      </c>
      <c r="C83">
        <v>0.44154900000000002</v>
      </c>
      <c r="D83">
        <v>0.57545599999999997</v>
      </c>
      <c r="E83">
        <v>0.66468300000000002</v>
      </c>
      <c r="F83">
        <v>0.75621899999999997</v>
      </c>
      <c r="G83">
        <v>0.75022200000000006</v>
      </c>
      <c r="H83">
        <v>0.84531400000000001</v>
      </c>
      <c r="I83">
        <v>0.88573800000000003</v>
      </c>
      <c r="J83">
        <v>0.72225700000000004</v>
      </c>
      <c r="K83">
        <v>0.83824600000000005</v>
      </c>
      <c r="L83">
        <v>0.876</v>
      </c>
      <c r="M83">
        <v>1.073925</v>
      </c>
      <c r="N83">
        <v>0.96364499999999997</v>
      </c>
    </row>
    <row r="84" spans="1:14" x14ac:dyDescent="0.2">
      <c r="B84">
        <v>0.292267</v>
      </c>
      <c r="C84">
        <v>0.50546199999999997</v>
      </c>
      <c r="D84">
        <v>0.64191500000000001</v>
      </c>
      <c r="E84">
        <v>0.71473900000000001</v>
      </c>
      <c r="F84">
        <v>0.82308400000000004</v>
      </c>
      <c r="G84">
        <v>0.89860300000000004</v>
      </c>
      <c r="H84">
        <v>0.90103999999999995</v>
      </c>
      <c r="I84">
        <v>0.98917600000000006</v>
      </c>
      <c r="J84">
        <v>0.98556200000000005</v>
      </c>
      <c r="K84">
        <v>1.0428740000000001</v>
      </c>
      <c r="L84">
        <v>1.067753</v>
      </c>
      <c r="M84">
        <v>1.1200000000000001</v>
      </c>
      <c r="N84">
        <v>1.389859</v>
      </c>
    </row>
    <row r="85" spans="1:14" x14ac:dyDescent="0.2">
      <c r="B85">
        <v>0.27794000000000002</v>
      </c>
      <c r="C85">
        <v>0.43996400000000002</v>
      </c>
      <c r="D85">
        <v>0.58972599999999997</v>
      </c>
      <c r="E85">
        <v>0.69561799999999996</v>
      </c>
      <c r="F85">
        <v>0.77438799999999997</v>
      </c>
      <c r="G85">
        <v>0.85426299999999999</v>
      </c>
      <c r="H85">
        <v>0.95997699999999997</v>
      </c>
      <c r="I85">
        <v>1.233141</v>
      </c>
      <c r="J85">
        <v>1.022545</v>
      </c>
      <c r="K85">
        <v>1.3499639999999999</v>
      </c>
      <c r="L85">
        <v>1.306772</v>
      </c>
      <c r="M85">
        <v>0.92734000000000005</v>
      </c>
      <c r="N85">
        <v>1.388903</v>
      </c>
    </row>
    <row r="86" spans="1:14" x14ac:dyDescent="0.2">
      <c r="B86">
        <v>0.34738599999999997</v>
      </c>
      <c r="C86">
        <v>0.45208599999999999</v>
      </c>
      <c r="D86">
        <v>0.58267999999999998</v>
      </c>
      <c r="E86">
        <v>0.66819600000000001</v>
      </c>
      <c r="F86">
        <v>0.76391900000000001</v>
      </c>
      <c r="G86">
        <v>0.85268600000000006</v>
      </c>
      <c r="H86">
        <v>0.94489400000000001</v>
      </c>
      <c r="I86">
        <v>0.97167000000000003</v>
      </c>
      <c r="J86">
        <v>1.121618</v>
      </c>
      <c r="K86">
        <v>1.4737530000000001</v>
      </c>
      <c r="L86">
        <v>1.241663</v>
      </c>
      <c r="M86">
        <v>0.89533600000000002</v>
      </c>
      <c r="N86">
        <v>1.2474689999999999</v>
      </c>
    </row>
    <row r="87" spans="1:14" x14ac:dyDescent="0.2">
      <c r="B87">
        <v>0.31524400000000002</v>
      </c>
      <c r="C87">
        <v>0.41814699999999999</v>
      </c>
      <c r="D87">
        <v>0.52996200000000004</v>
      </c>
      <c r="E87">
        <v>0.64178000000000002</v>
      </c>
      <c r="F87">
        <v>0.78415800000000002</v>
      </c>
      <c r="G87">
        <v>0.92456099999999997</v>
      </c>
      <c r="H87">
        <v>0.97910699999999995</v>
      </c>
      <c r="I87">
        <v>1.023728</v>
      </c>
      <c r="J87">
        <v>1.1658440000000001</v>
      </c>
      <c r="K87">
        <v>1.1374</v>
      </c>
      <c r="L87">
        <v>1.4452499999999999</v>
      </c>
      <c r="M87">
        <v>1.8451820000000001</v>
      </c>
      <c r="N87">
        <v>1.4279999999999999</v>
      </c>
    </row>
    <row r="88" spans="1:14" x14ac:dyDescent="0.2">
      <c r="B88">
        <v>0.27348600000000001</v>
      </c>
      <c r="C88">
        <v>0.45943699999999998</v>
      </c>
      <c r="D88">
        <v>0.59409100000000004</v>
      </c>
      <c r="E88">
        <v>0.63266999999999995</v>
      </c>
      <c r="F88">
        <v>0.72002699999999997</v>
      </c>
      <c r="G88">
        <v>0.92105499999999996</v>
      </c>
      <c r="H88">
        <v>1.0652170000000001</v>
      </c>
      <c r="I88">
        <v>1.0411319999999999</v>
      </c>
      <c r="J88">
        <v>1.1486510000000001</v>
      </c>
      <c r="K88">
        <v>1.2224330000000001</v>
      </c>
      <c r="L88">
        <v>1.323429</v>
      </c>
      <c r="M88">
        <v>1.4424999999999999</v>
      </c>
      <c r="N88">
        <v>1.677333</v>
      </c>
    </row>
    <row r="89" spans="1:14" x14ac:dyDescent="0.2">
      <c r="A89" t="s">
        <v>67</v>
      </c>
    </row>
    <row r="90" spans="1:14" x14ac:dyDescent="0.2">
      <c r="A90">
        <v>1970</v>
      </c>
    </row>
    <row r="91" spans="1:14" x14ac:dyDescent="0.2">
      <c r="A91">
        <v>1971</v>
      </c>
    </row>
    <row r="92" spans="1:14" x14ac:dyDescent="0.2">
      <c r="A92">
        <v>1972</v>
      </c>
    </row>
    <row r="93" spans="1:14" x14ac:dyDescent="0.2">
      <c r="A93">
        <v>1973</v>
      </c>
    </row>
    <row r="94" spans="1:14" x14ac:dyDescent="0.2">
      <c r="A94">
        <v>1974</v>
      </c>
    </row>
    <row r="95" spans="1:14" x14ac:dyDescent="0.2">
      <c r="A95">
        <v>1975</v>
      </c>
    </row>
    <row r="96" spans="1:14" x14ac:dyDescent="0.2">
      <c r="A96">
        <v>1976</v>
      </c>
    </row>
    <row r="97" spans="1:1" x14ac:dyDescent="0.2">
      <c r="A97">
        <v>1977</v>
      </c>
    </row>
    <row r="98" spans="1:1" x14ac:dyDescent="0.2">
      <c r="A98">
        <v>1978</v>
      </c>
    </row>
    <row r="99" spans="1:1" x14ac:dyDescent="0.2">
      <c r="A99">
        <v>1979</v>
      </c>
    </row>
    <row r="100" spans="1:1" x14ac:dyDescent="0.2">
      <c r="A100">
        <v>1980</v>
      </c>
    </row>
    <row r="101" spans="1:1" x14ac:dyDescent="0.2">
      <c r="A101">
        <v>1981</v>
      </c>
    </row>
    <row r="102" spans="1:1" x14ac:dyDescent="0.2">
      <c r="A102">
        <v>1982</v>
      </c>
    </row>
    <row r="103" spans="1:1" x14ac:dyDescent="0.2">
      <c r="A103">
        <v>1983</v>
      </c>
    </row>
    <row r="104" spans="1:1" x14ac:dyDescent="0.2">
      <c r="A104">
        <v>1984</v>
      </c>
    </row>
    <row r="105" spans="1:1" x14ac:dyDescent="0.2">
      <c r="A105">
        <v>1985</v>
      </c>
    </row>
    <row r="106" spans="1:1" x14ac:dyDescent="0.2">
      <c r="A106">
        <v>1986</v>
      </c>
    </row>
    <row r="107" spans="1:1" x14ac:dyDescent="0.2">
      <c r="A107">
        <v>1987</v>
      </c>
    </row>
    <row r="108" spans="1:1" x14ac:dyDescent="0.2">
      <c r="A108">
        <v>1988</v>
      </c>
    </row>
    <row r="109" spans="1:1" x14ac:dyDescent="0.2">
      <c r="A109">
        <v>1989</v>
      </c>
    </row>
    <row r="110" spans="1:1" x14ac:dyDescent="0.2">
      <c r="A110">
        <v>1990</v>
      </c>
    </row>
    <row r="111" spans="1:1" x14ac:dyDescent="0.2">
      <c r="A111">
        <v>1991</v>
      </c>
    </row>
    <row r="112" spans="1:1" x14ac:dyDescent="0.2">
      <c r="A112">
        <v>1992</v>
      </c>
    </row>
    <row r="113" spans="1:1" x14ac:dyDescent="0.2">
      <c r="A113">
        <v>1993</v>
      </c>
    </row>
    <row r="114" spans="1:1" x14ac:dyDescent="0.2">
      <c r="A114">
        <v>1994</v>
      </c>
    </row>
    <row r="115" spans="1:1" x14ac:dyDescent="0.2">
      <c r="A115">
        <v>1995</v>
      </c>
    </row>
    <row r="116" spans="1:1" x14ac:dyDescent="0.2">
      <c r="A116">
        <v>1996</v>
      </c>
    </row>
    <row r="117" spans="1:1" x14ac:dyDescent="0.2">
      <c r="A117">
        <v>1997</v>
      </c>
    </row>
    <row r="118" spans="1:1" x14ac:dyDescent="0.2">
      <c r="A118">
        <v>1998</v>
      </c>
    </row>
    <row r="119" spans="1:1" x14ac:dyDescent="0.2">
      <c r="A119">
        <v>1999</v>
      </c>
    </row>
    <row r="120" spans="1:1" x14ac:dyDescent="0.2">
      <c r="A120">
        <v>2000</v>
      </c>
    </row>
    <row r="121" spans="1:1" x14ac:dyDescent="0.2">
      <c r="A121">
        <v>2001</v>
      </c>
    </row>
    <row r="122" spans="1:1" x14ac:dyDescent="0.2">
      <c r="A122">
        <v>2002</v>
      </c>
    </row>
    <row r="123" spans="1:1" x14ac:dyDescent="0.2">
      <c r="A123">
        <v>2003</v>
      </c>
    </row>
    <row r="124" spans="1:1" x14ac:dyDescent="0.2">
      <c r="A124">
        <v>2004</v>
      </c>
    </row>
    <row r="125" spans="1:1" x14ac:dyDescent="0.2">
      <c r="A125">
        <v>2005</v>
      </c>
    </row>
    <row r="126" spans="1:1" x14ac:dyDescent="0.2">
      <c r="A126">
        <v>2006</v>
      </c>
    </row>
    <row r="127" spans="1:1" x14ac:dyDescent="0.2">
      <c r="A127">
        <v>2007</v>
      </c>
    </row>
    <row r="128" spans="1:1" x14ac:dyDescent="0.2">
      <c r="A128">
        <v>2008</v>
      </c>
    </row>
    <row r="129" spans="1:1" x14ac:dyDescent="0.2">
      <c r="A129">
        <v>2009</v>
      </c>
    </row>
    <row r="130" spans="1:1" x14ac:dyDescent="0.2">
      <c r="A130">
        <v>2010</v>
      </c>
    </row>
    <row r="131" spans="1:1" x14ac:dyDescent="0.2">
      <c r="A131">
        <v>2011</v>
      </c>
    </row>
    <row r="132" spans="1:1" x14ac:dyDescent="0.2">
      <c r="A132">
        <v>2012</v>
      </c>
    </row>
    <row r="133" spans="1:1" x14ac:dyDescent="0.2">
      <c r="A133">
        <v>2013</v>
      </c>
    </row>
    <row r="134" spans="1:1" x14ac:dyDescent="0.2">
      <c r="A134">
        <v>2014</v>
      </c>
    </row>
    <row r="135" spans="1:1" x14ac:dyDescent="0.2">
      <c r="A135">
        <v>2015</v>
      </c>
    </row>
    <row r="136" spans="1:1" x14ac:dyDescent="0.2">
      <c r="A136">
        <v>2016</v>
      </c>
    </row>
    <row r="137" spans="1:1" x14ac:dyDescent="0.2">
      <c r="A137">
        <v>2017</v>
      </c>
    </row>
    <row r="138" spans="1:1" x14ac:dyDescent="0.2">
      <c r="A138">
        <v>2018</v>
      </c>
    </row>
    <row r="139" spans="1:1" x14ac:dyDescent="0.2">
      <c r="A139">
        <v>2019</v>
      </c>
    </row>
    <row r="140" spans="1:1" x14ac:dyDescent="0.2">
      <c r="A140">
        <v>2020</v>
      </c>
    </row>
    <row r="141" spans="1:1" x14ac:dyDescent="0.2">
      <c r="A141">
        <v>2021</v>
      </c>
    </row>
    <row r="142" spans="1:1" x14ac:dyDescent="0.2">
      <c r="A142">
        <v>2022</v>
      </c>
    </row>
    <row r="143" spans="1:1" x14ac:dyDescent="0.2">
      <c r="A143">
        <v>2023</v>
      </c>
    </row>
    <row r="144" spans="1:1" x14ac:dyDescent="0.2">
      <c r="A144">
        <v>2024</v>
      </c>
    </row>
    <row r="145" spans="1:14" x14ac:dyDescent="0.2">
      <c r="A145">
        <v>2025</v>
      </c>
    </row>
    <row r="146" spans="1:14" x14ac:dyDescent="0.2">
      <c r="A146">
        <v>2026</v>
      </c>
    </row>
    <row r="147" spans="1:14" x14ac:dyDescent="0.2">
      <c r="A147" t="s">
        <v>68</v>
      </c>
    </row>
    <row r="148" spans="1:14" x14ac:dyDescent="0.2">
      <c r="A148">
        <v>1970</v>
      </c>
      <c r="B148">
        <v>0.31048799999999999</v>
      </c>
      <c r="C148">
        <v>0.42599900000000002</v>
      </c>
      <c r="D148">
        <v>0.54791500000000004</v>
      </c>
      <c r="E148">
        <v>0.67193400000000003</v>
      </c>
      <c r="F148">
        <v>0.79464900000000005</v>
      </c>
      <c r="G148">
        <v>0.91350600000000004</v>
      </c>
      <c r="H148">
        <v>1.0267010000000001</v>
      </c>
      <c r="I148">
        <v>1.133054</v>
      </c>
      <c r="J148">
        <v>1.231884</v>
      </c>
      <c r="K148">
        <v>1.3228930000000001</v>
      </c>
      <c r="L148">
        <v>1.406072</v>
      </c>
      <c r="M148">
        <v>1.481617</v>
      </c>
      <c r="N148">
        <v>1.5498670000000001</v>
      </c>
    </row>
    <row r="149" spans="1:14" x14ac:dyDescent="0.2">
      <c r="A149">
        <v>1971</v>
      </c>
      <c r="B149">
        <v>0.30645699999999998</v>
      </c>
      <c r="C149">
        <v>0.45127800000000001</v>
      </c>
      <c r="D149">
        <v>0.57459499999999997</v>
      </c>
      <c r="E149">
        <v>0.699075</v>
      </c>
      <c r="F149">
        <v>0.82150500000000004</v>
      </c>
      <c r="G149">
        <v>0.93951700000000005</v>
      </c>
      <c r="H149">
        <v>1.0514730000000001</v>
      </c>
      <c r="I149">
        <v>1.1563289999999999</v>
      </c>
      <c r="J149">
        <v>1.253512</v>
      </c>
      <c r="K149">
        <v>1.3428100000000001</v>
      </c>
      <c r="L149">
        <v>1.424275</v>
      </c>
      <c r="M149">
        <v>1.4981500000000001</v>
      </c>
      <c r="N149">
        <v>1.5648029999999999</v>
      </c>
    </row>
    <row r="150" spans="1:14" x14ac:dyDescent="0.2">
      <c r="A150">
        <v>1972</v>
      </c>
      <c r="B150">
        <v>0.32108199999999998</v>
      </c>
      <c r="C150">
        <v>0.43160999999999999</v>
      </c>
      <c r="D150">
        <v>0.58337099999999997</v>
      </c>
      <c r="E150">
        <v>0.70896700000000001</v>
      </c>
      <c r="F150">
        <v>0.83203400000000005</v>
      </c>
      <c r="G150">
        <v>0.95028400000000002</v>
      </c>
      <c r="H150">
        <v>1.0621620000000001</v>
      </c>
      <c r="I150">
        <v>1.166704</v>
      </c>
      <c r="J150">
        <v>1.2634080000000001</v>
      </c>
      <c r="K150">
        <v>1.3521179999999999</v>
      </c>
      <c r="L150">
        <v>1.4329320000000001</v>
      </c>
      <c r="M150">
        <v>1.506127</v>
      </c>
      <c r="N150">
        <v>1.5720970000000001</v>
      </c>
    </row>
    <row r="151" spans="1:14" x14ac:dyDescent="0.2">
      <c r="A151">
        <v>1973</v>
      </c>
      <c r="B151">
        <v>0.31297000000000003</v>
      </c>
      <c r="C151">
        <v>0.46328900000000001</v>
      </c>
      <c r="D151">
        <v>0.58170299999999997</v>
      </c>
      <c r="E151">
        <v>0.73605299999999996</v>
      </c>
      <c r="F151">
        <v>0.86004400000000003</v>
      </c>
      <c r="G151">
        <v>0.97836100000000004</v>
      </c>
      <c r="H151">
        <v>1.0896399999999999</v>
      </c>
      <c r="I151">
        <v>1.1930940000000001</v>
      </c>
      <c r="J151">
        <v>1.288375</v>
      </c>
      <c r="K151">
        <v>1.375451</v>
      </c>
      <c r="L151">
        <v>1.454521</v>
      </c>
      <c r="M151">
        <v>1.525938</v>
      </c>
      <c r="N151">
        <v>1.59015</v>
      </c>
    </row>
    <row r="152" spans="1:14" x14ac:dyDescent="0.2">
      <c r="A152">
        <v>1974</v>
      </c>
      <c r="B152">
        <v>0.32969399999999999</v>
      </c>
      <c r="C152">
        <v>0.455063</v>
      </c>
      <c r="D152">
        <v>0.61326199999999997</v>
      </c>
      <c r="E152">
        <v>0.734263</v>
      </c>
      <c r="F152">
        <v>0.88700900000000005</v>
      </c>
      <c r="G152">
        <v>1.006254</v>
      </c>
      <c r="H152">
        <v>1.1176060000000001</v>
      </c>
      <c r="I152">
        <v>1.2204680000000001</v>
      </c>
      <c r="J152">
        <v>1.3146679999999999</v>
      </c>
      <c r="K152">
        <v>1.400328</v>
      </c>
      <c r="L152">
        <v>1.477773</v>
      </c>
      <c r="M152">
        <v>1.547453</v>
      </c>
      <c r="N152">
        <v>1.609893</v>
      </c>
    </row>
    <row r="153" spans="1:14" x14ac:dyDescent="0.2">
      <c r="A153">
        <v>1975</v>
      </c>
      <c r="B153">
        <v>0.298155</v>
      </c>
      <c r="C153">
        <v>0.57727799999999996</v>
      </c>
      <c r="D153">
        <v>0.71637600000000001</v>
      </c>
      <c r="E153">
        <v>0.87908299999999995</v>
      </c>
      <c r="F153">
        <v>0.99728899999999998</v>
      </c>
      <c r="G153">
        <v>1.1417660000000001</v>
      </c>
      <c r="H153">
        <v>1.248875</v>
      </c>
      <c r="I153">
        <v>1.345561</v>
      </c>
      <c r="J153">
        <v>1.4322980000000001</v>
      </c>
      <c r="K153">
        <v>1.509736</v>
      </c>
      <c r="L153">
        <v>1.578614</v>
      </c>
      <c r="M153">
        <v>1.639696</v>
      </c>
      <c r="N153">
        <v>1.693737</v>
      </c>
    </row>
    <row r="154" spans="1:14" x14ac:dyDescent="0.2">
      <c r="A154">
        <v>1976</v>
      </c>
      <c r="B154">
        <v>0.33262399999999998</v>
      </c>
      <c r="C154">
        <v>0.43961099999999997</v>
      </c>
      <c r="D154">
        <v>0.72657799999999995</v>
      </c>
      <c r="E154">
        <v>0.86825200000000002</v>
      </c>
      <c r="F154">
        <v>1.0293620000000001</v>
      </c>
      <c r="G154">
        <v>1.142844</v>
      </c>
      <c r="H154">
        <v>1.2803869999999999</v>
      </c>
      <c r="I154">
        <v>1.3791169999999999</v>
      </c>
      <c r="J154">
        <v>1.4665900000000001</v>
      </c>
      <c r="K154">
        <v>1.54375</v>
      </c>
      <c r="L154">
        <v>1.611599</v>
      </c>
      <c r="M154">
        <v>1.6711279999999999</v>
      </c>
      <c r="N154">
        <v>1.7232749999999999</v>
      </c>
    </row>
    <row r="155" spans="1:14" x14ac:dyDescent="0.2">
      <c r="A155">
        <v>1977</v>
      </c>
      <c r="B155">
        <v>0.29350599999999999</v>
      </c>
      <c r="C155">
        <v>0.63160300000000003</v>
      </c>
      <c r="D155">
        <v>0.75516899999999998</v>
      </c>
      <c r="E155">
        <v>1.0475810000000001</v>
      </c>
      <c r="F155">
        <v>1.1858789999999999</v>
      </c>
      <c r="G155">
        <v>1.3370040000000001</v>
      </c>
      <c r="H155">
        <v>1.4358299999999999</v>
      </c>
      <c r="I155">
        <v>1.555663</v>
      </c>
      <c r="J155">
        <v>1.6349199999999999</v>
      </c>
      <c r="K155">
        <v>1.702151</v>
      </c>
      <c r="L155">
        <v>1.759045</v>
      </c>
      <c r="M155">
        <v>1.8071349999999999</v>
      </c>
      <c r="N155">
        <v>1.8477790000000001</v>
      </c>
    </row>
    <row r="156" spans="1:14" x14ac:dyDescent="0.2">
      <c r="A156">
        <v>1978</v>
      </c>
      <c r="B156">
        <v>0.32475100000000001</v>
      </c>
      <c r="C156">
        <v>0.423543</v>
      </c>
      <c r="D156">
        <v>0.76885099999999995</v>
      </c>
      <c r="E156">
        <v>0.89478500000000005</v>
      </c>
      <c r="F156">
        <v>1.185729</v>
      </c>
      <c r="G156">
        <v>1.3196840000000001</v>
      </c>
      <c r="H156">
        <v>1.464434</v>
      </c>
      <c r="I156">
        <v>1.555558</v>
      </c>
      <c r="J156">
        <v>1.6669210000000001</v>
      </c>
      <c r="K156">
        <v>1.737374</v>
      </c>
      <c r="L156">
        <v>1.7957909999999999</v>
      </c>
      <c r="M156">
        <v>1.8440909999999999</v>
      </c>
      <c r="N156">
        <v>1.8839669999999999</v>
      </c>
    </row>
    <row r="157" spans="1:14" x14ac:dyDescent="0.2">
      <c r="A157">
        <v>1979</v>
      </c>
      <c r="B157">
        <v>0.32478099999999999</v>
      </c>
      <c r="C157">
        <v>0.48208699999999999</v>
      </c>
      <c r="D157">
        <v>0.58960299999999999</v>
      </c>
      <c r="E157">
        <v>0.93777600000000005</v>
      </c>
      <c r="F157">
        <v>1.0619339999999999</v>
      </c>
      <c r="G157">
        <v>1.347623</v>
      </c>
      <c r="H157">
        <v>1.4738659999999999</v>
      </c>
      <c r="I157">
        <v>1.6092960000000001</v>
      </c>
      <c r="J157">
        <v>1.690172</v>
      </c>
      <c r="K157">
        <v>1.7908839999999999</v>
      </c>
      <c r="L157">
        <v>1.8506720000000001</v>
      </c>
      <c r="M157">
        <v>1.8986909999999999</v>
      </c>
      <c r="N157">
        <v>1.937052</v>
      </c>
    </row>
    <row r="158" spans="1:14" x14ac:dyDescent="0.2">
      <c r="A158">
        <v>1980</v>
      </c>
      <c r="B158">
        <v>0.30884299999999998</v>
      </c>
      <c r="C158">
        <v>0.56560900000000003</v>
      </c>
      <c r="D158">
        <v>0.73626899999999995</v>
      </c>
      <c r="E158">
        <v>0.84817100000000001</v>
      </c>
      <c r="F158">
        <v>1.1936249999999999</v>
      </c>
      <c r="G158">
        <v>1.3097399999999999</v>
      </c>
      <c r="H158">
        <v>1.5836239999999999</v>
      </c>
      <c r="I158">
        <v>1.6956020000000001</v>
      </c>
      <c r="J158">
        <v>1.8153459999999999</v>
      </c>
      <c r="K158">
        <v>1.879918</v>
      </c>
      <c r="L158">
        <v>1.9643040000000001</v>
      </c>
      <c r="M158">
        <v>2.0081769999999999</v>
      </c>
      <c r="N158">
        <v>2.0409839999999999</v>
      </c>
    </row>
    <row r="159" spans="1:14" x14ac:dyDescent="0.2">
      <c r="A159">
        <v>1981</v>
      </c>
      <c r="B159">
        <v>0.29757899999999998</v>
      </c>
      <c r="C159">
        <v>0.49776599999999999</v>
      </c>
      <c r="D159">
        <v>0.76500800000000002</v>
      </c>
      <c r="E159">
        <v>0.93910800000000005</v>
      </c>
      <c r="F159">
        <v>1.048878</v>
      </c>
      <c r="G159">
        <v>1.3880209999999999</v>
      </c>
      <c r="H159">
        <v>1.4948760000000001</v>
      </c>
      <c r="I159">
        <v>1.757568</v>
      </c>
      <c r="J159">
        <v>1.8572409999999999</v>
      </c>
      <c r="K159">
        <v>1.9641960000000001</v>
      </c>
      <c r="L159">
        <v>2.0159609999999999</v>
      </c>
      <c r="M159">
        <v>2.0878619999999999</v>
      </c>
      <c r="N159">
        <v>2.1198009999999998</v>
      </c>
    </row>
    <row r="160" spans="1:14" x14ac:dyDescent="0.2">
      <c r="A160">
        <v>1982</v>
      </c>
      <c r="B160">
        <v>0.28789900000000002</v>
      </c>
      <c r="C160">
        <v>0.422898</v>
      </c>
      <c r="D160">
        <v>0.63003399999999998</v>
      </c>
      <c r="E160">
        <v>0.89955799999999997</v>
      </c>
      <c r="F160">
        <v>1.072244</v>
      </c>
      <c r="G160">
        <v>1.1778280000000001</v>
      </c>
      <c r="H160">
        <v>1.510829</v>
      </c>
      <c r="I160">
        <v>1.6102590000000001</v>
      </c>
      <c r="J160">
        <v>1.8647899999999999</v>
      </c>
      <c r="K160">
        <v>1.9559789999999999</v>
      </c>
      <c r="L160">
        <v>2.0544380000000002</v>
      </c>
      <c r="M160">
        <v>2.0979209999999999</v>
      </c>
      <c r="N160">
        <v>2.1619069999999998</v>
      </c>
    </row>
    <row r="161" spans="1:14" x14ac:dyDescent="0.2">
      <c r="A161">
        <v>1983</v>
      </c>
      <c r="B161">
        <v>0.33811099999999999</v>
      </c>
      <c r="C161">
        <v>0.46434999999999998</v>
      </c>
      <c r="D161">
        <v>0.60913399999999995</v>
      </c>
      <c r="E161">
        <v>0.81948299999999996</v>
      </c>
      <c r="F161">
        <v>1.0870150000000001</v>
      </c>
      <c r="G161">
        <v>1.2538069999999999</v>
      </c>
      <c r="H161">
        <v>1.350741</v>
      </c>
      <c r="I161">
        <v>1.6732899999999999</v>
      </c>
      <c r="J161">
        <v>1.7612289999999999</v>
      </c>
      <c r="K161">
        <v>2.0038130000000001</v>
      </c>
      <c r="L161">
        <v>2.0830410000000001</v>
      </c>
      <c r="M161">
        <v>2.1698390000000001</v>
      </c>
      <c r="N161">
        <v>2.2021769999999998</v>
      </c>
    </row>
    <row r="162" spans="1:14" x14ac:dyDescent="0.2">
      <c r="A162">
        <v>1984</v>
      </c>
      <c r="B162">
        <v>0.33331300000000003</v>
      </c>
      <c r="C162">
        <v>0.43846400000000002</v>
      </c>
      <c r="D162">
        <v>0.57026699999999997</v>
      </c>
      <c r="E162">
        <v>0.71687800000000002</v>
      </c>
      <c r="F162">
        <v>0.92609399999999997</v>
      </c>
      <c r="G162">
        <v>1.190275</v>
      </c>
      <c r="H162">
        <v>1.3521479999999999</v>
      </c>
      <c r="I162">
        <v>1.443138</v>
      </c>
      <c r="J162">
        <v>1.7591509999999999</v>
      </c>
      <c r="K162">
        <v>1.840295</v>
      </c>
      <c r="L162">
        <v>2.0760770000000002</v>
      </c>
      <c r="M162">
        <v>2.1486730000000001</v>
      </c>
      <c r="N162">
        <v>2.2291319999999999</v>
      </c>
    </row>
    <row r="163" spans="1:14" x14ac:dyDescent="0.2">
      <c r="A163">
        <v>1985</v>
      </c>
      <c r="B163">
        <v>0.37051699999999999</v>
      </c>
      <c r="C163">
        <v>0.474298</v>
      </c>
      <c r="D163">
        <v>0.58726699999999998</v>
      </c>
      <c r="E163">
        <v>0.721638</v>
      </c>
      <c r="F163">
        <v>0.86665700000000001</v>
      </c>
      <c r="G163">
        <v>1.071164</v>
      </c>
      <c r="H163">
        <v>1.3284339999999999</v>
      </c>
      <c r="I163">
        <v>1.4819560000000001</v>
      </c>
      <c r="J163">
        <v>1.563763</v>
      </c>
      <c r="K163">
        <v>1.870231</v>
      </c>
      <c r="L163">
        <v>1.941818</v>
      </c>
      <c r="M163">
        <v>2.1682830000000002</v>
      </c>
      <c r="N163">
        <v>2.2319740000000001</v>
      </c>
    </row>
    <row r="164" spans="1:14" x14ac:dyDescent="0.2">
      <c r="A164">
        <v>1986</v>
      </c>
      <c r="B164">
        <v>0.30446699999999999</v>
      </c>
      <c r="C164">
        <v>0.43890800000000002</v>
      </c>
      <c r="D164">
        <v>0.54648200000000002</v>
      </c>
      <c r="E164">
        <v>0.66069599999999995</v>
      </c>
      <c r="F164">
        <v>0.79429400000000006</v>
      </c>
      <c r="G164">
        <v>0.937029</v>
      </c>
      <c r="H164">
        <v>1.1381840000000001</v>
      </c>
      <c r="I164">
        <v>1.3914029999999999</v>
      </c>
      <c r="J164">
        <v>1.54047</v>
      </c>
      <c r="K164">
        <v>1.6176470000000001</v>
      </c>
      <c r="L164">
        <v>1.9194789999999999</v>
      </c>
      <c r="M164">
        <v>1.9865470000000001</v>
      </c>
      <c r="N164">
        <v>2.2086920000000001</v>
      </c>
    </row>
    <row r="165" spans="1:14" x14ac:dyDescent="0.2">
      <c r="A165">
        <v>1987</v>
      </c>
      <c r="B165">
        <v>0.35013899999999998</v>
      </c>
      <c r="C165">
        <v>0.401146</v>
      </c>
      <c r="D165">
        <v>0.54094900000000001</v>
      </c>
      <c r="E165">
        <v>0.65028300000000006</v>
      </c>
      <c r="F165">
        <v>0.763405</v>
      </c>
      <c r="G165">
        <v>0.89377499999999999</v>
      </c>
      <c r="H165">
        <v>1.031771</v>
      </c>
      <c r="I165">
        <v>1.2271989999999999</v>
      </c>
      <c r="J165">
        <v>1.474121</v>
      </c>
      <c r="K165">
        <v>1.6166430000000001</v>
      </c>
      <c r="L165">
        <v>1.6872659999999999</v>
      </c>
      <c r="M165">
        <v>1.9827090000000001</v>
      </c>
      <c r="N165">
        <v>2.0436700000000001</v>
      </c>
    </row>
    <row r="166" spans="1:14" x14ac:dyDescent="0.2">
      <c r="A166">
        <v>1988</v>
      </c>
      <c r="B166">
        <v>0.32157400000000003</v>
      </c>
      <c r="C166">
        <v>0.43026999999999999</v>
      </c>
      <c r="D166">
        <v>0.48572100000000001</v>
      </c>
      <c r="E166">
        <v>0.62698299999999996</v>
      </c>
      <c r="F166">
        <v>0.73541199999999995</v>
      </c>
      <c r="G166">
        <v>0.845858</v>
      </c>
      <c r="H166">
        <v>0.97230000000000005</v>
      </c>
      <c r="I166">
        <v>1.1055489999999999</v>
      </c>
      <c r="J166">
        <v>1.2957590000000001</v>
      </c>
      <c r="K166">
        <v>1.537255</v>
      </c>
      <c r="L166">
        <v>1.674345</v>
      </c>
      <c r="M166">
        <v>1.739673</v>
      </c>
      <c r="N166">
        <v>2.0300549999999999</v>
      </c>
    </row>
    <row r="167" spans="1:14" x14ac:dyDescent="0.2">
      <c r="A167">
        <v>1989</v>
      </c>
      <c r="B167">
        <v>0.27511099999999999</v>
      </c>
      <c r="C167">
        <v>0.41153299999999998</v>
      </c>
      <c r="D167">
        <v>0.52521799999999996</v>
      </c>
      <c r="E167">
        <v>0.58230700000000002</v>
      </c>
      <c r="F167">
        <v>0.722553</v>
      </c>
      <c r="G167">
        <v>0.82797799999999999</v>
      </c>
      <c r="H167">
        <v>0.93401500000000004</v>
      </c>
      <c r="I167">
        <v>1.0551280000000001</v>
      </c>
      <c r="J167">
        <v>1.182518</v>
      </c>
      <c r="K167">
        <v>1.3666370000000001</v>
      </c>
      <c r="L167">
        <v>1.6020350000000001</v>
      </c>
      <c r="M167">
        <v>1.7331799999999999</v>
      </c>
      <c r="N167">
        <v>1.792826</v>
      </c>
    </row>
    <row r="168" spans="1:14" x14ac:dyDescent="0.2">
      <c r="A168">
        <v>1990</v>
      </c>
      <c r="B168">
        <v>0.28900700000000001</v>
      </c>
      <c r="C168">
        <v>0.42130299999999998</v>
      </c>
      <c r="D168">
        <v>0.565832</v>
      </c>
      <c r="E168">
        <v>0.68217899999999998</v>
      </c>
      <c r="F168">
        <v>0.737618</v>
      </c>
      <c r="G168">
        <v>0.87298100000000001</v>
      </c>
      <c r="H168">
        <v>0.97123999999999999</v>
      </c>
      <c r="I168">
        <v>1.0686169999999999</v>
      </c>
      <c r="J168">
        <v>1.1802079999999999</v>
      </c>
      <c r="K168">
        <v>1.297701</v>
      </c>
      <c r="L168">
        <v>1.4719100000000001</v>
      </c>
      <c r="M168">
        <v>1.6976469999999999</v>
      </c>
      <c r="N168">
        <v>1.819558</v>
      </c>
    </row>
    <row r="169" spans="1:14" x14ac:dyDescent="0.2">
      <c r="A169">
        <v>1991</v>
      </c>
      <c r="B169">
        <v>0.30399500000000002</v>
      </c>
      <c r="C169">
        <v>0.454876</v>
      </c>
      <c r="D169">
        <v>0.59636999999999996</v>
      </c>
      <c r="E169">
        <v>0.743919</v>
      </c>
      <c r="F169">
        <v>0.85839399999999999</v>
      </c>
      <c r="G169">
        <v>0.90829300000000002</v>
      </c>
      <c r="H169">
        <v>1.035525</v>
      </c>
      <c r="I169">
        <v>1.1239589999999999</v>
      </c>
      <c r="J169">
        <v>1.2105319999999999</v>
      </c>
      <c r="K169">
        <v>1.310894</v>
      </c>
      <c r="L169">
        <v>1.417143</v>
      </c>
      <c r="M169">
        <v>1.58039</v>
      </c>
      <c r="N169">
        <v>1.79565</v>
      </c>
    </row>
    <row r="170" spans="1:14" x14ac:dyDescent="0.2">
      <c r="A170">
        <v>1992</v>
      </c>
      <c r="B170">
        <v>0.34101300000000001</v>
      </c>
      <c r="C170">
        <v>0.39259100000000002</v>
      </c>
      <c r="D170">
        <v>0.54838399999999998</v>
      </c>
      <c r="E170">
        <v>0.691492</v>
      </c>
      <c r="F170">
        <v>0.83804100000000004</v>
      </c>
      <c r="G170">
        <v>0.94955599999999996</v>
      </c>
      <c r="H170">
        <v>0.99511300000000003</v>
      </c>
      <c r="I170">
        <v>1.117097</v>
      </c>
      <c r="J170">
        <v>1.1997599999999999</v>
      </c>
      <c r="K170">
        <v>1.2803359999999999</v>
      </c>
      <c r="L170">
        <v>1.374692</v>
      </c>
      <c r="M170">
        <v>1.4750859999999999</v>
      </c>
      <c r="N170">
        <v>1.6327370000000001</v>
      </c>
    </row>
    <row r="171" spans="1:14" x14ac:dyDescent="0.2">
      <c r="A171">
        <v>1993</v>
      </c>
      <c r="B171">
        <v>0.39328999999999997</v>
      </c>
      <c r="C171">
        <v>0.51637599999999995</v>
      </c>
      <c r="D171">
        <v>0.57767900000000005</v>
      </c>
      <c r="E171">
        <v>0.73666600000000004</v>
      </c>
      <c r="F171">
        <v>0.87779300000000005</v>
      </c>
      <c r="G171">
        <v>1.0184850000000001</v>
      </c>
      <c r="H171">
        <v>1.121405</v>
      </c>
      <c r="I171">
        <v>1.1565730000000001</v>
      </c>
      <c r="J171">
        <v>1.267136</v>
      </c>
      <c r="K171">
        <v>1.3379270000000001</v>
      </c>
      <c r="L171">
        <v>1.4066149999999999</v>
      </c>
      <c r="M171">
        <v>1.489382</v>
      </c>
      <c r="N171">
        <v>1.5786990000000001</v>
      </c>
    </row>
    <row r="172" spans="1:14" x14ac:dyDescent="0.2">
      <c r="A172">
        <v>1994</v>
      </c>
      <c r="B172">
        <v>0.36175499999999999</v>
      </c>
      <c r="C172">
        <v>0.53427500000000006</v>
      </c>
      <c r="D172">
        <v>0.66517899999999996</v>
      </c>
      <c r="E172">
        <v>0.72904899999999995</v>
      </c>
      <c r="F172">
        <v>0.88644400000000001</v>
      </c>
      <c r="G172">
        <v>1.0228630000000001</v>
      </c>
      <c r="H172">
        <v>1.156644</v>
      </c>
      <c r="I172">
        <v>1.251212</v>
      </c>
      <c r="J172">
        <v>1.277199</v>
      </c>
      <c r="K172">
        <v>1.3782160000000001</v>
      </c>
      <c r="L172">
        <v>1.439451</v>
      </c>
      <c r="M172">
        <v>1.498821</v>
      </c>
      <c r="N172">
        <v>1.5726830000000001</v>
      </c>
    </row>
    <row r="173" spans="1:14" x14ac:dyDescent="0.2">
      <c r="A173">
        <v>1995</v>
      </c>
      <c r="B173">
        <v>0.31687599999999999</v>
      </c>
      <c r="C173">
        <v>0.47104099999999999</v>
      </c>
      <c r="D173">
        <v>0.64961999999999998</v>
      </c>
      <c r="E173">
        <v>0.78251499999999996</v>
      </c>
      <c r="F173">
        <v>0.84515099999999999</v>
      </c>
      <c r="G173">
        <v>0.99889600000000001</v>
      </c>
      <c r="H173">
        <v>1.129958</v>
      </c>
      <c r="I173">
        <v>1.2572650000000001</v>
      </c>
      <c r="J173">
        <v>1.344716</v>
      </c>
      <c r="K173">
        <v>1.3633029999999999</v>
      </c>
      <c r="L173">
        <v>1.4569129999999999</v>
      </c>
      <c r="M173">
        <v>1.5109250000000001</v>
      </c>
      <c r="N173">
        <v>1.5633919999999999</v>
      </c>
    </row>
    <row r="174" spans="1:14" x14ac:dyDescent="0.2">
      <c r="A174">
        <v>1996</v>
      </c>
      <c r="B174">
        <v>0.33452999999999999</v>
      </c>
      <c r="C174">
        <v>0.39113799999999999</v>
      </c>
      <c r="D174">
        <v>0.54942000000000002</v>
      </c>
      <c r="E174">
        <v>0.729352</v>
      </c>
      <c r="F174">
        <v>0.86140799999999995</v>
      </c>
      <c r="G174">
        <v>0.92156400000000005</v>
      </c>
      <c r="H174">
        <v>1.071669</v>
      </c>
      <c r="I174">
        <v>1.198332</v>
      </c>
      <c r="J174">
        <v>1.3208029999999999</v>
      </c>
      <c r="K174">
        <v>1.4032260000000001</v>
      </c>
      <c r="L174">
        <v>1.416779</v>
      </c>
      <c r="M174">
        <v>1.5054810000000001</v>
      </c>
      <c r="N174">
        <v>1.554802</v>
      </c>
    </row>
    <row r="175" spans="1:14" x14ac:dyDescent="0.2">
      <c r="A175">
        <v>1997</v>
      </c>
      <c r="B175">
        <v>0.35469299999999998</v>
      </c>
      <c r="C175">
        <v>0.444994</v>
      </c>
      <c r="D175">
        <v>0.50772700000000004</v>
      </c>
      <c r="E175">
        <v>0.66802099999999998</v>
      </c>
      <c r="F175">
        <v>0.84670599999999996</v>
      </c>
      <c r="G175">
        <v>0.97507299999999997</v>
      </c>
      <c r="H175">
        <v>1.029814</v>
      </c>
      <c r="I175">
        <v>1.1733750000000001</v>
      </c>
      <c r="J175">
        <v>1.292843</v>
      </c>
      <c r="K175">
        <v>1.4078360000000001</v>
      </c>
      <c r="L175">
        <v>1.4827710000000001</v>
      </c>
      <c r="M175">
        <v>1.4890239999999999</v>
      </c>
      <c r="N175">
        <v>1.570748</v>
      </c>
    </row>
    <row r="176" spans="1:14" x14ac:dyDescent="0.2">
      <c r="A176">
        <v>1998</v>
      </c>
      <c r="B176">
        <v>0.31020399999999998</v>
      </c>
      <c r="C176">
        <v>0.40112999999999999</v>
      </c>
      <c r="D176">
        <v>0.49400500000000003</v>
      </c>
      <c r="E176">
        <v>0.55758399999999997</v>
      </c>
      <c r="F176">
        <v>0.71735400000000005</v>
      </c>
      <c r="G176">
        <v>0.89448799999999995</v>
      </c>
      <c r="H176">
        <v>1.020578</v>
      </c>
      <c r="I176">
        <v>1.072568</v>
      </c>
      <c r="J176">
        <v>1.213106</v>
      </c>
      <c r="K176">
        <v>1.3294299999999999</v>
      </c>
      <c r="L176">
        <v>1.4412750000000001</v>
      </c>
      <c r="M176">
        <v>1.5131410000000001</v>
      </c>
      <c r="N176">
        <v>1.5164610000000001</v>
      </c>
    </row>
    <row r="177" spans="1:14" x14ac:dyDescent="0.2">
      <c r="A177">
        <v>1999</v>
      </c>
      <c r="B177">
        <v>0.32985700000000001</v>
      </c>
      <c r="C177">
        <v>0.43161100000000002</v>
      </c>
      <c r="D177">
        <v>0.52926899999999999</v>
      </c>
      <c r="E177">
        <v>0.62435600000000002</v>
      </c>
      <c r="F177">
        <v>0.68656399999999995</v>
      </c>
      <c r="G177">
        <v>0.842279</v>
      </c>
      <c r="H177">
        <v>1.0134620000000001</v>
      </c>
      <c r="I177">
        <v>1.13236</v>
      </c>
      <c r="J177">
        <v>1.1764429999999999</v>
      </c>
      <c r="K177">
        <v>1.3087610000000001</v>
      </c>
      <c r="L177">
        <v>1.416855</v>
      </c>
      <c r="M177">
        <v>1.5206770000000001</v>
      </c>
      <c r="N177">
        <v>1.5848739999999999</v>
      </c>
    </row>
    <row r="178" spans="1:14" x14ac:dyDescent="0.2">
      <c r="A178">
        <v>2000</v>
      </c>
      <c r="B178">
        <v>0.30130200000000001</v>
      </c>
      <c r="C178">
        <v>0.40886</v>
      </c>
      <c r="D178">
        <v>0.51499499999999998</v>
      </c>
      <c r="E178">
        <v>0.61409199999999997</v>
      </c>
      <c r="F178">
        <v>0.70828599999999997</v>
      </c>
      <c r="G178">
        <v>0.76785599999999998</v>
      </c>
      <c r="H178">
        <v>0.91969800000000002</v>
      </c>
      <c r="I178">
        <v>1.086201</v>
      </c>
      <c r="J178">
        <v>1.199954</v>
      </c>
      <c r="K178">
        <v>1.2386889999999999</v>
      </c>
      <c r="L178">
        <v>1.3656509999999999</v>
      </c>
      <c r="M178">
        <v>1.4685250000000001</v>
      </c>
      <c r="N178">
        <v>1.567356</v>
      </c>
    </row>
    <row r="179" spans="1:14" x14ac:dyDescent="0.2">
      <c r="A179">
        <v>2001</v>
      </c>
      <c r="B179">
        <v>0.33871499999999999</v>
      </c>
      <c r="C179">
        <v>0.45316699999999999</v>
      </c>
      <c r="D179">
        <v>0.56914600000000004</v>
      </c>
      <c r="E179">
        <v>0.67804699999999996</v>
      </c>
      <c r="F179">
        <v>0.77542900000000003</v>
      </c>
      <c r="G179">
        <v>0.86455199999999999</v>
      </c>
      <c r="H179">
        <v>0.91667699999999996</v>
      </c>
      <c r="I179">
        <v>1.059523</v>
      </c>
      <c r="J179">
        <v>1.216135</v>
      </c>
      <c r="K179">
        <v>1.319607</v>
      </c>
      <c r="L179">
        <v>1.348047</v>
      </c>
      <c r="M179">
        <v>1.4649730000000001</v>
      </c>
      <c r="N179">
        <v>1.558254</v>
      </c>
    </row>
    <row r="180" spans="1:14" x14ac:dyDescent="0.2">
      <c r="A180">
        <v>2002</v>
      </c>
      <c r="B180">
        <v>0.33280100000000001</v>
      </c>
      <c r="C180">
        <v>0.44964199999999999</v>
      </c>
      <c r="D180">
        <v>0.570245</v>
      </c>
      <c r="E180">
        <v>0.68824399999999997</v>
      </c>
      <c r="F180">
        <v>0.79589200000000004</v>
      </c>
      <c r="G180">
        <v>0.88956999999999997</v>
      </c>
      <c r="H180">
        <v>0.97325499999999998</v>
      </c>
      <c r="I180">
        <v>1.01881</v>
      </c>
      <c r="J180">
        <v>1.154431</v>
      </c>
      <c r="K180">
        <v>1.3035330000000001</v>
      </c>
      <c r="L180">
        <v>1.399486</v>
      </c>
      <c r="M180">
        <v>1.4205950000000001</v>
      </c>
      <c r="N180">
        <v>1.5305139999999999</v>
      </c>
    </row>
    <row r="181" spans="1:14" x14ac:dyDescent="0.2">
      <c r="A181">
        <v>2003</v>
      </c>
      <c r="B181">
        <v>0.34610200000000002</v>
      </c>
      <c r="C181">
        <v>0.44203599999999998</v>
      </c>
      <c r="D181">
        <v>0.56493400000000005</v>
      </c>
      <c r="E181">
        <v>0.68752599999999997</v>
      </c>
      <c r="F181">
        <v>0.80429200000000001</v>
      </c>
      <c r="G181">
        <v>0.90829199999999999</v>
      </c>
      <c r="H181">
        <v>0.99661500000000003</v>
      </c>
      <c r="I181">
        <v>1.0738289999999999</v>
      </c>
      <c r="J181">
        <v>1.112269</v>
      </c>
      <c r="K181">
        <v>1.2404949999999999</v>
      </c>
      <c r="L181">
        <v>1.382193</v>
      </c>
      <c r="M181">
        <v>1.470926</v>
      </c>
      <c r="N181">
        <v>1.485136</v>
      </c>
    </row>
    <row r="182" spans="1:14" x14ac:dyDescent="0.2">
      <c r="A182">
        <v>2004</v>
      </c>
      <c r="B182">
        <v>0.33404899999999998</v>
      </c>
      <c r="C182">
        <v>0.49804300000000001</v>
      </c>
      <c r="D182">
        <v>0.60240199999999999</v>
      </c>
      <c r="E182">
        <v>0.72806700000000002</v>
      </c>
      <c r="F182">
        <v>0.84894400000000003</v>
      </c>
      <c r="G182">
        <v>0.96063500000000002</v>
      </c>
      <c r="H182">
        <v>1.0571870000000001</v>
      </c>
      <c r="I182">
        <v>1.1365099999999999</v>
      </c>
      <c r="J182">
        <v>1.2038279999999999</v>
      </c>
      <c r="K182">
        <v>1.2319819999999999</v>
      </c>
      <c r="L182">
        <v>1.3499080000000001</v>
      </c>
      <c r="M182">
        <v>1.4815640000000001</v>
      </c>
      <c r="N182">
        <v>1.5607009999999999</v>
      </c>
    </row>
    <row r="183" spans="1:14" x14ac:dyDescent="0.2">
      <c r="A183">
        <v>2005</v>
      </c>
      <c r="B183">
        <v>0.27844999999999998</v>
      </c>
      <c r="C183">
        <v>0.40367199999999998</v>
      </c>
      <c r="D183">
        <v>0.57152700000000001</v>
      </c>
      <c r="E183">
        <v>0.67715400000000003</v>
      </c>
      <c r="F183">
        <v>0.802033</v>
      </c>
      <c r="G183">
        <v>0.92058399999999996</v>
      </c>
      <c r="H183">
        <v>1.0288619999999999</v>
      </c>
      <c r="I183">
        <v>1.1212899999999999</v>
      </c>
      <c r="J183">
        <v>1.196078</v>
      </c>
      <c r="K183">
        <v>1.258683</v>
      </c>
      <c r="L183">
        <v>1.282117</v>
      </c>
      <c r="M183">
        <v>1.395443</v>
      </c>
      <c r="N183">
        <v>1.5227010000000001</v>
      </c>
    </row>
    <row r="184" spans="1:14" x14ac:dyDescent="0.2">
      <c r="A184">
        <v>2006</v>
      </c>
      <c r="B184">
        <v>0.308139</v>
      </c>
      <c r="C184">
        <v>0.443718</v>
      </c>
      <c r="D184">
        <v>0.57810399999999995</v>
      </c>
      <c r="E184">
        <v>0.748969</v>
      </c>
      <c r="F184">
        <v>0.85272999999999999</v>
      </c>
      <c r="G184">
        <v>0.97208899999999998</v>
      </c>
      <c r="H184">
        <v>1.0825389999999999</v>
      </c>
      <c r="I184">
        <v>1.181028</v>
      </c>
      <c r="J184">
        <v>1.262691</v>
      </c>
      <c r="K184">
        <v>1.3262910000000001</v>
      </c>
      <c r="L184">
        <v>1.3776930000000001</v>
      </c>
      <c r="M184">
        <v>1.390204</v>
      </c>
      <c r="N184">
        <v>1.4930909999999999</v>
      </c>
    </row>
    <row r="185" spans="1:14" x14ac:dyDescent="0.2">
      <c r="A185">
        <v>2007</v>
      </c>
      <c r="B185">
        <v>0.30641600000000002</v>
      </c>
      <c r="C185">
        <v>0.49271999999999999</v>
      </c>
      <c r="D185">
        <v>0.63853499999999996</v>
      </c>
      <c r="E185">
        <v>0.77628200000000003</v>
      </c>
      <c r="F185">
        <v>0.94506299999999999</v>
      </c>
      <c r="G185">
        <v>1.042659</v>
      </c>
      <c r="H185">
        <v>1.1529700000000001</v>
      </c>
      <c r="I185">
        <v>1.2524869999999999</v>
      </c>
      <c r="J185">
        <v>1.3389530000000001</v>
      </c>
      <c r="K185">
        <v>1.40812</v>
      </c>
      <c r="L185">
        <v>1.4592080000000001</v>
      </c>
      <c r="M185">
        <v>1.4984109999999999</v>
      </c>
      <c r="N185">
        <v>1.4992639999999999</v>
      </c>
    </row>
    <row r="186" spans="1:14" x14ac:dyDescent="0.2">
      <c r="A186">
        <v>2008</v>
      </c>
      <c r="B186">
        <v>0.30710300000000001</v>
      </c>
      <c r="C186">
        <v>0.45609699999999997</v>
      </c>
      <c r="D186">
        <v>0.65070099999999997</v>
      </c>
      <c r="E186">
        <v>0.79924099999999998</v>
      </c>
      <c r="F186">
        <v>0.93529799999999996</v>
      </c>
      <c r="G186">
        <v>1.0990800000000001</v>
      </c>
      <c r="H186">
        <v>1.1893389999999999</v>
      </c>
      <c r="I186">
        <v>1.2907839999999999</v>
      </c>
      <c r="J186">
        <v>1.380552</v>
      </c>
      <c r="K186">
        <v>1.456885</v>
      </c>
      <c r="L186">
        <v>1.515906</v>
      </c>
      <c r="M186">
        <v>1.5571010000000001</v>
      </c>
      <c r="N186">
        <v>1.5868500000000001</v>
      </c>
    </row>
    <row r="187" spans="1:14" x14ac:dyDescent="0.2">
      <c r="A187">
        <v>2009</v>
      </c>
      <c r="B187">
        <v>0.35264299999999998</v>
      </c>
      <c r="C187">
        <v>0.53325699999999998</v>
      </c>
      <c r="D187">
        <v>0.69479199999999997</v>
      </c>
      <c r="E187">
        <v>0.89351400000000003</v>
      </c>
      <c r="F187">
        <v>1.039501</v>
      </c>
      <c r="G187">
        <v>1.168005</v>
      </c>
      <c r="H187">
        <v>1.3207009999999999</v>
      </c>
      <c r="I187">
        <v>1.397564</v>
      </c>
      <c r="J187">
        <v>1.4842789999999999</v>
      </c>
      <c r="K187">
        <v>1.5587359999999999</v>
      </c>
      <c r="L187">
        <v>1.619739</v>
      </c>
      <c r="M187">
        <v>1.6638139999999999</v>
      </c>
      <c r="N187">
        <v>1.6907239999999999</v>
      </c>
    </row>
    <row r="188" spans="1:14" x14ac:dyDescent="0.2">
      <c r="A188">
        <v>2010</v>
      </c>
      <c r="B188">
        <v>0.26981699999999997</v>
      </c>
      <c r="C188">
        <v>0.44695499999999999</v>
      </c>
      <c r="D188">
        <v>0.632799</v>
      </c>
      <c r="E188">
        <v>0.79605099999999995</v>
      </c>
      <c r="F188">
        <v>0.99370899999999995</v>
      </c>
      <c r="G188">
        <v>1.1365460000000001</v>
      </c>
      <c r="H188">
        <v>1.260427</v>
      </c>
      <c r="I188">
        <v>1.4075359999999999</v>
      </c>
      <c r="J188">
        <v>1.478256</v>
      </c>
      <c r="K188">
        <v>1.558586</v>
      </c>
      <c r="L188">
        <v>1.6266499999999999</v>
      </c>
      <c r="M188">
        <v>1.6814199999999999</v>
      </c>
      <c r="N188">
        <v>1.719538</v>
      </c>
    </row>
    <row r="189" spans="1:14" x14ac:dyDescent="0.2">
      <c r="A189">
        <v>2011</v>
      </c>
      <c r="B189">
        <v>0.24698800000000001</v>
      </c>
      <c r="C189">
        <v>0.431149</v>
      </c>
      <c r="D189">
        <v>0.61723300000000003</v>
      </c>
      <c r="E189">
        <v>0.80601500000000004</v>
      </c>
      <c r="F189">
        <v>0.96744600000000003</v>
      </c>
      <c r="G189">
        <v>1.1597150000000001</v>
      </c>
      <c r="H189">
        <v>1.2946439999999999</v>
      </c>
      <c r="I189">
        <v>1.408968</v>
      </c>
      <c r="J189">
        <v>1.545569</v>
      </c>
      <c r="K189">
        <v>1.605367</v>
      </c>
      <c r="L189">
        <v>1.6747609999999999</v>
      </c>
      <c r="M189">
        <v>1.7321629999999999</v>
      </c>
      <c r="N189">
        <v>1.776743</v>
      </c>
    </row>
    <row r="190" spans="1:14" x14ac:dyDescent="0.2">
      <c r="A190">
        <v>2012</v>
      </c>
      <c r="B190">
        <v>0.27789999999999998</v>
      </c>
      <c r="C190">
        <v>0.39443800000000001</v>
      </c>
      <c r="D190">
        <v>0.58677500000000005</v>
      </c>
      <c r="E190">
        <v>0.77554500000000004</v>
      </c>
      <c r="F190">
        <v>0.96266200000000002</v>
      </c>
      <c r="G190">
        <v>1.1191679999999999</v>
      </c>
      <c r="H190">
        <v>1.304209</v>
      </c>
      <c r="I190">
        <v>1.430404</v>
      </c>
      <c r="J190">
        <v>1.5351250000000001</v>
      </c>
      <c r="K190">
        <v>1.6617440000000001</v>
      </c>
      <c r="L190">
        <v>1.711546</v>
      </c>
      <c r="M190">
        <v>1.771196</v>
      </c>
      <c r="N190">
        <v>1.8192839999999999</v>
      </c>
    </row>
    <row r="191" spans="1:14" x14ac:dyDescent="0.2">
      <c r="A191">
        <v>2013</v>
      </c>
      <c r="B191">
        <v>0.34531600000000001</v>
      </c>
      <c r="C191">
        <v>0.43754799999999999</v>
      </c>
      <c r="D191">
        <v>0.56294</v>
      </c>
      <c r="E191">
        <v>0.75818399999999997</v>
      </c>
      <c r="F191">
        <v>0.94515099999999996</v>
      </c>
      <c r="G191">
        <v>1.1269359999999999</v>
      </c>
      <c r="H191">
        <v>1.275617</v>
      </c>
      <c r="I191">
        <v>1.451201</v>
      </c>
      <c r="J191">
        <v>1.5669979999999999</v>
      </c>
      <c r="K191">
        <v>1.6609100000000001</v>
      </c>
      <c r="L191">
        <v>1.776707</v>
      </c>
      <c r="M191">
        <v>1.8159590000000001</v>
      </c>
      <c r="N191">
        <v>1.865524</v>
      </c>
    </row>
    <row r="192" spans="1:14" x14ac:dyDescent="0.2">
      <c r="A192">
        <v>2014</v>
      </c>
      <c r="B192">
        <v>0.411665</v>
      </c>
      <c r="C192">
        <v>0.48963000000000001</v>
      </c>
      <c r="D192">
        <v>0.58986499999999997</v>
      </c>
      <c r="E192">
        <v>0.71788399999999997</v>
      </c>
      <c r="F192">
        <v>0.91149899999999995</v>
      </c>
      <c r="G192">
        <v>1.0936459999999999</v>
      </c>
      <c r="H192">
        <v>1.268357</v>
      </c>
      <c r="I192">
        <v>1.4084890000000001</v>
      </c>
      <c r="J192">
        <v>1.574675</v>
      </c>
      <c r="K192">
        <v>1.680701</v>
      </c>
      <c r="L192">
        <v>1.764831</v>
      </c>
      <c r="M192">
        <v>1.8710899999999999</v>
      </c>
      <c r="N192">
        <v>1.901227</v>
      </c>
    </row>
    <row r="193" spans="1:14" x14ac:dyDescent="0.2">
      <c r="A193">
        <v>2015</v>
      </c>
      <c r="B193">
        <v>0.37410199999999999</v>
      </c>
      <c r="C193">
        <v>0.44882699999999998</v>
      </c>
      <c r="D193">
        <v>0.52885300000000002</v>
      </c>
      <c r="E193">
        <v>0.62976500000000002</v>
      </c>
      <c r="F193">
        <v>0.75736499999999995</v>
      </c>
      <c r="G193">
        <v>0.949739</v>
      </c>
      <c r="H193">
        <v>1.130064</v>
      </c>
      <c r="I193">
        <v>1.3025739999999999</v>
      </c>
      <c r="J193">
        <v>1.440285</v>
      </c>
      <c r="K193">
        <v>1.603955</v>
      </c>
      <c r="L193">
        <v>1.707462</v>
      </c>
      <c r="M193">
        <v>1.7891360000000001</v>
      </c>
      <c r="N193">
        <v>1.8930480000000001</v>
      </c>
    </row>
    <row r="194" spans="1:14" x14ac:dyDescent="0.2">
      <c r="A194">
        <v>2016</v>
      </c>
      <c r="B194">
        <v>0.30038199999999998</v>
      </c>
      <c r="C194">
        <v>0.43488399999999999</v>
      </c>
      <c r="D194">
        <v>0.51297999999999999</v>
      </c>
      <c r="E194">
        <v>0.594113</v>
      </c>
      <c r="F194">
        <v>0.69433800000000001</v>
      </c>
      <c r="G194">
        <v>0.81990799999999997</v>
      </c>
      <c r="H194">
        <v>1.0093019999999999</v>
      </c>
      <c r="I194">
        <v>1.1860269999999999</v>
      </c>
      <c r="J194">
        <v>1.3545780000000001</v>
      </c>
      <c r="K194">
        <v>1.488175</v>
      </c>
      <c r="L194">
        <v>1.647724</v>
      </c>
      <c r="M194">
        <v>1.747214</v>
      </c>
      <c r="N194">
        <v>1.825048</v>
      </c>
    </row>
    <row r="195" spans="1:14" x14ac:dyDescent="0.2">
      <c r="A195">
        <v>2017</v>
      </c>
      <c r="B195">
        <v>0.33590100000000001</v>
      </c>
      <c r="C195">
        <v>0.41707899999999998</v>
      </c>
      <c r="D195">
        <v>0.55805199999999999</v>
      </c>
      <c r="E195">
        <v>0.63827299999999998</v>
      </c>
      <c r="F195">
        <v>0.71808899999999998</v>
      </c>
      <c r="G195">
        <v>0.81441600000000003</v>
      </c>
      <c r="H195">
        <v>0.93426600000000004</v>
      </c>
      <c r="I195">
        <v>1.1167480000000001</v>
      </c>
      <c r="J195">
        <v>1.2858719999999999</v>
      </c>
      <c r="K195">
        <v>1.4465220000000001</v>
      </c>
      <c r="L195">
        <v>1.572208</v>
      </c>
      <c r="M195">
        <v>1.724045</v>
      </c>
      <c r="N195">
        <v>1.8161639999999999</v>
      </c>
    </row>
    <row r="196" spans="1:14" x14ac:dyDescent="0.2">
      <c r="A196">
        <v>2018</v>
      </c>
      <c r="B196">
        <v>0.36114200000000002</v>
      </c>
      <c r="C196">
        <v>0.43115700000000001</v>
      </c>
      <c r="D196">
        <v>0.51761800000000002</v>
      </c>
      <c r="E196">
        <v>0.66032500000000005</v>
      </c>
      <c r="F196">
        <v>0.73947099999999999</v>
      </c>
      <c r="G196">
        <v>0.81610499999999997</v>
      </c>
      <c r="H196">
        <v>0.90776299999999999</v>
      </c>
      <c r="I196">
        <v>1.021971</v>
      </c>
      <c r="J196">
        <v>1.198248</v>
      </c>
      <c r="K196">
        <v>1.3609230000000001</v>
      </c>
      <c r="L196">
        <v>1.515117</v>
      </c>
      <c r="M196">
        <v>1.6345069999999999</v>
      </c>
      <c r="N196">
        <v>1.780327</v>
      </c>
    </row>
    <row r="197" spans="1:14" x14ac:dyDescent="0.2">
      <c r="A197">
        <v>2019</v>
      </c>
      <c r="B197">
        <v>0.434892</v>
      </c>
      <c r="C197">
        <v>0.54907399999999995</v>
      </c>
      <c r="D197">
        <v>0.62951000000000001</v>
      </c>
      <c r="E197">
        <v>0.71939299999999995</v>
      </c>
      <c r="F197">
        <v>0.85997900000000005</v>
      </c>
      <c r="G197">
        <v>0.93284800000000001</v>
      </c>
      <c r="H197">
        <v>1.00027</v>
      </c>
      <c r="I197">
        <v>1.0807960000000001</v>
      </c>
      <c r="J197">
        <v>1.182763</v>
      </c>
      <c r="K197">
        <v>1.346317</v>
      </c>
      <c r="L197">
        <v>1.4962530000000001</v>
      </c>
      <c r="M197">
        <v>1.6380269999999999</v>
      </c>
      <c r="N197">
        <v>1.745547</v>
      </c>
    </row>
    <row r="198" spans="1:14" x14ac:dyDescent="0.2">
      <c r="A198">
        <v>2020</v>
      </c>
      <c r="B198">
        <v>0.36076999999999998</v>
      </c>
      <c r="C198">
        <v>0.485898</v>
      </c>
      <c r="D198">
        <v>0.602908</v>
      </c>
      <c r="E198">
        <v>0.68427300000000002</v>
      </c>
      <c r="F198">
        <v>0.77358000000000005</v>
      </c>
      <c r="G198">
        <v>0.912462</v>
      </c>
      <c r="H198">
        <v>0.98283100000000001</v>
      </c>
      <c r="I198">
        <v>1.047231</v>
      </c>
      <c r="J198">
        <v>1.124436</v>
      </c>
      <c r="K198">
        <v>1.2229490000000001</v>
      </c>
      <c r="L198">
        <v>1.383046</v>
      </c>
      <c r="M198">
        <v>1.5296110000000001</v>
      </c>
      <c r="N198">
        <v>1.6681630000000001</v>
      </c>
    </row>
    <row r="199" spans="1:14" x14ac:dyDescent="0.2">
      <c r="A199">
        <v>2021</v>
      </c>
      <c r="B199">
        <v>0.30450700000000003</v>
      </c>
      <c r="C199">
        <v>0.41280600000000001</v>
      </c>
      <c r="D199">
        <v>0.54081900000000005</v>
      </c>
      <c r="E199">
        <v>0.65877699999999995</v>
      </c>
      <c r="F199">
        <v>0.73955400000000004</v>
      </c>
      <c r="G199">
        <v>0.82712300000000005</v>
      </c>
      <c r="H199">
        <v>0.96345499999999995</v>
      </c>
      <c r="I199">
        <v>1.0307409999999999</v>
      </c>
      <c r="J199">
        <v>1.091753</v>
      </c>
      <c r="K199">
        <v>1.1654340000000001</v>
      </c>
      <c r="L199">
        <v>1.2604200000000001</v>
      </c>
      <c r="M199">
        <v>1.4170780000000001</v>
      </c>
      <c r="N199">
        <v>1.560357</v>
      </c>
    </row>
    <row r="200" spans="1:14" x14ac:dyDescent="0.2">
      <c r="A200">
        <v>2022</v>
      </c>
      <c r="B200">
        <v>0.36486499999999999</v>
      </c>
      <c r="C200">
        <v>0.44442399999999999</v>
      </c>
      <c r="D200">
        <v>0.56048200000000004</v>
      </c>
      <c r="E200">
        <v>0.69104299999999996</v>
      </c>
      <c r="F200">
        <v>0.80742100000000006</v>
      </c>
      <c r="G200">
        <v>0.88352600000000003</v>
      </c>
      <c r="H200">
        <v>0.96423599999999998</v>
      </c>
      <c r="I200">
        <v>1.0922799999999999</v>
      </c>
      <c r="J200">
        <v>1.1504529999999999</v>
      </c>
      <c r="K200">
        <v>1.2019919999999999</v>
      </c>
      <c r="L200">
        <v>1.266189</v>
      </c>
      <c r="M200">
        <v>1.351928</v>
      </c>
      <c r="N200">
        <v>1.4997480000000001</v>
      </c>
    </row>
    <row r="201" spans="1:14" x14ac:dyDescent="0.2">
      <c r="A201">
        <v>2023</v>
      </c>
      <c r="B201">
        <v>0.34967300000000001</v>
      </c>
      <c r="C201">
        <v>0.42628899999999997</v>
      </c>
      <c r="D201">
        <v>0.50925500000000001</v>
      </c>
      <c r="E201">
        <v>0.62643099999999996</v>
      </c>
      <c r="F201">
        <v>0.75629900000000005</v>
      </c>
      <c r="G201">
        <v>0.87062499999999998</v>
      </c>
      <c r="H201">
        <v>0.94371899999999997</v>
      </c>
      <c r="I201">
        <v>1.020791</v>
      </c>
      <c r="J201">
        <v>1.1448339999999999</v>
      </c>
      <c r="K201">
        <v>1.1988490000000001</v>
      </c>
      <c r="L201">
        <v>1.246224</v>
      </c>
      <c r="M201">
        <v>1.3063610000000001</v>
      </c>
      <c r="N201">
        <v>1.3882209999999999</v>
      </c>
    </row>
    <row r="202" spans="1:14" x14ac:dyDescent="0.2">
      <c r="A202">
        <v>2024</v>
      </c>
      <c r="B202">
        <v>0.321552</v>
      </c>
      <c r="C202">
        <v>0.53394399999999997</v>
      </c>
      <c r="D202">
        <v>0.62077899999999997</v>
      </c>
      <c r="E202">
        <v>0.70709999999999995</v>
      </c>
      <c r="F202">
        <v>0.82219600000000004</v>
      </c>
      <c r="G202">
        <v>0.945909</v>
      </c>
      <c r="H202">
        <v>1.0512030000000001</v>
      </c>
      <c r="I202">
        <v>1.113381</v>
      </c>
      <c r="J202">
        <v>1.1784509999999999</v>
      </c>
      <c r="K202">
        <v>1.290019</v>
      </c>
      <c r="L202">
        <v>1.331542</v>
      </c>
      <c r="M202">
        <v>1.3667389999999999</v>
      </c>
      <c r="N202">
        <v>1.415238</v>
      </c>
    </row>
    <row r="203" spans="1:14" x14ac:dyDescent="0.2">
      <c r="A203">
        <v>2025</v>
      </c>
      <c r="B203">
        <v>0.31324600000000002</v>
      </c>
      <c r="C203">
        <v>0.45062600000000003</v>
      </c>
      <c r="D203">
        <v>0.67017599999999999</v>
      </c>
      <c r="E203">
        <v>0.75936099999999995</v>
      </c>
      <c r="F203">
        <v>0.844225</v>
      </c>
      <c r="G203">
        <v>0.95501000000000003</v>
      </c>
      <c r="H203">
        <v>1.0723959999999999</v>
      </c>
      <c r="I203">
        <v>1.1700440000000001</v>
      </c>
      <c r="J203">
        <v>1.223816</v>
      </c>
      <c r="K203">
        <v>1.2801469999999999</v>
      </c>
      <c r="L203">
        <v>1.382965</v>
      </c>
      <c r="M203">
        <v>1.415959</v>
      </c>
      <c r="N203">
        <v>1.443003</v>
      </c>
    </row>
    <row r="204" spans="1:14" x14ac:dyDescent="0.2">
      <c r="A204">
        <v>2026</v>
      </c>
      <c r="B204">
        <v>0.31324600000000002</v>
      </c>
      <c r="C204">
        <v>0.44231999999999999</v>
      </c>
      <c r="D204">
        <v>0.58685799999999999</v>
      </c>
      <c r="E204">
        <v>0.80875799999999998</v>
      </c>
      <c r="F204">
        <v>0.89648600000000001</v>
      </c>
      <c r="G204">
        <v>0.97703799999999996</v>
      </c>
      <c r="H204">
        <v>1.0814969999999999</v>
      </c>
      <c r="I204">
        <v>1.1912370000000001</v>
      </c>
      <c r="J204">
        <v>1.280478</v>
      </c>
      <c r="K204">
        <v>1.325512</v>
      </c>
      <c r="L204">
        <v>1.373094</v>
      </c>
      <c r="M204">
        <v>1.467382</v>
      </c>
      <c r="N204">
        <v>1.4922219999999999</v>
      </c>
    </row>
    <row r="205" spans="1:14" x14ac:dyDescent="0.2">
      <c r="A205" t="s">
        <v>69</v>
      </c>
    </row>
    <row r="206" spans="1:14" x14ac:dyDescent="0.2">
      <c r="B206">
        <v>1.6365999999999999E-2</v>
      </c>
      <c r="C206">
        <v>5.7543999999999998E-2</v>
      </c>
      <c r="D206">
        <v>-1.538E-2</v>
      </c>
      <c r="E206">
        <v>-1.5629000000000001E-2</v>
      </c>
      <c r="F206">
        <v>-1.8912999999999999E-2</v>
      </c>
      <c r="G206">
        <v>-5.6486000000000001E-2</v>
      </c>
      <c r="H206">
        <v>1.0062E-2</v>
      </c>
      <c r="I206">
        <v>-9.3675999999999995E-2</v>
      </c>
      <c r="J206">
        <v>-3.0542E-2</v>
      </c>
      <c r="K206">
        <v>-8.4949999999999998E-2</v>
      </c>
      <c r="L206">
        <v>-0.16114500000000001</v>
      </c>
      <c r="M206">
        <v>-0.25915700000000003</v>
      </c>
      <c r="N206">
        <v>-0.50465099999999996</v>
      </c>
    </row>
    <row r="207" spans="1:14" x14ac:dyDescent="0.2">
      <c r="B207">
        <v>-3.8889E-2</v>
      </c>
      <c r="C207">
        <v>-4.5240000000000002E-3</v>
      </c>
      <c r="D207">
        <v>0.119903</v>
      </c>
      <c r="E207">
        <v>1.3823999999999999E-2</v>
      </c>
      <c r="F207">
        <v>-2.2946000000000001E-2</v>
      </c>
      <c r="G207">
        <v>4.6297999999999999E-2</v>
      </c>
      <c r="H207">
        <v>3.49E-2</v>
      </c>
      <c r="I207">
        <v>0.1026</v>
      </c>
      <c r="J207">
        <v>3.7753000000000002E-2</v>
      </c>
      <c r="K207">
        <v>5.5920999999999998E-2</v>
      </c>
      <c r="L207">
        <v>-0.243926</v>
      </c>
      <c r="M207">
        <v>-8.0183000000000004E-2</v>
      </c>
      <c r="N207">
        <v>-0.15384100000000001</v>
      </c>
    </row>
    <row r="208" spans="1:14" x14ac:dyDescent="0.2">
      <c r="B208">
        <v>-2.9288999999999999E-2</v>
      </c>
      <c r="C208">
        <v>9.6919999999999992E-3</v>
      </c>
      <c r="D208">
        <v>2.2596000000000002E-2</v>
      </c>
      <c r="E208">
        <v>2.7494000000000001E-2</v>
      </c>
      <c r="F208">
        <v>4.5769999999999998E-2</v>
      </c>
      <c r="G208">
        <v>2.0455999999999998E-2</v>
      </c>
      <c r="H208">
        <v>7.9576999999999995E-2</v>
      </c>
      <c r="I208">
        <v>6.9639000000000006E-2</v>
      </c>
      <c r="J208">
        <v>0.18584300000000001</v>
      </c>
      <c r="K208">
        <v>0.27343699999999999</v>
      </c>
      <c r="L208">
        <v>0.22528400000000001</v>
      </c>
      <c r="M208">
        <v>0.18554499999999999</v>
      </c>
      <c r="N208">
        <v>2.4105000000000001E-2</v>
      </c>
    </row>
    <row r="209" spans="2:14" x14ac:dyDescent="0.2">
      <c r="B209">
        <v>-5.0923999999999997E-2</v>
      </c>
      <c r="C209">
        <v>3.1660000000000001E-2</v>
      </c>
      <c r="D209">
        <v>2.3E-3</v>
      </c>
      <c r="E209">
        <v>-3.6867999999999998E-2</v>
      </c>
      <c r="F209">
        <v>-0.22400500000000001</v>
      </c>
      <c r="G209">
        <v>6.8478999999999998E-2</v>
      </c>
      <c r="H209">
        <v>0.28620299999999999</v>
      </c>
      <c r="I209">
        <v>0.145147</v>
      </c>
      <c r="J209">
        <v>0.20131199999999999</v>
      </c>
      <c r="K209">
        <v>0.11989</v>
      </c>
      <c r="L209">
        <v>0.13668</v>
      </c>
      <c r="M209">
        <v>-0.19497800000000001</v>
      </c>
      <c r="N209">
        <v>6.9197999999999996E-2</v>
      </c>
    </row>
    <row r="210" spans="2:14" x14ac:dyDescent="0.2">
      <c r="B210">
        <v>0.103894</v>
      </c>
      <c r="C210">
        <v>1.6258999999999999E-2</v>
      </c>
      <c r="D210">
        <v>3.2552999999999999E-2</v>
      </c>
      <c r="E210">
        <v>-3.1150000000000001E-3</v>
      </c>
      <c r="F210">
        <v>-4.9836999999999999E-2</v>
      </c>
      <c r="G210">
        <v>-5.4808999999999997E-2</v>
      </c>
      <c r="H210">
        <v>0.11940199999999999</v>
      </c>
      <c r="I210">
        <v>0.121323</v>
      </c>
      <c r="J210">
        <v>0.10037699999999999</v>
      </c>
      <c r="K210">
        <v>8.6062E-2</v>
      </c>
      <c r="L210">
        <v>-8.1948999999999994E-2</v>
      </c>
      <c r="M210">
        <v>-0.51701299999999994</v>
      </c>
      <c r="N210">
        <v>-0.20624700000000001</v>
      </c>
    </row>
    <row r="211" spans="2:14" x14ac:dyDescent="0.2">
      <c r="B211">
        <v>2.7223000000000001E-2</v>
      </c>
      <c r="C211">
        <v>0.13972899999999999</v>
      </c>
      <c r="D211">
        <v>0.106644</v>
      </c>
      <c r="E211">
        <v>2.1099E-2</v>
      </c>
      <c r="F211">
        <v>1.0947E-2</v>
      </c>
      <c r="G211">
        <v>-4.2387000000000001E-2</v>
      </c>
      <c r="H211">
        <v>-7.4424000000000004E-2</v>
      </c>
      <c r="I211">
        <v>-0.120199</v>
      </c>
      <c r="J211">
        <v>0.182115</v>
      </c>
      <c r="K211">
        <v>0.28345999999999999</v>
      </c>
      <c r="L211">
        <v>0.169653</v>
      </c>
      <c r="M211">
        <v>0.186028</v>
      </c>
      <c r="N211">
        <v>0.38422699999999999</v>
      </c>
    </row>
    <row r="212" spans="2:14" x14ac:dyDescent="0.2">
      <c r="B212">
        <v>-6.5761E-2</v>
      </c>
      <c r="C212">
        <v>2.1734E-2</v>
      </c>
      <c r="D212">
        <v>6.0148E-2</v>
      </c>
      <c r="E212">
        <v>7.5208999999999998E-2</v>
      </c>
      <c r="F212">
        <v>1.1412E-2</v>
      </c>
      <c r="G212">
        <v>4.8605000000000002E-2</v>
      </c>
      <c r="H212">
        <v>2.0364E-2</v>
      </c>
      <c r="I212">
        <v>0.101012</v>
      </c>
      <c r="J212">
        <v>0.173067</v>
      </c>
      <c r="K212">
        <v>0.10054200000000001</v>
      </c>
      <c r="L212">
        <v>0.24093800000000001</v>
      </c>
      <c r="M212">
        <v>-0.10906399999999999</v>
      </c>
      <c r="N212">
        <v>-0.18082300000000001</v>
      </c>
    </row>
    <row r="213" spans="2:14" x14ac:dyDescent="0.2">
      <c r="B213">
        <v>1.7832000000000001E-2</v>
      </c>
      <c r="C213">
        <v>-8.4880000000000008E-3</v>
      </c>
      <c r="D213">
        <v>1.0581999999999999E-2</v>
      </c>
      <c r="E213">
        <v>-5.8100000000000001E-3</v>
      </c>
      <c r="F213">
        <v>-5.4292E-2</v>
      </c>
      <c r="G213">
        <v>-5.8209999999999998E-3</v>
      </c>
      <c r="H213">
        <v>-4.5680999999999999E-2</v>
      </c>
      <c r="I213">
        <v>8.1021999999999997E-2</v>
      </c>
      <c r="J213">
        <v>0.15087100000000001</v>
      </c>
      <c r="K213">
        <v>0.25419700000000001</v>
      </c>
      <c r="L213">
        <v>6.2440000000000004E-3</v>
      </c>
      <c r="M213">
        <v>-3.9241999999999999E-2</v>
      </c>
      <c r="N213">
        <v>-1.7179999999999999E-3</v>
      </c>
    </row>
    <row r="214" spans="2:14" x14ac:dyDescent="0.2">
      <c r="B214">
        <v>-3.0269999999999998E-2</v>
      </c>
      <c r="C214">
        <v>7.0829999999999999E-3</v>
      </c>
      <c r="D214">
        <v>3.8845999999999999E-2</v>
      </c>
      <c r="E214">
        <v>3.4944999999999997E-2</v>
      </c>
      <c r="F214">
        <v>3.8769999999999998E-3</v>
      </c>
      <c r="G214">
        <v>1.1839999999999999E-3</v>
      </c>
      <c r="H214">
        <v>-4.4630000000000003E-2</v>
      </c>
      <c r="I214">
        <v>7.0724999999999996E-2</v>
      </c>
      <c r="J214">
        <v>-6.0290999999999997E-2</v>
      </c>
      <c r="K214">
        <v>0.117963</v>
      </c>
      <c r="L214">
        <v>-0.57364499999999996</v>
      </c>
      <c r="M214">
        <v>-0.107916</v>
      </c>
      <c r="N214">
        <v>-0.50359699999999996</v>
      </c>
    </row>
    <row r="215" spans="2:14" x14ac:dyDescent="0.2">
      <c r="B215">
        <v>-4.1155999999999998E-2</v>
      </c>
      <c r="C215">
        <v>1.4718999999999999E-2</v>
      </c>
      <c r="D215">
        <v>9.1399999999999999E-4</v>
      </c>
      <c r="E215">
        <v>-1.4132E-2</v>
      </c>
      <c r="F215">
        <v>-8.6459999999999992E-3</v>
      </c>
      <c r="G215">
        <v>-2.2010999999999999E-2</v>
      </c>
      <c r="H215">
        <v>1.3084999999999999E-2</v>
      </c>
      <c r="I215">
        <v>-8.7631000000000001E-2</v>
      </c>
      <c r="J215">
        <v>3.7857000000000002E-2</v>
      </c>
      <c r="K215">
        <v>6.0553000000000003E-2</v>
      </c>
      <c r="L215">
        <v>-0.39656200000000003</v>
      </c>
      <c r="M215">
        <v>-0.34254899999999999</v>
      </c>
      <c r="N215">
        <v>-0.20780299999999999</v>
      </c>
    </row>
    <row r="216" spans="2:14" x14ac:dyDescent="0.2">
      <c r="B216">
        <v>-3.9926999999999997E-2</v>
      </c>
      <c r="C216">
        <v>-5.8170000000000001E-3</v>
      </c>
      <c r="D216">
        <v>-2.8159999999999999E-3</v>
      </c>
      <c r="E216">
        <v>-1.3420000000000001E-3</v>
      </c>
      <c r="F216">
        <v>3.1008000000000001E-2</v>
      </c>
      <c r="G216">
        <v>4.0458000000000001E-2</v>
      </c>
      <c r="H216">
        <v>8.9515999999999998E-2</v>
      </c>
      <c r="I216">
        <v>-1.8093999999999999E-2</v>
      </c>
      <c r="J216">
        <v>2.0247999999999999E-2</v>
      </c>
      <c r="K216">
        <v>8.0339999999999995E-3</v>
      </c>
      <c r="L216">
        <v>0.23943900000000001</v>
      </c>
      <c r="M216">
        <v>-0.36017500000000002</v>
      </c>
      <c r="N216">
        <v>-0.244309</v>
      </c>
    </row>
    <row r="217" spans="2:14" x14ac:dyDescent="0.2">
      <c r="B217">
        <v>-3.8471999999999999E-2</v>
      </c>
      <c r="C217">
        <v>-1.3552E-2</v>
      </c>
      <c r="D217">
        <v>1.4102999999999999E-2</v>
      </c>
      <c r="E217">
        <v>1.5384999999999999E-2</v>
      </c>
      <c r="F217">
        <v>7.5389999999999997E-3</v>
      </c>
      <c r="G217">
        <v>-3.8110000000000002E-3</v>
      </c>
      <c r="H217">
        <v>4.6311999999999999E-2</v>
      </c>
      <c r="I217">
        <v>-2.4140000000000002E-2</v>
      </c>
      <c r="J217">
        <v>-2.6696000000000001E-2</v>
      </c>
      <c r="K217">
        <v>1.753E-2</v>
      </c>
      <c r="L217">
        <v>0.10054</v>
      </c>
      <c r="M217">
        <v>-0.29678199999999999</v>
      </c>
      <c r="N217">
        <v>-4.9631000000000002E-2</v>
      </c>
    </row>
    <row r="218" spans="2:14" x14ac:dyDescent="0.2">
      <c r="B218">
        <v>4.2040000000000003E-3</v>
      </c>
      <c r="C218">
        <v>6.1269999999999996E-3</v>
      </c>
      <c r="D218">
        <v>3.0000000000000001E-6</v>
      </c>
      <c r="E218">
        <v>2.3903000000000001E-2</v>
      </c>
      <c r="F218">
        <v>-1.813E-2</v>
      </c>
      <c r="G218">
        <v>-6.3386999999999999E-2</v>
      </c>
      <c r="H218">
        <v>-9.9179999999999997E-3</v>
      </c>
      <c r="I218">
        <v>3.9249999999999997E-3</v>
      </c>
      <c r="J218">
        <v>3.4345000000000001E-2</v>
      </c>
      <c r="K218">
        <v>-8.0643999999999993E-2</v>
      </c>
      <c r="L218">
        <v>8.9645000000000002E-2</v>
      </c>
      <c r="M218">
        <v>-0.349605</v>
      </c>
      <c r="N218">
        <v>0.231348</v>
      </c>
    </row>
    <row r="219" spans="2:14" x14ac:dyDescent="0.2">
      <c r="B219">
        <v>2.3120999999999999E-2</v>
      </c>
      <c r="C219">
        <v>2.9222999999999999E-2</v>
      </c>
      <c r="D219">
        <v>-1.5095000000000001E-2</v>
      </c>
      <c r="E219">
        <v>1.134E-3</v>
      </c>
      <c r="F219">
        <v>-8.0960000000000008E-3</v>
      </c>
      <c r="G219">
        <v>-7.8028E-2</v>
      </c>
      <c r="H219">
        <v>-7.5054999999999997E-2</v>
      </c>
      <c r="I219">
        <v>2.5552999999999999E-2</v>
      </c>
      <c r="J219">
        <v>-0.12345100000000001</v>
      </c>
      <c r="K219">
        <v>-8.2924999999999999E-2</v>
      </c>
      <c r="L219">
        <v>-6.5134999999999998E-2</v>
      </c>
      <c r="M219">
        <v>-0.27664100000000003</v>
      </c>
      <c r="N219">
        <v>-0.415601</v>
      </c>
    </row>
    <row r="220" spans="2:14" x14ac:dyDescent="0.2">
      <c r="B220">
        <v>1.8221999999999999E-2</v>
      </c>
      <c r="C220">
        <v>1.4165000000000001E-2</v>
      </c>
      <c r="D220">
        <v>-1.2751E-2</v>
      </c>
      <c r="E220">
        <v>9.3189999999999992E-3</v>
      </c>
      <c r="F220">
        <v>3.3001999999999997E-2</v>
      </c>
      <c r="G220">
        <v>-1.9254E-2</v>
      </c>
      <c r="H220">
        <v>-1.1846000000000001E-2</v>
      </c>
      <c r="I220">
        <v>-0.102573</v>
      </c>
      <c r="J220">
        <v>-3.4141999999999999E-2</v>
      </c>
      <c r="K220">
        <v>-1.7405E-2</v>
      </c>
      <c r="L220">
        <v>-0.180003</v>
      </c>
      <c r="M220">
        <v>-0.450405</v>
      </c>
      <c r="N220">
        <v>-0.20782700000000001</v>
      </c>
    </row>
    <row r="221" spans="2:14" x14ac:dyDescent="0.2">
      <c r="B221">
        <v>-1.1525000000000001E-2</v>
      </c>
      <c r="C221">
        <v>-8.1860000000000006E-3</v>
      </c>
      <c r="D221">
        <v>1.8595E-2</v>
      </c>
      <c r="E221">
        <v>-8.6130000000000009E-3</v>
      </c>
      <c r="F221">
        <v>-1.5122999999999999E-2</v>
      </c>
      <c r="G221">
        <v>1.6806999999999999E-2</v>
      </c>
      <c r="H221">
        <v>-5.9386000000000001E-2</v>
      </c>
      <c r="I221">
        <v>-9.0010000000000007E-2</v>
      </c>
      <c r="J221">
        <v>-6.8502999999999994E-2</v>
      </c>
      <c r="K221">
        <v>-0.133323</v>
      </c>
      <c r="L221">
        <v>-0.115873</v>
      </c>
      <c r="M221">
        <v>-9.8790000000000006E-3</v>
      </c>
      <c r="N221">
        <v>-0.142625</v>
      </c>
    </row>
    <row r="222" spans="2:14" x14ac:dyDescent="0.2">
      <c r="B222">
        <v>7.8085000000000002E-2</v>
      </c>
      <c r="C222">
        <v>6.8820000000000001E-3</v>
      </c>
      <c r="D222">
        <v>1.0638E-2</v>
      </c>
      <c r="E222">
        <v>-1.8029E-2</v>
      </c>
      <c r="F222">
        <v>-8.9429999999999996E-3</v>
      </c>
      <c r="G222">
        <v>5.9124999999999997E-2</v>
      </c>
      <c r="H222">
        <v>5.1594000000000001E-2</v>
      </c>
      <c r="I222">
        <v>7.7484999999999998E-2</v>
      </c>
      <c r="J222">
        <v>-3.1089999999999998E-3</v>
      </c>
      <c r="K222">
        <v>7.8073000000000004E-2</v>
      </c>
      <c r="L222">
        <v>-8.7891999999999998E-2</v>
      </c>
      <c r="M222">
        <v>0.160325</v>
      </c>
      <c r="N222">
        <v>2.4081999999999999E-2</v>
      </c>
    </row>
    <row r="223" spans="2:14" x14ac:dyDescent="0.2">
      <c r="B223">
        <v>6.9601999999999997E-2</v>
      </c>
      <c r="C223">
        <v>5.9034000000000003E-2</v>
      </c>
      <c r="D223">
        <v>-1.4350999999999999E-2</v>
      </c>
      <c r="E223">
        <v>-3.3800999999999998E-2</v>
      </c>
      <c r="F223">
        <v>-3.8886999999999998E-2</v>
      </c>
      <c r="G223">
        <v>-3.6527999999999998E-2</v>
      </c>
      <c r="H223">
        <v>-2.3071000000000001E-2</v>
      </c>
      <c r="I223">
        <v>2.4435999999999999E-2</v>
      </c>
      <c r="J223">
        <v>0.11153200000000001</v>
      </c>
      <c r="K223">
        <v>0.13653599999999999</v>
      </c>
      <c r="L223">
        <v>1.9345000000000001E-2</v>
      </c>
      <c r="M223">
        <v>0.29245599999999999</v>
      </c>
      <c r="N223">
        <v>0.17167399999999999</v>
      </c>
    </row>
    <row r="224" spans="2:14" x14ac:dyDescent="0.2">
      <c r="B224">
        <v>3.1981000000000002E-2</v>
      </c>
      <c r="C224">
        <v>-1.4350999999999999E-2</v>
      </c>
      <c r="D224">
        <v>-4.4963999999999997E-2</v>
      </c>
      <c r="E224">
        <v>-3.3234E-2</v>
      </c>
      <c r="F224">
        <v>-1.8905000000000002E-2</v>
      </c>
      <c r="G224">
        <v>1.879E-3</v>
      </c>
      <c r="H224">
        <v>0.13519999999999999</v>
      </c>
      <c r="I224">
        <v>0.20220199999999999</v>
      </c>
      <c r="J224">
        <v>0.21906900000000001</v>
      </c>
      <c r="K224">
        <v>2.3893000000000001E-2</v>
      </c>
      <c r="L224">
        <v>0.21915499999999999</v>
      </c>
      <c r="M224">
        <v>0.34950599999999998</v>
      </c>
      <c r="N224">
        <v>0.59261299999999995</v>
      </c>
    </row>
    <row r="225" spans="1:14" x14ac:dyDescent="0.2">
      <c r="B225">
        <v>3.5119999999999998E-2</v>
      </c>
      <c r="C225">
        <v>-2.8101000000000001E-2</v>
      </c>
      <c r="D225">
        <v>-3.8096999999999999E-2</v>
      </c>
      <c r="E225">
        <v>7.2242000000000001E-2</v>
      </c>
      <c r="F225">
        <v>9.5422999999999994E-2</v>
      </c>
      <c r="G225">
        <v>9.7268999999999994E-2</v>
      </c>
      <c r="H225">
        <v>5.0242000000000002E-2</v>
      </c>
      <c r="I225">
        <v>0.135298</v>
      </c>
      <c r="J225">
        <v>0.16389100000000001</v>
      </c>
      <c r="K225">
        <v>0.36660799999999999</v>
      </c>
      <c r="L225">
        <v>0.31309500000000001</v>
      </c>
      <c r="M225">
        <v>0.40737499999999999</v>
      </c>
      <c r="N225">
        <v>0.69156300000000004</v>
      </c>
    </row>
    <row r="226" spans="1:14" x14ac:dyDescent="0.2">
      <c r="B226">
        <v>3.5535999999999998E-2</v>
      </c>
      <c r="C226">
        <v>6.4700000000000001E-4</v>
      </c>
      <c r="D226">
        <v>-1.2467000000000001E-2</v>
      </c>
      <c r="E226">
        <v>-5.5456999999999999E-2</v>
      </c>
      <c r="F226">
        <v>-2.2003999999999999E-2</v>
      </c>
      <c r="G226">
        <v>5.8040000000000001E-2</v>
      </c>
      <c r="H226">
        <v>1.2239E-2</v>
      </c>
      <c r="I226">
        <v>5.7711999999999999E-2</v>
      </c>
      <c r="J226">
        <v>4.8436E-2</v>
      </c>
      <c r="K226">
        <v>-4.9350999999999999E-2</v>
      </c>
      <c r="L226">
        <v>0.496813</v>
      </c>
      <c r="M226">
        <v>-6.5791000000000002E-2</v>
      </c>
      <c r="N226">
        <v>0.464812</v>
      </c>
    </row>
    <row r="227" spans="1:14" x14ac:dyDescent="0.2">
      <c r="B227">
        <v>-4.1218999999999999E-2</v>
      </c>
      <c r="C227">
        <v>-1.621E-3</v>
      </c>
      <c r="D227">
        <v>5.7553E-2</v>
      </c>
      <c r="E227">
        <v>1.4869E-2</v>
      </c>
      <c r="F227">
        <v>-3.2483999999999999E-2</v>
      </c>
      <c r="G227">
        <v>6.0262999999999997E-2</v>
      </c>
      <c r="H227">
        <v>1.15E-4</v>
      </c>
      <c r="I227">
        <v>8.7478E-2</v>
      </c>
      <c r="J227">
        <v>3.4962E-2</v>
      </c>
      <c r="K227">
        <v>-1.1768000000000001E-2</v>
      </c>
      <c r="L227">
        <v>-3.9176999999999997E-2</v>
      </c>
      <c r="M227">
        <v>0.31088199999999999</v>
      </c>
      <c r="N227">
        <v>0.24243700000000001</v>
      </c>
    </row>
    <row r="228" spans="1:14" x14ac:dyDescent="0.2">
      <c r="B228">
        <v>-3.2397000000000002E-2</v>
      </c>
      <c r="C228">
        <v>4.4409999999999996E-3</v>
      </c>
      <c r="D228">
        <v>-3.3255E-2</v>
      </c>
      <c r="E228">
        <v>8.8789999999999994E-2</v>
      </c>
      <c r="F228">
        <v>0.18993499999999999</v>
      </c>
      <c r="G228">
        <v>0.16827700000000001</v>
      </c>
      <c r="H228">
        <v>0.16239899999999999</v>
      </c>
      <c r="I228">
        <v>0.26818799999999998</v>
      </c>
      <c r="J228">
        <v>0.29369800000000001</v>
      </c>
      <c r="K228">
        <v>0.103906</v>
      </c>
      <c r="L228">
        <v>0.160524</v>
      </c>
      <c r="M228">
        <v>0.32651200000000002</v>
      </c>
      <c r="N228">
        <v>0.35844199999999998</v>
      </c>
    </row>
    <row r="229" spans="1:14" x14ac:dyDescent="0.2">
      <c r="B229">
        <v>-4.1867000000000001E-2</v>
      </c>
      <c r="C229">
        <v>-3.8567999999999998E-2</v>
      </c>
      <c r="D229">
        <v>-1.5476999999999999E-2</v>
      </c>
      <c r="E229">
        <v>2.0393000000000001E-2</v>
      </c>
      <c r="F229">
        <v>-2.3573E-2</v>
      </c>
      <c r="G229">
        <v>6.0781000000000002E-2</v>
      </c>
      <c r="H229">
        <v>8.2789000000000001E-2</v>
      </c>
      <c r="I229">
        <v>2.6117000000000001E-2</v>
      </c>
      <c r="J229">
        <v>6.2726000000000004E-2</v>
      </c>
      <c r="K229">
        <v>0.23693700000000001</v>
      </c>
      <c r="L229">
        <v>-6.5157999999999994E-2</v>
      </c>
      <c r="M229">
        <v>-0.53886999999999996</v>
      </c>
      <c r="N229">
        <v>0.37039699999999998</v>
      </c>
    </row>
    <row r="230" spans="1:14" x14ac:dyDescent="0.2">
      <c r="B230">
        <v>-6.5377000000000005E-2</v>
      </c>
      <c r="C230">
        <v>-4.3432999999999999E-2</v>
      </c>
      <c r="D230">
        <v>3.6000000000000001E-5</v>
      </c>
      <c r="E230">
        <v>4.9258999999999997E-2</v>
      </c>
      <c r="F230">
        <v>2.2235999999999999E-2</v>
      </c>
      <c r="G230">
        <v>-4.4502E-2</v>
      </c>
      <c r="H230">
        <v>5.5159E-2</v>
      </c>
      <c r="I230">
        <v>-8.6560999999999999E-2</v>
      </c>
      <c r="J230">
        <v>-0.118699</v>
      </c>
      <c r="K230">
        <v>0.122323</v>
      </c>
      <c r="L230">
        <v>-0.30893799999999999</v>
      </c>
      <c r="M230">
        <v>-0.19920299999999999</v>
      </c>
      <c r="N230">
        <v>0.79213900000000004</v>
      </c>
    </row>
    <row r="231" spans="1:14" x14ac:dyDescent="0.2">
      <c r="B231">
        <v>-4.5899999999999999E-4</v>
      </c>
      <c r="C231">
        <v>5.5659999999999998E-3</v>
      </c>
      <c r="D231">
        <v>-1.0958000000000001E-2</v>
      </c>
      <c r="E231">
        <v>1.6167000000000001E-2</v>
      </c>
      <c r="F231">
        <v>4.5250000000000004E-3</v>
      </c>
      <c r="G231">
        <v>-3.2229000000000001E-2</v>
      </c>
      <c r="H231">
        <v>-7.2825000000000001E-2</v>
      </c>
      <c r="I231">
        <v>-0.13320399999999999</v>
      </c>
      <c r="J231">
        <v>-0.107115</v>
      </c>
      <c r="K231">
        <v>-4.2221000000000002E-2</v>
      </c>
      <c r="L231">
        <v>-0.72686399999999995</v>
      </c>
      <c r="M231">
        <v>-4.1088E-2</v>
      </c>
      <c r="N231">
        <v>-0.40762199999999998</v>
      </c>
    </row>
    <row r="232" spans="1:14" x14ac:dyDescent="0.2">
      <c r="B232">
        <v>-3.2849000000000003E-2</v>
      </c>
      <c r="C232">
        <v>1.2286999999999999E-2</v>
      </c>
      <c r="D232">
        <v>1.4800000000000001E-2</v>
      </c>
      <c r="E232">
        <v>7.3899999999999997E-4</v>
      </c>
      <c r="F232">
        <v>-1.0300999999999999E-2</v>
      </c>
      <c r="G232">
        <v>-2.3349000000000002E-2</v>
      </c>
      <c r="H232">
        <v>-6.6383999999999999E-2</v>
      </c>
      <c r="I232">
        <v>-0.243118</v>
      </c>
      <c r="J232">
        <v>-0.26006699999999999</v>
      </c>
      <c r="K232">
        <v>1.3295E-2</v>
      </c>
      <c r="L232">
        <v>-8.4636000000000003E-2</v>
      </c>
      <c r="M232">
        <v>-0.30010300000000001</v>
      </c>
      <c r="N232">
        <v>-0.186531</v>
      </c>
    </row>
    <row r="233" spans="1:14" x14ac:dyDescent="0.2">
      <c r="B233">
        <v>1.0037000000000001E-2</v>
      </c>
      <c r="C233">
        <v>2.0170000000000001E-3</v>
      </c>
      <c r="D233">
        <v>-1.6869999999999999E-3</v>
      </c>
      <c r="E233">
        <v>1.0186000000000001E-2</v>
      </c>
      <c r="F233">
        <v>2.7758999999999999E-2</v>
      </c>
      <c r="G233">
        <v>-7.3899999999999997E-4</v>
      </c>
      <c r="H233">
        <v>1E-3</v>
      </c>
      <c r="I233">
        <v>4.8309999999999999E-2</v>
      </c>
      <c r="J233">
        <v>-0.336177</v>
      </c>
      <c r="K233">
        <v>-0.246445</v>
      </c>
      <c r="L233">
        <v>-1.8707999999999999E-2</v>
      </c>
      <c r="M233">
        <v>-0.21438699999999999</v>
      </c>
      <c r="N233">
        <v>-0.64725999999999995</v>
      </c>
    </row>
    <row r="234" spans="1:14" x14ac:dyDescent="0.2">
      <c r="B234">
        <v>-4.6920000000000003E-2</v>
      </c>
      <c r="C234">
        <v>2.6764E-2</v>
      </c>
      <c r="D234">
        <v>1.222E-2</v>
      </c>
      <c r="E234">
        <v>4.0499999999999998E-3</v>
      </c>
      <c r="F234">
        <v>-5.025E-3</v>
      </c>
      <c r="G234">
        <v>4.1041000000000001E-2</v>
      </c>
      <c r="H234">
        <v>3.5036999999999999E-2</v>
      </c>
      <c r="I234">
        <v>4.2256000000000002E-2</v>
      </c>
      <c r="J234">
        <v>-0.13563600000000001</v>
      </c>
      <c r="K234">
        <v>-0.16917199999999999</v>
      </c>
      <c r="L234">
        <v>-3.7590000000000002E-3</v>
      </c>
      <c r="M234">
        <v>-0.211115</v>
      </c>
      <c r="N234">
        <v>-4.8011999999999999E-2</v>
      </c>
    </row>
    <row r="235" spans="1:14" x14ac:dyDescent="0.2">
      <c r="B235">
        <v>-4.9399999999999999E-3</v>
      </c>
      <c r="C235">
        <v>-1.0233000000000001E-2</v>
      </c>
      <c r="D235">
        <v>-1.011E-3</v>
      </c>
      <c r="E235">
        <v>1.3509E-2</v>
      </c>
      <c r="F235">
        <v>-1.4860999999999999E-2</v>
      </c>
      <c r="G235">
        <v>3.6824000000000003E-2</v>
      </c>
      <c r="H235">
        <v>2.0722000000000001E-2</v>
      </c>
      <c r="I235">
        <v>0.115786</v>
      </c>
      <c r="J235">
        <v>0.22752700000000001</v>
      </c>
      <c r="K235">
        <v>-0.13708000000000001</v>
      </c>
      <c r="L235">
        <v>9.6042000000000002E-2</v>
      </c>
      <c r="M235">
        <v>-8.7303000000000006E-2</v>
      </c>
      <c r="N235">
        <v>3.4429000000000001E-2</v>
      </c>
    </row>
    <row r="236" spans="1:14" x14ac:dyDescent="0.2">
      <c r="B236">
        <v>-2.8240000000000001E-3</v>
      </c>
      <c r="C236">
        <v>2.6797000000000001E-2</v>
      </c>
      <c r="D236">
        <v>-7.0799999999999997E-4</v>
      </c>
      <c r="E236">
        <v>-1.1251000000000001E-2</v>
      </c>
      <c r="F236">
        <v>-1.3179E-2</v>
      </c>
      <c r="G236">
        <v>-8.0770000000000008E-3</v>
      </c>
      <c r="H236">
        <v>9.4339999999999997E-3</v>
      </c>
      <c r="I236">
        <v>0.166546</v>
      </c>
      <c r="J236">
        <v>5.2199000000000002E-2</v>
      </c>
      <c r="K236">
        <v>0.254492</v>
      </c>
      <c r="L236">
        <v>0.23294100000000001</v>
      </c>
      <c r="M236">
        <v>2.6391999999999999E-2</v>
      </c>
      <c r="N236">
        <v>0.14826400000000001</v>
      </c>
    </row>
    <row r="237" spans="1:14" x14ac:dyDescent="0.2">
      <c r="B237">
        <v>-2.3621E-2</v>
      </c>
      <c r="C237">
        <v>2.3449999999999999E-3</v>
      </c>
      <c r="D237">
        <v>6.7200000000000003E-3</v>
      </c>
      <c r="E237">
        <v>2.2578999999999998E-2</v>
      </c>
      <c r="F237">
        <v>1.6605000000000002E-2</v>
      </c>
      <c r="G237">
        <v>-7.6299999999999996E-3</v>
      </c>
      <c r="H237">
        <v>1.8964999999999999E-2</v>
      </c>
      <c r="I237">
        <v>-0.14794399999999999</v>
      </c>
      <c r="J237">
        <v>0.264318</v>
      </c>
      <c r="K237">
        <v>0.21936700000000001</v>
      </c>
      <c r="L237">
        <v>-2.1364000000000001E-2</v>
      </c>
      <c r="M237">
        <v>6.0832999999999998E-2</v>
      </c>
      <c r="N237">
        <v>0.168873</v>
      </c>
    </row>
    <row r="238" spans="1:14" x14ac:dyDescent="0.2">
      <c r="B238">
        <v>9.5390000000000006E-3</v>
      </c>
      <c r="C238">
        <v>3.6601000000000002E-2</v>
      </c>
      <c r="D238">
        <v>-1.42E-3</v>
      </c>
      <c r="E238">
        <v>-4.0001000000000002E-2</v>
      </c>
      <c r="F238">
        <v>2.0643999999999999E-2</v>
      </c>
      <c r="G238">
        <v>3.8922999999999999E-2</v>
      </c>
      <c r="H238">
        <v>9.3439999999999999E-3</v>
      </c>
      <c r="I238">
        <v>2.8978E-2</v>
      </c>
      <c r="J238">
        <v>-4.6348E-2</v>
      </c>
      <c r="K238">
        <v>0.20100499999999999</v>
      </c>
      <c r="L238">
        <v>0.17658499999999999</v>
      </c>
      <c r="M238">
        <v>2.1807E-2</v>
      </c>
      <c r="N238">
        <v>-0.43356800000000001</v>
      </c>
    </row>
    <row r="239" spans="1:14" x14ac:dyDescent="0.2">
      <c r="A239" t="s">
        <v>70</v>
      </c>
    </row>
    <row r="240" spans="1:14" x14ac:dyDescent="0.2">
      <c r="B240">
        <v>3.5560000000000001E-3</v>
      </c>
      <c r="C240">
        <v>2.0690000000000001E-3</v>
      </c>
      <c r="D240">
        <v>-0.113734</v>
      </c>
      <c r="E240">
        <v>-1.1563E-2</v>
      </c>
      <c r="F240">
        <v>8.4931000000000006E-2</v>
      </c>
      <c r="G240">
        <v>6.5897999999999998E-2</v>
      </c>
      <c r="H240">
        <v>-8.8872999999999994E-2</v>
      </c>
      <c r="I240">
        <v>5.7130000000000002E-3</v>
      </c>
      <c r="J240">
        <v>0.40551399999999999</v>
      </c>
      <c r="K240">
        <v>0.189163</v>
      </c>
      <c r="L240">
        <v>-2.9676000000000001E-2</v>
      </c>
      <c r="M240">
        <v>-0.24749199999999999</v>
      </c>
      <c r="N240">
        <v>0.79140200000000005</v>
      </c>
    </row>
    <row r="241" spans="2:14" x14ac:dyDescent="0.2">
      <c r="B241">
        <v>8.0199999999999998E-4</v>
      </c>
      <c r="C241">
        <v>-2.8958999999999999E-2</v>
      </c>
      <c r="D241">
        <v>2.8611999999999999E-2</v>
      </c>
      <c r="E241">
        <v>5.4983999999999998E-2</v>
      </c>
      <c r="F241">
        <v>3.6544E-2</v>
      </c>
      <c r="G241">
        <v>0.25848500000000002</v>
      </c>
      <c r="H241">
        <v>7.3280999999999999E-2</v>
      </c>
      <c r="I241">
        <v>4.5067000000000003E-2</v>
      </c>
      <c r="J241">
        <v>-0.19870499999999999</v>
      </c>
      <c r="K241">
        <v>-0.267957</v>
      </c>
      <c r="L241">
        <v>5.3164999999999997E-2</v>
      </c>
      <c r="M241">
        <v>0.29471999999999998</v>
      </c>
      <c r="N241">
        <v>-0.36033300000000001</v>
      </c>
    </row>
    <row r="242" spans="2:14" x14ac:dyDescent="0.2">
      <c r="B242">
        <v>9.7990000000000004E-3</v>
      </c>
      <c r="C242">
        <v>-3.6242000000000003E-2</v>
      </c>
      <c r="D242">
        <v>-4.2734000000000001E-2</v>
      </c>
      <c r="E242">
        <v>-2.6171E-2</v>
      </c>
      <c r="F242">
        <v>9.1589000000000004E-2</v>
      </c>
      <c r="G242">
        <v>0.17958299999999999</v>
      </c>
      <c r="H242">
        <v>-6.5545999999999993E-2</v>
      </c>
      <c r="I242">
        <v>7.4248999999999996E-2</v>
      </c>
      <c r="J242">
        <v>0.25972600000000001</v>
      </c>
      <c r="K242">
        <v>-6.8269999999999997E-3</v>
      </c>
      <c r="L242">
        <v>-4.8867000000000001E-2</v>
      </c>
      <c r="M242">
        <v>-0.38805899999999999</v>
      </c>
      <c r="N242">
        <v>-9.9446000000000007E-2</v>
      </c>
    </row>
    <row r="243" spans="2:14" x14ac:dyDescent="0.2">
      <c r="B243">
        <v>1.9900000000000001E-4</v>
      </c>
      <c r="C243">
        <v>-1.0638E-2</v>
      </c>
      <c r="D243">
        <v>-8.4150000000000006E-3</v>
      </c>
      <c r="E243">
        <v>8.2025000000000001E-2</v>
      </c>
      <c r="F243">
        <v>0.12934200000000001</v>
      </c>
      <c r="G243">
        <v>0.192578</v>
      </c>
      <c r="H243">
        <v>0.41283500000000001</v>
      </c>
      <c r="I243">
        <v>-2.8499999999999999E-4</v>
      </c>
      <c r="J243">
        <v>-1.526E-3</v>
      </c>
      <c r="K243">
        <v>5.4488000000000002E-2</v>
      </c>
      <c r="L243">
        <v>0.210317</v>
      </c>
      <c r="M243">
        <v>-0.17843600000000001</v>
      </c>
      <c r="N243">
        <v>0.40981299999999998</v>
      </c>
    </row>
    <row r="244" spans="2:14" x14ac:dyDescent="0.2">
      <c r="B244">
        <v>-1.8719E-2</v>
      </c>
      <c r="C244">
        <v>-4.1258000000000003E-2</v>
      </c>
      <c r="D244">
        <v>-4.1695999999999997E-2</v>
      </c>
      <c r="E244">
        <v>2.8080000000000001E-2</v>
      </c>
      <c r="F244">
        <v>5.1388000000000003E-2</v>
      </c>
      <c r="G244">
        <v>0.12515100000000001</v>
      </c>
      <c r="H244">
        <v>0.18170900000000001</v>
      </c>
      <c r="I244">
        <v>0.30099999999999999</v>
      </c>
      <c r="J244">
        <v>-0.23482700000000001</v>
      </c>
      <c r="K244">
        <v>-0.108558</v>
      </c>
      <c r="L244">
        <v>0.17657999999999999</v>
      </c>
      <c r="M244">
        <v>0.55612200000000001</v>
      </c>
      <c r="N244">
        <v>2.1707000000000001E-2</v>
      </c>
    </row>
    <row r="245" spans="2:14" x14ac:dyDescent="0.2">
      <c r="B245">
        <v>3.7344000000000002E-2</v>
      </c>
      <c r="C245">
        <v>1.1112E-2</v>
      </c>
      <c r="D245">
        <v>-2.86E-2</v>
      </c>
      <c r="E245">
        <v>-2.3594E-2</v>
      </c>
      <c r="F245">
        <v>3.0491000000000001E-2</v>
      </c>
      <c r="G245">
        <v>-2.5010000000000002E-3</v>
      </c>
      <c r="H245">
        <v>-9.247E-3</v>
      </c>
      <c r="I245">
        <v>7.1728E-2</v>
      </c>
      <c r="J245">
        <v>0.13497899999999999</v>
      </c>
      <c r="K245">
        <v>0.123642</v>
      </c>
      <c r="L245">
        <v>0.61387199999999997</v>
      </c>
      <c r="M245">
        <v>0.37076399999999998</v>
      </c>
      <c r="N245">
        <v>0.35822300000000001</v>
      </c>
    </row>
    <row r="246" spans="2:14" x14ac:dyDescent="0.2">
      <c r="B246">
        <v>8.2711999999999994E-2</v>
      </c>
      <c r="C246">
        <v>-1.3433E-2</v>
      </c>
      <c r="D246">
        <v>4.0958000000000001E-2</v>
      </c>
      <c r="E246">
        <v>-5.5996999999999998E-2</v>
      </c>
      <c r="F246">
        <v>-7.2522000000000003E-2</v>
      </c>
      <c r="G246">
        <v>8.8129999999999997E-3</v>
      </c>
      <c r="H246">
        <v>-5.0990000000000001E-2</v>
      </c>
      <c r="I246">
        <v>-3.1885999999999998E-2</v>
      </c>
      <c r="J246">
        <v>-4.0980999999999997E-2</v>
      </c>
      <c r="K246">
        <v>-0.13073399999999999</v>
      </c>
      <c r="L246">
        <v>-4.8260000000000004E-3</v>
      </c>
      <c r="M246">
        <v>-0.78242500000000004</v>
      </c>
      <c r="N246">
        <v>-0.28283999999999998</v>
      </c>
    </row>
    <row r="247" spans="2:14" x14ac:dyDescent="0.2">
      <c r="B247">
        <v>-6.78E-4</v>
      </c>
      <c r="C247">
        <v>-5.1910999999999999E-2</v>
      </c>
      <c r="D247">
        <v>-6.6701999999999997E-2</v>
      </c>
      <c r="E247">
        <v>3.8353999999999999E-2</v>
      </c>
      <c r="F247">
        <v>1.1155E-2</v>
      </c>
      <c r="G247">
        <v>4.8286999999999997E-2</v>
      </c>
      <c r="H247">
        <v>0.106249</v>
      </c>
      <c r="I247">
        <v>-2.2813E-2</v>
      </c>
      <c r="J247">
        <v>-4.4422999999999997E-2</v>
      </c>
      <c r="K247">
        <v>-0.24470500000000001</v>
      </c>
      <c r="L247">
        <v>-0.24746299999999999</v>
      </c>
      <c r="M247">
        <v>-0.31955600000000001</v>
      </c>
      <c r="N247">
        <v>-0.68398999999999999</v>
      </c>
    </row>
    <row r="248" spans="2:14" x14ac:dyDescent="0.2">
      <c r="B248">
        <v>9.2390000000000007E-3</v>
      </c>
      <c r="C248">
        <v>1.9106999999999999E-2</v>
      </c>
      <c r="D248">
        <v>6.9569999999999996E-3</v>
      </c>
      <c r="E248">
        <v>-5.3571000000000001E-2</v>
      </c>
      <c r="F248">
        <v>-5.0021999999999997E-2</v>
      </c>
      <c r="G248">
        <v>-9.6498E-2</v>
      </c>
      <c r="H248">
        <v>7.1298E-2</v>
      </c>
      <c r="I248">
        <v>-5.6589E-2</v>
      </c>
      <c r="J248">
        <v>-0.13427600000000001</v>
      </c>
      <c r="K248">
        <v>-6.9820000000000004E-3</v>
      </c>
      <c r="L248">
        <v>-0.53048499999999998</v>
      </c>
      <c r="M248">
        <v>-4.3277999999999997E-2</v>
      </c>
      <c r="N248">
        <v>-9.8952999999999999E-2</v>
      </c>
    </row>
    <row r="249" spans="2:14" x14ac:dyDescent="0.2">
      <c r="B249">
        <v>1.3219E-2</v>
      </c>
      <c r="C249">
        <v>-3.058E-2</v>
      </c>
      <c r="D249">
        <v>6.8453E-2</v>
      </c>
      <c r="E249">
        <v>-2.5040000000000001E-3</v>
      </c>
      <c r="F249">
        <v>3.434E-3</v>
      </c>
      <c r="G249">
        <v>-9.391E-3</v>
      </c>
      <c r="H249">
        <v>-5.4390000000000003E-3</v>
      </c>
      <c r="I249">
        <v>1.4996000000000001E-2</v>
      </c>
      <c r="J249">
        <v>0.100149</v>
      </c>
      <c r="K249">
        <v>0.16308600000000001</v>
      </c>
      <c r="L249">
        <v>1.3604E-2</v>
      </c>
      <c r="M249">
        <v>0.398372</v>
      </c>
      <c r="N249">
        <v>-9.8240999999999995E-2</v>
      </c>
    </row>
    <row r="250" spans="2:14" x14ac:dyDescent="0.2">
      <c r="B250">
        <v>4.4636000000000002E-2</v>
      </c>
      <c r="C250">
        <v>8.5900000000000004E-2</v>
      </c>
      <c r="D250">
        <v>6.9259999999999999E-3</v>
      </c>
      <c r="E250">
        <v>-3.6475E-2</v>
      </c>
      <c r="F250">
        <v>1.328E-3</v>
      </c>
      <c r="G250">
        <v>-0.13365199999999999</v>
      </c>
      <c r="H250">
        <v>-5.2558000000000001E-2</v>
      </c>
      <c r="I250">
        <v>-7.5039999999999996E-2</v>
      </c>
      <c r="J250">
        <v>-3.8906999999999997E-2</v>
      </c>
      <c r="K250">
        <v>0.34130500000000003</v>
      </c>
      <c r="L250">
        <v>0.24538099999999999</v>
      </c>
      <c r="M250">
        <v>0.180927</v>
      </c>
      <c r="N250">
        <v>-6.4435999999999993E-2</v>
      </c>
    </row>
    <row r="251" spans="2:14" x14ac:dyDescent="0.2">
      <c r="B251">
        <v>7.0749999999999997E-3</v>
      </c>
      <c r="C251">
        <v>-4.058E-3</v>
      </c>
      <c r="D251">
        <v>-1.7024999999999998E-2</v>
      </c>
      <c r="E251">
        <v>-9.8125000000000004E-2</v>
      </c>
      <c r="F251">
        <v>-0.128695</v>
      </c>
      <c r="G251">
        <v>-0.18675700000000001</v>
      </c>
      <c r="H251">
        <v>-0.119228</v>
      </c>
      <c r="I251">
        <v>-0.122099</v>
      </c>
      <c r="J251">
        <v>-9.4178999999999999E-2</v>
      </c>
      <c r="K251">
        <v>5.3587999999999997E-2</v>
      </c>
      <c r="L251">
        <v>0.185248</v>
      </c>
      <c r="M251">
        <v>0.318942</v>
      </c>
      <c r="N251">
        <v>0.335621</v>
      </c>
    </row>
    <row r="252" spans="2:14" x14ac:dyDescent="0.2">
      <c r="B252">
        <v>-1.1207999999999999E-2</v>
      </c>
      <c r="C252">
        <v>-2.6110000000000001E-2</v>
      </c>
      <c r="D252">
        <v>-1.8106000000000001E-2</v>
      </c>
      <c r="E252">
        <v>3.2527E-2</v>
      </c>
      <c r="F252">
        <v>-0.15013199999999999</v>
      </c>
      <c r="G252">
        <v>7.2177000000000005E-2</v>
      </c>
      <c r="H252">
        <v>2.4993999999999999E-2</v>
      </c>
      <c r="I252">
        <v>-0.106308</v>
      </c>
      <c r="J252">
        <v>-3.3362999999999997E-2</v>
      </c>
      <c r="K252">
        <v>-2.8459999999999999E-2</v>
      </c>
      <c r="L252">
        <v>1.2669E-2</v>
      </c>
      <c r="M252">
        <v>0.170656</v>
      </c>
      <c r="N252">
        <v>-0.116782</v>
      </c>
    </row>
    <row r="253" spans="2:14" x14ac:dyDescent="0.2">
      <c r="B253">
        <v>-2.6808999999999999E-2</v>
      </c>
      <c r="C253">
        <v>-1.3958999999999999E-2</v>
      </c>
      <c r="D253">
        <v>-6.3200999999999993E-2</v>
      </c>
      <c r="E253">
        <v>-3.7893000000000003E-2</v>
      </c>
      <c r="F253">
        <v>-0.13742599999999999</v>
      </c>
      <c r="G253">
        <v>-0.16617299999999999</v>
      </c>
      <c r="H253">
        <v>-0.20361099999999999</v>
      </c>
      <c r="I253">
        <v>6.2134000000000002E-2</v>
      </c>
      <c r="J253">
        <v>-9.6717999999999998E-2</v>
      </c>
      <c r="K253">
        <v>-1.2160000000000001E-3</v>
      </c>
      <c r="L253">
        <v>2.8455000000000001E-2</v>
      </c>
      <c r="M253">
        <v>0.14602200000000001</v>
      </c>
      <c r="N253">
        <v>0.18201999999999999</v>
      </c>
    </row>
    <row r="254" spans="2:14" x14ac:dyDescent="0.2">
      <c r="B254">
        <v>-5.5154000000000002E-2</v>
      </c>
      <c r="C254">
        <v>-1.2945999999999999E-2</v>
      </c>
      <c r="D254">
        <v>2.8733999999999999E-2</v>
      </c>
      <c r="E254">
        <v>-5.6571000000000003E-2</v>
      </c>
      <c r="F254">
        <v>-1.8024999999999999E-2</v>
      </c>
      <c r="G254">
        <v>-5.7827000000000003E-2</v>
      </c>
      <c r="H254">
        <v>-7.7656000000000003E-2</v>
      </c>
      <c r="I254">
        <v>-0.138266</v>
      </c>
      <c r="J254">
        <v>5.4607999999999997E-2</v>
      </c>
      <c r="K254">
        <v>0.16941899999999999</v>
      </c>
      <c r="L254">
        <v>0.15428500000000001</v>
      </c>
      <c r="M254">
        <v>0.368168</v>
      </c>
      <c r="N254">
        <v>0.41432000000000002</v>
      </c>
    </row>
    <row r="255" spans="2:14" x14ac:dyDescent="0.2">
      <c r="B255">
        <v>-2.9807E-2</v>
      </c>
      <c r="C255">
        <v>-7.8816999999999998E-2</v>
      </c>
      <c r="D255">
        <v>-4.1404999999999997E-2</v>
      </c>
      <c r="E255">
        <v>-5.5492E-2</v>
      </c>
      <c r="F255">
        <v>-8.9053999999999994E-2</v>
      </c>
      <c r="G255">
        <v>-0.152587</v>
      </c>
      <c r="H255">
        <v>-1.9234000000000001E-2</v>
      </c>
      <c r="I255">
        <v>-0.171622</v>
      </c>
      <c r="J255">
        <v>-5.6739999999999999E-2</v>
      </c>
      <c r="K255">
        <v>0.16850799999999999</v>
      </c>
      <c r="L255">
        <v>-0.30538100000000001</v>
      </c>
      <c r="M255">
        <v>0.30915999999999999</v>
      </c>
      <c r="N255">
        <v>0.38561299999999998</v>
      </c>
    </row>
    <row r="256" spans="2:14" x14ac:dyDescent="0.2">
      <c r="B256">
        <v>2.1576999999999999E-2</v>
      </c>
      <c r="C256">
        <v>1.1668E-2</v>
      </c>
      <c r="D256">
        <v>3.4368000000000003E-2</v>
      </c>
      <c r="E256">
        <v>3.0152000000000002E-2</v>
      </c>
      <c r="F256">
        <v>0.16500899999999999</v>
      </c>
      <c r="G256">
        <v>3.5166999999999997E-2</v>
      </c>
      <c r="H256">
        <v>7.1036000000000002E-2</v>
      </c>
      <c r="I256">
        <v>0.25288500000000003</v>
      </c>
      <c r="J256">
        <v>0.40204099999999998</v>
      </c>
      <c r="K256">
        <v>0.190497</v>
      </c>
      <c r="L256">
        <v>0.15931600000000001</v>
      </c>
      <c r="M256">
        <v>0.391571</v>
      </c>
      <c r="N256">
        <v>0.39375199999999999</v>
      </c>
    </row>
    <row r="257" spans="2:14" x14ac:dyDescent="0.2">
      <c r="B257">
        <v>1.2952999999999999E-2</v>
      </c>
      <c r="C257">
        <v>5.8520000000000004E-3</v>
      </c>
      <c r="D257">
        <v>-4.8800000000000003E-2</v>
      </c>
      <c r="E257">
        <v>-2.1351999999999999E-2</v>
      </c>
      <c r="F257">
        <v>-2.6059999999999998E-3</v>
      </c>
      <c r="G257">
        <v>7.9552999999999999E-2</v>
      </c>
      <c r="H257">
        <v>3.7947000000000002E-2</v>
      </c>
      <c r="I257">
        <v>-8.9466000000000004E-2</v>
      </c>
      <c r="J257">
        <v>0.124709</v>
      </c>
      <c r="K257">
        <v>-7.2831000000000007E-2</v>
      </c>
      <c r="L257">
        <v>0.332787</v>
      </c>
      <c r="M257">
        <v>0.475856</v>
      </c>
      <c r="N257">
        <v>0.61280500000000004</v>
      </c>
    </row>
    <row r="258" spans="2:14" x14ac:dyDescent="0.2">
      <c r="B258">
        <v>3.3406999999999999E-2</v>
      </c>
      <c r="C258">
        <v>7.1310999999999999E-2</v>
      </c>
      <c r="D258">
        <v>4.0889000000000002E-2</v>
      </c>
      <c r="E258">
        <v>-1.7687000000000001E-2</v>
      </c>
      <c r="F258">
        <v>8.4254999999999997E-2</v>
      </c>
      <c r="G258">
        <v>2.8101000000000001E-2</v>
      </c>
      <c r="H258">
        <v>1.7804E-2</v>
      </c>
      <c r="I258">
        <v>-1.8058999999999999E-2</v>
      </c>
      <c r="J258">
        <v>5.9006000000000003E-2</v>
      </c>
      <c r="K258">
        <v>0.1976</v>
      </c>
      <c r="L258">
        <v>0.49665599999999999</v>
      </c>
      <c r="M258">
        <v>0.38564500000000002</v>
      </c>
      <c r="N258">
        <v>0.48584300000000002</v>
      </c>
    </row>
    <row r="259" spans="2:14" x14ac:dyDescent="0.2">
      <c r="B259">
        <v>-7.3839999999999999E-3</v>
      </c>
      <c r="C259">
        <v>-6.7239999999999999E-3</v>
      </c>
      <c r="D259">
        <v>0.14244699999999999</v>
      </c>
      <c r="E259">
        <v>0.134685</v>
      </c>
      <c r="F259">
        <v>5.1558E-2</v>
      </c>
      <c r="G259">
        <v>0.177063</v>
      </c>
      <c r="H259">
        <v>7.7685000000000004E-2</v>
      </c>
      <c r="I259">
        <v>3.748E-3</v>
      </c>
      <c r="J259">
        <v>8.5002999999999995E-2</v>
      </c>
      <c r="K259">
        <v>0.20402300000000001</v>
      </c>
      <c r="L259">
        <v>0.205038</v>
      </c>
      <c r="M259">
        <v>0.52864500000000003</v>
      </c>
      <c r="N259">
        <v>-1.3856E-2</v>
      </c>
    </row>
    <row r="260" spans="2:14" x14ac:dyDescent="0.2">
      <c r="B260">
        <v>6.3466999999999996E-2</v>
      </c>
      <c r="C260">
        <v>4.3052E-2</v>
      </c>
      <c r="D260">
        <v>6.8665000000000004E-2</v>
      </c>
      <c r="E260">
        <v>8.1281999999999993E-2</v>
      </c>
      <c r="F260">
        <v>-4.0090000000000004E-3</v>
      </c>
      <c r="G260">
        <v>5.7079999999999999E-2</v>
      </c>
      <c r="H260">
        <v>4.6390000000000001E-2</v>
      </c>
      <c r="I260">
        <v>6.5800999999999998E-2</v>
      </c>
      <c r="J260">
        <v>-0.122561</v>
      </c>
      <c r="K260">
        <v>-6.1216E-2</v>
      </c>
      <c r="L260">
        <v>0.15720600000000001</v>
      </c>
      <c r="M260">
        <v>0.210118</v>
      </c>
      <c r="N260">
        <v>0.582924</v>
      </c>
    </row>
    <row r="261" spans="2:14" x14ac:dyDescent="0.2">
      <c r="B261">
        <v>0.12829499999999999</v>
      </c>
      <c r="C261">
        <v>6.5662999999999999E-2</v>
      </c>
      <c r="D261">
        <v>0.176981</v>
      </c>
      <c r="E261">
        <v>0.106764</v>
      </c>
      <c r="F261">
        <v>0.16203500000000001</v>
      </c>
      <c r="G261">
        <v>3.738E-3</v>
      </c>
      <c r="H261">
        <v>0.14055699999999999</v>
      </c>
      <c r="I261">
        <v>0.19844200000000001</v>
      </c>
      <c r="J261">
        <v>0.177978</v>
      </c>
      <c r="K261">
        <v>0.14245099999999999</v>
      </c>
      <c r="L261">
        <v>6.7933999999999994E-2</v>
      </c>
      <c r="M261">
        <v>0.50536599999999998</v>
      </c>
      <c r="N261">
        <v>0.300205</v>
      </c>
    </row>
    <row r="262" spans="2:14" x14ac:dyDescent="0.2">
      <c r="B262">
        <v>7.7897999999999995E-2</v>
      </c>
      <c r="C262">
        <v>0.11763899999999999</v>
      </c>
      <c r="D262">
        <v>9.3013999999999999E-2</v>
      </c>
      <c r="E262">
        <v>0.11114400000000001</v>
      </c>
      <c r="F262">
        <v>0.13033800000000001</v>
      </c>
      <c r="G262">
        <v>1.6669E-2</v>
      </c>
      <c r="H262">
        <v>7.6490000000000002E-2</v>
      </c>
      <c r="I262">
        <v>-7.4904999999999999E-2</v>
      </c>
      <c r="J262">
        <v>9.7879999999999995E-2</v>
      </c>
      <c r="K262">
        <v>0.41722799999999999</v>
      </c>
      <c r="L262">
        <v>0.26678499999999999</v>
      </c>
      <c r="M262">
        <v>1.124236</v>
      </c>
      <c r="N262">
        <v>0.15659300000000001</v>
      </c>
    </row>
    <row r="263" spans="2:14" x14ac:dyDescent="0.2">
      <c r="B263">
        <v>5.9019000000000002E-2</v>
      </c>
      <c r="C263">
        <v>7.1492E-2</v>
      </c>
      <c r="D263">
        <v>6.3100000000000003E-2</v>
      </c>
      <c r="E263">
        <v>0.104375</v>
      </c>
      <c r="F263">
        <v>0.13619999999999999</v>
      </c>
      <c r="G263">
        <v>5.3832999999999999E-2</v>
      </c>
      <c r="H263">
        <v>-2.2246999999999999E-2</v>
      </c>
      <c r="I263">
        <v>0.135548</v>
      </c>
      <c r="J263">
        <v>0.20993999999999999</v>
      </c>
      <c r="K263">
        <v>7.0184999999999997E-2</v>
      </c>
      <c r="L263">
        <v>0.19420899999999999</v>
      </c>
      <c r="M263">
        <v>0.326212</v>
      </c>
      <c r="N263">
        <v>0.16411600000000001</v>
      </c>
    </row>
    <row r="264" spans="2:14" x14ac:dyDescent="0.2">
      <c r="B264">
        <v>-1.1157E-2</v>
      </c>
      <c r="C264">
        <v>0.10265100000000001</v>
      </c>
      <c r="D264">
        <v>0.122765</v>
      </c>
      <c r="E264">
        <v>2.2126E-2</v>
      </c>
      <c r="F264">
        <v>2.0691999999999999E-2</v>
      </c>
      <c r="G264">
        <v>-5.9986999999999999E-2</v>
      </c>
      <c r="H264">
        <v>-1.0101000000000001E-2</v>
      </c>
      <c r="I264">
        <v>2.6200999999999999E-2</v>
      </c>
      <c r="J264">
        <v>4.0233999999999999E-2</v>
      </c>
      <c r="K264">
        <v>0.115151</v>
      </c>
      <c r="L264">
        <v>0.372226</v>
      </c>
      <c r="M264">
        <v>0.34508800000000001</v>
      </c>
      <c r="N264">
        <v>0.215783</v>
      </c>
    </row>
    <row r="265" spans="2:14" x14ac:dyDescent="0.2">
      <c r="B265">
        <v>0.105605</v>
      </c>
      <c r="C265">
        <v>9.9148E-2</v>
      </c>
      <c r="D265">
        <v>0.10537100000000001</v>
      </c>
      <c r="E265">
        <v>0.12862299999999999</v>
      </c>
      <c r="F265">
        <v>7.7175999999999995E-2</v>
      </c>
      <c r="G265">
        <v>6.6569000000000003E-2</v>
      </c>
      <c r="H265">
        <v>-0.13525499999999999</v>
      </c>
      <c r="I265">
        <v>0.100328</v>
      </c>
      <c r="J265">
        <v>-4.5750000000000001E-3</v>
      </c>
      <c r="K265">
        <v>-2.8319E-2</v>
      </c>
      <c r="L265">
        <v>4.3478999999999997E-2</v>
      </c>
      <c r="M265">
        <v>0.10206800000000001</v>
      </c>
      <c r="N265">
        <v>-0.10883</v>
      </c>
    </row>
    <row r="266" spans="2:14" x14ac:dyDescent="0.2">
      <c r="B266">
        <v>3.0523000000000002E-2</v>
      </c>
      <c r="C266">
        <v>0.126556</v>
      </c>
      <c r="D266">
        <v>5.8673000000000003E-2</v>
      </c>
      <c r="E266">
        <v>2.9361999999999999E-2</v>
      </c>
      <c r="F266">
        <v>1.4940999999999999E-2</v>
      </c>
      <c r="G266">
        <v>-0.100688</v>
      </c>
      <c r="H266">
        <v>-0.18562000000000001</v>
      </c>
      <c r="I266">
        <v>-9.7734000000000001E-2</v>
      </c>
      <c r="J266">
        <v>0.28544000000000003</v>
      </c>
      <c r="K266">
        <v>3.0959E-2</v>
      </c>
      <c r="L266">
        <v>0.28174500000000002</v>
      </c>
      <c r="M266">
        <v>0.22478899999999999</v>
      </c>
      <c r="N266">
        <v>0.100471</v>
      </c>
    </row>
    <row r="267" spans="2:14" x14ac:dyDescent="0.2">
      <c r="B267">
        <v>2.3982E-2</v>
      </c>
      <c r="C267">
        <v>8.2496E-2</v>
      </c>
      <c r="D267">
        <v>0.109218</v>
      </c>
      <c r="E267">
        <v>3.0983E-2</v>
      </c>
      <c r="F267">
        <v>7.3460999999999999E-2</v>
      </c>
      <c r="G267">
        <v>-4.4736999999999999E-2</v>
      </c>
      <c r="H267">
        <v>-0.181751</v>
      </c>
      <c r="I267">
        <v>4.1859999999999996E-3</v>
      </c>
      <c r="J267">
        <v>-6.5669999999999999E-3</v>
      </c>
      <c r="K267">
        <v>0.33376</v>
      </c>
      <c r="L267">
        <v>0.24249200000000001</v>
      </c>
      <c r="M267">
        <v>0.64435900000000002</v>
      </c>
      <c r="N267">
        <v>0.80098599999999998</v>
      </c>
    </row>
    <row r="268" spans="2:14" x14ac:dyDescent="0.2">
      <c r="B268">
        <v>7.7869999999999995E-2</v>
      </c>
      <c r="C268">
        <v>0.13847300000000001</v>
      </c>
      <c r="D268">
        <v>0.13012499999999999</v>
      </c>
      <c r="E268">
        <v>0.105797</v>
      </c>
      <c r="F268">
        <v>0.201707</v>
      </c>
      <c r="G268">
        <v>5.7383000000000003E-2</v>
      </c>
      <c r="H268">
        <v>1.6607E-2</v>
      </c>
      <c r="I268">
        <v>1.1989E-2</v>
      </c>
      <c r="J268">
        <v>-0.25946000000000002</v>
      </c>
      <c r="K268">
        <v>-4.5766000000000001E-2</v>
      </c>
      <c r="L268">
        <v>9.8072000000000006E-2</v>
      </c>
      <c r="M268">
        <v>0.74094300000000002</v>
      </c>
      <c r="N268">
        <v>0.50749699999999998</v>
      </c>
    </row>
    <row r="269" spans="2:14" x14ac:dyDescent="0.2">
      <c r="B269">
        <v>6.3951999999999995E-2</v>
      </c>
      <c r="C269">
        <v>0.16611100000000001</v>
      </c>
      <c r="D269">
        <v>0.138955</v>
      </c>
      <c r="E269">
        <v>7.8462000000000004E-2</v>
      </c>
      <c r="F269">
        <v>3.5677E-2</v>
      </c>
      <c r="G269">
        <v>-3.8282999999999998E-2</v>
      </c>
      <c r="H269">
        <v>-0.118031</v>
      </c>
      <c r="I269">
        <v>-0.120277</v>
      </c>
      <c r="J269">
        <v>-0.157886</v>
      </c>
      <c r="K269">
        <v>-5.8924999999999998E-2</v>
      </c>
      <c r="L269">
        <v>-0.21140800000000001</v>
      </c>
      <c r="M269">
        <v>3.3760999999999999E-2</v>
      </c>
      <c r="N269">
        <v>0.24516099999999999</v>
      </c>
    </row>
    <row r="270" spans="2:14" x14ac:dyDescent="0.2">
      <c r="B270">
        <v>0.11355899999999999</v>
      </c>
      <c r="C270">
        <v>9.4440999999999997E-2</v>
      </c>
      <c r="D270">
        <v>0.102699</v>
      </c>
      <c r="E270">
        <v>5.7997E-2</v>
      </c>
      <c r="F270">
        <v>-1.828E-3</v>
      </c>
      <c r="G270">
        <v>-5.7457000000000001E-2</v>
      </c>
      <c r="H270">
        <v>6.7227999999999996E-2</v>
      </c>
      <c r="I270">
        <v>-0.18321599999999999</v>
      </c>
      <c r="J270">
        <v>-0.165265</v>
      </c>
      <c r="K270">
        <v>-0.105685</v>
      </c>
      <c r="L270">
        <v>-0.110953</v>
      </c>
      <c r="M270">
        <v>0.21542600000000001</v>
      </c>
      <c r="N270">
        <v>0.16780800000000001</v>
      </c>
    </row>
    <row r="271" spans="2:14" x14ac:dyDescent="0.2">
      <c r="B271">
        <v>1.4715000000000001E-2</v>
      </c>
      <c r="C271">
        <v>0.166545</v>
      </c>
      <c r="D271">
        <v>0.10798199999999999</v>
      </c>
      <c r="E271">
        <v>5.5607999999999998E-2</v>
      </c>
      <c r="F271">
        <v>0.122196</v>
      </c>
      <c r="G271">
        <v>9.9371000000000001E-2</v>
      </c>
      <c r="H271">
        <v>6.9769999999999997E-3</v>
      </c>
      <c r="I271">
        <v>5.4043000000000001E-2</v>
      </c>
      <c r="J271">
        <v>-2.3688000000000001E-2</v>
      </c>
      <c r="K271">
        <v>-0.12564</v>
      </c>
      <c r="L271">
        <v>4.5176000000000001E-2</v>
      </c>
      <c r="M271">
        <v>0.28868700000000003</v>
      </c>
      <c r="N271">
        <v>0.10592600000000001</v>
      </c>
    </row>
    <row r="272" spans="2:14" x14ac:dyDescent="0.2">
      <c r="B272">
        <v>0.138935</v>
      </c>
      <c r="C272">
        <v>5.3888999999999999E-2</v>
      </c>
      <c r="D272">
        <v>7.5774999999999995E-2</v>
      </c>
      <c r="E272">
        <v>6.3546000000000005E-2</v>
      </c>
      <c r="F272">
        <v>-8.4307999999999994E-2</v>
      </c>
      <c r="G272">
        <v>-6.3727000000000006E-2</v>
      </c>
      <c r="H272">
        <v>-0.11527800000000001</v>
      </c>
      <c r="I272">
        <v>-2.9789E-2</v>
      </c>
      <c r="J272">
        <v>-1.0621E-2</v>
      </c>
      <c r="K272">
        <v>-6.3702999999999996E-2</v>
      </c>
      <c r="L272">
        <v>-2.3046000000000001E-2</v>
      </c>
      <c r="M272">
        <v>5.8495999999999999E-2</v>
      </c>
      <c r="N272">
        <v>0.117615</v>
      </c>
    </row>
    <row r="273" spans="1:58" x14ac:dyDescent="0.2">
      <c r="B273">
        <v>0.11630799999999999</v>
      </c>
      <c r="C273">
        <v>8.3423999999999998E-2</v>
      </c>
      <c r="D273">
        <v>0.125777</v>
      </c>
      <c r="E273">
        <v>0.12299499999999999</v>
      </c>
      <c r="F273">
        <v>5.9725E-2</v>
      </c>
      <c r="G273">
        <v>-4.0300000000000002E-2</v>
      </c>
      <c r="H273">
        <v>-5.0872000000000001E-2</v>
      </c>
      <c r="I273">
        <v>7.3489999999999996E-3</v>
      </c>
      <c r="J273">
        <v>0.132523</v>
      </c>
      <c r="K273">
        <v>-2.1850000000000001E-2</v>
      </c>
      <c r="L273">
        <v>-0.16117400000000001</v>
      </c>
      <c r="M273">
        <v>-2.9024999999999999E-2</v>
      </c>
      <c r="N273">
        <v>-0.290796</v>
      </c>
    </row>
    <row r="274" spans="1:58" x14ac:dyDescent="0.2">
      <c r="B274">
        <v>9.3004000000000003E-2</v>
      </c>
      <c r="C274">
        <v>0.17638200000000001</v>
      </c>
      <c r="D274">
        <v>0.146368</v>
      </c>
      <c r="E274">
        <v>0.16653499999999999</v>
      </c>
      <c r="F274">
        <v>0.139152</v>
      </c>
      <c r="G274">
        <v>1.3899E-2</v>
      </c>
      <c r="H274">
        <v>-0.112027</v>
      </c>
      <c r="I274">
        <v>-0.23092299999999999</v>
      </c>
      <c r="J274">
        <v>-0.13514699999999999</v>
      </c>
      <c r="K274">
        <v>0.47625099999999998</v>
      </c>
      <c r="L274">
        <v>-0.30695800000000001</v>
      </c>
      <c r="M274">
        <v>-0.24687500000000001</v>
      </c>
      <c r="N274">
        <v>-0.42613499999999999</v>
      </c>
    </row>
    <row r="275" spans="1:58" x14ac:dyDescent="0.2">
      <c r="B275">
        <v>3.4613999999999999E-2</v>
      </c>
      <c r="C275">
        <v>0.154641</v>
      </c>
      <c r="D275">
        <v>0.156415</v>
      </c>
      <c r="E275">
        <v>8.9442999999999995E-2</v>
      </c>
      <c r="F275">
        <v>9.2929999999999999E-2</v>
      </c>
      <c r="G275">
        <v>6.8630000000000002E-3</v>
      </c>
      <c r="H275">
        <v>-3.2654000000000002E-2</v>
      </c>
      <c r="I275">
        <v>-0.15975700000000001</v>
      </c>
      <c r="J275">
        <v>-0.26335799999999998</v>
      </c>
      <c r="K275">
        <v>-0.319299</v>
      </c>
      <c r="L275">
        <v>-0.15612400000000001</v>
      </c>
      <c r="M275">
        <v>-0.43567299999999998</v>
      </c>
      <c r="N275">
        <v>3.1939999999999998E-3</v>
      </c>
    </row>
    <row r="276" spans="1:58" x14ac:dyDescent="0.2">
      <c r="B276">
        <v>-1.3109000000000001E-2</v>
      </c>
      <c r="C276">
        <v>9.6914E-2</v>
      </c>
      <c r="D276">
        <v>0.14411499999999999</v>
      </c>
      <c r="E276">
        <v>8.5474999999999995E-2</v>
      </c>
      <c r="F276">
        <v>9.0226000000000001E-2</v>
      </c>
      <c r="G276">
        <v>-2.6995000000000002E-2</v>
      </c>
      <c r="H276">
        <v>-5.0035000000000003E-2</v>
      </c>
      <c r="I276">
        <v>-0.10497099999999999</v>
      </c>
      <c r="J276">
        <v>-0.453017</v>
      </c>
      <c r="K276">
        <v>-0.414823</v>
      </c>
      <c r="L276">
        <v>-0.54973700000000003</v>
      </c>
      <c r="M276">
        <v>-0.30614799999999998</v>
      </c>
      <c r="N276">
        <v>-0.81064899999999995</v>
      </c>
    </row>
    <row r="277" spans="1:58" x14ac:dyDescent="0.2">
      <c r="B277">
        <v>2.4177000000000001E-2</v>
      </c>
      <c r="C277">
        <v>6.6572000000000006E-2</v>
      </c>
      <c r="D277">
        <v>0.11733200000000001</v>
      </c>
      <c r="E277">
        <v>8.3719000000000002E-2</v>
      </c>
      <c r="F277">
        <v>4.8557000000000003E-2</v>
      </c>
      <c r="G277">
        <v>1.0206E-2</v>
      </c>
      <c r="H277">
        <v>-8.5551000000000002E-2</v>
      </c>
      <c r="I277">
        <v>-5.8559E-2</v>
      </c>
      <c r="J277">
        <v>-0.17452400000000001</v>
      </c>
      <c r="K277">
        <v>-0.19674700000000001</v>
      </c>
      <c r="L277">
        <v>-0.34023399999999998</v>
      </c>
      <c r="M277">
        <v>-0.263044</v>
      </c>
      <c r="N277">
        <v>-0.34977200000000003</v>
      </c>
    </row>
    <row r="278" spans="1:58" x14ac:dyDescent="0.2">
      <c r="B278">
        <v>9.0227000000000002E-2</v>
      </c>
      <c r="C278">
        <v>0.109997</v>
      </c>
      <c r="D278">
        <v>0.13905200000000001</v>
      </c>
      <c r="E278">
        <v>0.117768</v>
      </c>
      <c r="F278">
        <v>0.108319</v>
      </c>
      <c r="G278">
        <v>6.6552E-2</v>
      </c>
      <c r="H278">
        <v>9.698E-3</v>
      </c>
      <c r="I278">
        <v>0.233929</v>
      </c>
      <c r="J278">
        <v>-4.8274999999999998E-2</v>
      </c>
      <c r="K278">
        <v>0.276891</v>
      </c>
      <c r="L278">
        <v>0.12070599999999999</v>
      </c>
      <c r="M278">
        <v>-0.26915</v>
      </c>
      <c r="N278">
        <v>-0.16616600000000001</v>
      </c>
    </row>
    <row r="279" spans="1:58" x14ac:dyDescent="0.2">
      <c r="B279">
        <v>0.122465</v>
      </c>
      <c r="C279">
        <v>9.6846000000000002E-2</v>
      </c>
      <c r="D279">
        <v>0.11562</v>
      </c>
      <c r="E279">
        <v>6.2043000000000001E-2</v>
      </c>
      <c r="F279">
        <v>3.6727999999999997E-2</v>
      </c>
      <c r="G279">
        <v>1.1259999999999999E-2</v>
      </c>
      <c r="H279">
        <v>-6.156E-3</v>
      </c>
      <c r="I279">
        <v>-8.7196999999999997E-2</v>
      </c>
      <c r="J279">
        <v>-6.777E-3</v>
      </c>
      <c r="K279">
        <v>0.36702000000000001</v>
      </c>
      <c r="L279">
        <v>5.0168999999999998E-2</v>
      </c>
      <c r="M279">
        <v>-0.246145</v>
      </c>
      <c r="N279">
        <v>-0.247197</v>
      </c>
    </row>
    <row r="280" spans="1:58" x14ac:dyDescent="0.2">
      <c r="B280">
        <v>9.9687999999999999E-2</v>
      </c>
      <c r="C280">
        <v>7.7401999999999999E-2</v>
      </c>
      <c r="D280">
        <v>0.10559</v>
      </c>
      <c r="E280">
        <v>9.2301999999999995E-2</v>
      </c>
      <c r="F280">
        <v>0.103009</v>
      </c>
      <c r="G280">
        <v>9.5421000000000006E-2</v>
      </c>
      <c r="H280">
        <v>4.8293000000000003E-2</v>
      </c>
      <c r="I280">
        <v>3.4161999999999998E-2</v>
      </c>
      <c r="J280">
        <v>4.2959999999999998E-2</v>
      </c>
      <c r="K280">
        <v>3.3561000000000001E-2</v>
      </c>
      <c r="L280">
        <v>0.27254299999999998</v>
      </c>
      <c r="M280">
        <v>0.74217500000000003</v>
      </c>
      <c r="N280">
        <v>4.4484000000000003E-2</v>
      </c>
    </row>
    <row r="281" spans="1:58" x14ac:dyDescent="0.2">
      <c r="B281">
        <v>7.5264999999999999E-2</v>
      </c>
      <c r="C281">
        <v>3.2641000000000003E-2</v>
      </c>
      <c r="D281">
        <v>7.6785000000000006E-2</v>
      </c>
      <c r="E281">
        <v>1.2434000000000001E-2</v>
      </c>
      <c r="F281">
        <v>-2.0472000000000001E-2</v>
      </c>
      <c r="G281">
        <v>2.0218E-2</v>
      </c>
      <c r="H281">
        <v>2.8389999999999999E-2</v>
      </c>
      <c r="I281">
        <v>-3.8191999999999997E-2</v>
      </c>
      <c r="J281">
        <v>-7.2059999999999997E-3</v>
      </c>
      <c r="K281">
        <v>3.4648999999999999E-2</v>
      </c>
      <c r="L281">
        <v>7.0435999999999999E-2</v>
      </c>
      <c r="M281">
        <v>0.28851300000000002</v>
      </c>
      <c r="N281">
        <v>0.26689099999999999</v>
      </c>
    </row>
    <row r="282" spans="1:58" x14ac:dyDescent="0.2">
      <c r="A282" t="s">
        <v>71</v>
      </c>
    </row>
    <row r="283" spans="1:58" x14ac:dyDescent="0.2">
      <c r="A283">
        <v>0.471225</v>
      </c>
    </row>
    <row r="284" spans="1:58" x14ac:dyDescent="0.2">
      <c r="A284" t="s">
        <v>72</v>
      </c>
    </row>
    <row r="285" spans="1:58" x14ac:dyDescent="0.2">
      <c r="B285">
        <v>0</v>
      </c>
      <c r="C285">
        <v>0.184365</v>
      </c>
      <c r="D285">
        <v>-6.5468999999999999E-2</v>
      </c>
      <c r="E285">
        <v>0.205623</v>
      </c>
      <c r="F285">
        <v>0.203934</v>
      </c>
      <c r="G285">
        <v>1.3822719999999999</v>
      </c>
      <c r="H285">
        <v>0.19439400000000001</v>
      </c>
      <c r="I285">
        <v>1.782559</v>
      </c>
      <c r="J285">
        <v>1.5772000000000001E-2</v>
      </c>
      <c r="K285">
        <v>0.42016999999999999</v>
      </c>
      <c r="L285">
        <v>1.3235650000000001</v>
      </c>
      <c r="M285">
        <v>0.808423</v>
      </c>
      <c r="N285">
        <v>-6.2654000000000001E-2</v>
      </c>
      <c r="O285">
        <v>0.66349400000000003</v>
      </c>
      <c r="P285">
        <v>-0.53414200000000001</v>
      </c>
      <c r="Q285">
        <v>0.18731400000000001</v>
      </c>
      <c r="R285">
        <v>-1.347863</v>
      </c>
      <c r="S285">
        <v>-0.61326499999999995</v>
      </c>
      <c r="T285">
        <v>-1.011663</v>
      </c>
      <c r="U285">
        <v>-0.76614700000000002</v>
      </c>
      <c r="V285">
        <v>0.26427499999999998</v>
      </c>
      <c r="W285">
        <v>0.53225500000000003</v>
      </c>
      <c r="X285">
        <v>-0.79856499999999997</v>
      </c>
      <c r="Y285">
        <v>0.65037800000000001</v>
      </c>
      <c r="Z285">
        <v>0.18731100000000001</v>
      </c>
      <c r="AA285">
        <v>-0.35317500000000002</v>
      </c>
      <c r="AB285">
        <v>-1.1730959999999999</v>
      </c>
      <c r="AC285">
        <v>-0.33041599999999999</v>
      </c>
      <c r="AD285">
        <v>-2.1694680000000002</v>
      </c>
      <c r="AE285">
        <v>-0.12994900000000001</v>
      </c>
      <c r="AF285">
        <v>-1.0417559999999999</v>
      </c>
      <c r="AG285">
        <v>0.34506799999999999</v>
      </c>
      <c r="AH285">
        <v>-0.32153700000000002</v>
      </c>
      <c r="AI285">
        <v>-0.35416599999999998</v>
      </c>
      <c r="AJ285">
        <v>0.34612999999999999</v>
      </c>
      <c r="AK285">
        <v>-1.309982</v>
      </c>
      <c r="AL285">
        <v>0.52454699999999999</v>
      </c>
      <c r="AM285">
        <v>0.75908900000000001</v>
      </c>
      <c r="AN285">
        <v>0.31432399999999999</v>
      </c>
      <c r="AO285">
        <v>1.190153</v>
      </c>
      <c r="AP285">
        <v>-0.66587700000000005</v>
      </c>
      <c r="AQ285">
        <v>0.47339500000000001</v>
      </c>
      <c r="AR285">
        <v>0.28246399999999999</v>
      </c>
      <c r="AS285">
        <v>0.45113900000000001</v>
      </c>
      <c r="AT285">
        <v>0.23683699999999999</v>
      </c>
      <c r="AU285">
        <v>-2.64222</v>
      </c>
      <c r="AV285">
        <v>-1.598168</v>
      </c>
      <c r="AW285">
        <v>-0.21392</v>
      </c>
      <c r="AX285">
        <v>-0.644737</v>
      </c>
      <c r="AY285">
        <v>0.79726799999999998</v>
      </c>
      <c r="AZ285">
        <v>-1.970299</v>
      </c>
      <c r="BA285">
        <v>-1.9278649999999999</v>
      </c>
      <c r="BB285">
        <v>0.171179</v>
      </c>
      <c r="BC285">
        <v>-1.575844</v>
      </c>
      <c r="BD285">
        <v>0.75552299999999994</v>
      </c>
      <c r="BE285">
        <v>0</v>
      </c>
      <c r="BF285">
        <v>0</v>
      </c>
    </row>
    <row r="286" spans="1:58" x14ac:dyDescent="0.2">
      <c r="A286" t="s">
        <v>73</v>
      </c>
    </row>
    <row r="287" spans="1:58" x14ac:dyDescent="0.2">
      <c r="A287">
        <v>0.13297400000000001</v>
      </c>
    </row>
    <row r="288" spans="1:58" x14ac:dyDescent="0.2">
      <c r="A288" t="s">
        <v>74</v>
      </c>
    </row>
    <row r="289" spans="1:57" x14ac:dyDescent="0.2">
      <c r="A289">
        <v>1968</v>
      </c>
      <c r="B289">
        <v>1969</v>
      </c>
      <c r="C289">
        <v>1970</v>
      </c>
      <c r="D289">
        <v>1971</v>
      </c>
      <c r="E289">
        <v>1972</v>
      </c>
      <c r="F289">
        <v>1973</v>
      </c>
      <c r="G289">
        <v>1974</v>
      </c>
      <c r="H289">
        <v>1975</v>
      </c>
      <c r="I289">
        <v>1976</v>
      </c>
      <c r="J289">
        <v>1977</v>
      </c>
      <c r="K289">
        <v>1978</v>
      </c>
      <c r="L289">
        <v>1979</v>
      </c>
      <c r="M289">
        <v>1980</v>
      </c>
      <c r="N289">
        <v>1981</v>
      </c>
      <c r="O289">
        <v>1982</v>
      </c>
      <c r="P289">
        <v>1983</v>
      </c>
      <c r="Q289">
        <v>1984</v>
      </c>
      <c r="R289">
        <v>1985</v>
      </c>
      <c r="S289">
        <v>1986</v>
      </c>
      <c r="T289">
        <v>1987</v>
      </c>
      <c r="U289">
        <v>1988</v>
      </c>
      <c r="V289">
        <v>1989</v>
      </c>
      <c r="W289">
        <v>1990</v>
      </c>
      <c r="X289">
        <v>1991</v>
      </c>
      <c r="Y289">
        <v>1992</v>
      </c>
      <c r="Z289">
        <v>1993</v>
      </c>
      <c r="AA289">
        <v>1994</v>
      </c>
      <c r="AB289">
        <v>1995</v>
      </c>
      <c r="AC289">
        <v>1996</v>
      </c>
      <c r="AD289">
        <v>1997</v>
      </c>
      <c r="AE289">
        <v>1998</v>
      </c>
      <c r="AF289">
        <v>1999</v>
      </c>
      <c r="AG289">
        <v>2000</v>
      </c>
      <c r="AH289">
        <v>2001</v>
      </c>
      <c r="AI289">
        <v>2002</v>
      </c>
      <c r="AJ289">
        <v>2003</v>
      </c>
      <c r="AK289">
        <v>2004</v>
      </c>
      <c r="AL289">
        <v>2005</v>
      </c>
      <c r="AM289">
        <v>2006</v>
      </c>
      <c r="AN289">
        <v>2007</v>
      </c>
      <c r="AO289">
        <v>2008</v>
      </c>
      <c r="AP289">
        <v>2009</v>
      </c>
      <c r="AQ289">
        <v>2010</v>
      </c>
      <c r="AR289">
        <v>2011</v>
      </c>
      <c r="AS289">
        <v>2012</v>
      </c>
      <c r="AT289">
        <v>2013</v>
      </c>
      <c r="AU289">
        <v>2014</v>
      </c>
      <c r="AV289">
        <v>2015</v>
      </c>
      <c r="AW289">
        <v>2016</v>
      </c>
      <c r="AX289">
        <v>2017</v>
      </c>
      <c r="AY289">
        <v>2018</v>
      </c>
      <c r="AZ289">
        <v>2019</v>
      </c>
      <c r="BA289">
        <v>2020</v>
      </c>
      <c r="BB289">
        <v>2021</v>
      </c>
      <c r="BC289">
        <v>2022</v>
      </c>
      <c r="BD289">
        <v>2023</v>
      </c>
    </row>
    <row r="290" spans="1:57" x14ac:dyDescent="0.2">
      <c r="A290" t="s">
        <v>75</v>
      </c>
    </row>
    <row r="291" spans="1:57" x14ac:dyDescent="0.2">
      <c r="A291">
        <v>0</v>
      </c>
      <c r="B291">
        <v>-2.1909000000000001E-2</v>
      </c>
      <c r="C291">
        <v>2.4708999999999998E-2</v>
      </c>
      <c r="D291">
        <v>-8.8099999999999995E-4</v>
      </c>
      <c r="E291">
        <v>5.1179000000000002E-2</v>
      </c>
      <c r="F291">
        <v>-4.9374000000000001E-2</v>
      </c>
      <c r="G291">
        <v>6.0024000000000001E-2</v>
      </c>
      <c r="H291">
        <v>-6.5089999999999995E-2</v>
      </c>
      <c r="I291">
        <v>3.6072E-2</v>
      </c>
      <c r="J291">
        <v>3.6164000000000002E-2</v>
      </c>
      <c r="K291">
        <v>-1.4153000000000001E-2</v>
      </c>
      <c r="L291">
        <v>-5.1307999999999999E-2</v>
      </c>
      <c r="M291">
        <v>-8.4376000000000007E-2</v>
      </c>
      <c r="N291">
        <v>7.6387999999999998E-2</v>
      </c>
      <c r="O291">
        <v>6.2094999999999997E-2</v>
      </c>
      <c r="P291">
        <v>0.16791200000000001</v>
      </c>
      <c r="Q291">
        <v>-2.8424999999999999E-2</v>
      </c>
      <c r="R291">
        <v>0.111342</v>
      </c>
      <c r="S291">
        <v>2.6238999999999998E-2</v>
      </c>
      <c r="T291">
        <v>-0.12981400000000001</v>
      </c>
      <c r="U291">
        <v>-8.0537999999999998E-2</v>
      </c>
      <c r="V291">
        <v>-2.9975999999999999E-2</v>
      </c>
      <c r="W291">
        <v>8.4931999999999994E-2</v>
      </c>
      <c r="X291">
        <v>0.22756000000000001</v>
      </c>
      <c r="Y291">
        <v>0.14398</v>
      </c>
      <c r="Z291">
        <v>1.1524E-2</v>
      </c>
      <c r="AA291">
        <v>6.5740000000000007E-2</v>
      </c>
      <c r="AB291">
        <v>0.124266</v>
      </c>
      <c r="AC291">
        <v>-9.7590000000000003E-3</v>
      </c>
      <c r="AD291">
        <v>5.1672000000000003E-2</v>
      </c>
      <c r="AE291">
        <v>-3.8872999999999998E-2</v>
      </c>
      <c r="AF291">
        <v>7.8173000000000006E-2</v>
      </c>
      <c r="AG291">
        <v>6.0559000000000002E-2</v>
      </c>
      <c r="AH291">
        <v>9.9747000000000002E-2</v>
      </c>
      <c r="AI291">
        <v>6.4299999999999996E-2</v>
      </c>
      <c r="AJ291">
        <v>-0.117747</v>
      </c>
      <c r="AK291">
        <v>-1.6437E-2</v>
      </c>
      <c r="AL291">
        <v>-2.2043E-2</v>
      </c>
      <c r="AM291">
        <v>-1.9803999999999999E-2</v>
      </c>
      <c r="AN291">
        <v>0.118468</v>
      </c>
      <c r="AO291">
        <v>-0.14924399999999999</v>
      </c>
      <c r="AP291">
        <v>-0.237647</v>
      </c>
      <c r="AQ291">
        <v>-0.119728</v>
      </c>
      <c r="AR291">
        <v>9.7472000000000003E-2</v>
      </c>
      <c r="AS291">
        <v>0.27322200000000002</v>
      </c>
      <c r="AT291">
        <v>0.177541</v>
      </c>
      <c r="AU291">
        <v>-4.1931999999999997E-2</v>
      </c>
      <c r="AV291">
        <v>6.9829000000000002E-2</v>
      </c>
      <c r="AW291">
        <v>0.14228399999999999</v>
      </c>
      <c r="AX291">
        <v>0.32811099999999999</v>
      </c>
      <c r="AY291">
        <v>0.14125299999999999</v>
      </c>
      <c r="AZ291">
        <v>-2.8295000000000001E-2</v>
      </c>
      <c r="BA291">
        <v>0.15253900000000001</v>
      </c>
      <c r="BB291">
        <v>0.110012</v>
      </c>
      <c r="BC291">
        <v>2.6172000000000001E-2</v>
      </c>
      <c r="BD291">
        <v>0</v>
      </c>
      <c r="BE291">
        <v>0</v>
      </c>
    </row>
    <row r="292" spans="1:57" x14ac:dyDescent="0.2">
      <c r="A292" t="s">
        <v>76</v>
      </c>
    </row>
    <row r="293" spans="1:57" x14ac:dyDescent="0.2">
      <c r="B293">
        <v>3</v>
      </c>
      <c r="C293">
        <v>4</v>
      </c>
      <c r="D293">
        <v>5</v>
      </c>
      <c r="E293">
        <v>6</v>
      </c>
      <c r="F293">
        <v>7</v>
      </c>
      <c r="G293">
        <v>8</v>
      </c>
      <c r="H293">
        <v>9</v>
      </c>
      <c r="I293">
        <v>10</v>
      </c>
      <c r="J293">
        <v>11</v>
      </c>
      <c r="K293">
        <v>12</v>
      </c>
      <c r="L293">
        <v>13</v>
      </c>
      <c r="M293">
        <v>14</v>
      </c>
      <c r="N293">
        <v>15</v>
      </c>
    </row>
    <row r="294" spans="1:57" x14ac:dyDescent="0.2">
      <c r="A294" t="s">
        <v>77</v>
      </c>
    </row>
    <row r="295" spans="1:57" x14ac:dyDescent="0.2">
      <c r="B295">
        <v>0.31048799999999999</v>
      </c>
      <c r="C295">
        <v>0.42599900000000002</v>
      </c>
      <c r="D295">
        <v>0.54791500000000004</v>
      </c>
      <c r="E295">
        <v>0.67193400000000003</v>
      </c>
      <c r="F295">
        <v>0.79464900000000005</v>
      </c>
      <c r="G295">
        <v>0.91350600000000004</v>
      </c>
      <c r="H295">
        <v>1.0267010000000001</v>
      </c>
      <c r="I295">
        <v>1.133054</v>
      </c>
      <c r="J295">
        <v>1.231884</v>
      </c>
      <c r="K295">
        <v>1.3228930000000001</v>
      </c>
      <c r="L295">
        <v>1.406072</v>
      </c>
      <c r="M295">
        <v>1.481617</v>
      </c>
      <c r="N295">
        <v>1.5498670000000001</v>
      </c>
    </row>
    <row r="296" spans="1:57" x14ac:dyDescent="0.2">
      <c r="A296" t="s">
        <v>78</v>
      </c>
    </row>
    <row r="297" spans="1:57" x14ac:dyDescent="0.2">
      <c r="A297">
        <v>0.87459200000000004</v>
      </c>
    </row>
    <row r="298" spans="1:57" x14ac:dyDescent="0.2">
      <c r="A298" t="s">
        <v>79</v>
      </c>
    </row>
    <row r="299" spans="1:57" x14ac:dyDescent="0.2">
      <c r="A299">
        <v>26.490787000000001</v>
      </c>
    </row>
    <row r="300" spans="1:57" x14ac:dyDescent="0.2">
      <c r="A300" t="s">
        <v>80</v>
      </c>
    </row>
    <row r="301" spans="1:57" x14ac:dyDescent="0.2">
      <c r="A301">
        <v>45.273549000000003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E85B5-2D4E-2543-90FF-0E7BA6235B91}">
  <dimension ref="A1:BH441"/>
  <sheetViews>
    <sheetView workbookViewId="0">
      <selection activeCell="B8" sqref="B8"/>
    </sheetView>
  </sheetViews>
  <sheetFormatPr baseColWidth="10" defaultRowHeight="16" x14ac:dyDescent="0.2"/>
  <sheetData>
    <row r="1" spans="1:60" x14ac:dyDescent="0.2">
      <c r="A1" t="s">
        <v>0</v>
      </c>
    </row>
    <row r="2" spans="1:60" x14ac:dyDescent="0.2">
      <c r="A2">
        <v>1964</v>
      </c>
    </row>
    <row r="3" spans="1:60" x14ac:dyDescent="0.2">
      <c r="A3" t="s">
        <v>1</v>
      </c>
    </row>
    <row r="4" spans="1:60" x14ac:dyDescent="0.2">
      <c r="A4">
        <v>1982</v>
      </c>
    </row>
    <row r="5" spans="1:60" x14ac:dyDescent="0.2">
      <c r="A5" t="s">
        <v>2</v>
      </c>
    </row>
    <row r="6" spans="1:60" x14ac:dyDescent="0.2">
      <c r="A6">
        <v>1994</v>
      </c>
    </row>
    <row r="7" spans="1:60" x14ac:dyDescent="0.2">
      <c r="A7" t="s">
        <v>3</v>
      </c>
    </row>
    <row r="8" spans="1:60" x14ac:dyDescent="0.2">
      <c r="A8">
        <v>2023</v>
      </c>
    </row>
    <row r="9" spans="1:60" x14ac:dyDescent="0.2">
      <c r="A9" t="s">
        <v>4</v>
      </c>
    </row>
    <row r="10" spans="1:60" x14ac:dyDescent="0.2">
      <c r="A10">
        <v>1</v>
      </c>
    </row>
    <row r="11" spans="1:60" x14ac:dyDescent="0.2">
      <c r="A11" t="s">
        <v>5</v>
      </c>
    </row>
    <row r="12" spans="1:60" x14ac:dyDescent="0.2">
      <c r="A12">
        <v>15</v>
      </c>
    </row>
    <row r="13" spans="1:60" x14ac:dyDescent="0.2">
      <c r="A13" t="s">
        <v>6</v>
      </c>
    </row>
    <row r="14" spans="1:60" x14ac:dyDescent="0.2">
      <c r="A14">
        <v>0</v>
      </c>
      <c r="B14">
        <v>8.0000000000000002E-3</v>
      </c>
      <c r="C14">
        <v>0.28899999999999998</v>
      </c>
      <c r="D14">
        <v>0.64100000000000001</v>
      </c>
      <c r="E14">
        <v>0.84199999999999997</v>
      </c>
      <c r="F14">
        <v>0.90100000000000002</v>
      </c>
      <c r="G14">
        <v>0.94699999999999995</v>
      </c>
      <c r="H14">
        <v>0.96299999999999997</v>
      </c>
      <c r="I14">
        <v>0.97</v>
      </c>
      <c r="J14">
        <v>1</v>
      </c>
      <c r="K14">
        <v>1</v>
      </c>
      <c r="L14">
        <v>1</v>
      </c>
      <c r="M14">
        <v>1</v>
      </c>
      <c r="N14">
        <v>1</v>
      </c>
      <c r="O14">
        <v>1</v>
      </c>
    </row>
    <row r="15" spans="1:60" x14ac:dyDescent="0.2">
      <c r="A15" t="s">
        <v>7</v>
      </c>
    </row>
    <row r="16" spans="1:60" x14ac:dyDescent="0.2">
      <c r="A16">
        <v>8</v>
      </c>
      <c r="B16">
        <v>7</v>
      </c>
      <c r="C16">
        <v>2</v>
      </c>
      <c r="D16">
        <v>9</v>
      </c>
      <c r="E16">
        <v>7</v>
      </c>
      <c r="F16">
        <v>7</v>
      </c>
      <c r="G16">
        <v>7</v>
      </c>
      <c r="H16">
        <v>7</v>
      </c>
      <c r="I16">
        <v>8</v>
      </c>
      <c r="J16">
        <v>6</v>
      </c>
      <c r="K16">
        <v>5</v>
      </c>
      <c r="L16">
        <v>7</v>
      </c>
      <c r="M16">
        <v>8</v>
      </c>
      <c r="N16">
        <v>8</v>
      </c>
      <c r="O16">
        <v>7</v>
      </c>
      <c r="P16">
        <v>5</v>
      </c>
      <c r="Q16">
        <v>4</v>
      </c>
      <c r="R16">
        <v>6</v>
      </c>
      <c r="S16">
        <v>7</v>
      </c>
      <c r="T16">
        <v>8</v>
      </c>
      <c r="U16">
        <v>3</v>
      </c>
      <c r="V16">
        <v>7</v>
      </c>
      <c r="W16">
        <v>7</v>
      </c>
      <c r="X16">
        <v>7</v>
      </c>
      <c r="Y16">
        <v>7</v>
      </c>
      <c r="Z16">
        <v>8</v>
      </c>
      <c r="AA16">
        <v>4</v>
      </c>
      <c r="AB16">
        <v>6</v>
      </c>
      <c r="AC16">
        <v>2</v>
      </c>
      <c r="AD16">
        <v>1</v>
      </c>
      <c r="AE16">
        <v>6</v>
      </c>
      <c r="AF16">
        <v>6</v>
      </c>
      <c r="AG16">
        <v>4</v>
      </c>
      <c r="AH16">
        <v>4</v>
      </c>
      <c r="AI16">
        <v>10</v>
      </c>
      <c r="AJ16">
        <v>4</v>
      </c>
      <c r="AK16">
        <v>4</v>
      </c>
      <c r="AL16">
        <v>4</v>
      </c>
      <c r="AM16">
        <v>4</v>
      </c>
      <c r="AN16">
        <v>4</v>
      </c>
      <c r="AO16">
        <v>4</v>
      </c>
      <c r="AP16">
        <v>4</v>
      </c>
      <c r="AQ16">
        <v>4</v>
      </c>
      <c r="AR16">
        <v>4</v>
      </c>
      <c r="AS16">
        <v>4</v>
      </c>
      <c r="AT16">
        <v>4</v>
      </c>
      <c r="AU16">
        <v>4</v>
      </c>
      <c r="AV16">
        <v>4</v>
      </c>
      <c r="AW16">
        <v>4</v>
      </c>
      <c r="AX16">
        <v>4</v>
      </c>
      <c r="AY16">
        <v>4</v>
      </c>
      <c r="AZ16">
        <v>4</v>
      </c>
      <c r="BA16">
        <v>4</v>
      </c>
      <c r="BB16">
        <v>4</v>
      </c>
      <c r="BC16">
        <v>4</v>
      </c>
      <c r="BD16">
        <v>4</v>
      </c>
      <c r="BE16">
        <v>4</v>
      </c>
      <c r="BF16">
        <v>4</v>
      </c>
      <c r="BG16">
        <v>4</v>
      </c>
      <c r="BH16">
        <v>4</v>
      </c>
    </row>
    <row r="17" spans="1:60" x14ac:dyDescent="0.2">
      <c r="A17">
        <v>5</v>
      </c>
      <c r="B17">
        <v>6</v>
      </c>
      <c r="C17">
        <v>6</v>
      </c>
      <c r="D17">
        <v>8</v>
      </c>
      <c r="E17">
        <v>5</v>
      </c>
      <c r="F17">
        <v>8</v>
      </c>
      <c r="G17">
        <v>5</v>
      </c>
      <c r="H17">
        <v>4</v>
      </c>
      <c r="I17">
        <v>8</v>
      </c>
      <c r="J17">
        <v>4</v>
      </c>
      <c r="K17">
        <v>5</v>
      </c>
      <c r="L17">
        <v>5</v>
      </c>
      <c r="M17">
        <v>6</v>
      </c>
      <c r="N17">
        <v>5</v>
      </c>
      <c r="O17">
        <v>8</v>
      </c>
      <c r="P17">
        <v>11</v>
      </c>
      <c r="Q17">
        <v>6</v>
      </c>
      <c r="R17">
        <v>7</v>
      </c>
      <c r="S17">
        <v>9</v>
      </c>
      <c r="T17">
        <v>10</v>
      </c>
      <c r="U17">
        <v>4</v>
      </c>
      <c r="V17">
        <v>4</v>
      </c>
      <c r="W17">
        <v>6</v>
      </c>
      <c r="X17">
        <v>5</v>
      </c>
      <c r="Y17">
        <v>7</v>
      </c>
      <c r="Z17">
        <v>9</v>
      </c>
      <c r="AA17">
        <v>5</v>
      </c>
      <c r="AB17">
        <v>7</v>
      </c>
      <c r="AC17">
        <v>3</v>
      </c>
      <c r="AD17">
        <v>5</v>
      </c>
      <c r="AE17">
        <v>3</v>
      </c>
      <c r="AF17">
        <v>5</v>
      </c>
      <c r="AG17">
        <v>4</v>
      </c>
      <c r="AH17">
        <v>6</v>
      </c>
      <c r="AI17">
        <v>11</v>
      </c>
      <c r="AJ17">
        <v>4</v>
      </c>
      <c r="AK17">
        <v>4</v>
      </c>
      <c r="AL17">
        <v>4</v>
      </c>
      <c r="AM17">
        <v>4</v>
      </c>
      <c r="AN17">
        <v>4</v>
      </c>
      <c r="AO17">
        <v>4</v>
      </c>
      <c r="AP17">
        <v>4</v>
      </c>
      <c r="AQ17">
        <v>4</v>
      </c>
      <c r="AR17">
        <v>4</v>
      </c>
      <c r="AS17">
        <v>4</v>
      </c>
      <c r="AT17">
        <v>4</v>
      </c>
      <c r="AU17">
        <v>4</v>
      </c>
      <c r="AV17">
        <v>4</v>
      </c>
      <c r="AW17">
        <v>4</v>
      </c>
      <c r="AX17">
        <v>4</v>
      </c>
      <c r="AY17">
        <v>4</v>
      </c>
      <c r="AZ17">
        <v>4</v>
      </c>
      <c r="BA17">
        <v>4</v>
      </c>
      <c r="BB17">
        <v>4</v>
      </c>
      <c r="BC17">
        <v>4</v>
      </c>
      <c r="BD17">
        <v>4</v>
      </c>
      <c r="BE17">
        <v>4</v>
      </c>
      <c r="BF17">
        <v>4</v>
      </c>
      <c r="BG17">
        <v>4</v>
      </c>
      <c r="BH17">
        <v>4</v>
      </c>
    </row>
    <row r="18" spans="1:60" x14ac:dyDescent="0.2">
      <c r="A18" t="s">
        <v>8</v>
      </c>
    </row>
    <row r="19" spans="1:60" x14ac:dyDescent="0.2">
      <c r="A19">
        <v>6.6E-3</v>
      </c>
      <c r="B19">
        <v>0.17</v>
      </c>
      <c r="C19">
        <v>0.30299999999999999</v>
      </c>
      <c r="D19">
        <v>0.44700000000000001</v>
      </c>
      <c r="E19">
        <v>0.58899999999999997</v>
      </c>
      <c r="F19">
        <v>0.72199999999999998</v>
      </c>
      <c r="G19">
        <v>0.84</v>
      </c>
      <c r="H19">
        <v>0.94199999999999995</v>
      </c>
      <c r="I19">
        <v>1.0289999999999999</v>
      </c>
      <c r="J19">
        <v>1.1020000000000001</v>
      </c>
      <c r="K19">
        <v>1.163</v>
      </c>
      <c r="L19">
        <v>1.212</v>
      </c>
      <c r="M19">
        <v>1.2529999999999999</v>
      </c>
      <c r="N19">
        <v>1.286</v>
      </c>
      <c r="O19">
        <v>1.3120000000000001</v>
      </c>
    </row>
    <row r="20" spans="1:60" x14ac:dyDescent="0.2">
      <c r="A20">
        <v>6.6E-3</v>
      </c>
      <c r="B20">
        <v>0.17</v>
      </c>
      <c r="C20">
        <v>0.30299999999999999</v>
      </c>
      <c r="D20">
        <v>0.44700000000000001</v>
      </c>
      <c r="E20">
        <v>0.58899999999999997</v>
      </c>
      <c r="F20">
        <v>0.72199999999999998</v>
      </c>
      <c r="G20">
        <v>0.84</v>
      </c>
      <c r="H20">
        <v>0.94199999999999995</v>
      </c>
      <c r="I20">
        <v>1.0289999999999999</v>
      </c>
      <c r="J20">
        <v>1.1020000000000001</v>
      </c>
      <c r="K20">
        <v>1.163</v>
      </c>
      <c r="L20">
        <v>1.212</v>
      </c>
      <c r="M20">
        <v>1.2529999999999999</v>
      </c>
      <c r="N20">
        <v>1.286</v>
      </c>
      <c r="O20">
        <v>1.3120000000000001</v>
      </c>
    </row>
    <row r="21" spans="1:60" x14ac:dyDescent="0.2">
      <c r="A21">
        <v>6.6E-3</v>
      </c>
      <c r="B21">
        <v>0.17</v>
      </c>
      <c r="C21">
        <v>0.30299999999999999</v>
      </c>
      <c r="D21">
        <v>0.44700000000000001</v>
      </c>
      <c r="E21">
        <v>0.58899999999999997</v>
      </c>
      <c r="F21">
        <v>0.72199999999999998</v>
      </c>
      <c r="G21">
        <v>0.84</v>
      </c>
      <c r="H21">
        <v>0.94199999999999995</v>
      </c>
      <c r="I21">
        <v>1.0289999999999999</v>
      </c>
      <c r="J21">
        <v>1.1020000000000001</v>
      </c>
      <c r="K21">
        <v>1.163</v>
      </c>
      <c r="L21">
        <v>1.212</v>
      </c>
      <c r="M21">
        <v>1.2529999999999999</v>
      </c>
      <c r="N21">
        <v>1.286</v>
      </c>
      <c r="O21">
        <v>1.3120000000000001</v>
      </c>
    </row>
    <row r="22" spans="1:60" x14ac:dyDescent="0.2">
      <c r="A22">
        <v>6.6E-3</v>
      </c>
      <c r="B22">
        <v>0.17</v>
      </c>
      <c r="C22">
        <v>0.30299999999999999</v>
      </c>
      <c r="D22">
        <v>0.44700000000000001</v>
      </c>
      <c r="E22">
        <v>0.58899999999999997</v>
      </c>
      <c r="F22">
        <v>0.72199999999999998</v>
      </c>
      <c r="G22">
        <v>0.84</v>
      </c>
      <c r="H22">
        <v>0.94199999999999995</v>
      </c>
      <c r="I22">
        <v>1.0289999999999999</v>
      </c>
      <c r="J22">
        <v>1.1020000000000001</v>
      </c>
      <c r="K22">
        <v>1.163</v>
      </c>
      <c r="L22">
        <v>1.212</v>
      </c>
      <c r="M22">
        <v>1.2529999999999999</v>
      </c>
      <c r="N22">
        <v>1.286</v>
      </c>
      <c r="O22">
        <v>1.3120000000000001</v>
      </c>
    </row>
    <row r="23" spans="1:60" x14ac:dyDescent="0.2">
      <c r="A23">
        <v>6.6E-3</v>
      </c>
      <c r="B23">
        <v>0.17</v>
      </c>
      <c r="C23">
        <v>0.30299999999999999</v>
      </c>
      <c r="D23">
        <v>0.44700000000000001</v>
      </c>
      <c r="E23">
        <v>0.58899999999999997</v>
      </c>
      <c r="F23">
        <v>0.72199999999999998</v>
      </c>
      <c r="G23">
        <v>0.84</v>
      </c>
      <c r="H23">
        <v>0.94199999999999995</v>
      </c>
      <c r="I23">
        <v>1.0289999999999999</v>
      </c>
      <c r="J23">
        <v>1.1020000000000001</v>
      </c>
      <c r="K23">
        <v>1.163</v>
      </c>
      <c r="L23">
        <v>1.212</v>
      </c>
      <c r="M23">
        <v>1.2529999999999999</v>
      </c>
      <c r="N23">
        <v>1.286</v>
      </c>
      <c r="O23">
        <v>1.3120000000000001</v>
      </c>
    </row>
    <row r="24" spans="1:60" x14ac:dyDescent="0.2">
      <c r="A24">
        <v>6.6E-3</v>
      </c>
      <c r="B24">
        <v>0.17</v>
      </c>
      <c r="C24">
        <v>0.30299999999999999</v>
      </c>
      <c r="D24">
        <v>0.44700000000000001</v>
      </c>
      <c r="E24">
        <v>0.58899999999999997</v>
      </c>
      <c r="F24">
        <v>0.72199999999999998</v>
      </c>
      <c r="G24">
        <v>0.84</v>
      </c>
      <c r="H24">
        <v>0.94199999999999995</v>
      </c>
      <c r="I24">
        <v>1.0289999999999999</v>
      </c>
      <c r="J24">
        <v>1.1020000000000001</v>
      </c>
      <c r="K24">
        <v>1.163</v>
      </c>
      <c r="L24">
        <v>1.212</v>
      </c>
      <c r="M24">
        <v>1.2529999999999999</v>
      </c>
      <c r="N24">
        <v>1.286</v>
      </c>
      <c r="O24">
        <v>1.3120000000000001</v>
      </c>
    </row>
    <row r="25" spans="1:60" x14ac:dyDescent="0.2">
      <c r="A25">
        <v>6.6E-3</v>
      </c>
      <c r="B25">
        <v>0.17</v>
      </c>
      <c r="C25">
        <v>0.30299999999999999</v>
      </c>
      <c r="D25">
        <v>0.44700000000000001</v>
      </c>
      <c r="E25">
        <v>0.58899999999999997</v>
      </c>
      <c r="F25">
        <v>0.72199999999999998</v>
      </c>
      <c r="G25">
        <v>0.84</v>
      </c>
      <c r="H25">
        <v>0.94199999999999995</v>
      </c>
      <c r="I25">
        <v>1.0289999999999999</v>
      </c>
      <c r="J25">
        <v>1.1020000000000001</v>
      </c>
      <c r="K25">
        <v>1.163</v>
      </c>
      <c r="L25">
        <v>1.212</v>
      </c>
      <c r="M25">
        <v>1.2529999999999999</v>
      </c>
      <c r="N25">
        <v>1.286</v>
      </c>
      <c r="O25">
        <v>1.3120000000000001</v>
      </c>
    </row>
    <row r="26" spans="1:60" x14ac:dyDescent="0.2">
      <c r="A26">
        <v>6.6E-3</v>
      </c>
      <c r="B26">
        <v>0.17</v>
      </c>
      <c r="C26">
        <v>0.30299999999999999</v>
      </c>
      <c r="D26">
        <v>0.44700000000000001</v>
      </c>
      <c r="E26">
        <v>0.58899999999999997</v>
      </c>
      <c r="F26">
        <v>0.72199999999999998</v>
      </c>
      <c r="G26">
        <v>0.84</v>
      </c>
      <c r="H26">
        <v>0.94199999999999995</v>
      </c>
      <c r="I26">
        <v>1.0289999999999999</v>
      </c>
      <c r="J26">
        <v>1.1020000000000001</v>
      </c>
      <c r="K26">
        <v>1.163</v>
      </c>
      <c r="L26">
        <v>1.212</v>
      </c>
      <c r="M26">
        <v>1.2529999999999999</v>
      </c>
      <c r="N26">
        <v>1.286</v>
      </c>
      <c r="O26">
        <v>1.3120000000000001</v>
      </c>
    </row>
    <row r="27" spans="1:60" x14ac:dyDescent="0.2">
      <c r="A27">
        <v>6.6E-3</v>
      </c>
      <c r="B27">
        <v>0.17</v>
      </c>
      <c r="C27">
        <v>0.30299999999999999</v>
      </c>
      <c r="D27">
        <v>0.44700000000000001</v>
      </c>
      <c r="E27">
        <v>0.58899999999999997</v>
      </c>
      <c r="F27">
        <v>0.72199999999999998</v>
      </c>
      <c r="G27">
        <v>0.84</v>
      </c>
      <c r="H27">
        <v>0.94199999999999995</v>
      </c>
      <c r="I27">
        <v>1.0289999999999999</v>
      </c>
      <c r="J27">
        <v>1.1020000000000001</v>
      </c>
      <c r="K27">
        <v>1.163</v>
      </c>
      <c r="L27">
        <v>1.212</v>
      </c>
      <c r="M27">
        <v>1.2529999999999999</v>
      </c>
      <c r="N27">
        <v>1.286</v>
      </c>
      <c r="O27">
        <v>1.3120000000000001</v>
      </c>
    </row>
    <row r="28" spans="1:60" x14ac:dyDescent="0.2">
      <c r="A28">
        <v>6.6E-3</v>
      </c>
      <c r="B28">
        <v>0.17</v>
      </c>
      <c r="C28">
        <v>0.30299999999999999</v>
      </c>
      <c r="D28">
        <v>0.44700000000000001</v>
      </c>
      <c r="E28">
        <v>0.58899999999999997</v>
      </c>
      <c r="F28">
        <v>0.72199999999999998</v>
      </c>
      <c r="G28">
        <v>0.84</v>
      </c>
      <c r="H28">
        <v>0.94199999999999995</v>
      </c>
      <c r="I28">
        <v>1.0289999999999999</v>
      </c>
      <c r="J28">
        <v>1.1020000000000001</v>
      </c>
      <c r="K28">
        <v>1.163</v>
      </c>
      <c r="L28">
        <v>1.212</v>
      </c>
      <c r="M28">
        <v>1.2529999999999999</v>
      </c>
      <c r="N28">
        <v>1.286</v>
      </c>
      <c r="O28">
        <v>1.3120000000000001</v>
      </c>
    </row>
    <row r="29" spans="1:60" x14ac:dyDescent="0.2">
      <c r="A29">
        <v>6.6E-3</v>
      </c>
      <c r="B29">
        <v>0.17</v>
      </c>
      <c r="C29">
        <v>0.30299999999999999</v>
      </c>
      <c r="D29">
        <v>0.44700000000000001</v>
      </c>
      <c r="E29">
        <v>0.58899999999999997</v>
      </c>
      <c r="F29">
        <v>0.72199999999999998</v>
      </c>
      <c r="G29">
        <v>0.84</v>
      </c>
      <c r="H29">
        <v>0.94199999999999995</v>
      </c>
      <c r="I29">
        <v>1.0289999999999999</v>
      </c>
      <c r="J29">
        <v>1.1020000000000001</v>
      </c>
      <c r="K29">
        <v>1.163</v>
      </c>
      <c r="L29">
        <v>1.212</v>
      </c>
      <c r="M29">
        <v>1.2529999999999999</v>
      </c>
      <c r="N29">
        <v>1.286</v>
      </c>
      <c r="O29">
        <v>1.3120000000000001</v>
      </c>
    </row>
    <row r="30" spans="1:60" x14ac:dyDescent="0.2">
      <c r="A30">
        <v>6.6E-3</v>
      </c>
      <c r="B30">
        <v>0.17</v>
      </c>
      <c r="C30">
        <v>0.30299999999999999</v>
      </c>
      <c r="D30">
        <v>0.44700000000000001</v>
      </c>
      <c r="E30">
        <v>0.58899999999999997</v>
      </c>
      <c r="F30">
        <v>0.72199999999999998</v>
      </c>
      <c r="G30">
        <v>0.84</v>
      </c>
      <c r="H30">
        <v>0.94199999999999995</v>
      </c>
      <c r="I30">
        <v>1.0289999999999999</v>
      </c>
      <c r="J30">
        <v>1.1020000000000001</v>
      </c>
      <c r="K30">
        <v>1.163</v>
      </c>
      <c r="L30">
        <v>1.212</v>
      </c>
      <c r="M30">
        <v>1.2529999999999999</v>
      </c>
      <c r="N30">
        <v>1.286</v>
      </c>
      <c r="O30">
        <v>1.3120000000000001</v>
      </c>
    </row>
    <row r="31" spans="1:60" x14ac:dyDescent="0.2">
      <c r="A31">
        <v>6.6E-3</v>
      </c>
      <c r="B31">
        <v>0.17</v>
      </c>
      <c r="C31">
        <v>0.30299999999999999</v>
      </c>
      <c r="D31">
        <v>0.44700000000000001</v>
      </c>
      <c r="E31">
        <v>0.58899999999999997</v>
      </c>
      <c r="F31">
        <v>0.72199999999999998</v>
      </c>
      <c r="G31">
        <v>0.84</v>
      </c>
      <c r="H31">
        <v>0.94199999999999995</v>
      </c>
      <c r="I31">
        <v>1.0289999999999999</v>
      </c>
      <c r="J31">
        <v>1.1020000000000001</v>
      </c>
      <c r="K31">
        <v>1.163</v>
      </c>
      <c r="L31">
        <v>1.212</v>
      </c>
      <c r="M31">
        <v>1.2529999999999999</v>
      </c>
      <c r="N31">
        <v>1.286</v>
      </c>
      <c r="O31">
        <v>1.3120000000000001</v>
      </c>
    </row>
    <row r="32" spans="1:60" x14ac:dyDescent="0.2">
      <c r="A32">
        <v>6.6E-3</v>
      </c>
      <c r="B32">
        <v>0.17</v>
      </c>
      <c r="C32">
        <v>0.30299999999999999</v>
      </c>
      <c r="D32">
        <v>0.44700000000000001</v>
      </c>
      <c r="E32">
        <v>0.58899999999999997</v>
      </c>
      <c r="F32">
        <v>0.72199999999999998</v>
      </c>
      <c r="G32">
        <v>0.84</v>
      </c>
      <c r="H32">
        <v>0.94199999999999995</v>
      </c>
      <c r="I32">
        <v>1.0289999999999999</v>
      </c>
      <c r="J32">
        <v>1.1020000000000001</v>
      </c>
      <c r="K32">
        <v>1.163</v>
      </c>
      <c r="L32">
        <v>1.212</v>
      </c>
      <c r="M32">
        <v>1.2529999999999999</v>
      </c>
      <c r="N32">
        <v>1.286</v>
      </c>
      <c r="O32">
        <v>1.3120000000000001</v>
      </c>
    </row>
    <row r="33" spans="1:15" x14ac:dyDescent="0.2">
      <c r="A33">
        <v>6.6E-3</v>
      </c>
      <c r="B33">
        <v>0.17</v>
      </c>
      <c r="C33">
        <v>0.30299999999999999</v>
      </c>
      <c r="D33">
        <v>0.44700000000000001</v>
      </c>
      <c r="E33">
        <v>0.58899999999999997</v>
      </c>
      <c r="F33">
        <v>0.72199999999999998</v>
      </c>
      <c r="G33">
        <v>0.84</v>
      </c>
      <c r="H33">
        <v>0.94199999999999995</v>
      </c>
      <c r="I33">
        <v>1.0289999999999999</v>
      </c>
      <c r="J33">
        <v>1.1020000000000001</v>
      </c>
      <c r="K33">
        <v>1.163</v>
      </c>
      <c r="L33">
        <v>1.212</v>
      </c>
      <c r="M33">
        <v>1.2529999999999999</v>
      </c>
      <c r="N33">
        <v>1.286</v>
      </c>
      <c r="O33">
        <v>1.3120000000000001</v>
      </c>
    </row>
    <row r="34" spans="1:15" x14ac:dyDescent="0.2">
      <c r="A34">
        <v>6.6E-3</v>
      </c>
      <c r="B34">
        <v>0.17</v>
      </c>
      <c r="C34">
        <v>0.30299999999999999</v>
      </c>
      <c r="D34">
        <v>0.44700000000000001</v>
      </c>
      <c r="E34">
        <v>0.58899999999999997</v>
      </c>
      <c r="F34">
        <v>0.72199999999999998</v>
      </c>
      <c r="G34">
        <v>0.84</v>
      </c>
      <c r="H34">
        <v>0.94199999999999995</v>
      </c>
      <c r="I34">
        <v>1.0289999999999999</v>
      </c>
      <c r="J34">
        <v>1.1020000000000001</v>
      </c>
      <c r="K34">
        <v>1.163</v>
      </c>
      <c r="L34">
        <v>1.212</v>
      </c>
      <c r="M34">
        <v>1.2529999999999999</v>
      </c>
      <c r="N34">
        <v>1.286</v>
      </c>
      <c r="O34">
        <v>1.3120000000000001</v>
      </c>
    </row>
    <row r="35" spans="1:15" x14ac:dyDescent="0.2">
      <c r="A35">
        <v>6.6E-3</v>
      </c>
      <c r="B35">
        <v>0.17</v>
      </c>
      <c r="C35">
        <v>0.30299999999999999</v>
      </c>
      <c r="D35">
        <v>0.44700000000000001</v>
      </c>
      <c r="E35">
        <v>0.58899999999999997</v>
      </c>
      <c r="F35">
        <v>0.72199999999999998</v>
      </c>
      <c r="G35">
        <v>0.84</v>
      </c>
      <c r="H35">
        <v>0.94199999999999995</v>
      </c>
      <c r="I35">
        <v>1.0289999999999999</v>
      </c>
      <c r="J35">
        <v>1.1020000000000001</v>
      </c>
      <c r="K35">
        <v>1.163</v>
      </c>
      <c r="L35">
        <v>1.212</v>
      </c>
      <c r="M35">
        <v>1.2529999999999999</v>
      </c>
      <c r="N35">
        <v>1.286</v>
      </c>
      <c r="O35">
        <v>1.3120000000000001</v>
      </c>
    </row>
    <row r="36" spans="1:15" x14ac:dyDescent="0.2">
      <c r="A36">
        <v>6.6E-3</v>
      </c>
      <c r="B36">
        <v>0.17</v>
      </c>
      <c r="C36">
        <v>0.30299999999999999</v>
      </c>
      <c r="D36">
        <v>0.44700000000000001</v>
      </c>
      <c r="E36">
        <v>0.58899999999999997</v>
      </c>
      <c r="F36">
        <v>0.72199999999999998</v>
      </c>
      <c r="G36">
        <v>0.84</v>
      </c>
      <c r="H36">
        <v>0.94199999999999995</v>
      </c>
      <c r="I36">
        <v>1.0289999999999999</v>
      </c>
      <c r="J36">
        <v>1.1020000000000001</v>
      </c>
      <c r="K36">
        <v>1.163</v>
      </c>
      <c r="L36">
        <v>1.212</v>
      </c>
      <c r="M36">
        <v>1.2529999999999999</v>
      </c>
      <c r="N36">
        <v>1.286</v>
      </c>
      <c r="O36">
        <v>1.3120000000000001</v>
      </c>
    </row>
    <row r="37" spans="1:15" x14ac:dyDescent="0.2">
      <c r="A37">
        <v>6.6E-3</v>
      </c>
      <c r="B37">
        <v>0.17</v>
      </c>
      <c r="C37">
        <v>0.30299999999999999</v>
      </c>
      <c r="D37">
        <v>0.44700000000000001</v>
      </c>
      <c r="E37">
        <v>0.58899999999999997</v>
      </c>
      <c r="F37">
        <v>0.72199999999999998</v>
      </c>
      <c r="G37">
        <v>0.84</v>
      </c>
      <c r="H37">
        <v>0.94199999999999995</v>
      </c>
      <c r="I37">
        <v>1.0289999999999999</v>
      </c>
      <c r="J37">
        <v>1.1020000000000001</v>
      </c>
      <c r="K37">
        <v>1.163</v>
      </c>
      <c r="L37">
        <v>1.212</v>
      </c>
      <c r="M37">
        <v>1.2529999999999999</v>
      </c>
      <c r="N37">
        <v>1.286</v>
      </c>
      <c r="O37">
        <v>1.3120000000000001</v>
      </c>
    </row>
    <row r="38" spans="1:15" x14ac:dyDescent="0.2">
      <c r="A38">
        <v>6.6E-3</v>
      </c>
      <c r="B38">
        <v>0.17</v>
      </c>
      <c r="C38">
        <v>0.30299999999999999</v>
      </c>
      <c r="D38">
        <v>0.44700000000000001</v>
      </c>
      <c r="E38">
        <v>0.58899999999999997</v>
      </c>
      <c r="F38">
        <v>0.72199999999999998</v>
      </c>
      <c r="G38">
        <v>0.84</v>
      </c>
      <c r="H38">
        <v>0.94199999999999995</v>
      </c>
      <c r="I38">
        <v>1.0289999999999999</v>
      </c>
      <c r="J38">
        <v>1.1020000000000001</v>
      </c>
      <c r="K38">
        <v>1.163</v>
      </c>
      <c r="L38">
        <v>1.212</v>
      </c>
      <c r="M38">
        <v>1.2529999999999999</v>
      </c>
      <c r="N38">
        <v>1.286</v>
      </c>
      <c r="O38">
        <v>1.3120000000000001</v>
      </c>
    </row>
    <row r="39" spans="1:15" x14ac:dyDescent="0.2">
      <c r="A39">
        <v>6.6E-3</v>
      </c>
      <c r="B39">
        <v>0.17</v>
      </c>
      <c r="C39">
        <v>0.30299999999999999</v>
      </c>
      <c r="D39">
        <v>0.44700000000000001</v>
      </c>
      <c r="E39">
        <v>0.58899999999999997</v>
      </c>
      <c r="F39">
        <v>0.72199999999999998</v>
      </c>
      <c r="G39">
        <v>0.84</v>
      </c>
      <c r="H39">
        <v>0.94199999999999995</v>
      </c>
      <c r="I39">
        <v>1.0289999999999999</v>
      </c>
      <c r="J39">
        <v>1.1020000000000001</v>
      </c>
      <c r="K39">
        <v>1.163</v>
      </c>
      <c r="L39">
        <v>1.212</v>
      </c>
      <c r="M39">
        <v>1.2529999999999999</v>
      </c>
      <c r="N39">
        <v>1.286</v>
      </c>
      <c r="O39">
        <v>1.3120000000000001</v>
      </c>
    </row>
    <row r="40" spans="1:15" x14ac:dyDescent="0.2">
      <c r="A40">
        <v>6.6E-3</v>
      </c>
      <c r="B40">
        <v>0.17</v>
      </c>
      <c r="C40">
        <v>0.30299999999999999</v>
      </c>
      <c r="D40">
        <v>0.44700000000000001</v>
      </c>
      <c r="E40">
        <v>0.58899999999999997</v>
      </c>
      <c r="F40">
        <v>0.72199999999999998</v>
      </c>
      <c r="G40">
        <v>0.84</v>
      </c>
      <c r="H40">
        <v>0.94199999999999995</v>
      </c>
      <c r="I40">
        <v>1.0289999999999999</v>
      </c>
      <c r="J40">
        <v>1.1020000000000001</v>
      </c>
      <c r="K40">
        <v>1.163</v>
      </c>
      <c r="L40">
        <v>1.212</v>
      </c>
      <c r="M40">
        <v>1.2529999999999999</v>
      </c>
      <c r="N40">
        <v>1.286</v>
      </c>
      <c r="O40">
        <v>1.3120000000000001</v>
      </c>
    </row>
    <row r="41" spans="1:15" x14ac:dyDescent="0.2">
      <c r="A41">
        <v>6.6E-3</v>
      </c>
      <c r="B41">
        <v>0.17</v>
      </c>
      <c r="C41">
        <v>0.30299999999999999</v>
      </c>
      <c r="D41">
        <v>0.44700000000000001</v>
      </c>
      <c r="E41">
        <v>0.58899999999999997</v>
      </c>
      <c r="F41">
        <v>0.72199999999999998</v>
      </c>
      <c r="G41">
        <v>0.84</v>
      </c>
      <c r="H41">
        <v>0.94199999999999995</v>
      </c>
      <c r="I41">
        <v>1.0289999999999999</v>
      </c>
      <c r="J41">
        <v>1.1020000000000001</v>
      </c>
      <c r="K41">
        <v>1.163</v>
      </c>
      <c r="L41">
        <v>1.212</v>
      </c>
      <c r="M41">
        <v>1.2529999999999999</v>
      </c>
      <c r="N41">
        <v>1.286</v>
      </c>
      <c r="O41">
        <v>1.3120000000000001</v>
      </c>
    </row>
    <row r="42" spans="1:15" x14ac:dyDescent="0.2">
      <c r="A42">
        <v>6.6E-3</v>
      </c>
      <c r="B42">
        <v>0.17</v>
      </c>
      <c r="C42">
        <v>0.30299999999999999</v>
      </c>
      <c r="D42">
        <v>0.44700000000000001</v>
      </c>
      <c r="E42">
        <v>0.58899999999999997</v>
      </c>
      <c r="F42">
        <v>0.72199999999999998</v>
      </c>
      <c r="G42">
        <v>0.84</v>
      </c>
      <c r="H42">
        <v>0.94199999999999995</v>
      </c>
      <c r="I42">
        <v>1.0289999999999999</v>
      </c>
      <c r="J42">
        <v>1.1020000000000001</v>
      </c>
      <c r="K42">
        <v>1.163</v>
      </c>
      <c r="L42">
        <v>1.212</v>
      </c>
      <c r="M42">
        <v>1.2529999999999999</v>
      </c>
      <c r="N42">
        <v>1.286</v>
      </c>
      <c r="O42">
        <v>1.3120000000000001</v>
      </c>
    </row>
    <row r="43" spans="1:15" x14ac:dyDescent="0.2">
      <c r="A43">
        <v>6.6E-3</v>
      </c>
      <c r="B43">
        <v>0.17</v>
      </c>
      <c r="C43">
        <v>0.30299999999999999</v>
      </c>
      <c r="D43">
        <v>0.44700000000000001</v>
      </c>
      <c r="E43">
        <v>0.58899999999999997</v>
      </c>
      <c r="F43">
        <v>0.72199999999999998</v>
      </c>
      <c r="G43">
        <v>0.84</v>
      </c>
      <c r="H43">
        <v>0.94199999999999995</v>
      </c>
      <c r="I43">
        <v>1.0289999999999999</v>
      </c>
      <c r="J43">
        <v>1.1020000000000001</v>
      </c>
      <c r="K43">
        <v>1.163</v>
      </c>
      <c r="L43">
        <v>1.212</v>
      </c>
      <c r="M43">
        <v>1.2529999999999999</v>
      </c>
      <c r="N43">
        <v>1.286</v>
      </c>
      <c r="O43">
        <v>1.3120000000000001</v>
      </c>
    </row>
    <row r="44" spans="1:15" x14ac:dyDescent="0.2">
      <c r="A44">
        <v>6.6E-3</v>
      </c>
      <c r="B44">
        <v>0.17</v>
      </c>
      <c r="C44">
        <v>0.30299999999999999</v>
      </c>
      <c r="D44">
        <v>0.44700000000000001</v>
      </c>
      <c r="E44">
        <v>0.58899999999999997</v>
      </c>
      <c r="F44">
        <v>0.72199999999999998</v>
      </c>
      <c r="G44">
        <v>0.84</v>
      </c>
      <c r="H44">
        <v>0.94199999999999995</v>
      </c>
      <c r="I44">
        <v>1.0289999999999999</v>
      </c>
      <c r="J44">
        <v>1.1020000000000001</v>
      </c>
      <c r="K44">
        <v>1.163</v>
      </c>
      <c r="L44">
        <v>1.212</v>
      </c>
      <c r="M44">
        <v>1.2529999999999999</v>
      </c>
      <c r="N44">
        <v>1.286</v>
      </c>
      <c r="O44">
        <v>1.3120000000000001</v>
      </c>
    </row>
    <row r="45" spans="1:15" x14ac:dyDescent="0.2">
      <c r="A45">
        <v>6.6E-3</v>
      </c>
      <c r="B45">
        <v>0.17</v>
      </c>
      <c r="C45">
        <v>0.30299999999999999</v>
      </c>
      <c r="D45">
        <v>0.44700000000000001</v>
      </c>
      <c r="E45">
        <v>0.58899999999999997</v>
      </c>
      <c r="F45">
        <v>0.72199999999999998</v>
      </c>
      <c r="G45">
        <v>0.84</v>
      </c>
      <c r="H45">
        <v>0.94199999999999995</v>
      </c>
      <c r="I45">
        <v>1.0289999999999999</v>
      </c>
      <c r="J45">
        <v>1.1020000000000001</v>
      </c>
      <c r="K45">
        <v>1.163</v>
      </c>
      <c r="L45">
        <v>1.212</v>
      </c>
      <c r="M45">
        <v>1.2529999999999999</v>
      </c>
      <c r="N45">
        <v>1.286</v>
      </c>
      <c r="O45">
        <v>1.3120000000000001</v>
      </c>
    </row>
    <row r="46" spans="1:15" x14ac:dyDescent="0.2">
      <c r="A46">
        <v>6.6E-3</v>
      </c>
      <c r="B46">
        <v>0.149613</v>
      </c>
      <c r="C46">
        <v>0.28829315</v>
      </c>
      <c r="D46">
        <v>0.48516767500000002</v>
      </c>
      <c r="E46">
        <v>0.60584149600000003</v>
      </c>
      <c r="F46">
        <v>0.729371624</v>
      </c>
      <c r="G46">
        <v>0.84409696499999998</v>
      </c>
      <c r="H46">
        <v>0.88269347099999995</v>
      </c>
      <c r="I46">
        <v>1.0163191540000001</v>
      </c>
      <c r="J46">
        <v>1.1243584170000001</v>
      </c>
      <c r="K46">
        <v>1.1410804450000001</v>
      </c>
      <c r="L46">
        <v>1.2315332560000001</v>
      </c>
      <c r="M46">
        <v>1.2218712199999999</v>
      </c>
      <c r="N46">
        <v>1.2947968000000001</v>
      </c>
      <c r="O46">
        <v>1.2516128019999999</v>
      </c>
    </row>
    <row r="47" spans="1:15" x14ac:dyDescent="0.2">
      <c r="A47">
        <v>6.6E-3</v>
      </c>
      <c r="B47">
        <v>0.179094</v>
      </c>
      <c r="C47">
        <v>0.39680313</v>
      </c>
      <c r="D47">
        <v>0.46469743200000002</v>
      </c>
      <c r="E47">
        <v>0.65119010099999997</v>
      </c>
      <c r="F47">
        <v>0.71367562500000004</v>
      </c>
      <c r="G47">
        <v>0.81854259799999995</v>
      </c>
      <c r="H47">
        <v>0.98578653500000002</v>
      </c>
      <c r="I47">
        <v>1.0304195469999999</v>
      </c>
      <c r="J47">
        <v>1.199785801</v>
      </c>
      <c r="K47">
        <v>1.236505467</v>
      </c>
      <c r="L47">
        <v>1.2692402199999999</v>
      </c>
      <c r="M47">
        <v>1.193139554</v>
      </c>
      <c r="N47">
        <v>1.3574297799999999</v>
      </c>
      <c r="O47">
        <v>1.4313864999999999</v>
      </c>
    </row>
    <row r="48" spans="1:15" x14ac:dyDescent="0.2">
      <c r="A48">
        <v>6.6E-3</v>
      </c>
      <c r="B48">
        <v>0.33130999999999999</v>
      </c>
      <c r="C48">
        <v>0.49472775000000002</v>
      </c>
      <c r="D48">
        <v>0.61207145399999996</v>
      </c>
      <c r="E48">
        <v>0.65181736899999998</v>
      </c>
      <c r="F48">
        <v>0.77485801799999998</v>
      </c>
      <c r="G48">
        <v>0.93447572700000003</v>
      </c>
      <c r="H48">
        <v>1.062411234</v>
      </c>
      <c r="I48">
        <v>1.19773405</v>
      </c>
      <c r="J48">
        <v>1.24041873</v>
      </c>
      <c r="K48">
        <v>1.4233353900000001</v>
      </c>
      <c r="L48">
        <v>1.53983216</v>
      </c>
      <c r="M48">
        <v>1.57572931</v>
      </c>
      <c r="N48">
        <v>1.60870209</v>
      </c>
      <c r="O48">
        <v>1.50768835</v>
      </c>
    </row>
    <row r="49" spans="1:15" x14ac:dyDescent="0.2">
      <c r="A49">
        <v>6.6E-3</v>
      </c>
      <c r="B49">
        <v>0.23309099999999999</v>
      </c>
      <c r="C49">
        <v>0.400050503</v>
      </c>
      <c r="D49">
        <v>0.65162642199999998</v>
      </c>
      <c r="E49">
        <v>0.73239009600000005</v>
      </c>
      <c r="F49">
        <v>0.74580283599999997</v>
      </c>
      <c r="G49">
        <v>0.72697250000000002</v>
      </c>
      <c r="H49">
        <v>1.07004583</v>
      </c>
      <c r="I49">
        <v>1.3798941499999999</v>
      </c>
      <c r="J49">
        <v>1.3248626699999999</v>
      </c>
      <c r="K49">
        <v>1.3350201159999999</v>
      </c>
      <c r="L49">
        <v>1.4090071500000001</v>
      </c>
      <c r="M49">
        <v>1.397040133</v>
      </c>
      <c r="N49">
        <v>1.2778383900000001</v>
      </c>
      <c r="O49">
        <v>1.3697934899999999</v>
      </c>
    </row>
    <row r="50" spans="1:15" x14ac:dyDescent="0.2">
      <c r="A50">
        <v>6.6E-3</v>
      </c>
      <c r="B50">
        <v>0.15348000000000001</v>
      </c>
      <c r="C50">
        <v>0.38561153399999998</v>
      </c>
      <c r="D50">
        <v>0.50526448899999998</v>
      </c>
      <c r="E50">
        <v>0.72852211200000005</v>
      </c>
      <c r="F50">
        <v>0.84324485699999996</v>
      </c>
      <c r="G50">
        <v>0.84729560900000001</v>
      </c>
      <c r="H50">
        <v>0.96959189300000004</v>
      </c>
      <c r="I50">
        <v>1.231843043</v>
      </c>
      <c r="J50">
        <v>1.2963015950000001</v>
      </c>
      <c r="K50">
        <v>1.4006776999999999</v>
      </c>
      <c r="L50">
        <v>1.4019511099999999</v>
      </c>
      <c r="M50">
        <v>1.3922330999999999</v>
      </c>
      <c r="N50">
        <v>1.094947991</v>
      </c>
      <c r="O50">
        <v>1.3055071600000001</v>
      </c>
    </row>
    <row r="51" spans="1:15" x14ac:dyDescent="0.2">
      <c r="A51">
        <v>6.6E-3</v>
      </c>
      <c r="B51">
        <v>0.29288900000000001</v>
      </c>
      <c r="C51">
        <v>0.335606389</v>
      </c>
      <c r="D51">
        <v>0.44507442699999999</v>
      </c>
      <c r="E51">
        <v>0.684364427</v>
      </c>
      <c r="F51">
        <v>0.79676502800000004</v>
      </c>
      <c r="G51">
        <v>0.94837943999999996</v>
      </c>
      <c r="H51">
        <v>0.95551914199999999</v>
      </c>
      <c r="I51">
        <v>1.02546574</v>
      </c>
      <c r="J51">
        <v>1.0996979069999999</v>
      </c>
      <c r="K51">
        <v>1.418002059</v>
      </c>
      <c r="L51">
        <v>1.48923278</v>
      </c>
      <c r="M51">
        <v>1.52059129</v>
      </c>
      <c r="N51">
        <v>1.70190128</v>
      </c>
      <c r="O51">
        <v>1.60196253</v>
      </c>
    </row>
    <row r="52" spans="1:15" x14ac:dyDescent="0.2">
      <c r="A52">
        <v>6.6E-3</v>
      </c>
      <c r="B52">
        <v>0.18718399999999999</v>
      </c>
      <c r="C52">
        <v>0.32671750999999999</v>
      </c>
      <c r="D52">
        <v>0.47686995100000001</v>
      </c>
      <c r="E52">
        <v>0.55904552100000005</v>
      </c>
      <c r="F52">
        <v>0.74756441299999998</v>
      </c>
      <c r="G52">
        <v>0.88880778500000002</v>
      </c>
      <c r="H52">
        <v>1.074088782</v>
      </c>
      <c r="I52">
        <v>1.09517763</v>
      </c>
      <c r="J52">
        <v>1.2356582039999999</v>
      </c>
      <c r="K52">
        <v>1.286725055</v>
      </c>
      <c r="L52">
        <v>1.3997346399999999</v>
      </c>
      <c r="M52">
        <v>1.56127113</v>
      </c>
      <c r="N52">
        <v>1.36341636</v>
      </c>
      <c r="O52">
        <v>1.3377541470000001</v>
      </c>
    </row>
    <row r="53" spans="1:15" x14ac:dyDescent="0.2">
      <c r="A53">
        <v>6.6E-3</v>
      </c>
      <c r="B53">
        <v>0.19053600000000001</v>
      </c>
      <c r="C53">
        <v>0.369383672</v>
      </c>
      <c r="D53">
        <v>0.58930249599999995</v>
      </c>
      <c r="E53">
        <v>0.61837613899999999</v>
      </c>
      <c r="F53">
        <v>0.62162803099999997</v>
      </c>
      <c r="G53">
        <v>0.77956834100000005</v>
      </c>
      <c r="H53">
        <v>1.040015819</v>
      </c>
      <c r="I53">
        <v>1.1692864000000001</v>
      </c>
      <c r="J53">
        <v>1.27585814</v>
      </c>
      <c r="K53">
        <v>1.3161312439999999</v>
      </c>
      <c r="L53">
        <v>1.4277181000000001</v>
      </c>
      <c r="M53">
        <v>1.4483634700000001</v>
      </c>
      <c r="N53">
        <v>1.4369743399999999</v>
      </c>
      <c r="O53">
        <v>1.5283707769999999</v>
      </c>
    </row>
    <row r="54" spans="1:15" x14ac:dyDescent="0.2">
      <c r="A54">
        <v>6.6E-3</v>
      </c>
      <c r="B54">
        <v>0.187805</v>
      </c>
      <c r="C54">
        <v>0.40445582000000002</v>
      </c>
      <c r="D54">
        <v>0.50701592600000001</v>
      </c>
      <c r="E54">
        <v>0.64339166299999995</v>
      </c>
      <c r="F54">
        <v>0.70229428299999996</v>
      </c>
      <c r="G54">
        <v>0.72863191599999999</v>
      </c>
      <c r="H54">
        <v>0.89366223199999995</v>
      </c>
      <c r="I54">
        <v>1.0377291630000001</v>
      </c>
      <c r="J54">
        <v>1.2527238300000001</v>
      </c>
      <c r="K54">
        <v>1.223967714</v>
      </c>
      <c r="L54">
        <v>1.42241993</v>
      </c>
      <c r="M54">
        <v>0.99486979600000003</v>
      </c>
      <c r="N54">
        <v>0.61644297000000003</v>
      </c>
      <c r="O54">
        <v>1.23864456</v>
      </c>
    </row>
    <row r="55" spans="1:15" x14ac:dyDescent="0.2">
      <c r="A55">
        <v>6.6E-3</v>
      </c>
      <c r="B55">
        <v>0.21770800000000001</v>
      </c>
      <c r="C55">
        <v>0.35296691499999999</v>
      </c>
      <c r="D55">
        <v>0.52565662700000004</v>
      </c>
      <c r="E55">
        <v>0.62991624999999996</v>
      </c>
      <c r="F55">
        <v>0.73173843199999999</v>
      </c>
      <c r="G55">
        <v>0.77970764199999998</v>
      </c>
      <c r="H55">
        <v>0.80663755599999998</v>
      </c>
      <c r="I55">
        <v>0.96790506899999995</v>
      </c>
      <c r="J55">
        <v>1.0148428819999999</v>
      </c>
      <c r="K55">
        <v>1.25287595</v>
      </c>
      <c r="L55">
        <v>1.286417827</v>
      </c>
      <c r="M55">
        <v>1.1081370800000001</v>
      </c>
      <c r="N55">
        <v>1.0838821000000001</v>
      </c>
      <c r="O55">
        <v>1.35876186</v>
      </c>
    </row>
    <row r="56" spans="1:15" x14ac:dyDescent="0.2">
      <c r="A56">
        <v>6.4999999999999997E-3</v>
      </c>
      <c r="B56">
        <v>0.22672500000000001</v>
      </c>
      <c r="C56">
        <v>0.32898713000000002</v>
      </c>
      <c r="D56">
        <v>0.50477653899999997</v>
      </c>
      <c r="E56">
        <v>0.66791167900000004</v>
      </c>
      <c r="F56">
        <v>0.78550354499999997</v>
      </c>
      <c r="G56">
        <v>0.96381427799999997</v>
      </c>
      <c r="H56">
        <v>0.98564040900000005</v>
      </c>
      <c r="I56">
        <v>1.061105349</v>
      </c>
      <c r="J56">
        <v>1.1328634900000001</v>
      </c>
      <c r="K56">
        <v>1.31951532</v>
      </c>
      <c r="L56">
        <v>1.4111078699999999</v>
      </c>
      <c r="M56">
        <v>1.5682545000000001</v>
      </c>
      <c r="N56">
        <v>1.4723921900000001</v>
      </c>
      <c r="O56">
        <v>1.4949214799999999</v>
      </c>
    </row>
    <row r="57" spans="1:15" x14ac:dyDescent="0.2">
      <c r="A57">
        <v>6.7000000000000002E-3</v>
      </c>
      <c r="B57">
        <v>0.231265</v>
      </c>
      <c r="C57">
        <v>0.38494263299999998</v>
      </c>
      <c r="D57">
        <v>0.50982239100000004</v>
      </c>
      <c r="E57">
        <v>0.66734292299999998</v>
      </c>
      <c r="F57">
        <v>0.79884399800000006</v>
      </c>
      <c r="G57">
        <v>0.91085177500000003</v>
      </c>
      <c r="H57">
        <v>1.0257405319999999</v>
      </c>
      <c r="I57">
        <v>1.11296386</v>
      </c>
      <c r="J57">
        <v>1.10152103</v>
      </c>
      <c r="K57">
        <v>1.2835165900000001</v>
      </c>
      <c r="L57">
        <v>1.44217266</v>
      </c>
      <c r="M57">
        <v>1.57874939</v>
      </c>
      <c r="N57">
        <v>1.2897122089999999</v>
      </c>
      <c r="O57">
        <v>1.56780282</v>
      </c>
    </row>
    <row r="58" spans="1:15" x14ac:dyDescent="0.2">
      <c r="A58">
        <v>6.4999999999999997E-3</v>
      </c>
      <c r="B58">
        <v>0.27606999999999998</v>
      </c>
      <c r="C58">
        <v>0.48924121300000001</v>
      </c>
      <c r="D58">
        <v>0.548784202</v>
      </c>
      <c r="E58">
        <v>0.65156124400000004</v>
      </c>
      <c r="F58">
        <v>0.76883900900000002</v>
      </c>
      <c r="G58">
        <v>0.86300357699999997</v>
      </c>
      <c r="H58">
        <v>0.95278432000000002</v>
      </c>
      <c r="I58">
        <v>1.0856497089999999</v>
      </c>
      <c r="J58">
        <v>1.20152919</v>
      </c>
      <c r="K58">
        <v>1.2115767</v>
      </c>
      <c r="L58">
        <v>1.1944533100000001</v>
      </c>
      <c r="M58">
        <v>1.3740637419999999</v>
      </c>
      <c r="N58">
        <v>1.3546630040000001</v>
      </c>
      <c r="O58">
        <v>1.7094415700000001</v>
      </c>
    </row>
    <row r="59" spans="1:15" x14ac:dyDescent="0.2">
      <c r="A59">
        <v>6.7000000000000002E-3</v>
      </c>
      <c r="B59">
        <v>0.13478499999999999</v>
      </c>
      <c r="C59">
        <v>0.408485451</v>
      </c>
      <c r="D59">
        <v>0.58389089800000005</v>
      </c>
      <c r="E59">
        <v>0.64124721299999998</v>
      </c>
      <c r="F59">
        <v>0.759872306</v>
      </c>
      <c r="G59">
        <v>0.88763152499999998</v>
      </c>
      <c r="H59">
        <v>0.92437661100000001</v>
      </c>
      <c r="I59">
        <v>1.035504964</v>
      </c>
      <c r="J59">
        <v>1.176251988</v>
      </c>
      <c r="K59">
        <v>1.126812073</v>
      </c>
      <c r="L59">
        <v>1.1667789529999999</v>
      </c>
      <c r="M59">
        <v>1.3094972570000001</v>
      </c>
      <c r="N59">
        <v>1.2536242049999999</v>
      </c>
      <c r="O59">
        <v>1.184688376</v>
      </c>
    </row>
    <row r="60" spans="1:15" x14ac:dyDescent="0.2">
      <c r="A60">
        <v>6.6E-3</v>
      </c>
      <c r="B60">
        <v>0.28263899999999997</v>
      </c>
      <c r="C60">
        <v>0.35106987299999998</v>
      </c>
      <c r="D60">
        <v>0.50822721199999998</v>
      </c>
      <c r="E60">
        <v>0.64109120500000005</v>
      </c>
      <c r="F60">
        <v>0.74170981300000005</v>
      </c>
      <c r="G60">
        <v>0.88013402100000004</v>
      </c>
      <c r="H60">
        <v>0.95995541600000001</v>
      </c>
      <c r="I60">
        <v>1.0616913210000001</v>
      </c>
      <c r="J60">
        <v>1.074204224</v>
      </c>
      <c r="K60">
        <v>1.2162803040000001</v>
      </c>
      <c r="L60">
        <v>1.2679849000000001</v>
      </c>
      <c r="M60">
        <v>1.2174879199999999</v>
      </c>
      <c r="N60">
        <v>1.0755048039999999</v>
      </c>
      <c r="O60">
        <v>1.3422823960000001</v>
      </c>
    </row>
    <row r="61" spans="1:15" x14ac:dyDescent="0.2">
      <c r="A61">
        <v>6.6E-3</v>
      </c>
      <c r="B61">
        <v>0.174065</v>
      </c>
      <c r="C61">
        <v>0.30552192</v>
      </c>
      <c r="D61">
        <v>0.44837701400000002</v>
      </c>
      <c r="E61">
        <v>0.60639937499999996</v>
      </c>
      <c r="F61">
        <v>0.755330685</v>
      </c>
      <c r="G61">
        <v>0.85766536500000001</v>
      </c>
      <c r="H61">
        <v>0.95863133499999997</v>
      </c>
      <c r="I61">
        <v>1.060309814</v>
      </c>
      <c r="J61">
        <v>1.1166167199999999</v>
      </c>
      <c r="K61">
        <v>1.1901030269999999</v>
      </c>
      <c r="L61">
        <v>1.2182009540000001</v>
      </c>
      <c r="M61">
        <v>1.279676942</v>
      </c>
      <c r="N61">
        <v>1.384136684</v>
      </c>
      <c r="O61">
        <v>1.41707779</v>
      </c>
    </row>
    <row r="62" spans="1:15" x14ac:dyDescent="0.2">
      <c r="A62">
        <v>6.6333329999999999E-3</v>
      </c>
      <c r="B62">
        <v>0.154728</v>
      </c>
      <c r="C62">
        <v>0.34900604699999999</v>
      </c>
      <c r="D62">
        <v>0.50743312200000001</v>
      </c>
      <c r="E62">
        <v>0.64234526400000003</v>
      </c>
      <c r="F62">
        <v>0.78293435600000005</v>
      </c>
      <c r="G62">
        <v>0.96053357299999997</v>
      </c>
      <c r="H62">
        <v>1.100323808</v>
      </c>
      <c r="I62">
        <v>1.1921782999999999</v>
      </c>
      <c r="J62">
        <v>1.26649122</v>
      </c>
      <c r="K62">
        <v>1.32689268</v>
      </c>
      <c r="L62">
        <v>1.4877258090000001</v>
      </c>
      <c r="M62">
        <v>1.4437879039999999</v>
      </c>
      <c r="N62">
        <v>1.72854413</v>
      </c>
      <c r="O62">
        <v>1.5117810300000001</v>
      </c>
    </row>
    <row r="63" spans="1:15" x14ac:dyDescent="0.2">
      <c r="A63">
        <v>6.6111110000000002E-3</v>
      </c>
      <c r="B63">
        <v>0.2076326</v>
      </c>
      <c r="C63">
        <v>0.32822214500000002</v>
      </c>
      <c r="D63">
        <v>0.51871347000000001</v>
      </c>
      <c r="E63">
        <v>0.65268943199999996</v>
      </c>
      <c r="F63">
        <v>0.77393674899999998</v>
      </c>
      <c r="G63">
        <v>0.89990537800000003</v>
      </c>
      <c r="H63">
        <v>1.0542269799999999</v>
      </c>
      <c r="I63">
        <v>1.1165658999999999</v>
      </c>
      <c r="J63">
        <v>1.2888614</v>
      </c>
      <c r="K63">
        <v>1.4524206200000001</v>
      </c>
      <c r="L63">
        <v>1.5277045600000001</v>
      </c>
      <c r="M63">
        <v>1.5604298599999999</v>
      </c>
      <c r="N63">
        <v>1.87355184</v>
      </c>
      <c r="O63">
        <v>1.64468809</v>
      </c>
    </row>
    <row r="64" spans="1:15" x14ac:dyDescent="0.2">
      <c r="A64">
        <v>6.6044440000000001E-3</v>
      </c>
      <c r="B64">
        <v>0.135797</v>
      </c>
      <c r="C64">
        <v>0.33960644099999998</v>
      </c>
      <c r="D64">
        <v>0.52513007599999995</v>
      </c>
      <c r="E64">
        <v>0.70476810999999995</v>
      </c>
      <c r="F64">
        <v>0.87862653999999996</v>
      </c>
      <c r="G64">
        <v>0.99941708900000004</v>
      </c>
      <c r="H64">
        <v>1.1304915200000001</v>
      </c>
      <c r="I64">
        <v>1.39828687</v>
      </c>
      <c r="J64">
        <v>1.4792251999999999</v>
      </c>
      <c r="K64">
        <v>1.5578807400000001</v>
      </c>
      <c r="L64">
        <v>1.5761519799999999</v>
      </c>
      <c r="M64">
        <v>1.8069385200000001</v>
      </c>
      <c r="N64">
        <v>2.0257022899999999</v>
      </c>
      <c r="O64">
        <v>2.22207877</v>
      </c>
    </row>
    <row r="65" spans="1:15" x14ac:dyDescent="0.2">
      <c r="A65">
        <v>4.9767699999999998E-2</v>
      </c>
      <c r="B65">
        <v>0.17485600000000001</v>
      </c>
      <c r="C65">
        <v>0.38077297100000002</v>
      </c>
      <c r="D65">
        <v>0.48998927599999997</v>
      </c>
      <c r="E65">
        <v>0.66753034899999997</v>
      </c>
      <c r="F65">
        <v>0.909046943</v>
      </c>
      <c r="G65">
        <v>1.114264972</v>
      </c>
      <c r="H65">
        <v>1.2768558800000001</v>
      </c>
      <c r="I65">
        <v>1.37360813</v>
      </c>
      <c r="J65">
        <v>1.5857564900000001</v>
      </c>
      <c r="K65">
        <v>1.6790191999999999</v>
      </c>
      <c r="L65">
        <v>1.92345261</v>
      </c>
      <c r="M65">
        <v>1.94790431</v>
      </c>
      <c r="N65">
        <v>2.0770388099999999</v>
      </c>
      <c r="O65">
        <v>2.2711612200000002</v>
      </c>
    </row>
    <row r="66" spans="1:15" x14ac:dyDescent="0.2">
      <c r="A66">
        <v>3.0688206999999999E-2</v>
      </c>
      <c r="B66">
        <v>0.204737208</v>
      </c>
      <c r="C66">
        <v>0.290306334</v>
      </c>
      <c r="D66">
        <v>0.50827671799999996</v>
      </c>
      <c r="E66">
        <v>0.66555235000000001</v>
      </c>
      <c r="F66">
        <v>0.80944137599999999</v>
      </c>
      <c r="G66">
        <v>0.97145934199999995</v>
      </c>
      <c r="H66">
        <v>1.2237681199999999</v>
      </c>
      <c r="I66">
        <v>1.3421732</v>
      </c>
      <c r="J66">
        <v>1.51301507</v>
      </c>
      <c r="K66">
        <v>1.58174035</v>
      </c>
      <c r="L66">
        <v>1.6233379100000001</v>
      </c>
      <c r="M66">
        <v>2.0795694600000001</v>
      </c>
      <c r="N66">
        <v>1.70723085</v>
      </c>
      <c r="O66">
        <v>2.2422366299999998</v>
      </c>
    </row>
    <row r="67" spans="1:15" x14ac:dyDescent="0.2">
      <c r="A67">
        <v>2.9020117000000002E-2</v>
      </c>
      <c r="B67">
        <v>0.14197272499999999</v>
      </c>
      <c r="C67">
        <v>0.27060829199999997</v>
      </c>
      <c r="D67">
        <v>0.4094757</v>
      </c>
      <c r="E67">
        <v>0.64321348700000003</v>
      </c>
      <c r="F67">
        <v>0.82413792299999999</v>
      </c>
      <c r="G67">
        <v>0.97391986900000005</v>
      </c>
      <c r="H67">
        <v>1.1697351229999999</v>
      </c>
      <c r="I67">
        <v>1.3028178500000001</v>
      </c>
      <c r="J67">
        <v>1.50945146</v>
      </c>
      <c r="K67">
        <v>1.5988688200000001</v>
      </c>
      <c r="L67">
        <v>1.63667487</v>
      </c>
      <c r="M67">
        <v>1.68001259</v>
      </c>
      <c r="N67">
        <v>2.0311515600000001</v>
      </c>
      <c r="O67">
        <v>2.0621331700000001</v>
      </c>
    </row>
    <row r="68" spans="1:15" x14ac:dyDescent="0.2">
      <c r="A68">
        <v>9.4955100000000001E-2</v>
      </c>
      <c r="B68">
        <v>0.1439405</v>
      </c>
      <c r="C68">
        <v>0.28956505500000002</v>
      </c>
      <c r="D68">
        <v>0.442138315</v>
      </c>
      <c r="E68">
        <v>0.56446202099999998</v>
      </c>
      <c r="F68">
        <v>0.78057166099999997</v>
      </c>
      <c r="G68">
        <v>1.1301076400000001</v>
      </c>
      <c r="H68">
        <v>1.2814719800000001</v>
      </c>
      <c r="I68">
        <v>1.43958081</v>
      </c>
      <c r="J68">
        <v>1.68472541</v>
      </c>
      <c r="K68">
        <v>1.8273518799999999</v>
      </c>
      <c r="L68">
        <v>1.7857340799999999</v>
      </c>
      <c r="M68">
        <v>1.93390415</v>
      </c>
      <c r="N68">
        <v>2.1590829899999999</v>
      </c>
      <c r="O68">
        <v>2.1821825499999998</v>
      </c>
    </row>
    <row r="69" spans="1:15" x14ac:dyDescent="0.2">
      <c r="A69">
        <v>1.4342608999999999E-2</v>
      </c>
      <c r="B69">
        <v>0.19287000000000001</v>
      </c>
      <c r="C69">
        <v>0.31882131699999999</v>
      </c>
      <c r="D69">
        <v>0.45413167599999998</v>
      </c>
      <c r="E69">
        <v>0.616878649</v>
      </c>
      <c r="F69">
        <v>0.75125587400000005</v>
      </c>
      <c r="G69">
        <v>0.89385630599999999</v>
      </c>
      <c r="H69">
        <v>1.1563452000000001</v>
      </c>
      <c r="I69">
        <v>1.30671643</v>
      </c>
      <c r="J69">
        <v>1.386354753</v>
      </c>
      <c r="K69">
        <v>1.6691979400000001</v>
      </c>
      <c r="L69">
        <v>1.77334777</v>
      </c>
      <c r="M69">
        <v>1.70424223</v>
      </c>
      <c r="N69">
        <v>1.62338903</v>
      </c>
      <c r="O69">
        <v>2.2152338399999998</v>
      </c>
    </row>
    <row r="70" spans="1:15" x14ac:dyDescent="0.2">
      <c r="A70">
        <v>2.5182262E-2</v>
      </c>
      <c r="B70">
        <v>0.18132380300000001</v>
      </c>
      <c r="C70">
        <v>0.40399529099999998</v>
      </c>
      <c r="D70">
        <v>0.46221148099999998</v>
      </c>
      <c r="E70">
        <v>0.57057961999999995</v>
      </c>
      <c r="F70">
        <v>0.690256019</v>
      </c>
      <c r="G70">
        <v>0.78607375499999999</v>
      </c>
      <c r="H70">
        <v>0.88670813100000001</v>
      </c>
      <c r="I70">
        <v>1.1407205549999999</v>
      </c>
      <c r="J70">
        <v>1.1952961479999999</v>
      </c>
      <c r="K70">
        <v>1.3154064700000001</v>
      </c>
      <c r="L70">
        <v>1.67091711</v>
      </c>
      <c r="M70">
        <v>1.3892029100000001</v>
      </c>
      <c r="N70">
        <v>1.5591618199999999</v>
      </c>
      <c r="O70">
        <v>2.60007725</v>
      </c>
    </row>
    <row r="71" spans="1:15" x14ac:dyDescent="0.2">
      <c r="A71">
        <v>2.5182262E-2</v>
      </c>
      <c r="B71">
        <v>0.18132380300000001</v>
      </c>
      <c r="C71">
        <v>0.40855888600000001</v>
      </c>
      <c r="D71">
        <v>0.531116861</v>
      </c>
      <c r="E71">
        <v>0.55702500899999996</v>
      </c>
      <c r="F71">
        <v>0.64597199100000002</v>
      </c>
      <c r="G71">
        <v>0.73182072899999995</v>
      </c>
      <c r="H71">
        <v>0.79973596300000005</v>
      </c>
      <c r="I71">
        <v>0.94050463900000003</v>
      </c>
      <c r="J71">
        <v>1.0434106350000001</v>
      </c>
      <c r="K71">
        <v>1.1779871079999999</v>
      </c>
      <c r="L71">
        <v>0.78776003999999999</v>
      </c>
      <c r="M71">
        <v>0.91117820999999999</v>
      </c>
      <c r="N71">
        <v>1.683923327</v>
      </c>
      <c r="O71">
        <v>1.42947008</v>
      </c>
    </row>
    <row r="72" spans="1:15" x14ac:dyDescent="0.2">
      <c r="A72">
        <v>2.5182262E-2</v>
      </c>
      <c r="B72">
        <v>0.19111972099999999</v>
      </c>
      <c r="C72">
        <v>0.40830735899999998</v>
      </c>
      <c r="D72">
        <v>0.49851599499999999</v>
      </c>
      <c r="E72">
        <v>0.65028662000000004</v>
      </c>
      <c r="F72">
        <v>0.69372113400000002</v>
      </c>
      <c r="G72">
        <v>0.751851661</v>
      </c>
      <c r="H72">
        <v>0.82740700899999997</v>
      </c>
      <c r="I72">
        <v>0.89392201699999996</v>
      </c>
      <c r="J72">
        <v>0.91115468600000005</v>
      </c>
      <c r="K72">
        <v>1.0275039130000001</v>
      </c>
      <c r="L72">
        <v>0.96131835099999996</v>
      </c>
      <c r="M72">
        <v>0.31221233700000001</v>
      </c>
      <c r="N72">
        <v>0.70114785300000004</v>
      </c>
      <c r="O72">
        <v>0.68767493999999996</v>
      </c>
    </row>
    <row r="73" spans="1:15" x14ac:dyDescent="0.2">
      <c r="A73">
        <v>2.5182262E-2</v>
      </c>
      <c r="B73">
        <v>0.18622176200000001</v>
      </c>
      <c r="C73">
        <v>0.37724519299999998</v>
      </c>
      <c r="D73">
        <v>0.46675246799999998</v>
      </c>
      <c r="E73">
        <v>0.57318186599999998</v>
      </c>
      <c r="F73">
        <v>0.73369985000000004</v>
      </c>
      <c r="G73">
        <v>0.80881347100000001</v>
      </c>
      <c r="H73">
        <v>0.85316995100000004</v>
      </c>
      <c r="I73">
        <v>0.90635076800000003</v>
      </c>
      <c r="J73">
        <v>1.0388272270000001</v>
      </c>
      <c r="K73">
        <v>0.93559379600000003</v>
      </c>
      <c r="L73">
        <v>1.1100717659999999</v>
      </c>
      <c r="M73">
        <v>0.56831772999999997</v>
      </c>
      <c r="N73">
        <v>1.454110485</v>
      </c>
      <c r="O73">
        <v>1.1296406000000001</v>
      </c>
    </row>
    <row r="74" spans="1:15" x14ac:dyDescent="0.2">
      <c r="A74">
        <v>2.5182262E-2</v>
      </c>
      <c r="B74">
        <v>0.18622176200000001</v>
      </c>
      <c r="C74">
        <v>0.42191158099999998</v>
      </c>
      <c r="D74">
        <v>0.56524664599999996</v>
      </c>
      <c r="E74">
        <v>0.64322527600000001</v>
      </c>
      <c r="F74">
        <v>0.75939756199999997</v>
      </c>
      <c r="G74">
        <v>0.87848334299999997</v>
      </c>
      <c r="H74">
        <v>0.96227578499999999</v>
      </c>
      <c r="I74">
        <v>1.0067980059999999</v>
      </c>
      <c r="J74">
        <v>1.0646750519999999</v>
      </c>
      <c r="K74">
        <v>1.0349850410000001</v>
      </c>
      <c r="L74">
        <v>1.181891891</v>
      </c>
      <c r="M74">
        <v>0.75417247200000004</v>
      </c>
      <c r="N74">
        <v>1.454110485</v>
      </c>
      <c r="O74">
        <v>1.592853037</v>
      </c>
    </row>
    <row r="75" spans="1:15" x14ac:dyDescent="0.2">
      <c r="A75">
        <v>2.5182262E-2</v>
      </c>
      <c r="B75">
        <v>0.18622176200000001</v>
      </c>
      <c r="C75">
        <v>0.38727899999999998</v>
      </c>
      <c r="D75">
        <v>0.52157900000000001</v>
      </c>
      <c r="E75">
        <v>0.63198299999999996</v>
      </c>
      <c r="F75">
        <v>0.71557199999999999</v>
      </c>
      <c r="G75">
        <v>0.799211</v>
      </c>
      <c r="H75">
        <v>0.95508099999999996</v>
      </c>
      <c r="I75">
        <v>1.005954</v>
      </c>
      <c r="J75">
        <v>1.0402579999999999</v>
      </c>
      <c r="K75">
        <v>1.189235</v>
      </c>
      <c r="L75">
        <v>1.072451</v>
      </c>
      <c r="M75">
        <v>1.208377</v>
      </c>
      <c r="N75">
        <v>0.96073900000000001</v>
      </c>
      <c r="O75">
        <v>1.5604899999999999</v>
      </c>
    </row>
    <row r="76" spans="1:15" x14ac:dyDescent="0.2">
      <c r="A76">
        <v>2.5182262E-2</v>
      </c>
      <c r="B76">
        <v>0.18622176200000001</v>
      </c>
      <c r="C76">
        <v>0.393063</v>
      </c>
      <c r="D76">
        <v>0.479856</v>
      </c>
      <c r="E76">
        <v>0.57371499999999997</v>
      </c>
      <c r="F76">
        <v>0.68978200000000001</v>
      </c>
      <c r="G76">
        <v>0.75687300000000002</v>
      </c>
      <c r="H76">
        <v>0.84131599999999995</v>
      </c>
      <c r="I76">
        <v>1.0106580000000001</v>
      </c>
      <c r="J76">
        <v>1.1298109999999999</v>
      </c>
      <c r="K76">
        <v>1.1597489999999999</v>
      </c>
      <c r="L76">
        <v>1.2693300000000001</v>
      </c>
      <c r="M76">
        <v>1.2144999999999999</v>
      </c>
      <c r="N76">
        <v>1.4047400000000001</v>
      </c>
      <c r="O76">
        <v>1.5604899999999999</v>
      </c>
    </row>
    <row r="77" spans="1:15" x14ac:dyDescent="0.2">
      <c r="A77">
        <v>2.5182262E-2</v>
      </c>
      <c r="B77">
        <v>0.18622176200000001</v>
      </c>
      <c r="C77">
        <v>0.440141</v>
      </c>
      <c r="D77">
        <v>0.50607000000000002</v>
      </c>
      <c r="E77">
        <v>0.57391300000000001</v>
      </c>
      <c r="F77">
        <v>0.72403399999999996</v>
      </c>
      <c r="G77">
        <v>0.83748400000000001</v>
      </c>
      <c r="H77">
        <v>0.88325900000000002</v>
      </c>
      <c r="I77">
        <v>0.98369700000000004</v>
      </c>
      <c r="J77">
        <v>0.97232600000000002</v>
      </c>
      <c r="K77">
        <v>1.271469</v>
      </c>
      <c r="L77">
        <v>1.0442340000000001</v>
      </c>
      <c r="M77">
        <v>1.2345349999999999</v>
      </c>
      <c r="N77">
        <v>0.91030800000000001</v>
      </c>
      <c r="O77">
        <v>1.5604899999999999</v>
      </c>
    </row>
    <row r="78" spans="1:15" x14ac:dyDescent="0.2">
      <c r="A78">
        <v>2.5182262E-2</v>
      </c>
      <c r="B78">
        <v>0.18622176200000001</v>
      </c>
      <c r="C78">
        <v>0.39375700000000002</v>
      </c>
      <c r="D78">
        <v>0.548346</v>
      </c>
      <c r="E78">
        <v>0.62629199999999996</v>
      </c>
      <c r="F78">
        <v>0.73193699999999995</v>
      </c>
      <c r="G78">
        <v>0.84151600000000004</v>
      </c>
      <c r="H78">
        <v>0.91081199999999995</v>
      </c>
      <c r="I78">
        <v>0.99766600000000005</v>
      </c>
      <c r="J78">
        <v>1.1259079999999999</v>
      </c>
      <c r="K78">
        <v>1.1419649999999999</v>
      </c>
      <c r="L78">
        <v>1.1716150000000001</v>
      </c>
      <c r="M78">
        <v>1.2553080000000001</v>
      </c>
      <c r="N78">
        <v>1.3325880000000001</v>
      </c>
      <c r="O78">
        <v>1.4724969999999999</v>
      </c>
    </row>
    <row r="79" spans="1:15" x14ac:dyDescent="0.2">
      <c r="A79" t="s">
        <v>9</v>
      </c>
    </row>
    <row r="80" spans="1:15" x14ac:dyDescent="0.2">
      <c r="A80">
        <v>8.4881665999999995E-2</v>
      </c>
      <c r="B80">
        <v>0.195868126</v>
      </c>
      <c r="C80">
        <v>0.31376278800000001</v>
      </c>
      <c r="D80">
        <v>0.459295544</v>
      </c>
      <c r="E80">
        <v>0.58862360199999997</v>
      </c>
      <c r="F80">
        <v>0.69781833100000001</v>
      </c>
      <c r="G80">
        <v>0.79679873899999998</v>
      </c>
      <c r="H80">
        <v>0.91486126300000004</v>
      </c>
      <c r="I80">
        <v>1.0569570109999999</v>
      </c>
      <c r="J80">
        <v>1.147231476</v>
      </c>
      <c r="K80">
        <v>1.290106451</v>
      </c>
      <c r="L80">
        <v>1.3879178889999999</v>
      </c>
      <c r="M80">
        <v>1.4316667599999999</v>
      </c>
      <c r="N80">
        <v>1.4070027190000001</v>
      </c>
      <c r="O80">
        <v>1.522866931</v>
      </c>
    </row>
    <row r="81" spans="1:15" x14ac:dyDescent="0.2">
      <c r="A81">
        <v>8.4881665999999995E-2</v>
      </c>
      <c r="B81">
        <v>0.195868126</v>
      </c>
      <c r="C81">
        <v>0.31376278800000001</v>
      </c>
      <c r="D81">
        <v>0.459295544</v>
      </c>
      <c r="E81">
        <v>0.58862360199999997</v>
      </c>
      <c r="F81">
        <v>0.69781833100000001</v>
      </c>
      <c r="G81">
        <v>0.79679873899999998</v>
      </c>
      <c r="H81">
        <v>0.91486126300000004</v>
      </c>
      <c r="I81">
        <v>1.0569570109999999</v>
      </c>
      <c r="J81">
        <v>1.147231476</v>
      </c>
      <c r="K81">
        <v>1.290106451</v>
      </c>
      <c r="L81">
        <v>1.3879178889999999</v>
      </c>
      <c r="M81">
        <v>1.4316667599999999</v>
      </c>
      <c r="N81">
        <v>1.4070027190000001</v>
      </c>
      <c r="O81">
        <v>1.522866931</v>
      </c>
    </row>
    <row r="82" spans="1:15" x14ac:dyDescent="0.2">
      <c r="A82">
        <v>8.4881665999999995E-2</v>
      </c>
      <c r="B82">
        <v>0.195868126</v>
      </c>
      <c r="C82">
        <v>0.31376278800000001</v>
      </c>
      <c r="D82">
        <v>0.459295544</v>
      </c>
      <c r="E82">
        <v>0.58862360199999997</v>
      </c>
      <c r="F82">
        <v>0.69781833100000001</v>
      </c>
      <c r="G82">
        <v>0.79679873899999998</v>
      </c>
      <c r="H82">
        <v>0.91486126300000004</v>
      </c>
      <c r="I82">
        <v>1.0569570109999999</v>
      </c>
      <c r="J82">
        <v>1.147231476</v>
      </c>
      <c r="K82">
        <v>1.290106451</v>
      </c>
      <c r="L82">
        <v>1.3879178889999999</v>
      </c>
      <c r="M82">
        <v>1.4316667599999999</v>
      </c>
      <c r="N82">
        <v>1.4070027190000001</v>
      </c>
      <c r="O82">
        <v>1.522866931</v>
      </c>
    </row>
    <row r="83" spans="1:15" x14ac:dyDescent="0.2">
      <c r="A83">
        <v>8.4881665999999995E-2</v>
      </c>
      <c r="B83">
        <v>0.195868126</v>
      </c>
      <c r="C83">
        <v>0.31376278800000001</v>
      </c>
      <c r="D83">
        <v>0.459295544</v>
      </c>
      <c r="E83">
        <v>0.58862360199999997</v>
      </c>
      <c r="F83">
        <v>0.69781833100000001</v>
      </c>
      <c r="G83">
        <v>0.79679873899999998</v>
      </c>
      <c r="H83">
        <v>0.91486126300000004</v>
      </c>
      <c r="I83">
        <v>1.0569570109999999</v>
      </c>
      <c r="J83">
        <v>1.147231476</v>
      </c>
      <c r="K83">
        <v>1.290106451</v>
      </c>
      <c r="L83">
        <v>1.3879178889999999</v>
      </c>
      <c r="M83">
        <v>1.4316667599999999</v>
      </c>
      <c r="N83">
        <v>1.4070027190000001</v>
      </c>
      <c r="O83">
        <v>1.522866931</v>
      </c>
    </row>
    <row r="84" spans="1:15" x14ac:dyDescent="0.2">
      <c r="A84">
        <v>8.4881665999999995E-2</v>
      </c>
      <c r="B84">
        <v>0.195868126</v>
      </c>
      <c r="C84">
        <v>0.31376278800000001</v>
      </c>
      <c r="D84">
        <v>0.459295544</v>
      </c>
      <c r="E84">
        <v>0.58862360199999997</v>
      </c>
      <c r="F84">
        <v>0.69781833100000001</v>
      </c>
      <c r="G84">
        <v>0.79679873899999998</v>
      </c>
      <c r="H84">
        <v>0.91486126300000004</v>
      </c>
      <c r="I84">
        <v>1.0569570109999999</v>
      </c>
      <c r="J84">
        <v>1.147231476</v>
      </c>
      <c r="K84">
        <v>1.290106451</v>
      </c>
      <c r="L84">
        <v>1.3879178889999999</v>
      </c>
      <c r="M84">
        <v>1.4316667599999999</v>
      </c>
      <c r="N84">
        <v>1.4070027190000001</v>
      </c>
      <c r="O84">
        <v>1.522866931</v>
      </c>
    </row>
    <row r="85" spans="1:15" x14ac:dyDescent="0.2">
      <c r="A85">
        <v>8.4881665999999995E-2</v>
      </c>
      <c r="B85">
        <v>0.195868126</v>
      </c>
      <c r="C85">
        <v>0.31376278800000001</v>
      </c>
      <c r="D85">
        <v>0.459295544</v>
      </c>
      <c r="E85">
        <v>0.58862360199999997</v>
      </c>
      <c r="F85">
        <v>0.69781833100000001</v>
      </c>
      <c r="G85">
        <v>0.79679873899999998</v>
      </c>
      <c r="H85">
        <v>0.91486126300000004</v>
      </c>
      <c r="I85">
        <v>1.0569570109999999</v>
      </c>
      <c r="J85">
        <v>1.147231476</v>
      </c>
      <c r="K85">
        <v>1.290106451</v>
      </c>
      <c r="L85">
        <v>1.3879178889999999</v>
      </c>
      <c r="M85">
        <v>1.4316667599999999</v>
      </c>
      <c r="N85">
        <v>1.4070027190000001</v>
      </c>
      <c r="O85">
        <v>1.522866931</v>
      </c>
    </row>
    <row r="86" spans="1:15" x14ac:dyDescent="0.2">
      <c r="A86">
        <v>8.4881665999999995E-2</v>
      </c>
      <c r="B86">
        <v>0.195868126</v>
      </c>
      <c r="C86">
        <v>0.31107200000000002</v>
      </c>
      <c r="D86">
        <v>0.427458</v>
      </c>
      <c r="E86">
        <v>0.55008999999999997</v>
      </c>
      <c r="F86">
        <v>0.67456199999999999</v>
      </c>
      <c r="G86">
        <v>0.79741499999999998</v>
      </c>
      <c r="H86">
        <v>0.91608100000000003</v>
      </c>
      <c r="I86">
        <v>1.028772</v>
      </c>
      <c r="J86">
        <v>1.134344</v>
      </c>
      <c r="K86">
        <v>1.2321569999999999</v>
      </c>
      <c r="L86">
        <v>1.321963</v>
      </c>
      <c r="M86">
        <v>1.403799</v>
      </c>
      <c r="N86">
        <v>1.477905</v>
      </c>
      <c r="O86">
        <v>1.544656</v>
      </c>
    </row>
    <row r="87" spans="1:15" x14ac:dyDescent="0.2">
      <c r="A87">
        <v>8.4881665999999995E-2</v>
      </c>
      <c r="B87">
        <v>0.195868126</v>
      </c>
      <c r="C87">
        <v>0.307228</v>
      </c>
      <c r="D87">
        <v>0.45231300000000002</v>
      </c>
      <c r="E87">
        <v>0.57627899999999999</v>
      </c>
      <c r="F87">
        <v>0.70114399999999999</v>
      </c>
      <c r="G87">
        <v>0.82364999999999999</v>
      </c>
      <c r="H87">
        <v>0.94142199999999998</v>
      </c>
      <c r="I87">
        <v>1.0528379999999999</v>
      </c>
      <c r="J87">
        <v>1.1568890000000001</v>
      </c>
      <c r="K87">
        <v>1.2530460000000001</v>
      </c>
      <c r="L87">
        <v>1.3411420000000001</v>
      </c>
      <c r="M87">
        <v>1.421276</v>
      </c>
      <c r="N87">
        <v>1.49373</v>
      </c>
      <c r="O87">
        <v>1.5589120000000001</v>
      </c>
    </row>
    <row r="88" spans="1:15" x14ac:dyDescent="0.2">
      <c r="A88">
        <v>8.4881665999999995E-2</v>
      </c>
      <c r="B88">
        <v>0.195868126</v>
      </c>
      <c r="C88">
        <v>0.32156800000000002</v>
      </c>
      <c r="D88">
        <v>0.433307</v>
      </c>
      <c r="E88">
        <v>0.58515799999999996</v>
      </c>
      <c r="F88">
        <v>0.711117</v>
      </c>
      <c r="G88">
        <v>0.83422799999999997</v>
      </c>
      <c r="H88">
        <v>0.95219900000000002</v>
      </c>
      <c r="I88">
        <v>1.063499</v>
      </c>
      <c r="J88">
        <v>1.1672020000000001</v>
      </c>
      <c r="K88">
        <v>1.2628490000000001</v>
      </c>
      <c r="L88">
        <v>1.3503309999999999</v>
      </c>
      <c r="M88">
        <v>1.4297930000000001</v>
      </c>
      <c r="N88">
        <v>1.5015529999999999</v>
      </c>
      <c r="O88">
        <v>1.566041</v>
      </c>
    </row>
    <row r="89" spans="1:15" x14ac:dyDescent="0.2">
      <c r="A89">
        <v>8.4881665999999995E-2</v>
      </c>
      <c r="B89">
        <v>0.195868126</v>
      </c>
      <c r="C89">
        <v>0.313585</v>
      </c>
      <c r="D89">
        <v>0.46498899999999999</v>
      </c>
      <c r="E89">
        <v>0.58442499999999997</v>
      </c>
      <c r="F89">
        <v>0.73854399999999998</v>
      </c>
      <c r="G89">
        <v>0.86250700000000002</v>
      </c>
      <c r="H89">
        <v>0.98045899999999997</v>
      </c>
      <c r="I89">
        <v>1.0910679999999999</v>
      </c>
      <c r="J89">
        <v>1.193594</v>
      </c>
      <c r="K89">
        <v>1.2877369999999999</v>
      </c>
      <c r="L89">
        <v>1.373516</v>
      </c>
      <c r="M89">
        <v>1.4511769999999999</v>
      </c>
      <c r="N89">
        <v>1.5211129999999999</v>
      </c>
      <c r="O89">
        <v>1.5838099999999999</v>
      </c>
    </row>
    <row r="90" spans="1:15" x14ac:dyDescent="0.2">
      <c r="A90">
        <v>8.4881665999999995E-2</v>
      </c>
      <c r="B90">
        <v>0.195868126</v>
      </c>
      <c r="C90">
        <v>0.32985199999999998</v>
      </c>
      <c r="D90">
        <v>0.45718900000000001</v>
      </c>
      <c r="E90">
        <v>0.61629999999999996</v>
      </c>
      <c r="F90">
        <v>0.73800699999999997</v>
      </c>
      <c r="G90">
        <v>0.890127</v>
      </c>
      <c r="H90">
        <v>1.0089250000000001</v>
      </c>
      <c r="I90">
        <v>1.119505</v>
      </c>
      <c r="J90">
        <v>1.2213290000000001</v>
      </c>
      <c r="K90">
        <v>1.3142830000000001</v>
      </c>
      <c r="L90">
        <v>1.3985449999999999</v>
      </c>
      <c r="M90">
        <v>1.4744900000000001</v>
      </c>
      <c r="N90">
        <v>1.542613</v>
      </c>
      <c r="O90">
        <v>1.603475</v>
      </c>
    </row>
    <row r="91" spans="1:15" x14ac:dyDescent="0.2">
      <c r="A91">
        <v>8.4881665999999995E-2</v>
      </c>
      <c r="B91">
        <v>0.195868126</v>
      </c>
      <c r="C91">
        <v>0.29899100000000001</v>
      </c>
      <c r="D91">
        <v>0.57931299999999997</v>
      </c>
      <c r="E91">
        <v>0.72003899999999998</v>
      </c>
      <c r="F91">
        <v>0.88309400000000005</v>
      </c>
      <c r="G91">
        <v>1.0013289999999999</v>
      </c>
      <c r="H91">
        <v>1.144476</v>
      </c>
      <c r="I91">
        <v>1.2504690000000001</v>
      </c>
      <c r="J91">
        <v>1.3457870000000001</v>
      </c>
      <c r="K91">
        <v>1.430982</v>
      </c>
      <c r="L91">
        <v>1.5067729999999999</v>
      </c>
      <c r="M91">
        <v>1.573952</v>
      </c>
      <c r="N91">
        <v>1.6333279999999999</v>
      </c>
      <c r="O91">
        <v>1.685689</v>
      </c>
    </row>
    <row r="92" spans="1:15" x14ac:dyDescent="0.2">
      <c r="A92">
        <v>8.4881665999999995E-2</v>
      </c>
      <c r="B92">
        <v>0.195868126</v>
      </c>
      <c r="C92">
        <v>0.33272800000000002</v>
      </c>
      <c r="D92">
        <v>0.44198300000000001</v>
      </c>
      <c r="E92">
        <v>0.72997900000000004</v>
      </c>
      <c r="F92">
        <v>0.87296600000000002</v>
      </c>
      <c r="G92">
        <v>1.0340309999999999</v>
      </c>
      <c r="H92">
        <v>1.1471229999999999</v>
      </c>
      <c r="I92">
        <v>1.2829299999999999</v>
      </c>
      <c r="J92">
        <v>1.380174</v>
      </c>
      <c r="K92">
        <v>1.4659610000000001</v>
      </c>
      <c r="L92">
        <v>1.5413190000000001</v>
      </c>
      <c r="M92">
        <v>1.6073170000000001</v>
      </c>
      <c r="N92">
        <v>1.6649989999999999</v>
      </c>
      <c r="O92">
        <v>1.7153400000000001</v>
      </c>
    </row>
    <row r="93" spans="1:15" x14ac:dyDescent="0.2">
      <c r="A93">
        <v>8.4881665999999995E-2</v>
      </c>
      <c r="B93">
        <v>0.195868126</v>
      </c>
      <c r="C93">
        <v>0.29436899999999999</v>
      </c>
      <c r="D93">
        <v>0.63373000000000002</v>
      </c>
      <c r="E93">
        <v>0.75913900000000001</v>
      </c>
      <c r="F93">
        <v>1.051895</v>
      </c>
      <c r="G93">
        <v>1.1906920000000001</v>
      </c>
      <c r="H93">
        <v>1.3409310000000001</v>
      </c>
      <c r="I93">
        <v>1.438571</v>
      </c>
      <c r="J93">
        <v>1.555963</v>
      </c>
      <c r="K93">
        <v>1.633143</v>
      </c>
      <c r="L93">
        <v>1.698221</v>
      </c>
      <c r="M93">
        <v>1.752966</v>
      </c>
      <c r="N93">
        <v>1.798972</v>
      </c>
      <c r="O93">
        <v>1.837634</v>
      </c>
    </row>
    <row r="94" spans="1:15" x14ac:dyDescent="0.2">
      <c r="A94">
        <v>8.4881665999999995E-2</v>
      </c>
      <c r="B94">
        <v>0.195868126</v>
      </c>
      <c r="C94">
        <v>0.32497500000000001</v>
      </c>
      <c r="D94">
        <v>0.42569899999999999</v>
      </c>
      <c r="E94">
        <v>0.77210800000000002</v>
      </c>
      <c r="F94">
        <v>0.89959299999999998</v>
      </c>
      <c r="G94">
        <v>1.1905209999999999</v>
      </c>
      <c r="H94">
        <v>1.324595</v>
      </c>
      <c r="I94">
        <v>1.468092</v>
      </c>
      <c r="J94">
        <v>1.5576970000000001</v>
      </c>
      <c r="K94">
        <v>1.666336</v>
      </c>
      <c r="L94">
        <v>1.73448</v>
      </c>
      <c r="M94">
        <v>1.790565</v>
      </c>
      <c r="N94">
        <v>1.836587</v>
      </c>
      <c r="O94">
        <v>1.8742939999999999</v>
      </c>
    </row>
    <row r="95" spans="1:15" x14ac:dyDescent="0.2">
      <c r="A95">
        <v>8.4881665999999995E-2</v>
      </c>
      <c r="B95">
        <v>0.195868126</v>
      </c>
      <c r="C95">
        <v>0.32522000000000001</v>
      </c>
      <c r="D95">
        <v>0.48336699999999999</v>
      </c>
      <c r="E95">
        <v>0.59259099999999998</v>
      </c>
      <c r="F95">
        <v>0.94150500000000004</v>
      </c>
      <c r="G95">
        <v>1.066786</v>
      </c>
      <c r="H95">
        <v>1.352017</v>
      </c>
      <c r="I95">
        <v>1.477959</v>
      </c>
      <c r="J95">
        <v>1.6117669999999999</v>
      </c>
      <c r="K95">
        <v>1.690814</v>
      </c>
      <c r="L95">
        <v>1.7885549999999999</v>
      </c>
      <c r="M95">
        <v>1.845853</v>
      </c>
      <c r="N95">
        <v>1.8914169999999999</v>
      </c>
      <c r="O95">
        <v>1.92743</v>
      </c>
    </row>
    <row r="96" spans="1:15" x14ac:dyDescent="0.2">
      <c r="A96">
        <v>8.4881665999999995E-2</v>
      </c>
      <c r="B96">
        <v>0.195868126</v>
      </c>
      <c r="C96">
        <v>0.30943599999999999</v>
      </c>
      <c r="D96">
        <v>0.56751600000000002</v>
      </c>
      <c r="E96">
        <v>0.73866699999999996</v>
      </c>
      <c r="F96">
        <v>0.85172300000000001</v>
      </c>
      <c r="G96">
        <v>1.1972640000000001</v>
      </c>
      <c r="H96">
        <v>1.3138300000000001</v>
      </c>
      <c r="I96">
        <v>1.5866229999999999</v>
      </c>
      <c r="J96">
        <v>1.6977420000000001</v>
      </c>
      <c r="K96">
        <v>1.8153980000000001</v>
      </c>
      <c r="L96">
        <v>1.8777759999999999</v>
      </c>
      <c r="M96">
        <v>1.9589240000000001</v>
      </c>
      <c r="N96">
        <v>2.0001289999999998</v>
      </c>
      <c r="O96">
        <v>2.030383</v>
      </c>
    </row>
    <row r="97" spans="1:15" x14ac:dyDescent="0.2">
      <c r="A97">
        <v>8.4881665999999995E-2</v>
      </c>
      <c r="B97">
        <v>0.195868126</v>
      </c>
      <c r="C97">
        <v>0.29829</v>
      </c>
      <c r="D97">
        <v>0.499527</v>
      </c>
      <c r="E97">
        <v>0.76780899999999996</v>
      </c>
      <c r="F97">
        <v>0.94196500000000005</v>
      </c>
      <c r="G97">
        <v>1.0523750000000001</v>
      </c>
      <c r="H97">
        <v>1.391079</v>
      </c>
      <c r="I97">
        <v>1.497887</v>
      </c>
      <c r="J97">
        <v>1.7590509999999999</v>
      </c>
      <c r="K97">
        <v>1.857499</v>
      </c>
      <c r="L97">
        <v>1.9620770000000001</v>
      </c>
      <c r="M97">
        <v>2.0114369999999999</v>
      </c>
      <c r="N97">
        <v>2.0799590000000001</v>
      </c>
      <c r="O97">
        <v>2.1091530000000001</v>
      </c>
    </row>
    <row r="98" spans="1:15" x14ac:dyDescent="0.2">
      <c r="A98">
        <v>8.4881665999999995E-2</v>
      </c>
      <c r="B98">
        <v>0.195868126</v>
      </c>
      <c r="C98">
        <v>0.28816000000000003</v>
      </c>
      <c r="D98">
        <v>0.42455599999999999</v>
      </c>
      <c r="E98">
        <v>0.63256900000000005</v>
      </c>
      <c r="F98">
        <v>0.90284799999999998</v>
      </c>
      <c r="G98">
        <v>1.0752470000000001</v>
      </c>
      <c r="H98">
        <v>1.1811149999999999</v>
      </c>
      <c r="I98">
        <v>1.5133380000000001</v>
      </c>
      <c r="J98">
        <v>1.6124210000000001</v>
      </c>
      <c r="K98">
        <v>1.8651679999999999</v>
      </c>
      <c r="L98">
        <v>1.9549289999999999</v>
      </c>
      <c r="M98">
        <v>2.0508600000000001</v>
      </c>
      <c r="N98">
        <v>2.0918329999999998</v>
      </c>
      <c r="O98">
        <v>2.152377</v>
      </c>
    </row>
    <row r="99" spans="1:15" x14ac:dyDescent="0.2">
      <c r="A99">
        <v>8.4881665999999995E-2</v>
      </c>
      <c r="B99">
        <v>0.195868126</v>
      </c>
      <c r="C99">
        <v>0.33803499999999997</v>
      </c>
      <c r="D99">
        <v>0.465312</v>
      </c>
      <c r="E99">
        <v>0.61121599999999998</v>
      </c>
      <c r="F99">
        <v>0.82203000000000004</v>
      </c>
      <c r="G99">
        <v>1.089842</v>
      </c>
      <c r="H99">
        <v>1.25587</v>
      </c>
      <c r="I99">
        <v>1.3526450000000001</v>
      </c>
      <c r="J99">
        <v>1.674029</v>
      </c>
      <c r="K99">
        <v>1.761304</v>
      </c>
      <c r="L99">
        <v>2.0018630000000002</v>
      </c>
      <c r="M99">
        <v>2.0794920000000001</v>
      </c>
      <c r="N99">
        <v>2.1636570000000002</v>
      </c>
      <c r="O99">
        <v>2.1934369999999999</v>
      </c>
    </row>
    <row r="100" spans="1:15" x14ac:dyDescent="0.2">
      <c r="A100">
        <v>8.4881665999999995E-2</v>
      </c>
      <c r="B100">
        <v>0.195868126</v>
      </c>
      <c r="C100">
        <v>0.33325199999999999</v>
      </c>
      <c r="D100">
        <v>0.43940000000000001</v>
      </c>
      <c r="E100">
        <v>0.57211699999999999</v>
      </c>
      <c r="F100">
        <v>0.71962400000000004</v>
      </c>
      <c r="G100">
        <v>0.92902700000000005</v>
      </c>
      <c r="H100">
        <v>1.1931940000000001</v>
      </c>
      <c r="I100">
        <v>1.3540179999999999</v>
      </c>
      <c r="J100">
        <v>1.444591</v>
      </c>
      <c r="K100">
        <v>1.7592190000000001</v>
      </c>
      <c r="L100">
        <v>1.8395189999999999</v>
      </c>
      <c r="M100">
        <v>2.073137</v>
      </c>
      <c r="N100">
        <v>2.144034</v>
      </c>
      <c r="O100">
        <v>2.221794</v>
      </c>
    </row>
    <row r="101" spans="1:15" x14ac:dyDescent="0.2">
      <c r="A101">
        <v>8.4881665999999995E-2</v>
      </c>
      <c r="B101">
        <v>0.195868126</v>
      </c>
      <c r="C101">
        <v>0.36990499999999998</v>
      </c>
      <c r="D101">
        <v>0.47498000000000001</v>
      </c>
      <c r="E101">
        <v>0.58873399999999998</v>
      </c>
      <c r="F101">
        <v>0.723692</v>
      </c>
      <c r="G101">
        <v>0.86922699999999997</v>
      </c>
      <c r="H101">
        <v>1.0735319999999999</v>
      </c>
      <c r="I101">
        <v>1.3304240000000001</v>
      </c>
      <c r="J101">
        <v>1.482577</v>
      </c>
      <c r="K101">
        <v>1.5637030000000001</v>
      </c>
      <c r="L101">
        <v>1.868579</v>
      </c>
      <c r="M101">
        <v>1.9391750000000001</v>
      </c>
      <c r="N101">
        <v>2.1633779999999998</v>
      </c>
      <c r="O101">
        <v>2.22532</v>
      </c>
    </row>
    <row r="102" spans="1:15" x14ac:dyDescent="0.2">
      <c r="A102">
        <v>8.4881665999999995E-2</v>
      </c>
      <c r="B102">
        <v>0.195868126</v>
      </c>
      <c r="C102">
        <v>0.30423099999999997</v>
      </c>
      <c r="D102">
        <v>0.439473</v>
      </c>
      <c r="E102">
        <v>0.54828200000000005</v>
      </c>
      <c r="F102">
        <v>0.66313599999999995</v>
      </c>
      <c r="G102">
        <v>0.797126</v>
      </c>
      <c r="H102">
        <v>0.94015800000000005</v>
      </c>
      <c r="I102">
        <v>1.1408929999999999</v>
      </c>
      <c r="J102">
        <v>1.3935280000000001</v>
      </c>
      <c r="K102">
        <v>1.5410440000000001</v>
      </c>
      <c r="L102">
        <v>1.617383</v>
      </c>
      <c r="M102">
        <v>1.9174960000000001</v>
      </c>
      <c r="N102">
        <v>1.9834700000000001</v>
      </c>
      <c r="O102">
        <v>2.2032790000000002</v>
      </c>
    </row>
    <row r="103" spans="1:15" x14ac:dyDescent="0.2">
      <c r="A103">
        <v>8.4881665999999995E-2</v>
      </c>
      <c r="B103">
        <v>0.195868126</v>
      </c>
      <c r="C103">
        <v>0.34939900000000002</v>
      </c>
      <c r="D103">
        <v>0.40203</v>
      </c>
      <c r="E103">
        <v>0.54252100000000003</v>
      </c>
      <c r="F103">
        <v>0.65287700000000004</v>
      </c>
      <c r="G103">
        <v>0.76637</v>
      </c>
      <c r="H103">
        <v>0.89684200000000003</v>
      </c>
      <c r="I103">
        <v>1.034853</v>
      </c>
      <c r="J103">
        <v>1.2296050000000001</v>
      </c>
      <c r="K103">
        <v>1.4757210000000001</v>
      </c>
      <c r="L103">
        <v>1.6165080000000001</v>
      </c>
      <c r="M103">
        <v>1.68615</v>
      </c>
      <c r="N103">
        <v>1.9797670000000001</v>
      </c>
      <c r="O103">
        <v>2.0395620000000001</v>
      </c>
    </row>
    <row r="104" spans="1:15" x14ac:dyDescent="0.2">
      <c r="A104">
        <v>8.4881665999999995E-2</v>
      </c>
      <c r="B104">
        <v>0.195868126</v>
      </c>
      <c r="C104">
        <v>0.32156800000000002</v>
      </c>
      <c r="D104">
        <v>0.43080099999999999</v>
      </c>
      <c r="E104">
        <v>0.48780099999999998</v>
      </c>
      <c r="F104">
        <v>0.62958000000000003</v>
      </c>
      <c r="G104">
        <v>0.73880199999999996</v>
      </c>
      <c r="H104">
        <v>0.84936699999999998</v>
      </c>
      <c r="I104">
        <v>0.97565999999999997</v>
      </c>
      <c r="J104">
        <v>1.108692</v>
      </c>
      <c r="K104">
        <v>1.298017</v>
      </c>
      <c r="L104">
        <v>1.5385329999999999</v>
      </c>
      <c r="M104">
        <v>1.673746</v>
      </c>
      <c r="N104">
        <v>1.737981</v>
      </c>
      <c r="O104">
        <v>2.0264540000000002</v>
      </c>
    </row>
    <row r="105" spans="1:15" x14ac:dyDescent="0.2">
      <c r="A105">
        <v>8.4881665999999995E-2</v>
      </c>
      <c r="B105">
        <v>0.195868126</v>
      </c>
      <c r="C105">
        <v>0.275451</v>
      </c>
      <c r="D105">
        <v>0.41253499999999999</v>
      </c>
      <c r="E105">
        <v>0.52664999999999995</v>
      </c>
      <c r="F105">
        <v>0.58508800000000005</v>
      </c>
      <c r="G105">
        <v>0.72560100000000005</v>
      </c>
      <c r="H105">
        <v>0.83155100000000004</v>
      </c>
      <c r="I105">
        <v>0.93744700000000003</v>
      </c>
      <c r="J105">
        <v>1.0581750000000001</v>
      </c>
      <c r="K105">
        <v>1.1851430000000001</v>
      </c>
      <c r="L105">
        <v>1.368209</v>
      </c>
      <c r="M105">
        <v>1.602495</v>
      </c>
      <c r="N105">
        <v>1.7316659999999999</v>
      </c>
      <c r="O105">
        <v>1.790154</v>
      </c>
    </row>
    <row r="106" spans="1:15" x14ac:dyDescent="0.2">
      <c r="A106">
        <v>8.4881665999999995E-2</v>
      </c>
      <c r="B106">
        <v>0.195868126</v>
      </c>
      <c r="C106">
        <v>0.28947000000000001</v>
      </c>
      <c r="D106">
        <v>0.42264800000000002</v>
      </c>
      <c r="E106">
        <v>0.567631</v>
      </c>
      <c r="F106">
        <v>0.68407399999999996</v>
      </c>
      <c r="G106">
        <v>0.74046400000000001</v>
      </c>
      <c r="H106">
        <v>0.87568199999999996</v>
      </c>
      <c r="I106">
        <v>0.97407600000000005</v>
      </c>
      <c r="J106">
        <v>1.0709660000000001</v>
      </c>
      <c r="K106">
        <v>1.1818820000000001</v>
      </c>
      <c r="L106">
        <v>1.2987230000000001</v>
      </c>
      <c r="M106">
        <v>1.4717100000000001</v>
      </c>
      <c r="N106">
        <v>1.6962189999999999</v>
      </c>
      <c r="O106">
        <v>1.8160890000000001</v>
      </c>
    </row>
    <row r="107" spans="1:15" x14ac:dyDescent="0.2">
      <c r="A107">
        <v>8.4881665999999995E-2</v>
      </c>
      <c r="B107">
        <v>0.195868126</v>
      </c>
      <c r="C107">
        <v>0.30347400000000002</v>
      </c>
      <c r="D107">
        <v>0.45530799999999999</v>
      </c>
      <c r="E107">
        <v>0.59738500000000005</v>
      </c>
      <c r="F107">
        <v>0.74499099999999996</v>
      </c>
      <c r="G107">
        <v>0.85912599999999995</v>
      </c>
      <c r="H107">
        <v>0.909551</v>
      </c>
      <c r="I107">
        <v>1.0362560000000001</v>
      </c>
      <c r="J107">
        <v>1.1245039999999999</v>
      </c>
      <c r="K107">
        <v>1.21034</v>
      </c>
      <c r="L107">
        <v>1.309847</v>
      </c>
      <c r="M107">
        <v>1.4153309999999999</v>
      </c>
      <c r="N107">
        <v>1.577302</v>
      </c>
      <c r="O107">
        <v>1.7913330000000001</v>
      </c>
    </row>
    <row r="108" spans="1:15" x14ac:dyDescent="0.2">
      <c r="A108">
        <v>8.4881665999999995E-2</v>
      </c>
      <c r="B108">
        <v>0.195868126</v>
      </c>
      <c r="C108">
        <v>0.34027400000000002</v>
      </c>
      <c r="D108">
        <v>0.39312399999999997</v>
      </c>
      <c r="E108">
        <v>0.54976899999999995</v>
      </c>
      <c r="F108">
        <v>0.69326399999999999</v>
      </c>
      <c r="G108">
        <v>0.83962199999999998</v>
      </c>
      <c r="H108">
        <v>0.95053200000000004</v>
      </c>
      <c r="I108">
        <v>0.99635499999999999</v>
      </c>
      <c r="J108">
        <v>1.117575</v>
      </c>
      <c r="K108">
        <v>1.199848</v>
      </c>
      <c r="L108">
        <v>1.2795160000000001</v>
      </c>
      <c r="M108">
        <v>1.3728830000000001</v>
      </c>
      <c r="N108">
        <v>1.472413</v>
      </c>
      <c r="O108">
        <v>1.6287199999999999</v>
      </c>
    </row>
    <row r="109" spans="1:15" x14ac:dyDescent="0.2">
      <c r="A109">
        <v>8.4881665999999995E-2</v>
      </c>
      <c r="B109">
        <v>0.195868126</v>
      </c>
      <c r="C109">
        <v>0.392955</v>
      </c>
      <c r="D109">
        <v>0.51643899999999998</v>
      </c>
      <c r="E109">
        <v>0.57874400000000004</v>
      </c>
      <c r="F109">
        <v>0.738174</v>
      </c>
      <c r="G109">
        <v>0.87921800000000006</v>
      </c>
      <c r="H109">
        <v>1.019239</v>
      </c>
      <c r="I109">
        <v>1.1211059999999999</v>
      </c>
      <c r="J109">
        <v>1.1561509999999999</v>
      </c>
      <c r="K109">
        <v>1.2656289999999999</v>
      </c>
      <c r="L109">
        <v>1.335782</v>
      </c>
      <c r="M109">
        <v>1.4033850000000001</v>
      </c>
      <c r="N109">
        <v>1.485052</v>
      </c>
      <c r="O109">
        <v>1.57345</v>
      </c>
    </row>
    <row r="110" spans="1:15" x14ac:dyDescent="0.2">
      <c r="A110">
        <v>8.4881665999999995E-2</v>
      </c>
      <c r="B110">
        <v>0.195868126</v>
      </c>
      <c r="C110">
        <v>0.36113800000000001</v>
      </c>
      <c r="D110">
        <v>0.53425100000000003</v>
      </c>
      <c r="E110">
        <v>0.66531799999999996</v>
      </c>
      <c r="F110">
        <v>0.72985699999999998</v>
      </c>
      <c r="G110">
        <v>0.88732100000000003</v>
      </c>
      <c r="H110">
        <v>1.023282</v>
      </c>
      <c r="I110">
        <v>1.1560509999999999</v>
      </c>
      <c r="J110">
        <v>1.2492730000000001</v>
      </c>
      <c r="K110">
        <v>1.2748999999999999</v>
      </c>
      <c r="L110">
        <v>1.3746560000000001</v>
      </c>
      <c r="M110">
        <v>1.435133</v>
      </c>
      <c r="N110">
        <v>1.493352</v>
      </c>
      <c r="O110">
        <v>1.5660909999999999</v>
      </c>
    </row>
    <row r="111" spans="1:15" x14ac:dyDescent="0.2">
      <c r="A111">
        <v>8.4881665999999995E-2</v>
      </c>
      <c r="B111">
        <v>0.195868126</v>
      </c>
      <c r="C111">
        <v>0.31637900000000002</v>
      </c>
      <c r="D111">
        <v>0.47143299999999999</v>
      </c>
      <c r="E111">
        <v>0.65046599999999999</v>
      </c>
      <c r="F111">
        <v>0.783277</v>
      </c>
      <c r="G111">
        <v>0.84628099999999995</v>
      </c>
      <c r="H111">
        <v>0.99977700000000003</v>
      </c>
      <c r="I111">
        <v>1.130077</v>
      </c>
      <c r="J111">
        <v>1.2560979999999999</v>
      </c>
      <c r="K111">
        <v>1.341968</v>
      </c>
      <c r="L111">
        <v>1.360007</v>
      </c>
      <c r="M111">
        <v>1.45221</v>
      </c>
      <c r="N111">
        <v>1.5053609999999999</v>
      </c>
      <c r="O111">
        <v>1.556611</v>
      </c>
    </row>
    <row r="112" spans="1:15" x14ac:dyDescent="0.2">
      <c r="A112">
        <v>8.4881665999999995E-2</v>
      </c>
      <c r="B112">
        <v>0.195868126</v>
      </c>
      <c r="C112">
        <v>0.333901</v>
      </c>
      <c r="D112">
        <v>0.39083600000000002</v>
      </c>
      <c r="E112">
        <v>0.54988599999999999</v>
      </c>
      <c r="F112">
        <v>0.73009599999999997</v>
      </c>
      <c r="G112">
        <v>0.86187100000000005</v>
      </c>
      <c r="H112">
        <v>0.92219600000000002</v>
      </c>
      <c r="I112">
        <v>1.071871</v>
      </c>
      <c r="J112">
        <v>1.1976150000000001</v>
      </c>
      <c r="K112">
        <v>1.318673</v>
      </c>
      <c r="L112">
        <v>1.399421</v>
      </c>
      <c r="M112">
        <v>1.4123600000000001</v>
      </c>
      <c r="N112">
        <v>1.4996179999999999</v>
      </c>
      <c r="O112">
        <v>1.5480640000000001</v>
      </c>
    </row>
    <row r="113" spans="1:15" x14ac:dyDescent="0.2">
      <c r="A113">
        <v>8.4881665999999995E-2</v>
      </c>
      <c r="B113">
        <v>0.195868126</v>
      </c>
      <c r="C113">
        <v>0.354105</v>
      </c>
      <c r="D113">
        <v>0.44489099999999998</v>
      </c>
      <c r="E113">
        <v>0.50778299999999998</v>
      </c>
      <c r="F113">
        <v>0.66858799999999996</v>
      </c>
      <c r="G113">
        <v>0.84725300000000003</v>
      </c>
      <c r="H113">
        <v>0.97503600000000001</v>
      </c>
      <c r="I113">
        <v>1.0296639999999999</v>
      </c>
      <c r="J113">
        <v>1.1725479999999999</v>
      </c>
      <c r="K113">
        <v>1.290894</v>
      </c>
      <c r="L113">
        <v>1.404315</v>
      </c>
      <c r="M113">
        <v>1.477463</v>
      </c>
      <c r="N113">
        <v>1.4830300000000001</v>
      </c>
      <c r="O113">
        <v>1.563275</v>
      </c>
    </row>
    <row r="114" spans="1:15" x14ac:dyDescent="0.2">
      <c r="A114">
        <v>8.4881665999999995E-2</v>
      </c>
      <c r="B114">
        <v>0.195868126</v>
      </c>
      <c r="C114">
        <v>0.30933100000000002</v>
      </c>
      <c r="D114">
        <v>0.40094600000000002</v>
      </c>
      <c r="E114">
        <v>0.49424600000000002</v>
      </c>
      <c r="F114">
        <v>0.55787799999999999</v>
      </c>
      <c r="G114">
        <v>0.71803099999999997</v>
      </c>
      <c r="H114">
        <v>0.895011</v>
      </c>
      <c r="I114">
        <v>1.020389</v>
      </c>
      <c r="J114">
        <v>1.072152</v>
      </c>
      <c r="K114">
        <v>1.2119139999999999</v>
      </c>
      <c r="L114">
        <v>1.327037</v>
      </c>
      <c r="M114">
        <v>1.4372510000000001</v>
      </c>
      <c r="N114">
        <v>1.507287</v>
      </c>
      <c r="O114">
        <v>1.509895</v>
      </c>
    </row>
    <row r="115" spans="1:15" x14ac:dyDescent="0.2">
      <c r="A115">
        <v>8.4881665999999995E-2</v>
      </c>
      <c r="B115">
        <v>0.195868126</v>
      </c>
      <c r="C115">
        <v>0.32915299999999997</v>
      </c>
      <c r="D115">
        <v>0.431508</v>
      </c>
      <c r="E115">
        <v>0.52967900000000001</v>
      </c>
      <c r="F115">
        <v>0.62491099999999999</v>
      </c>
      <c r="G115">
        <v>0.68684299999999998</v>
      </c>
      <c r="H115">
        <v>0.84260100000000004</v>
      </c>
      <c r="I115">
        <v>1.0133099999999999</v>
      </c>
      <c r="J115">
        <v>1.131213</v>
      </c>
      <c r="K115">
        <v>1.1748320000000001</v>
      </c>
      <c r="L115">
        <v>1.3061879999999999</v>
      </c>
      <c r="M115">
        <v>1.4129449999999999</v>
      </c>
      <c r="N115">
        <v>1.5150440000000001</v>
      </c>
      <c r="O115">
        <v>1.5773600000000001</v>
      </c>
    </row>
    <row r="116" spans="1:15" x14ac:dyDescent="0.2">
      <c r="A116">
        <v>8.4881665999999995E-2</v>
      </c>
      <c r="B116">
        <v>0.195868126</v>
      </c>
      <c r="C116">
        <v>0.30043399999999998</v>
      </c>
      <c r="D116">
        <v>0.40875099999999998</v>
      </c>
      <c r="E116">
        <v>0.515378</v>
      </c>
      <c r="F116">
        <v>0.61480800000000002</v>
      </c>
      <c r="G116">
        <v>0.70893200000000001</v>
      </c>
      <c r="H116">
        <v>0.76800100000000004</v>
      </c>
      <c r="I116">
        <v>0.91967299999999996</v>
      </c>
      <c r="J116">
        <v>1.085512</v>
      </c>
      <c r="K116">
        <v>1.19811</v>
      </c>
      <c r="L116">
        <v>1.2362519999999999</v>
      </c>
      <c r="M116">
        <v>1.362158</v>
      </c>
      <c r="N116">
        <v>1.463627</v>
      </c>
      <c r="O116">
        <v>1.560697</v>
      </c>
    </row>
    <row r="117" spans="1:15" x14ac:dyDescent="0.2">
      <c r="A117">
        <v>8.4881665999999995E-2</v>
      </c>
      <c r="B117">
        <v>0.195868126</v>
      </c>
      <c r="C117">
        <v>0.33779700000000001</v>
      </c>
      <c r="D117">
        <v>0.45300200000000002</v>
      </c>
      <c r="E117">
        <v>0.56950800000000001</v>
      </c>
      <c r="F117">
        <v>0.67854700000000001</v>
      </c>
      <c r="G117">
        <v>0.77585400000000004</v>
      </c>
      <c r="H117">
        <v>0.86448999999999998</v>
      </c>
      <c r="I117">
        <v>0.91572699999999996</v>
      </c>
      <c r="J117">
        <v>1.058065</v>
      </c>
      <c r="K117">
        <v>1.2137340000000001</v>
      </c>
      <c r="L117">
        <v>1.315836</v>
      </c>
      <c r="M117">
        <v>1.3435299999999999</v>
      </c>
      <c r="N117">
        <v>1.4593020000000001</v>
      </c>
      <c r="O117">
        <v>1.551131</v>
      </c>
    </row>
    <row r="118" spans="1:15" x14ac:dyDescent="0.2">
      <c r="A118">
        <v>8.4881665999999995E-2</v>
      </c>
      <c r="B118">
        <v>0.195868126</v>
      </c>
      <c r="C118">
        <v>0.33189600000000002</v>
      </c>
      <c r="D118">
        <v>0.44944000000000001</v>
      </c>
      <c r="E118">
        <v>0.57063600000000003</v>
      </c>
      <c r="F118">
        <v>0.68890700000000005</v>
      </c>
      <c r="G118">
        <v>0.79639300000000002</v>
      </c>
      <c r="H118">
        <v>0.88968400000000003</v>
      </c>
      <c r="I118">
        <v>0.97258900000000004</v>
      </c>
      <c r="J118">
        <v>1.016996</v>
      </c>
      <c r="K118">
        <v>1.1518919999999999</v>
      </c>
      <c r="L118">
        <v>1.2998799999999999</v>
      </c>
      <c r="M118">
        <v>1.394336</v>
      </c>
      <c r="N118">
        <v>1.414615</v>
      </c>
      <c r="O118">
        <v>1.523333</v>
      </c>
    </row>
    <row r="119" spans="1:15" x14ac:dyDescent="0.2">
      <c r="A119">
        <v>8.4881665999999995E-2</v>
      </c>
      <c r="B119">
        <v>0.195868126</v>
      </c>
      <c r="C119">
        <v>0.34554200000000002</v>
      </c>
      <c r="D119">
        <v>0.44197700000000001</v>
      </c>
      <c r="E119">
        <v>0.56542899999999996</v>
      </c>
      <c r="F119">
        <v>0.68836600000000003</v>
      </c>
      <c r="G119">
        <v>0.80510499999999996</v>
      </c>
      <c r="H119">
        <v>0.90863099999999997</v>
      </c>
      <c r="I119">
        <v>0.99627100000000002</v>
      </c>
      <c r="J119">
        <v>1.0724419999999999</v>
      </c>
      <c r="K119">
        <v>1.1095109999999999</v>
      </c>
      <c r="L119">
        <v>1.236834</v>
      </c>
      <c r="M119">
        <v>1.377283</v>
      </c>
      <c r="N119">
        <v>1.4644280000000001</v>
      </c>
      <c r="O119">
        <v>1.477751</v>
      </c>
    </row>
    <row r="120" spans="1:15" x14ac:dyDescent="0.2">
      <c r="A120">
        <v>8.4881665999999995E-2</v>
      </c>
      <c r="B120">
        <v>0.195868126</v>
      </c>
      <c r="C120">
        <v>0.33321400000000001</v>
      </c>
      <c r="D120">
        <v>0.49817600000000001</v>
      </c>
      <c r="E120">
        <v>0.60280299999999998</v>
      </c>
      <c r="F120">
        <v>0.72866799999999998</v>
      </c>
      <c r="G120">
        <v>0.84948100000000004</v>
      </c>
      <c r="H120">
        <v>0.96072999999999997</v>
      </c>
      <c r="I120">
        <v>1.0564210000000001</v>
      </c>
      <c r="J120">
        <v>1.1347229999999999</v>
      </c>
      <c r="K120">
        <v>1.2007190000000001</v>
      </c>
      <c r="L120">
        <v>1.227287</v>
      </c>
      <c r="M120">
        <v>1.344158</v>
      </c>
      <c r="N120">
        <v>1.474469</v>
      </c>
      <c r="O120">
        <v>1.5519689999999999</v>
      </c>
    </row>
    <row r="121" spans="1:15" x14ac:dyDescent="0.2">
      <c r="A121">
        <v>8.4881665999999995E-2</v>
      </c>
      <c r="B121">
        <v>0.195868126</v>
      </c>
      <c r="C121">
        <v>0.27732099999999998</v>
      </c>
      <c r="D121">
        <v>0.40309299999999998</v>
      </c>
      <c r="E121">
        <v>0.57180500000000001</v>
      </c>
      <c r="F121">
        <v>0.67753600000000003</v>
      </c>
      <c r="G121">
        <v>0.80242899999999995</v>
      </c>
      <c r="H121">
        <v>0.92072799999999999</v>
      </c>
      <c r="I121">
        <v>1.0283899999999999</v>
      </c>
      <c r="J121">
        <v>1.1198060000000001</v>
      </c>
      <c r="K121">
        <v>1.1934499999999999</v>
      </c>
      <c r="L121">
        <v>1.2546390000000001</v>
      </c>
      <c r="M121">
        <v>1.2764219999999999</v>
      </c>
      <c r="N121">
        <v>1.3886510000000001</v>
      </c>
      <c r="O121">
        <v>1.5145470000000001</v>
      </c>
    </row>
    <row r="122" spans="1:15" x14ac:dyDescent="0.2">
      <c r="A122">
        <v>8.4881665999999995E-2</v>
      </c>
      <c r="B122">
        <v>0.195868126</v>
      </c>
      <c r="C122">
        <v>0.30720399999999998</v>
      </c>
      <c r="D122">
        <v>0.443658</v>
      </c>
      <c r="E122">
        <v>0.57835700000000001</v>
      </c>
      <c r="F122">
        <v>0.749699</v>
      </c>
      <c r="G122">
        <v>0.85311599999999999</v>
      </c>
      <c r="H122">
        <v>0.97202500000000003</v>
      </c>
      <c r="I122">
        <v>1.0817859999999999</v>
      </c>
      <c r="J122">
        <v>1.1792720000000001</v>
      </c>
      <c r="K122">
        <v>1.2596000000000001</v>
      </c>
      <c r="L122">
        <v>1.3218000000000001</v>
      </c>
      <c r="M122">
        <v>1.3715980000000001</v>
      </c>
      <c r="N122">
        <v>1.382333</v>
      </c>
      <c r="O122">
        <v>1.484051</v>
      </c>
    </row>
    <row r="123" spans="1:15" x14ac:dyDescent="0.2">
      <c r="A123">
        <v>8.4881665999999995E-2</v>
      </c>
      <c r="B123">
        <v>0.195868126</v>
      </c>
      <c r="C123">
        <v>0.30624600000000002</v>
      </c>
      <c r="D123">
        <v>0.49245100000000003</v>
      </c>
      <c r="E123">
        <v>0.63884700000000005</v>
      </c>
      <c r="F123">
        <v>0.776474</v>
      </c>
      <c r="G123">
        <v>0.94523900000000005</v>
      </c>
      <c r="H123">
        <v>1.041992</v>
      </c>
      <c r="I123">
        <v>1.151392</v>
      </c>
      <c r="J123">
        <v>1.2498199999999999</v>
      </c>
      <c r="K123">
        <v>1.3349569999999999</v>
      </c>
      <c r="L123">
        <v>1.402541</v>
      </c>
      <c r="M123">
        <v>1.4520550000000001</v>
      </c>
      <c r="N123">
        <v>1.489549</v>
      </c>
      <c r="O123">
        <v>1.4885790000000001</v>
      </c>
    </row>
    <row r="124" spans="1:15" x14ac:dyDescent="0.2">
      <c r="A124">
        <v>8.4881665999999995E-2</v>
      </c>
      <c r="B124">
        <v>0.195868126</v>
      </c>
      <c r="C124">
        <v>0.305784</v>
      </c>
      <c r="D124">
        <v>0.45711099999999999</v>
      </c>
      <c r="E124">
        <v>0.65141199999999999</v>
      </c>
      <c r="F124">
        <v>0.80019399999999996</v>
      </c>
      <c r="G124">
        <v>0.93572200000000005</v>
      </c>
      <c r="H124">
        <v>1.0990599999999999</v>
      </c>
      <c r="I124">
        <v>1.188069</v>
      </c>
      <c r="J124">
        <v>1.2882389999999999</v>
      </c>
      <c r="K124">
        <v>1.376611</v>
      </c>
      <c r="L124">
        <v>1.451368</v>
      </c>
      <c r="M124">
        <v>1.5086200000000001</v>
      </c>
      <c r="N124">
        <v>1.5481149999999999</v>
      </c>
      <c r="O124">
        <v>1.576076</v>
      </c>
    </row>
    <row r="125" spans="1:15" x14ac:dyDescent="0.2">
      <c r="A125">
        <v>8.4881665999999995E-2</v>
      </c>
      <c r="B125">
        <v>0.195868126</v>
      </c>
      <c r="C125">
        <v>0.35104600000000002</v>
      </c>
      <c r="D125">
        <v>0.53290199999999999</v>
      </c>
      <c r="E125">
        <v>0.69641799999999998</v>
      </c>
      <c r="F125">
        <v>0.89430900000000002</v>
      </c>
      <c r="G125">
        <v>1.03993</v>
      </c>
      <c r="H125">
        <v>1.167289</v>
      </c>
      <c r="I125">
        <v>1.3189679999999999</v>
      </c>
      <c r="J125">
        <v>1.394083</v>
      </c>
      <c r="K125">
        <v>1.479114</v>
      </c>
      <c r="L125">
        <v>1.55186</v>
      </c>
      <c r="M125">
        <v>1.6110640000000001</v>
      </c>
      <c r="N125">
        <v>1.6532309999999999</v>
      </c>
      <c r="O125">
        <v>1.678375</v>
      </c>
    </row>
    <row r="126" spans="1:15" x14ac:dyDescent="0.2">
      <c r="A126">
        <v>8.4881665999999995E-2</v>
      </c>
      <c r="B126">
        <v>0.195868126</v>
      </c>
      <c r="C126">
        <v>0.26919399999999999</v>
      </c>
      <c r="D126">
        <v>0.44666400000000001</v>
      </c>
      <c r="E126">
        <v>0.63365199999999999</v>
      </c>
      <c r="F126">
        <v>0.79867999999999995</v>
      </c>
      <c r="G126">
        <v>0.99524100000000004</v>
      </c>
      <c r="H126">
        <v>1.1374219999999999</v>
      </c>
      <c r="I126">
        <v>1.259873</v>
      </c>
      <c r="J126">
        <v>1.405702</v>
      </c>
      <c r="K126">
        <v>1.4744429999999999</v>
      </c>
      <c r="L126">
        <v>1.5528960000000001</v>
      </c>
      <c r="M126">
        <v>1.619094</v>
      </c>
      <c r="N126">
        <v>1.6719470000000001</v>
      </c>
      <c r="O126">
        <v>1.708072</v>
      </c>
    </row>
    <row r="127" spans="1:15" x14ac:dyDescent="0.2">
      <c r="A127">
        <v>8.4881665999999995E-2</v>
      </c>
      <c r="B127">
        <v>0.195868126</v>
      </c>
      <c r="C127">
        <v>0.246138</v>
      </c>
      <c r="D127">
        <v>0.43151400000000001</v>
      </c>
      <c r="E127">
        <v>0.61769600000000002</v>
      </c>
      <c r="F127">
        <v>0.80725000000000002</v>
      </c>
      <c r="G127">
        <v>0.97001899999999996</v>
      </c>
      <c r="H127">
        <v>1.160741</v>
      </c>
      <c r="I127">
        <v>1.2945899999999999</v>
      </c>
      <c r="J127">
        <v>1.4071100000000001</v>
      </c>
      <c r="K127">
        <v>1.5421199999999999</v>
      </c>
      <c r="L127">
        <v>1.599693</v>
      </c>
      <c r="M127">
        <v>1.66703</v>
      </c>
      <c r="N127">
        <v>1.7224459999999999</v>
      </c>
      <c r="O127">
        <v>1.7650440000000001</v>
      </c>
    </row>
    <row r="128" spans="1:15" x14ac:dyDescent="0.2">
      <c r="A128">
        <v>8.4881665999999995E-2</v>
      </c>
      <c r="B128">
        <v>0.195868126</v>
      </c>
      <c r="C128">
        <v>0.27719500000000002</v>
      </c>
      <c r="D128">
        <v>0.39430900000000002</v>
      </c>
      <c r="E128">
        <v>0.58763699999999996</v>
      </c>
      <c r="F128">
        <v>0.77616200000000002</v>
      </c>
      <c r="G128">
        <v>0.96365400000000001</v>
      </c>
      <c r="H128">
        <v>1.1210929999999999</v>
      </c>
      <c r="I128">
        <v>1.3042100000000001</v>
      </c>
      <c r="J128">
        <v>1.4289940000000001</v>
      </c>
      <c r="K128">
        <v>1.5316369999999999</v>
      </c>
      <c r="L128">
        <v>1.656452</v>
      </c>
      <c r="M128">
        <v>1.703878</v>
      </c>
      <c r="N128">
        <v>1.761374</v>
      </c>
      <c r="O128">
        <v>1.807428</v>
      </c>
    </row>
    <row r="129" spans="1:60" x14ac:dyDescent="0.2">
      <c r="A129">
        <v>8.4881665999999995E-2</v>
      </c>
      <c r="B129">
        <v>0.195868126</v>
      </c>
      <c r="C129">
        <v>0.34403600000000001</v>
      </c>
      <c r="D129">
        <v>0.43733699999999998</v>
      </c>
      <c r="E129">
        <v>0.56304500000000002</v>
      </c>
      <c r="F129">
        <v>0.75890500000000005</v>
      </c>
      <c r="G129">
        <v>0.94520099999999996</v>
      </c>
      <c r="H129">
        <v>1.126933</v>
      </c>
      <c r="I129">
        <v>1.276152</v>
      </c>
      <c r="J129">
        <v>1.449471</v>
      </c>
      <c r="K129">
        <v>1.5635810000000001</v>
      </c>
      <c r="L129">
        <v>1.655206</v>
      </c>
      <c r="M129">
        <v>1.769055</v>
      </c>
      <c r="N129">
        <v>1.8058449999999999</v>
      </c>
      <c r="O129">
        <v>1.853221</v>
      </c>
    </row>
    <row r="130" spans="1:60" x14ac:dyDescent="0.2">
      <c r="A130">
        <v>8.4881665999999995E-2</v>
      </c>
      <c r="B130">
        <v>0.195868126</v>
      </c>
      <c r="C130">
        <v>0.410493</v>
      </c>
      <c r="D130">
        <v>0.48879099999999998</v>
      </c>
      <c r="E130">
        <v>0.58986000000000005</v>
      </c>
      <c r="F130">
        <v>0.71785699999999997</v>
      </c>
      <c r="G130">
        <v>0.91170300000000004</v>
      </c>
      <c r="H130">
        <v>1.092792</v>
      </c>
      <c r="I130">
        <v>1.2670939999999999</v>
      </c>
      <c r="J130">
        <v>1.407456</v>
      </c>
      <c r="K130">
        <v>1.5711269999999999</v>
      </c>
      <c r="L130">
        <v>1.6752769999999999</v>
      </c>
      <c r="M130">
        <v>1.7569889999999999</v>
      </c>
      <c r="N130">
        <v>1.861224</v>
      </c>
      <c r="O130">
        <v>1.8888670000000001</v>
      </c>
    </row>
    <row r="131" spans="1:60" x14ac:dyDescent="0.2">
      <c r="A131">
        <v>8.4881665999999995E-2</v>
      </c>
      <c r="B131">
        <v>0.195868126</v>
      </c>
      <c r="C131">
        <v>0.37344699999999997</v>
      </c>
      <c r="D131">
        <v>0.44818400000000003</v>
      </c>
      <c r="E131">
        <v>0.528505</v>
      </c>
      <c r="F131">
        <v>0.63017000000000001</v>
      </c>
      <c r="G131">
        <v>0.75764200000000004</v>
      </c>
      <c r="H131">
        <v>0.95013199999999998</v>
      </c>
      <c r="I131">
        <v>1.1292869999999999</v>
      </c>
      <c r="J131">
        <v>1.301282</v>
      </c>
      <c r="K131">
        <v>1.439133</v>
      </c>
      <c r="L131">
        <v>1.6002099999999999</v>
      </c>
      <c r="M131">
        <v>1.7017789999999999</v>
      </c>
      <c r="N131">
        <v>1.780988</v>
      </c>
      <c r="O131">
        <v>1.882841</v>
      </c>
    </row>
    <row r="132" spans="1:60" x14ac:dyDescent="0.2">
      <c r="A132">
        <v>8.4881665999999995E-2</v>
      </c>
      <c r="B132">
        <v>0.195868126</v>
      </c>
      <c r="C132">
        <v>0.29962</v>
      </c>
      <c r="D132">
        <v>0.43490499999999999</v>
      </c>
      <c r="E132">
        <v>0.51293900000000003</v>
      </c>
      <c r="F132">
        <v>0.59423199999999998</v>
      </c>
      <c r="G132">
        <v>0.69504200000000005</v>
      </c>
      <c r="H132">
        <v>0.82030400000000003</v>
      </c>
      <c r="I132">
        <v>1.009639</v>
      </c>
      <c r="J132">
        <v>1.1850339999999999</v>
      </c>
      <c r="K132">
        <v>1.3529329999999999</v>
      </c>
      <c r="L132">
        <v>1.4865550000000001</v>
      </c>
      <c r="M132">
        <v>1.6434230000000001</v>
      </c>
      <c r="N132">
        <v>1.74091</v>
      </c>
      <c r="O132">
        <v>1.816236</v>
      </c>
    </row>
    <row r="133" spans="1:60" x14ac:dyDescent="0.2">
      <c r="A133">
        <v>8.4881665999999995E-2</v>
      </c>
      <c r="B133">
        <v>0.195868126</v>
      </c>
      <c r="C133">
        <v>0.33521400000000001</v>
      </c>
      <c r="D133">
        <v>0.41705500000000001</v>
      </c>
      <c r="E133">
        <v>0.558643</v>
      </c>
      <c r="F133">
        <v>0.63853400000000005</v>
      </c>
      <c r="G133">
        <v>0.71819200000000005</v>
      </c>
      <c r="H133">
        <v>0.814778</v>
      </c>
      <c r="I133">
        <v>0.93401199999999995</v>
      </c>
      <c r="J133">
        <v>1.116163</v>
      </c>
      <c r="K133">
        <v>1.2837289999999999</v>
      </c>
      <c r="L133">
        <v>1.443549</v>
      </c>
      <c r="M133">
        <v>1.569129</v>
      </c>
      <c r="N133">
        <v>1.718197</v>
      </c>
      <c r="O133">
        <v>1.8082640000000001</v>
      </c>
    </row>
    <row r="134" spans="1:60" x14ac:dyDescent="0.2">
      <c r="A134">
        <v>8.4881665999999995E-2</v>
      </c>
      <c r="B134">
        <v>0.195868126</v>
      </c>
      <c r="C134">
        <v>0.35759800000000003</v>
      </c>
      <c r="D134">
        <v>0.430726</v>
      </c>
      <c r="E134">
        <v>0.51769399999999999</v>
      </c>
      <c r="F134">
        <v>0.66079100000000002</v>
      </c>
      <c r="G134">
        <v>0.73935399999999996</v>
      </c>
      <c r="H134">
        <v>0.81557599999999997</v>
      </c>
      <c r="I134">
        <v>0.90725900000000004</v>
      </c>
      <c r="J134">
        <v>1.0206500000000001</v>
      </c>
      <c r="K134">
        <v>1.196434</v>
      </c>
      <c r="L134">
        <v>1.357429</v>
      </c>
      <c r="M134">
        <v>1.5107079999999999</v>
      </c>
      <c r="N134">
        <v>1.6299440000000001</v>
      </c>
      <c r="O134">
        <v>1.772977</v>
      </c>
    </row>
    <row r="135" spans="1:60" x14ac:dyDescent="0.2">
      <c r="A135">
        <v>8.4881665999999995E-2</v>
      </c>
      <c r="B135">
        <v>0.195868126</v>
      </c>
      <c r="C135">
        <v>0.43382300000000001</v>
      </c>
      <c r="D135">
        <v>0.54621600000000003</v>
      </c>
      <c r="E135">
        <v>0.629467</v>
      </c>
      <c r="F135">
        <v>0.71941699999999997</v>
      </c>
      <c r="G135">
        <v>0.85989000000000004</v>
      </c>
      <c r="H135">
        <v>0.93166800000000005</v>
      </c>
      <c r="I135">
        <v>0.99820799999999998</v>
      </c>
      <c r="J135">
        <v>1.078352</v>
      </c>
      <c r="K135">
        <v>1.1791689999999999</v>
      </c>
      <c r="L135">
        <v>1.3419760000000001</v>
      </c>
      <c r="M135">
        <v>1.4900549999999999</v>
      </c>
      <c r="N135">
        <v>1.6308050000000001</v>
      </c>
      <c r="O135">
        <v>1.7381230000000001</v>
      </c>
    </row>
    <row r="136" spans="1:60" x14ac:dyDescent="0.2">
      <c r="A136">
        <v>8.4881665999999995E-2</v>
      </c>
      <c r="B136">
        <v>0.195868126</v>
      </c>
      <c r="C136">
        <v>0.37471500000000002</v>
      </c>
      <c r="D136">
        <v>0.48507</v>
      </c>
      <c r="E136">
        <v>0.60021400000000003</v>
      </c>
      <c r="F136">
        <v>0.68427499999999997</v>
      </c>
      <c r="G136">
        <v>0.77351199999999998</v>
      </c>
      <c r="H136">
        <v>0.91214099999999998</v>
      </c>
      <c r="I136">
        <v>0.98128800000000005</v>
      </c>
      <c r="J136">
        <v>1.0446930000000001</v>
      </c>
      <c r="K136">
        <v>1.121421</v>
      </c>
      <c r="L136">
        <v>1.2187129999999999</v>
      </c>
      <c r="M136">
        <v>1.37801</v>
      </c>
      <c r="N136">
        <v>1.5226850000000001</v>
      </c>
      <c r="O136">
        <v>1.6601969999999999</v>
      </c>
    </row>
    <row r="137" spans="1:60" x14ac:dyDescent="0.2">
      <c r="A137">
        <v>8.4881665999999995E-2</v>
      </c>
      <c r="B137">
        <v>0.195868126</v>
      </c>
      <c r="C137">
        <v>0.30294700000000002</v>
      </c>
      <c r="D137">
        <v>0.42623899999999998</v>
      </c>
      <c r="E137">
        <v>0.539358</v>
      </c>
      <c r="F137">
        <v>0.65531700000000004</v>
      </c>
      <c r="G137">
        <v>0.73866100000000001</v>
      </c>
      <c r="H137">
        <v>0.82604500000000003</v>
      </c>
      <c r="I137">
        <v>0.96202900000000002</v>
      </c>
      <c r="J137">
        <v>1.028024</v>
      </c>
      <c r="K137">
        <v>1.087995</v>
      </c>
      <c r="L137">
        <v>1.161178</v>
      </c>
      <c r="M137">
        <v>1.2549410000000001</v>
      </c>
      <c r="N137">
        <v>1.4108160000000001</v>
      </c>
      <c r="O137">
        <v>1.5522359999999999</v>
      </c>
    </row>
    <row r="138" spans="1:60" x14ac:dyDescent="0.2">
      <c r="A138">
        <v>8.4881665999999995E-2</v>
      </c>
      <c r="B138">
        <v>0.195868126</v>
      </c>
      <c r="C138">
        <v>0.34010800000000002</v>
      </c>
      <c r="D138">
        <v>0.44641199999999998</v>
      </c>
      <c r="E138">
        <v>0.577403</v>
      </c>
      <c r="F138">
        <v>0.69279100000000005</v>
      </c>
      <c r="G138">
        <v>0.80675300000000005</v>
      </c>
      <c r="H138">
        <v>0.88493699999999997</v>
      </c>
      <c r="I138">
        <v>0.96495600000000004</v>
      </c>
      <c r="J138">
        <v>1.092163</v>
      </c>
      <c r="K138">
        <v>1.148595</v>
      </c>
      <c r="L138">
        <v>1.198696</v>
      </c>
      <c r="M138">
        <v>1.262054</v>
      </c>
      <c r="N138">
        <v>1.3462890000000001</v>
      </c>
      <c r="O138">
        <v>1.493099</v>
      </c>
    </row>
    <row r="139" spans="1:60" x14ac:dyDescent="0.2">
      <c r="A139">
        <v>8.4881665999999995E-2</v>
      </c>
      <c r="B139">
        <v>0.195868126</v>
      </c>
      <c r="C139">
        <v>0.31956600000000002</v>
      </c>
      <c r="D139">
        <v>0.49061300000000002</v>
      </c>
      <c r="E139">
        <v>0.60499400000000003</v>
      </c>
      <c r="F139">
        <v>0.73836500000000005</v>
      </c>
      <c r="G139">
        <v>0.85165800000000003</v>
      </c>
      <c r="H139">
        <v>0.96020700000000003</v>
      </c>
      <c r="I139">
        <v>1.0306649999999999</v>
      </c>
      <c r="J139">
        <v>1.1014759999999999</v>
      </c>
      <c r="K139">
        <v>1.2186509999999999</v>
      </c>
      <c r="L139">
        <v>1.264729</v>
      </c>
      <c r="M139">
        <v>1.3045230000000001</v>
      </c>
      <c r="N139">
        <v>1.3578840000000001</v>
      </c>
      <c r="O139">
        <v>1.432609</v>
      </c>
    </row>
    <row r="140" spans="1:60" x14ac:dyDescent="0.2">
      <c r="A140" t="s">
        <v>10</v>
      </c>
    </row>
    <row r="141" spans="1:60" x14ac:dyDescent="0.2">
      <c r="A141">
        <v>174.792</v>
      </c>
      <c r="B141">
        <v>230.55099999999999</v>
      </c>
      <c r="C141">
        <v>261.678</v>
      </c>
      <c r="D141">
        <v>550.36199999999997</v>
      </c>
      <c r="E141">
        <v>702.18100000000004</v>
      </c>
      <c r="F141">
        <v>862.78899999999999</v>
      </c>
      <c r="G141">
        <v>1256.5650000000001</v>
      </c>
      <c r="H141">
        <v>1743.7629999999999</v>
      </c>
      <c r="I141">
        <v>1874.5340000000001</v>
      </c>
      <c r="J141">
        <v>1758.9190000000001</v>
      </c>
      <c r="K141">
        <v>1588.39</v>
      </c>
      <c r="L141">
        <v>1356.7360000000001</v>
      </c>
      <c r="M141">
        <v>1177.8219999999999</v>
      </c>
      <c r="N141">
        <v>978.37</v>
      </c>
      <c r="O141">
        <v>979.43100000000004</v>
      </c>
      <c r="P141">
        <v>935.71400000000006</v>
      </c>
      <c r="Q141">
        <v>958.28</v>
      </c>
      <c r="R141">
        <v>973.50199999999995</v>
      </c>
      <c r="S141">
        <v>955.96400000000006</v>
      </c>
      <c r="T141">
        <v>981.45</v>
      </c>
      <c r="U141">
        <v>1092.0550000000001</v>
      </c>
      <c r="V141">
        <v>1139.6759999999999</v>
      </c>
      <c r="W141">
        <v>1141.9929999999999</v>
      </c>
      <c r="X141">
        <v>859.41600000000005</v>
      </c>
      <c r="Y141">
        <v>1228.721</v>
      </c>
      <c r="Z141">
        <v>1229.5999999999999</v>
      </c>
      <c r="AA141">
        <v>1455.193</v>
      </c>
      <c r="AB141">
        <v>1195.6639299999999</v>
      </c>
      <c r="AC141">
        <v>1390.30916</v>
      </c>
      <c r="AD141">
        <v>1326.60896</v>
      </c>
      <c r="AE141">
        <v>1329.3730599999999</v>
      </c>
      <c r="AF141">
        <v>1264.2468899999999</v>
      </c>
      <c r="AG141">
        <v>1192.7810899999999</v>
      </c>
      <c r="AH141">
        <v>1124.4330500000001</v>
      </c>
      <c r="AI141">
        <v>1102.15914</v>
      </c>
      <c r="AJ141">
        <v>989.68030999999996</v>
      </c>
      <c r="AK141">
        <v>1132.70985</v>
      </c>
      <c r="AL141">
        <v>1387.1970200000001</v>
      </c>
      <c r="AM141">
        <v>1480.77611</v>
      </c>
      <c r="AN141">
        <v>1490.779227</v>
      </c>
      <c r="AO141">
        <v>1480.5516689999999</v>
      </c>
      <c r="AP141">
        <v>1483.0218090000001</v>
      </c>
      <c r="AQ141">
        <v>1488.0310449999999</v>
      </c>
      <c r="AR141">
        <v>1354.5017889999999</v>
      </c>
      <c r="AS141">
        <v>990.57806800000003</v>
      </c>
      <c r="AT141">
        <v>810.78434600000003</v>
      </c>
      <c r="AU141">
        <v>810.1859078</v>
      </c>
      <c r="AV141">
        <v>1199.0406250000001</v>
      </c>
      <c r="AW141">
        <v>1205.221865</v>
      </c>
      <c r="AX141">
        <v>1270.7704679999999</v>
      </c>
      <c r="AY141">
        <v>1297.422339</v>
      </c>
      <c r="AZ141">
        <v>1321.583785</v>
      </c>
      <c r="BA141">
        <v>1352.6807960000001</v>
      </c>
      <c r="BB141">
        <v>1359.182092</v>
      </c>
      <c r="BC141">
        <v>1379.2872689999999</v>
      </c>
      <c r="BD141">
        <v>1409.3371380000001</v>
      </c>
      <c r="BE141">
        <v>1367.2290399999999</v>
      </c>
      <c r="BF141">
        <v>1376.257582</v>
      </c>
      <c r="BG141">
        <v>1105.418688</v>
      </c>
      <c r="BH141">
        <v>1260</v>
      </c>
    </row>
    <row r="142" spans="1:60" x14ac:dyDescent="0.2">
      <c r="A142" t="s">
        <v>11</v>
      </c>
    </row>
    <row r="143" spans="1:60" x14ac:dyDescent="0.2">
      <c r="A143">
        <v>0.56384999999999996</v>
      </c>
      <c r="B143">
        <v>0.38424999999999998</v>
      </c>
      <c r="C143">
        <v>0.35361999999999999</v>
      </c>
      <c r="D143">
        <v>0.67945999999999995</v>
      </c>
      <c r="E143">
        <v>0.62695000000000001</v>
      </c>
      <c r="F143">
        <v>0.60335000000000005</v>
      </c>
      <c r="G143">
        <v>1.0384800000000001</v>
      </c>
      <c r="H143">
        <v>1.5569299999999999</v>
      </c>
      <c r="I143">
        <v>1.5365</v>
      </c>
      <c r="J143">
        <v>1.7244299999999999</v>
      </c>
      <c r="K143">
        <v>1.5726599999999999</v>
      </c>
      <c r="L143">
        <v>1.49092</v>
      </c>
      <c r="M143">
        <v>1.28024</v>
      </c>
      <c r="N143">
        <v>1.526946667</v>
      </c>
      <c r="O143">
        <v>1.5219494440000001</v>
      </c>
      <c r="P143">
        <v>1.5195243519999999</v>
      </c>
      <c r="Q143">
        <v>1.48537341</v>
      </c>
      <c r="R143">
        <v>1.48537341</v>
      </c>
      <c r="S143">
        <v>1.48537341</v>
      </c>
      <c r="T143">
        <v>1.48537341</v>
      </c>
      <c r="U143">
        <v>1.48537341</v>
      </c>
      <c r="V143">
        <v>1.48537341</v>
      </c>
      <c r="W143">
        <v>1.48537341</v>
      </c>
      <c r="X143">
        <v>1.48537341</v>
      </c>
      <c r="Y143">
        <v>1.48537341</v>
      </c>
      <c r="Z143">
        <v>1.48537341</v>
      </c>
      <c r="AA143">
        <v>1.48537341</v>
      </c>
      <c r="AB143">
        <v>1.48537341</v>
      </c>
      <c r="AC143">
        <v>1.48537341</v>
      </c>
      <c r="AD143">
        <v>1.48537341</v>
      </c>
      <c r="AE143">
        <v>1.48537341</v>
      </c>
      <c r="AF143">
        <v>1.48537341</v>
      </c>
      <c r="AG143">
        <v>1.48537341</v>
      </c>
      <c r="AH143">
        <v>1.48537341</v>
      </c>
      <c r="AI143">
        <v>1.48537341</v>
      </c>
      <c r="AJ143">
        <v>1.48537341</v>
      </c>
      <c r="AK143">
        <v>1.48537341</v>
      </c>
      <c r="AL143">
        <v>1.48537341</v>
      </c>
      <c r="AM143">
        <v>1.48537341</v>
      </c>
      <c r="AN143">
        <v>1.5</v>
      </c>
      <c r="AO143">
        <v>1.5</v>
      </c>
      <c r="AP143">
        <v>1.5</v>
      </c>
      <c r="AQ143">
        <v>1.5</v>
      </c>
      <c r="AR143">
        <v>1.5</v>
      </c>
      <c r="AS143">
        <v>1.5</v>
      </c>
      <c r="AT143">
        <v>1.5</v>
      </c>
      <c r="AU143">
        <v>1.5</v>
      </c>
      <c r="AV143">
        <v>1.5</v>
      </c>
      <c r="AW143">
        <v>1.5</v>
      </c>
      <c r="AX143">
        <v>1.5</v>
      </c>
      <c r="AY143">
        <v>1.5</v>
      </c>
      <c r="AZ143">
        <v>1.5</v>
      </c>
      <c r="BA143">
        <v>1.5</v>
      </c>
      <c r="BB143">
        <v>1.5</v>
      </c>
      <c r="BC143">
        <v>1.5</v>
      </c>
      <c r="BD143">
        <v>1.5</v>
      </c>
      <c r="BE143">
        <v>1.5</v>
      </c>
      <c r="BF143">
        <v>1.5</v>
      </c>
      <c r="BG143">
        <v>1.5</v>
      </c>
      <c r="BH143">
        <v>1.4</v>
      </c>
    </row>
    <row r="144" spans="1:60" x14ac:dyDescent="0.2">
      <c r="A144" t="s">
        <v>12</v>
      </c>
    </row>
    <row r="145" spans="1:17" x14ac:dyDescent="0.2">
      <c r="A145">
        <v>12</v>
      </c>
    </row>
    <row r="146" spans="1:17" x14ac:dyDescent="0.2">
      <c r="A146" t="s">
        <v>13</v>
      </c>
    </row>
    <row r="147" spans="1:17" x14ac:dyDescent="0.2">
      <c r="A147">
        <v>1965</v>
      </c>
      <c r="B147">
        <v>1966</v>
      </c>
      <c r="C147">
        <v>1967</v>
      </c>
      <c r="D147">
        <v>1968</v>
      </c>
      <c r="E147">
        <v>1969</v>
      </c>
      <c r="F147">
        <v>1970</v>
      </c>
      <c r="G147">
        <v>1971</v>
      </c>
      <c r="H147">
        <v>1972</v>
      </c>
      <c r="I147">
        <v>1973</v>
      </c>
      <c r="J147">
        <v>1974</v>
      </c>
      <c r="K147">
        <v>1975</v>
      </c>
      <c r="L147">
        <v>1976</v>
      </c>
    </row>
    <row r="148" spans="1:17" x14ac:dyDescent="0.2">
      <c r="A148" t="s">
        <v>14</v>
      </c>
    </row>
    <row r="149" spans="1:17" x14ac:dyDescent="0.2">
      <c r="A149">
        <v>2816.4374280000002</v>
      </c>
      <c r="B149">
        <v>3473.5804750000002</v>
      </c>
      <c r="C149">
        <v>3802.169891</v>
      </c>
      <c r="D149">
        <v>5257.3046009999998</v>
      </c>
      <c r="E149">
        <v>6712.4684180000004</v>
      </c>
      <c r="F149">
        <v>5679.8098280000004</v>
      </c>
      <c r="G149">
        <v>5257.3312830000004</v>
      </c>
      <c r="H149">
        <v>5726.7434839999996</v>
      </c>
      <c r="I149">
        <v>4787.923949</v>
      </c>
      <c r="J149">
        <v>4740.9925880000001</v>
      </c>
      <c r="K149">
        <v>4271.5744599999998</v>
      </c>
      <c r="L149">
        <v>4318.5230579999998</v>
      </c>
    </row>
    <row r="150" spans="1:17" x14ac:dyDescent="0.2">
      <c r="A150" t="s">
        <v>15</v>
      </c>
    </row>
    <row r="151" spans="1:17" x14ac:dyDescent="0.2">
      <c r="A151">
        <v>563.28748559999997</v>
      </c>
      <c r="B151">
        <v>694.716095</v>
      </c>
      <c r="C151">
        <v>760.43397809999999</v>
      </c>
      <c r="D151">
        <v>1051.46092</v>
      </c>
      <c r="E151">
        <v>1342.493684</v>
      </c>
      <c r="F151">
        <v>1135.9619660000001</v>
      </c>
      <c r="G151">
        <v>1051.466257</v>
      </c>
      <c r="H151">
        <v>1145.3486969999999</v>
      </c>
      <c r="I151">
        <v>957.58478979999995</v>
      </c>
      <c r="J151">
        <v>948.19851759999995</v>
      </c>
      <c r="K151">
        <v>854.31489190000002</v>
      </c>
      <c r="L151">
        <v>863.70461160000002</v>
      </c>
    </row>
    <row r="152" spans="1:17" x14ac:dyDescent="0.2">
      <c r="A152" t="s">
        <v>16</v>
      </c>
    </row>
    <row r="153" spans="1:17" x14ac:dyDescent="0.2">
      <c r="A153">
        <v>17</v>
      </c>
    </row>
    <row r="154" spans="1:17" x14ac:dyDescent="0.2">
      <c r="A154" t="s">
        <v>17</v>
      </c>
    </row>
    <row r="155" spans="1:17" x14ac:dyDescent="0.2">
      <c r="A155">
        <v>2006</v>
      </c>
      <c r="B155">
        <v>2007</v>
      </c>
      <c r="C155">
        <v>2008</v>
      </c>
      <c r="D155">
        <v>2009</v>
      </c>
      <c r="E155">
        <v>2010</v>
      </c>
      <c r="F155">
        <v>2011</v>
      </c>
      <c r="G155">
        <v>2012</v>
      </c>
      <c r="H155">
        <v>2013</v>
      </c>
      <c r="I155">
        <v>2014</v>
      </c>
      <c r="J155">
        <v>2015</v>
      </c>
      <c r="K155">
        <v>2016</v>
      </c>
      <c r="L155">
        <v>2017</v>
      </c>
      <c r="M155">
        <v>2018</v>
      </c>
      <c r="N155">
        <v>2019</v>
      </c>
      <c r="O155">
        <v>2021</v>
      </c>
      <c r="P155">
        <v>2022</v>
      </c>
      <c r="Q155">
        <v>2023</v>
      </c>
    </row>
    <row r="156" spans="1:17" x14ac:dyDescent="0.2">
      <c r="A156" t="s">
        <v>18</v>
      </c>
    </row>
    <row r="157" spans="1:17" x14ac:dyDescent="0.2">
      <c r="A157">
        <v>1.7414761030000001</v>
      </c>
      <c r="B157">
        <v>2.0019130700000001</v>
      </c>
      <c r="C157">
        <v>0.99154315100000001</v>
      </c>
      <c r="D157">
        <v>0.69510000000000005</v>
      </c>
      <c r="E157">
        <v>1.9218</v>
      </c>
      <c r="F157">
        <v>1.7038225659999999</v>
      </c>
      <c r="G157">
        <v>1.5206</v>
      </c>
      <c r="H157">
        <v>2.1776295779999999</v>
      </c>
      <c r="I157">
        <v>3.0769000000000002</v>
      </c>
      <c r="J157">
        <v>3.5926999999999998</v>
      </c>
      <c r="K157">
        <v>2.8319000000000001</v>
      </c>
      <c r="L157">
        <v>2.2629999999999999</v>
      </c>
      <c r="M157">
        <v>2.0840999999999998</v>
      </c>
      <c r="N157">
        <v>2.8292000000000002</v>
      </c>
      <c r="O157">
        <v>2.4100999999999999</v>
      </c>
      <c r="P157">
        <v>2.9030999999999998</v>
      </c>
      <c r="Q157">
        <v>2.4809999999999999</v>
      </c>
    </row>
    <row r="158" spans="1:17" x14ac:dyDescent="0.2">
      <c r="A158" t="s">
        <v>19</v>
      </c>
    </row>
    <row r="159" spans="1:17" x14ac:dyDescent="0.2">
      <c r="A159" t="s">
        <v>20</v>
      </c>
    </row>
    <row r="160" spans="1:17" x14ac:dyDescent="0.2">
      <c r="A160" t="s">
        <v>21</v>
      </c>
    </row>
    <row r="161" spans="1:15" x14ac:dyDescent="0.2">
      <c r="A161">
        <v>1.9380752000000001E-2</v>
      </c>
      <c r="B161">
        <v>0.10145982200000001</v>
      </c>
      <c r="C161">
        <v>0.24414475499999999</v>
      </c>
      <c r="D161">
        <v>0.37814567100000002</v>
      </c>
      <c r="E161">
        <v>0.52699222899999998</v>
      </c>
      <c r="F161">
        <v>0.65206661499999996</v>
      </c>
      <c r="G161">
        <v>0.76360385099999994</v>
      </c>
      <c r="H161">
        <v>0.84666801899999999</v>
      </c>
      <c r="I161">
        <v>0.93351983299999997</v>
      </c>
      <c r="J161">
        <v>0.97143749400000001</v>
      </c>
      <c r="K161">
        <v>1.0011509190000001</v>
      </c>
      <c r="L161">
        <v>1.1495346909999999</v>
      </c>
      <c r="M161">
        <v>1.2116872009999999</v>
      </c>
      <c r="N161">
        <v>1.281049807</v>
      </c>
      <c r="O161">
        <v>1.179917849</v>
      </c>
    </row>
    <row r="162" spans="1:15" x14ac:dyDescent="0.2">
      <c r="A162">
        <v>1.8495648999999999E-2</v>
      </c>
      <c r="B162">
        <v>8.7193363999999995E-2</v>
      </c>
      <c r="C162">
        <v>0.279247415</v>
      </c>
      <c r="D162">
        <v>0.43718783300000003</v>
      </c>
      <c r="E162">
        <v>0.58248880300000005</v>
      </c>
      <c r="F162">
        <v>0.68663239899999995</v>
      </c>
      <c r="G162">
        <v>0.78823631599999999</v>
      </c>
      <c r="H162">
        <v>0.87099972599999997</v>
      </c>
      <c r="I162">
        <v>0.970100191</v>
      </c>
      <c r="J162">
        <v>1.1027085160000001</v>
      </c>
      <c r="K162">
        <v>1.1056714510000001</v>
      </c>
      <c r="L162">
        <v>1.2369484479999999</v>
      </c>
      <c r="M162">
        <v>1.2354868450000001</v>
      </c>
      <c r="N162">
        <v>1.749460306</v>
      </c>
      <c r="O162">
        <v>1.230626606</v>
      </c>
    </row>
    <row r="163" spans="1:15" x14ac:dyDescent="0.2">
      <c r="A163">
        <v>2.2553568E-2</v>
      </c>
      <c r="B163">
        <v>8.3533376000000006E-2</v>
      </c>
      <c r="C163">
        <v>0.21397105999999999</v>
      </c>
      <c r="D163">
        <v>0.40660791499999999</v>
      </c>
      <c r="E163">
        <v>0.57580060799999999</v>
      </c>
      <c r="F163">
        <v>0.68906324200000002</v>
      </c>
      <c r="G163">
        <v>0.80522349299999996</v>
      </c>
      <c r="H163">
        <v>0.98197084899999998</v>
      </c>
      <c r="I163">
        <v>0.96832022399999995</v>
      </c>
      <c r="J163">
        <v>1.262557586</v>
      </c>
      <c r="K163">
        <v>1.2472124309999999</v>
      </c>
      <c r="L163">
        <v>1.2466489679999999</v>
      </c>
      <c r="M163">
        <v>1.389705798</v>
      </c>
      <c r="N163">
        <v>1.6380326970000001</v>
      </c>
      <c r="O163">
        <v>1.2469683009999999</v>
      </c>
    </row>
    <row r="164" spans="1:15" x14ac:dyDescent="0.2">
      <c r="A164">
        <v>2.0319990999999999E-2</v>
      </c>
      <c r="B164">
        <v>0.10850145999999999</v>
      </c>
      <c r="C164">
        <v>0.24195861900000001</v>
      </c>
      <c r="D164">
        <v>0.41645069600000001</v>
      </c>
      <c r="E164">
        <v>0.64661924500000001</v>
      </c>
      <c r="F164">
        <v>0.78533266300000004</v>
      </c>
      <c r="G164">
        <v>0.95014345300000003</v>
      </c>
      <c r="H164">
        <v>1.0306215750000001</v>
      </c>
      <c r="I164">
        <v>1.0640246280000001</v>
      </c>
      <c r="J164">
        <v>1.3283554529999999</v>
      </c>
      <c r="K164">
        <v>1.326541881</v>
      </c>
      <c r="L164">
        <v>1.5470371329999999</v>
      </c>
      <c r="M164">
        <v>1.5565858539999999</v>
      </c>
      <c r="N164">
        <v>1.5368162080000001</v>
      </c>
      <c r="O164">
        <v>1.7437159609999999</v>
      </c>
    </row>
    <row r="165" spans="1:15" x14ac:dyDescent="0.2">
      <c r="A165">
        <v>3.1689083999999999E-2</v>
      </c>
      <c r="B165">
        <v>0.11734314799999999</v>
      </c>
      <c r="C165">
        <v>0.221257593</v>
      </c>
      <c r="D165">
        <v>0.44114833799999997</v>
      </c>
      <c r="E165">
        <v>0.56523318099999997</v>
      </c>
      <c r="F165">
        <v>0.72191307000000005</v>
      </c>
      <c r="G165">
        <v>0.93679943799999998</v>
      </c>
      <c r="H165">
        <v>1.3365648569999999</v>
      </c>
      <c r="I165">
        <v>1.574484153</v>
      </c>
      <c r="J165">
        <v>1.6224372220000001</v>
      </c>
      <c r="K165">
        <v>1.692529159</v>
      </c>
      <c r="L165">
        <v>1.895356839</v>
      </c>
      <c r="M165">
        <v>1.9269976470000001</v>
      </c>
      <c r="N165">
        <v>1.9414515240000001</v>
      </c>
      <c r="O165">
        <v>1.96177442</v>
      </c>
    </row>
    <row r="166" spans="1:15" x14ac:dyDescent="0.2">
      <c r="A166">
        <v>2.9375575000000001E-2</v>
      </c>
      <c r="B166">
        <v>0.106631395</v>
      </c>
      <c r="C166">
        <v>0.20897274199999999</v>
      </c>
      <c r="D166">
        <v>0.40841345800000001</v>
      </c>
      <c r="E166">
        <v>0.54885837500000001</v>
      </c>
      <c r="F166">
        <v>0.70586089699999999</v>
      </c>
      <c r="G166">
        <v>0.88746961899999999</v>
      </c>
      <c r="H166">
        <v>1.1324740360000001</v>
      </c>
      <c r="I166">
        <v>1.4220402940000001</v>
      </c>
      <c r="J166">
        <v>1.444774336</v>
      </c>
      <c r="K166">
        <v>1.510418611</v>
      </c>
      <c r="L166">
        <v>1.6415487989999999</v>
      </c>
      <c r="M166">
        <v>1.6941674689999999</v>
      </c>
      <c r="N166">
        <v>1.853097483</v>
      </c>
      <c r="O166">
        <v>1.8597176419999999</v>
      </c>
    </row>
    <row r="167" spans="1:15" x14ac:dyDescent="0.2">
      <c r="A167">
        <v>2.7062065E-2</v>
      </c>
      <c r="B167">
        <v>9.5919641999999999E-2</v>
      </c>
      <c r="C167">
        <v>0.196687891</v>
      </c>
      <c r="D167">
        <v>0.37567857900000001</v>
      </c>
      <c r="E167">
        <v>0.53248356900000005</v>
      </c>
      <c r="F167">
        <v>0.68980872500000001</v>
      </c>
      <c r="G167">
        <v>0.83813980099999996</v>
      </c>
      <c r="H167">
        <v>0.92838321599999996</v>
      </c>
      <c r="I167">
        <v>1.269596435</v>
      </c>
      <c r="J167">
        <v>1.2671114489999999</v>
      </c>
      <c r="K167">
        <v>1.3283080629999999</v>
      </c>
      <c r="L167">
        <v>1.3877407589999999</v>
      </c>
      <c r="M167">
        <v>1.461337291</v>
      </c>
      <c r="N167">
        <v>1.764743441</v>
      </c>
      <c r="O167">
        <v>1.757660864</v>
      </c>
    </row>
    <row r="168" spans="1:15" x14ac:dyDescent="0.2">
      <c r="A168">
        <v>2.9375575000000001E-2</v>
      </c>
      <c r="B168">
        <v>0.106631395</v>
      </c>
      <c r="C168">
        <v>0.20897274199999999</v>
      </c>
      <c r="D168">
        <v>0.40841345800000001</v>
      </c>
      <c r="E168">
        <v>0.54885837500000001</v>
      </c>
      <c r="F168">
        <v>0.70586089699999999</v>
      </c>
      <c r="G168">
        <v>0.88746961899999999</v>
      </c>
      <c r="H168">
        <v>1.1324740360000001</v>
      </c>
      <c r="I168">
        <v>1.4220402940000001</v>
      </c>
      <c r="J168">
        <v>1.444774336</v>
      </c>
      <c r="K168">
        <v>1.510418611</v>
      </c>
      <c r="L168">
        <v>1.6415487989999999</v>
      </c>
      <c r="M168">
        <v>1.6941674689999999</v>
      </c>
      <c r="N168">
        <v>1.853097483</v>
      </c>
      <c r="O168">
        <v>1.8597176419999999</v>
      </c>
    </row>
    <row r="169" spans="1:15" x14ac:dyDescent="0.2">
      <c r="A169">
        <v>2.5225422000000001E-2</v>
      </c>
      <c r="B169">
        <v>0.13456103799999999</v>
      </c>
      <c r="C169">
        <v>0.22362502000000001</v>
      </c>
      <c r="D169">
        <v>0.39429725100000002</v>
      </c>
      <c r="E169">
        <v>0.54727595100000004</v>
      </c>
      <c r="F169">
        <v>0.69453373399999996</v>
      </c>
      <c r="G169">
        <v>0.76282845600000004</v>
      </c>
      <c r="H169">
        <v>0.99709786499999997</v>
      </c>
      <c r="I169">
        <v>1.142014088</v>
      </c>
      <c r="J169">
        <v>1.2663642900000001</v>
      </c>
      <c r="K169">
        <v>1.4441065390000001</v>
      </c>
      <c r="L169">
        <v>1.7110011249999999</v>
      </c>
      <c r="M169">
        <v>1.9030163040000001</v>
      </c>
      <c r="N169">
        <v>1.7945568460000001</v>
      </c>
      <c r="O169">
        <v>1.7766869240000001</v>
      </c>
    </row>
    <row r="170" spans="1:15" x14ac:dyDescent="0.2">
      <c r="A170">
        <v>2.2663922E-2</v>
      </c>
      <c r="B170">
        <v>7.6370721000000003E-2</v>
      </c>
      <c r="C170">
        <v>0.20628748999999999</v>
      </c>
      <c r="D170">
        <v>0.38888217200000003</v>
      </c>
      <c r="E170">
        <v>0.57437083799999999</v>
      </c>
      <c r="F170">
        <v>0.62703836000000002</v>
      </c>
      <c r="G170">
        <v>0.80576405200000001</v>
      </c>
      <c r="H170">
        <v>0.94094098999999998</v>
      </c>
      <c r="I170">
        <v>1.0459384430000001</v>
      </c>
      <c r="J170">
        <v>1.065510102</v>
      </c>
      <c r="K170">
        <v>1.30555602</v>
      </c>
      <c r="L170">
        <v>1.6099144869999999</v>
      </c>
      <c r="M170">
        <v>1.4115746499999999</v>
      </c>
      <c r="N170">
        <v>1.6114570420000001</v>
      </c>
      <c r="O170">
        <v>2.2200154310000002</v>
      </c>
    </row>
    <row r="171" spans="1:15" x14ac:dyDescent="0.2">
      <c r="A171">
        <v>3.3300215000000001E-2</v>
      </c>
      <c r="B171">
        <v>0.109915022</v>
      </c>
      <c r="C171">
        <v>0.26589982299999998</v>
      </c>
      <c r="D171">
        <v>0.48098001200000001</v>
      </c>
      <c r="E171">
        <v>0.53885808499999999</v>
      </c>
      <c r="F171">
        <v>0.63233835000000005</v>
      </c>
      <c r="G171">
        <v>0.69664412799999997</v>
      </c>
      <c r="H171">
        <v>0.78559349499999998</v>
      </c>
      <c r="I171">
        <v>0.84670904400000002</v>
      </c>
      <c r="J171">
        <v>0.96047921300000005</v>
      </c>
      <c r="K171">
        <v>1.166773547</v>
      </c>
      <c r="L171">
        <v>1.3694739359999999</v>
      </c>
      <c r="M171">
        <v>1.6232018939999999</v>
      </c>
      <c r="N171">
        <v>1.6847912089999999</v>
      </c>
      <c r="O171">
        <v>1.738218</v>
      </c>
    </row>
    <row r="172" spans="1:15" x14ac:dyDescent="0.2">
      <c r="A172">
        <v>2.1695848E-2</v>
      </c>
      <c r="B172">
        <v>9.8126926000000003E-2</v>
      </c>
      <c r="C172">
        <v>0.19830637300000001</v>
      </c>
      <c r="D172">
        <v>0.39827524800000003</v>
      </c>
      <c r="E172">
        <v>0.52798778899999999</v>
      </c>
      <c r="F172">
        <v>0.595204387</v>
      </c>
      <c r="G172">
        <v>0.68596759900000004</v>
      </c>
      <c r="H172">
        <v>0.73654037900000002</v>
      </c>
      <c r="I172">
        <v>0.81809528600000003</v>
      </c>
      <c r="J172">
        <v>0.81914845199999997</v>
      </c>
      <c r="K172">
        <v>0.94734698799999995</v>
      </c>
      <c r="L172">
        <v>0.81578620099999999</v>
      </c>
      <c r="M172">
        <v>1.182831599</v>
      </c>
      <c r="N172">
        <v>1.3194748160000001</v>
      </c>
      <c r="O172">
        <v>1.5784266300000001</v>
      </c>
    </row>
    <row r="173" spans="1:15" x14ac:dyDescent="0.2">
      <c r="A173">
        <v>2.9279013E-2</v>
      </c>
      <c r="B173">
        <v>0.113887513</v>
      </c>
      <c r="C173">
        <v>0.25112267500000002</v>
      </c>
      <c r="D173">
        <v>0.40643369000000001</v>
      </c>
      <c r="E173">
        <v>0.51202235500000004</v>
      </c>
      <c r="F173">
        <v>0.59579568500000002</v>
      </c>
      <c r="G173">
        <v>0.67860015600000001</v>
      </c>
      <c r="H173">
        <v>0.72186286099999997</v>
      </c>
      <c r="I173">
        <v>0.81782518000000004</v>
      </c>
      <c r="J173">
        <v>0.874899121</v>
      </c>
      <c r="K173">
        <v>0.97760769599999997</v>
      </c>
      <c r="L173">
        <v>1.044707584</v>
      </c>
      <c r="M173">
        <v>1.1519333899999999</v>
      </c>
      <c r="N173">
        <v>1.389053393</v>
      </c>
      <c r="O173">
        <v>1.6261733949999999</v>
      </c>
    </row>
    <row r="174" spans="1:15" x14ac:dyDescent="0.2">
      <c r="A174">
        <v>2.9279013E-2</v>
      </c>
      <c r="B174">
        <v>0.113887513</v>
      </c>
      <c r="C174">
        <v>0.25112267500000002</v>
      </c>
      <c r="D174">
        <v>0.40643369000000001</v>
      </c>
      <c r="E174">
        <v>0.51202235500000004</v>
      </c>
      <c r="F174">
        <v>0.59579568500000002</v>
      </c>
      <c r="G174">
        <v>0.67860015600000001</v>
      </c>
      <c r="H174">
        <v>0.72186286099999997</v>
      </c>
      <c r="I174">
        <v>0.81782518000000004</v>
      </c>
      <c r="J174">
        <v>0.874899121</v>
      </c>
      <c r="K174">
        <v>0.97760769599999997</v>
      </c>
      <c r="L174">
        <v>1.044707584</v>
      </c>
      <c r="M174">
        <v>1.1519333899999999</v>
      </c>
      <c r="N174">
        <v>1.389053393</v>
      </c>
      <c r="O174">
        <v>1.6261733949999999</v>
      </c>
    </row>
    <row r="175" spans="1:15" x14ac:dyDescent="0.2">
      <c r="A175">
        <v>1.8974039000000002E-2</v>
      </c>
      <c r="B175">
        <v>0.10028049</v>
      </c>
      <c r="C175">
        <v>0.20869992300000001</v>
      </c>
      <c r="D175">
        <v>0.36956144800000001</v>
      </c>
      <c r="E175">
        <v>0.48770335999999997</v>
      </c>
      <c r="F175">
        <v>0.61428291400000001</v>
      </c>
      <c r="G175">
        <v>0.70489551399999995</v>
      </c>
      <c r="H175">
        <v>0.76874035399999996</v>
      </c>
      <c r="I175">
        <v>0.89059718099999996</v>
      </c>
      <c r="J175">
        <v>1.0320896150000001</v>
      </c>
      <c r="K175">
        <v>0.975926501</v>
      </c>
      <c r="L175">
        <v>1.0844194890000001</v>
      </c>
      <c r="M175">
        <v>1.34031024</v>
      </c>
      <c r="N175">
        <v>1.2279804139999999</v>
      </c>
      <c r="O175">
        <v>2.0478092769999998</v>
      </c>
    </row>
    <row r="176" spans="1:15" x14ac:dyDescent="0.2">
      <c r="A176">
        <v>1.8974039000000002E-2</v>
      </c>
      <c r="B176">
        <v>0.10028049</v>
      </c>
      <c r="C176">
        <v>0.20869992300000001</v>
      </c>
      <c r="D176">
        <v>0.36956144800000001</v>
      </c>
      <c r="E176">
        <v>0.48770335999999997</v>
      </c>
      <c r="F176">
        <v>0.61428291400000001</v>
      </c>
      <c r="G176">
        <v>0.70489551399999995</v>
      </c>
      <c r="H176">
        <v>0.76874035399999996</v>
      </c>
      <c r="I176">
        <v>0.89059718099999996</v>
      </c>
      <c r="J176">
        <v>1.0320896150000001</v>
      </c>
      <c r="K176">
        <v>0.975926501</v>
      </c>
      <c r="L176">
        <v>1.0844194890000001</v>
      </c>
      <c r="M176">
        <v>1.34031024</v>
      </c>
      <c r="N176">
        <v>1.2279804139999999</v>
      </c>
      <c r="O176">
        <v>2.0478092769999998</v>
      </c>
    </row>
    <row r="177" spans="1:59" x14ac:dyDescent="0.2">
      <c r="A177">
        <v>2.2340125999999998E-2</v>
      </c>
      <c r="B177">
        <v>0.16307050200000001</v>
      </c>
      <c r="C177">
        <v>0.28087430200000002</v>
      </c>
      <c r="D177">
        <v>0.37731543899999997</v>
      </c>
      <c r="E177">
        <v>0.47539210599999998</v>
      </c>
      <c r="F177">
        <v>0.56840108600000006</v>
      </c>
      <c r="G177">
        <v>0.73328093900000002</v>
      </c>
      <c r="H177">
        <v>0.80313542400000004</v>
      </c>
      <c r="I177">
        <v>0.84026475199999995</v>
      </c>
      <c r="J177">
        <v>0.95574643400000003</v>
      </c>
      <c r="K177">
        <v>1.077189269</v>
      </c>
      <c r="L177">
        <v>0.99408522200000005</v>
      </c>
      <c r="M177">
        <v>1.21649973</v>
      </c>
      <c r="N177">
        <v>1.350697939</v>
      </c>
      <c r="O177">
        <v>1.969390269</v>
      </c>
    </row>
    <row r="178" spans="1:59" x14ac:dyDescent="0.2">
      <c r="A178" t="s">
        <v>22</v>
      </c>
    </row>
    <row r="179" spans="1:59" x14ac:dyDescent="0.2">
      <c r="A179">
        <v>3</v>
      </c>
    </row>
    <row r="180" spans="1:59" x14ac:dyDescent="0.2">
      <c r="A180" t="s">
        <v>23</v>
      </c>
    </row>
    <row r="181" spans="1:59" x14ac:dyDescent="0.2">
      <c r="A181">
        <v>1</v>
      </c>
      <c r="B181">
        <v>1</v>
      </c>
      <c r="C181">
        <v>1</v>
      </c>
    </row>
    <row r="182" spans="1:59" x14ac:dyDescent="0.2">
      <c r="A182" t="s">
        <v>24</v>
      </c>
    </row>
    <row r="183" spans="1:59" x14ac:dyDescent="0.2">
      <c r="A183">
        <v>59</v>
      </c>
    </row>
    <row r="184" spans="1:59" x14ac:dyDescent="0.2">
      <c r="A184" t="s">
        <v>25</v>
      </c>
    </row>
    <row r="185" spans="1:59" x14ac:dyDescent="0.2">
      <c r="A185">
        <v>41</v>
      </c>
    </row>
    <row r="186" spans="1:59" x14ac:dyDescent="0.2">
      <c r="A186" t="s">
        <v>26</v>
      </c>
    </row>
    <row r="187" spans="1:59" x14ac:dyDescent="0.2">
      <c r="A187">
        <v>18</v>
      </c>
    </row>
    <row r="188" spans="1:59" x14ac:dyDescent="0.2">
      <c r="A188" t="s">
        <v>27</v>
      </c>
    </row>
    <row r="189" spans="1:59" x14ac:dyDescent="0.2">
      <c r="A189">
        <v>1964</v>
      </c>
      <c r="B189">
        <v>1965</v>
      </c>
      <c r="C189">
        <v>1966</v>
      </c>
      <c r="D189">
        <v>1967</v>
      </c>
      <c r="E189">
        <v>1968</v>
      </c>
      <c r="F189">
        <v>1969</v>
      </c>
      <c r="G189">
        <v>1970</v>
      </c>
      <c r="H189">
        <v>1971</v>
      </c>
      <c r="I189">
        <v>1972</v>
      </c>
      <c r="J189">
        <v>1973</v>
      </c>
      <c r="K189">
        <v>1974</v>
      </c>
      <c r="L189">
        <v>1975</v>
      </c>
      <c r="M189">
        <v>1976</v>
      </c>
      <c r="N189">
        <v>1977</v>
      </c>
      <c r="O189">
        <v>1978</v>
      </c>
      <c r="P189">
        <v>1979</v>
      </c>
      <c r="Q189">
        <v>1980</v>
      </c>
      <c r="R189">
        <v>1981</v>
      </c>
      <c r="S189">
        <v>1982</v>
      </c>
      <c r="T189">
        <v>1983</v>
      </c>
      <c r="U189">
        <v>1984</v>
      </c>
      <c r="V189">
        <v>1985</v>
      </c>
      <c r="W189">
        <v>1986</v>
      </c>
      <c r="X189">
        <v>1987</v>
      </c>
      <c r="Y189">
        <v>1988</v>
      </c>
      <c r="Z189">
        <v>1989</v>
      </c>
      <c r="AA189">
        <v>1990</v>
      </c>
      <c r="AB189">
        <v>1991</v>
      </c>
      <c r="AC189">
        <v>1992</v>
      </c>
      <c r="AD189">
        <v>1993</v>
      </c>
      <c r="AE189">
        <v>1994</v>
      </c>
      <c r="AF189">
        <v>1995</v>
      </c>
      <c r="AG189">
        <v>1996</v>
      </c>
      <c r="AH189">
        <v>1997</v>
      </c>
      <c r="AI189">
        <v>1998</v>
      </c>
      <c r="AJ189">
        <v>1999</v>
      </c>
      <c r="AK189">
        <v>2000</v>
      </c>
      <c r="AL189">
        <v>2001</v>
      </c>
      <c r="AM189">
        <v>2002</v>
      </c>
      <c r="AN189">
        <v>2003</v>
      </c>
      <c r="AO189">
        <v>2004</v>
      </c>
      <c r="AP189">
        <v>2005</v>
      </c>
      <c r="AQ189">
        <v>2006</v>
      </c>
      <c r="AR189">
        <v>2007</v>
      </c>
      <c r="AS189">
        <v>2008</v>
      </c>
      <c r="AT189">
        <v>2009</v>
      </c>
      <c r="AU189">
        <v>2010</v>
      </c>
      <c r="AV189">
        <v>2011</v>
      </c>
      <c r="AW189">
        <v>2012</v>
      </c>
      <c r="AX189">
        <v>2013</v>
      </c>
      <c r="AY189">
        <v>2014</v>
      </c>
      <c r="AZ189">
        <v>2015</v>
      </c>
      <c r="BA189">
        <v>2016</v>
      </c>
      <c r="BB189">
        <v>2017</v>
      </c>
      <c r="BC189">
        <v>2018</v>
      </c>
      <c r="BD189">
        <v>2019</v>
      </c>
      <c r="BE189">
        <v>2020</v>
      </c>
      <c r="BF189">
        <v>2021</v>
      </c>
      <c r="BG189">
        <v>2022</v>
      </c>
    </row>
    <row r="190" spans="1:59" x14ac:dyDescent="0.2">
      <c r="A190" t="s">
        <v>28</v>
      </c>
    </row>
    <row r="191" spans="1:59" x14ac:dyDescent="0.2">
      <c r="A191">
        <v>1982</v>
      </c>
      <c r="B191">
        <v>1983</v>
      </c>
      <c r="C191">
        <v>1984</v>
      </c>
      <c r="D191">
        <v>1985</v>
      </c>
      <c r="E191">
        <v>1986</v>
      </c>
      <c r="F191">
        <v>1987</v>
      </c>
      <c r="G191">
        <v>1988</v>
      </c>
      <c r="H191">
        <v>1989</v>
      </c>
      <c r="I191">
        <v>1990</v>
      </c>
      <c r="J191">
        <v>1991</v>
      </c>
      <c r="K191">
        <v>1992</v>
      </c>
      <c r="L191">
        <v>1993</v>
      </c>
      <c r="M191">
        <v>1994</v>
      </c>
      <c r="N191">
        <v>1995</v>
      </c>
      <c r="O191">
        <v>1996</v>
      </c>
      <c r="P191">
        <v>1997</v>
      </c>
      <c r="Q191">
        <v>1998</v>
      </c>
      <c r="R191">
        <v>1999</v>
      </c>
      <c r="S191">
        <v>2000</v>
      </c>
      <c r="T191">
        <v>2001</v>
      </c>
      <c r="U191">
        <v>2002</v>
      </c>
      <c r="V191">
        <v>2003</v>
      </c>
      <c r="W191">
        <v>2004</v>
      </c>
      <c r="X191">
        <v>2005</v>
      </c>
      <c r="Y191">
        <v>2006</v>
      </c>
      <c r="Z191">
        <v>2007</v>
      </c>
      <c r="AA191">
        <v>2008</v>
      </c>
      <c r="AB191">
        <v>2009</v>
      </c>
      <c r="AC191">
        <v>2010</v>
      </c>
      <c r="AD191">
        <v>2011</v>
      </c>
      <c r="AE191">
        <v>2012</v>
      </c>
      <c r="AF191">
        <v>2013</v>
      </c>
      <c r="AG191">
        <v>2014</v>
      </c>
      <c r="AH191">
        <v>2015</v>
      </c>
      <c r="AI191">
        <v>2016</v>
      </c>
      <c r="AJ191">
        <v>2017</v>
      </c>
      <c r="AK191">
        <v>2018</v>
      </c>
      <c r="AL191">
        <v>2019</v>
      </c>
      <c r="AM191">
        <v>2021</v>
      </c>
      <c r="AN191" t="s">
        <v>29</v>
      </c>
    </row>
    <row r="192" spans="1:59" x14ac:dyDescent="0.2">
      <c r="A192" t="s">
        <v>30</v>
      </c>
    </row>
    <row r="193" spans="1:59" x14ac:dyDescent="0.2">
      <c r="A193">
        <v>1994</v>
      </c>
      <c r="B193">
        <v>1996</v>
      </c>
      <c r="C193">
        <v>1997</v>
      </c>
      <c r="D193">
        <v>1999</v>
      </c>
      <c r="E193">
        <v>2000</v>
      </c>
      <c r="F193">
        <v>2002</v>
      </c>
      <c r="G193">
        <v>2004</v>
      </c>
      <c r="H193">
        <v>2006</v>
      </c>
      <c r="I193">
        <v>2007</v>
      </c>
      <c r="J193">
        <v>2008</v>
      </c>
      <c r="K193">
        <v>2009</v>
      </c>
      <c r="L193">
        <v>2010</v>
      </c>
      <c r="M193">
        <v>2012</v>
      </c>
      <c r="N193">
        <v>2014</v>
      </c>
      <c r="O193">
        <v>2016</v>
      </c>
      <c r="P193">
        <v>2018</v>
      </c>
      <c r="Q193">
        <v>2020</v>
      </c>
      <c r="R193">
        <v>2022</v>
      </c>
    </row>
    <row r="194" spans="1:59" x14ac:dyDescent="0.2">
      <c r="A194" t="s">
        <v>31</v>
      </c>
    </row>
    <row r="195" spans="1:59" x14ac:dyDescent="0.2">
      <c r="A195">
        <v>10</v>
      </c>
      <c r="B195">
        <v>10</v>
      </c>
      <c r="C195">
        <v>10</v>
      </c>
      <c r="D195">
        <v>10</v>
      </c>
      <c r="E195">
        <v>10</v>
      </c>
      <c r="F195">
        <v>10</v>
      </c>
      <c r="G195">
        <v>10</v>
      </c>
      <c r="H195">
        <v>10</v>
      </c>
      <c r="I195">
        <v>10</v>
      </c>
      <c r="J195">
        <v>10</v>
      </c>
      <c r="K195">
        <v>10</v>
      </c>
      <c r="L195">
        <v>10</v>
      </c>
      <c r="M195">
        <v>10</v>
      </c>
      <c r="N195">
        <v>10</v>
      </c>
      <c r="O195">
        <v>39</v>
      </c>
      <c r="P195">
        <v>39</v>
      </c>
      <c r="Q195">
        <v>39</v>
      </c>
      <c r="R195">
        <v>39</v>
      </c>
      <c r="S195">
        <v>39</v>
      </c>
      <c r="T195">
        <v>39</v>
      </c>
      <c r="U195">
        <v>39</v>
      </c>
      <c r="V195">
        <v>39</v>
      </c>
      <c r="W195">
        <v>39</v>
      </c>
      <c r="X195">
        <v>39</v>
      </c>
      <c r="Y195">
        <v>39</v>
      </c>
      <c r="Z195">
        <v>39</v>
      </c>
      <c r="AA195">
        <v>39</v>
      </c>
      <c r="AB195">
        <v>259.37884869999999</v>
      </c>
      <c r="AC195">
        <v>227.2361746</v>
      </c>
      <c r="AD195">
        <v>343.22365860000002</v>
      </c>
      <c r="AE195">
        <v>285.34016409999998</v>
      </c>
      <c r="AF195">
        <v>256.03527209999999</v>
      </c>
      <c r="AG195">
        <v>188.40952089999999</v>
      </c>
      <c r="AH195">
        <v>317.5476673</v>
      </c>
      <c r="AI195">
        <v>353.30899419999997</v>
      </c>
      <c r="AJ195">
        <v>474.44756460000002</v>
      </c>
      <c r="AK195">
        <v>480.7231453</v>
      </c>
      <c r="AL195">
        <v>327.00581</v>
      </c>
      <c r="AM195">
        <v>484.83747419999997</v>
      </c>
      <c r="AN195">
        <v>439.34965080000001</v>
      </c>
      <c r="AO195">
        <v>389.13221929999997</v>
      </c>
      <c r="AP195">
        <v>492.62848589999999</v>
      </c>
      <c r="AQ195">
        <v>504.41495930000002</v>
      </c>
      <c r="AR195">
        <v>498.44128389999997</v>
      </c>
      <c r="AS195">
        <v>521.7925027</v>
      </c>
      <c r="AT195">
        <v>418.5401923</v>
      </c>
      <c r="AU195">
        <v>547.45672569999999</v>
      </c>
      <c r="AV195">
        <v>725.49149209999996</v>
      </c>
      <c r="AW195">
        <v>605.30449599999997</v>
      </c>
      <c r="AX195">
        <v>750.59932400000002</v>
      </c>
      <c r="AY195">
        <v>604.19311660000005</v>
      </c>
      <c r="AZ195">
        <v>818.32178439999996</v>
      </c>
      <c r="BA195">
        <v>701.61258950000001</v>
      </c>
      <c r="BB195">
        <v>604.56794430000002</v>
      </c>
      <c r="BC195">
        <v>665.47189600000002</v>
      </c>
      <c r="BD195">
        <v>698.31003710000005</v>
      </c>
      <c r="BE195">
        <v>563.23827100000005</v>
      </c>
      <c r="BF195">
        <v>814.67800650000004</v>
      </c>
      <c r="BG195">
        <v>638.96072772610898</v>
      </c>
    </row>
    <row r="196" spans="1:59" x14ac:dyDescent="0.2">
      <c r="A196" t="s">
        <v>32</v>
      </c>
    </row>
    <row r="197" spans="1:59" x14ac:dyDescent="0.2">
      <c r="A197" t="s">
        <v>33</v>
      </c>
    </row>
    <row r="198" spans="1:59" x14ac:dyDescent="0.2">
      <c r="A198" t="s">
        <v>34</v>
      </c>
    </row>
    <row r="199" spans="1:59" x14ac:dyDescent="0.2">
      <c r="A199">
        <v>43</v>
      </c>
      <c r="B199">
        <v>32</v>
      </c>
      <c r="C199">
        <v>49</v>
      </c>
      <c r="D199">
        <v>67</v>
      </c>
      <c r="E199">
        <v>70</v>
      </c>
      <c r="F199">
        <v>72</v>
      </c>
      <c r="G199">
        <v>51</v>
      </c>
      <c r="H199">
        <v>47</v>
      </c>
      <c r="I199">
        <v>39</v>
      </c>
      <c r="J199">
        <v>35</v>
      </c>
      <c r="K199">
        <v>26</v>
      </c>
      <c r="L199">
        <v>34</v>
      </c>
      <c r="M199">
        <v>44</v>
      </c>
      <c r="N199">
        <v>79</v>
      </c>
      <c r="O199">
        <v>61</v>
      </c>
      <c r="P199">
        <v>50</v>
      </c>
      <c r="Q199">
        <v>1</v>
      </c>
      <c r="R199">
        <v>52</v>
      </c>
    </row>
    <row r="200" spans="1:59" x14ac:dyDescent="0.2">
      <c r="A200" t="s">
        <v>35</v>
      </c>
    </row>
    <row r="201" spans="1:59" x14ac:dyDescent="0.2">
      <c r="A201">
        <v>1</v>
      </c>
      <c r="B201">
        <v>1</v>
      </c>
      <c r="C201">
        <v>1</v>
      </c>
      <c r="D201">
        <v>1</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row>
    <row r="202" spans="1:59" x14ac:dyDescent="0.2">
      <c r="A202" t="s">
        <v>36</v>
      </c>
    </row>
    <row r="203" spans="1:59" x14ac:dyDescent="0.2">
      <c r="A203">
        <v>1</v>
      </c>
      <c r="B203">
        <v>1</v>
      </c>
      <c r="C203">
        <v>1</v>
      </c>
      <c r="D203">
        <v>1</v>
      </c>
      <c r="E203">
        <v>1</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t="s">
        <v>37</v>
      </c>
    </row>
    <row r="204" spans="1:59" x14ac:dyDescent="0.2">
      <c r="A204" t="s">
        <v>38</v>
      </c>
    </row>
    <row r="205" spans="1:59" x14ac:dyDescent="0.2">
      <c r="A205">
        <v>1</v>
      </c>
      <c r="B205">
        <v>1</v>
      </c>
      <c r="C205">
        <v>1</v>
      </c>
      <c r="D205">
        <v>1</v>
      </c>
      <c r="E205">
        <v>1</v>
      </c>
      <c r="F205">
        <v>1</v>
      </c>
      <c r="G205">
        <v>1</v>
      </c>
      <c r="H205">
        <v>1</v>
      </c>
      <c r="I205">
        <v>1</v>
      </c>
      <c r="J205">
        <v>1</v>
      </c>
      <c r="K205">
        <v>1</v>
      </c>
      <c r="L205">
        <v>1</v>
      </c>
      <c r="M205">
        <v>1</v>
      </c>
      <c r="N205">
        <v>1</v>
      </c>
      <c r="O205">
        <v>1</v>
      </c>
      <c r="P205">
        <v>1</v>
      </c>
      <c r="Q205">
        <v>1</v>
      </c>
      <c r="R205">
        <v>1</v>
      </c>
    </row>
    <row r="206" spans="1:59" x14ac:dyDescent="0.2">
      <c r="A206" t="s">
        <v>39</v>
      </c>
    </row>
    <row r="207" spans="1:59" x14ac:dyDescent="0.2">
      <c r="A207">
        <v>2.5321E-2</v>
      </c>
      <c r="B207">
        <v>0.105571</v>
      </c>
      <c r="C207">
        <v>0.16556299999999999</v>
      </c>
      <c r="D207">
        <v>0.19361100000000001</v>
      </c>
      <c r="E207">
        <v>9.5441999999999999E-2</v>
      </c>
      <c r="F207">
        <v>0.26840700000000001</v>
      </c>
      <c r="G207">
        <v>0.120764</v>
      </c>
      <c r="H207">
        <v>2.5321E-2</v>
      </c>
      <c r="I207">
        <v>0</v>
      </c>
      <c r="J207">
        <v>0</v>
      </c>
      <c r="K207">
        <v>0</v>
      </c>
      <c r="L207">
        <v>0</v>
      </c>
      <c r="M207">
        <v>0</v>
      </c>
      <c r="N207">
        <v>0</v>
      </c>
      <c r="O207">
        <v>0</v>
      </c>
    </row>
    <row r="208" spans="1:59" x14ac:dyDescent="0.2">
      <c r="A208">
        <v>1.417E-2</v>
      </c>
      <c r="B208">
        <v>1.5327E-2</v>
      </c>
      <c r="C208">
        <v>0.20416400000000001</v>
      </c>
      <c r="D208">
        <v>0.55031799999999997</v>
      </c>
      <c r="E208">
        <v>0.13475999999999999</v>
      </c>
      <c r="F208">
        <v>3.3544999999999998E-2</v>
      </c>
      <c r="G208">
        <v>3.2389000000000001E-2</v>
      </c>
      <c r="H208">
        <v>1.5327E-2</v>
      </c>
      <c r="I208">
        <v>0</v>
      </c>
      <c r="J208">
        <v>0</v>
      </c>
      <c r="K208">
        <v>0</v>
      </c>
      <c r="L208">
        <v>0</v>
      </c>
      <c r="M208">
        <v>0</v>
      </c>
      <c r="N208">
        <v>0</v>
      </c>
      <c r="O208">
        <v>0</v>
      </c>
    </row>
    <row r="209" spans="1:15" x14ac:dyDescent="0.2">
      <c r="A209">
        <v>2.8427999999999998E-2</v>
      </c>
      <c r="B209">
        <v>0.16830200000000001</v>
      </c>
      <c r="C209">
        <v>5.7357999999999999E-2</v>
      </c>
      <c r="D209">
        <v>0.420126</v>
      </c>
      <c r="E209">
        <v>0.26490599999999997</v>
      </c>
      <c r="F209">
        <v>2.4150999999999999E-2</v>
      </c>
      <c r="G209">
        <v>2.6415000000000001E-2</v>
      </c>
      <c r="H209">
        <v>1.0314E-2</v>
      </c>
      <c r="I209">
        <v>0</v>
      </c>
      <c r="J209">
        <v>0</v>
      </c>
      <c r="K209">
        <v>0</v>
      </c>
      <c r="L209">
        <v>0</v>
      </c>
      <c r="M209">
        <v>0</v>
      </c>
      <c r="N209">
        <v>0</v>
      </c>
      <c r="O209">
        <v>0</v>
      </c>
    </row>
    <row r="210" spans="1:15" x14ac:dyDescent="0.2">
      <c r="A210">
        <v>9.4669999999999997E-3</v>
      </c>
      <c r="B210">
        <v>0.110178</v>
      </c>
      <c r="C210">
        <v>0.577515</v>
      </c>
      <c r="D210">
        <v>8.7692000000000006E-2</v>
      </c>
      <c r="E210">
        <v>0.16</v>
      </c>
      <c r="F210">
        <v>3.7988000000000001E-2</v>
      </c>
      <c r="G210">
        <v>1.1479E-2</v>
      </c>
      <c r="H210">
        <v>5.6800000000000002E-3</v>
      </c>
      <c r="I210">
        <v>0</v>
      </c>
      <c r="J210">
        <v>0</v>
      </c>
      <c r="K210">
        <v>0</v>
      </c>
      <c r="L210">
        <v>0</v>
      </c>
      <c r="M210">
        <v>0</v>
      </c>
      <c r="N210">
        <v>0</v>
      </c>
      <c r="O210">
        <v>0</v>
      </c>
    </row>
    <row r="211" spans="1:15" x14ac:dyDescent="0.2">
      <c r="A211">
        <v>3.2939000000000003E-2</v>
      </c>
      <c r="B211">
        <v>0.178617</v>
      </c>
      <c r="C211">
        <v>0.14021800000000001</v>
      </c>
      <c r="D211">
        <v>0.46851700000000002</v>
      </c>
      <c r="E211">
        <v>0.10736999999999999</v>
      </c>
      <c r="F211">
        <v>3.0572999999999999E-2</v>
      </c>
      <c r="G211">
        <v>3.6579E-2</v>
      </c>
      <c r="H211">
        <v>5.1869999999999998E-3</v>
      </c>
      <c r="I211">
        <v>0</v>
      </c>
      <c r="J211">
        <v>0</v>
      </c>
      <c r="K211">
        <v>0</v>
      </c>
      <c r="L211">
        <v>0</v>
      </c>
      <c r="M211">
        <v>0</v>
      </c>
      <c r="N211">
        <v>0</v>
      </c>
      <c r="O211">
        <v>0</v>
      </c>
    </row>
    <row r="212" spans="1:15" x14ac:dyDescent="0.2">
      <c r="A212">
        <v>1.4678E-2</v>
      </c>
      <c r="B212">
        <v>7.9766000000000004E-2</v>
      </c>
      <c r="C212">
        <v>0.459233</v>
      </c>
      <c r="D212">
        <v>0.31568400000000002</v>
      </c>
      <c r="E212">
        <v>0.10843</v>
      </c>
      <c r="F212">
        <v>2.3050000000000002E-3</v>
      </c>
      <c r="G212">
        <v>1.2142E-2</v>
      </c>
      <c r="H212">
        <v>7.7609999999999997E-3</v>
      </c>
      <c r="I212">
        <v>0</v>
      </c>
      <c r="J212">
        <v>0</v>
      </c>
      <c r="K212">
        <v>0</v>
      </c>
      <c r="L212">
        <v>0</v>
      </c>
      <c r="M212">
        <v>0</v>
      </c>
      <c r="N212">
        <v>0</v>
      </c>
      <c r="O212">
        <v>0</v>
      </c>
    </row>
    <row r="213" spans="1:15" x14ac:dyDescent="0.2">
      <c r="A213">
        <v>0.15676200000000001</v>
      </c>
      <c r="B213">
        <v>0.238147</v>
      </c>
      <c r="C213">
        <v>0.37426300000000001</v>
      </c>
      <c r="D213">
        <v>0.17669899999999999</v>
      </c>
      <c r="E213">
        <v>3.4247E-2</v>
      </c>
      <c r="F213">
        <v>1.1143E-2</v>
      </c>
      <c r="G213">
        <v>5.5710000000000004E-3</v>
      </c>
      <c r="H213">
        <v>3.1679999999999998E-3</v>
      </c>
      <c r="I213">
        <v>0</v>
      </c>
      <c r="J213">
        <v>0</v>
      </c>
      <c r="K213">
        <v>0</v>
      </c>
      <c r="L213">
        <v>0</v>
      </c>
      <c r="M213">
        <v>0</v>
      </c>
      <c r="N213">
        <v>0</v>
      </c>
      <c r="O213">
        <v>0</v>
      </c>
    </row>
    <row r="214" spans="1:15" x14ac:dyDescent="0.2">
      <c r="A214">
        <v>0.165462</v>
      </c>
      <c r="B214">
        <v>4.9415000000000001E-2</v>
      </c>
      <c r="C214">
        <v>0.27603</v>
      </c>
      <c r="D214">
        <v>0.18528700000000001</v>
      </c>
      <c r="E214">
        <v>0.27468900000000002</v>
      </c>
      <c r="F214">
        <v>2.6682999999999998E-2</v>
      </c>
      <c r="G214">
        <v>1.7514999999999999E-2</v>
      </c>
      <c r="H214">
        <v>4.9189999999999998E-3</v>
      </c>
      <c r="I214">
        <v>0</v>
      </c>
      <c r="J214">
        <v>0</v>
      </c>
      <c r="K214">
        <v>0</v>
      </c>
      <c r="L214">
        <v>0</v>
      </c>
      <c r="M214">
        <v>0</v>
      </c>
      <c r="N214">
        <v>0</v>
      </c>
      <c r="O214">
        <v>0</v>
      </c>
    </row>
    <row r="215" spans="1:15" x14ac:dyDescent="0.2">
      <c r="A215">
        <v>3.1427999999999998E-2</v>
      </c>
      <c r="B215">
        <v>0.15159600000000001</v>
      </c>
      <c r="C215">
        <v>0.349715</v>
      </c>
      <c r="D215">
        <v>0.28007900000000002</v>
      </c>
      <c r="E215">
        <v>0.11734700000000001</v>
      </c>
      <c r="F215">
        <v>4.6027999999999999E-2</v>
      </c>
      <c r="G215">
        <v>1.7471E-2</v>
      </c>
      <c r="H215">
        <v>6.3350000000000004E-3</v>
      </c>
      <c r="I215">
        <v>0</v>
      </c>
      <c r="J215">
        <v>0</v>
      </c>
      <c r="K215">
        <v>0</v>
      </c>
      <c r="L215">
        <v>0</v>
      </c>
      <c r="M215">
        <v>0</v>
      </c>
      <c r="N215">
        <v>0</v>
      </c>
      <c r="O215">
        <v>0</v>
      </c>
    </row>
    <row r="216" spans="1:15" x14ac:dyDescent="0.2">
      <c r="A216">
        <v>1.1129E-2</v>
      </c>
      <c r="B216">
        <v>0.100338</v>
      </c>
      <c r="C216">
        <v>0.121466</v>
      </c>
      <c r="D216">
        <v>0.26405400000000001</v>
      </c>
      <c r="E216">
        <v>0.202123</v>
      </c>
      <c r="F216">
        <v>0.13807</v>
      </c>
      <c r="G216">
        <v>7.6822000000000001E-2</v>
      </c>
      <c r="H216">
        <v>5.5642999999999998E-2</v>
      </c>
      <c r="I216">
        <v>2.4972000000000001E-2</v>
      </c>
      <c r="J216">
        <v>4.4980000000000003E-3</v>
      </c>
      <c r="K216">
        <v>5.6599999999999999E-4</v>
      </c>
      <c r="L216">
        <v>1.4999999999999999E-4</v>
      </c>
      <c r="M216">
        <v>3.2499999999999997E-5</v>
      </c>
      <c r="N216">
        <v>1.3799999999999999E-4</v>
      </c>
      <c r="O216">
        <v>0</v>
      </c>
    </row>
    <row r="217" spans="1:15" x14ac:dyDescent="0.2">
      <c r="A217">
        <v>2.4247000000000001E-2</v>
      </c>
      <c r="B217">
        <v>0.52727900000000005</v>
      </c>
      <c r="C217">
        <v>0.19487099999999999</v>
      </c>
      <c r="D217">
        <v>5.5426999999999997E-2</v>
      </c>
      <c r="E217">
        <v>7.4453000000000005E-2</v>
      </c>
      <c r="F217">
        <v>4.0191999999999999E-2</v>
      </c>
      <c r="G217">
        <v>2.5745000000000001E-2</v>
      </c>
      <c r="H217">
        <v>2.1690000000000001E-2</v>
      </c>
      <c r="I217">
        <v>2.1288999999999999E-2</v>
      </c>
      <c r="J217">
        <v>8.9540000000000002E-3</v>
      </c>
      <c r="K217">
        <v>3.6380000000000002E-3</v>
      </c>
      <c r="L217">
        <v>9.5E-4</v>
      </c>
      <c r="M217">
        <v>9.4799999999999995E-4</v>
      </c>
      <c r="N217">
        <v>1.6899999999999999E-4</v>
      </c>
      <c r="O217">
        <v>1.47E-4</v>
      </c>
    </row>
    <row r="218" spans="1:15" x14ac:dyDescent="0.2">
      <c r="A218">
        <v>8.5430000000000002E-3</v>
      </c>
      <c r="B218">
        <v>0.150288</v>
      </c>
      <c r="C218">
        <v>0.69184299999999999</v>
      </c>
      <c r="D218">
        <v>5.3185000000000003E-2</v>
      </c>
      <c r="E218">
        <v>1.4149E-2</v>
      </c>
      <c r="F218">
        <v>2.6572999999999999E-2</v>
      </c>
      <c r="G218">
        <v>2.5451999999999999E-2</v>
      </c>
      <c r="H218">
        <v>1.3868999999999999E-2</v>
      </c>
      <c r="I218">
        <v>8.1620000000000009E-3</v>
      </c>
      <c r="J218">
        <v>5.7470000000000004E-3</v>
      </c>
      <c r="K218">
        <v>1.421E-3</v>
      </c>
      <c r="L218">
        <v>5.62E-4</v>
      </c>
      <c r="M218">
        <v>9.0400000000000002E-5</v>
      </c>
      <c r="N218">
        <v>1.16E-4</v>
      </c>
      <c r="O218">
        <v>0</v>
      </c>
    </row>
    <row r="219" spans="1:15" x14ac:dyDescent="0.2">
      <c r="A219">
        <v>2.0000000000000001E-4</v>
      </c>
      <c r="B219">
        <v>0.120162</v>
      </c>
      <c r="C219">
        <v>0.45461600000000002</v>
      </c>
      <c r="D219">
        <v>0.30598599999999998</v>
      </c>
      <c r="E219">
        <v>3.0152000000000002E-2</v>
      </c>
      <c r="F219">
        <v>1.3916E-2</v>
      </c>
      <c r="G219">
        <v>1.9279000000000001E-2</v>
      </c>
      <c r="H219">
        <v>2.2363000000000001E-2</v>
      </c>
      <c r="I219">
        <v>1.7395999999999998E-2</v>
      </c>
      <c r="J219">
        <v>8.5719999999999998E-3</v>
      </c>
      <c r="K219">
        <v>3.9560000000000003E-3</v>
      </c>
      <c r="L219">
        <v>2.7060000000000001E-3</v>
      </c>
      <c r="M219">
        <v>6.9700000000000003E-4</v>
      </c>
      <c r="N219">
        <v>0</v>
      </c>
      <c r="O219">
        <v>0</v>
      </c>
    </row>
    <row r="220" spans="1:15" x14ac:dyDescent="0.2">
      <c r="A220">
        <v>3.7671999999999997E-2</v>
      </c>
      <c r="B220">
        <v>0.247673</v>
      </c>
      <c r="C220">
        <v>0.331098</v>
      </c>
      <c r="D220">
        <v>0.23990500000000001</v>
      </c>
      <c r="E220">
        <v>8.6128999999999997E-2</v>
      </c>
      <c r="F220">
        <v>1.9158000000000001E-2</v>
      </c>
      <c r="G220">
        <v>7.0299999999999998E-3</v>
      </c>
      <c r="H220">
        <v>1.0141000000000001E-2</v>
      </c>
      <c r="I220">
        <v>8.1110000000000002E-3</v>
      </c>
      <c r="J220">
        <v>6.5139999999999998E-3</v>
      </c>
      <c r="K220">
        <v>3.3600000000000001E-3</v>
      </c>
      <c r="L220">
        <v>1.6670000000000001E-3</v>
      </c>
      <c r="M220">
        <v>1.2290000000000001E-3</v>
      </c>
      <c r="N220">
        <v>2.4499999999999999E-4</v>
      </c>
      <c r="O220">
        <v>6.7799999999999995E-5</v>
      </c>
    </row>
    <row r="221" spans="1:15" x14ac:dyDescent="0.2">
      <c r="A221">
        <v>1.2042000000000001E-2</v>
      </c>
      <c r="B221">
        <v>0.186306</v>
      </c>
      <c r="C221">
        <v>0.308118</v>
      </c>
      <c r="D221">
        <v>0.26135900000000001</v>
      </c>
      <c r="E221">
        <v>0.15068000000000001</v>
      </c>
      <c r="F221">
        <v>4.0794999999999998E-2</v>
      </c>
      <c r="G221">
        <v>1.1771999999999999E-2</v>
      </c>
      <c r="H221">
        <v>7.0980000000000001E-3</v>
      </c>
      <c r="I221">
        <v>8.0470000000000003E-3</v>
      </c>
      <c r="J221">
        <v>6.4710000000000002E-3</v>
      </c>
      <c r="K221">
        <v>4.5589999999999997E-3</v>
      </c>
      <c r="L221">
        <v>1.7409999999999999E-3</v>
      </c>
      <c r="M221">
        <v>7.2199999999999999E-4</v>
      </c>
      <c r="N221">
        <v>2.2100000000000001E-4</v>
      </c>
      <c r="O221">
        <v>6.9200000000000002E-5</v>
      </c>
    </row>
    <row r="222" spans="1:15" x14ac:dyDescent="0.2">
      <c r="A222">
        <v>3.95E-2</v>
      </c>
      <c r="B222">
        <v>0.21152499999999999</v>
      </c>
      <c r="C222">
        <v>0.28037299999999998</v>
      </c>
      <c r="D222">
        <v>0.16364799999999999</v>
      </c>
      <c r="E222">
        <v>0.152892</v>
      </c>
      <c r="F222">
        <v>8.3939E-2</v>
      </c>
      <c r="G222">
        <v>2.1921E-2</v>
      </c>
      <c r="H222">
        <v>1.0012E-2</v>
      </c>
      <c r="I222">
        <v>1.3972999999999999E-2</v>
      </c>
      <c r="J222">
        <v>1.0706E-2</v>
      </c>
      <c r="K222">
        <v>6.862E-3</v>
      </c>
      <c r="L222">
        <v>3.0690000000000001E-3</v>
      </c>
      <c r="M222">
        <v>1.1529999999999999E-3</v>
      </c>
      <c r="N222">
        <v>2.0599999999999999E-4</v>
      </c>
      <c r="O222">
        <v>2.22E-4</v>
      </c>
    </row>
    <row r="223" spans="1:15" x14ac:dyDescent="0.2">
      <c r="A223">
        <v>4.0340000000000003E-3</v>
      </c>
      <c r="B223">
        <v>0.19093199999999999</v>
      </c>
      <c r="C223">
        <v>0.33992600000000001</v>
      </c>
      <c r="D223">
        <v>0.183116</v>
      </c>
      <c r="E223">
        <v>0.10412399999999999</v>
      </c>
      <c r="F223">
        <v>8.7117E-2</v>
      </c>
      <c r="G223">
        <v>3.4571999999999999E-2</v>
      </c>
      <c r="H223">
        <v>1.5525000000000001E-2</v>
      </c>
      <c r="I223">
        <v>8.9809999999999994E-3</v>
      </c>
      <c r="J223">
        <v>9.8770000000000004E-3</v>
      </c>
      <c r="K223">
        <v>1.0508E-2</v>
      </c>
      <c r="L223">
        <v>6.561E-3</v>
      </c>
      <c r="M223">
        <v>3.192E-3</v>
      </c>
      <c r="N223">
        <v>1.036E-3</v>
      </c>
      <c r="O223">
        <v>5.0000000000000001E-4</v>
      </c>
    </row>
    <row r="224" spans="1:15" x14ac:dyDescent="0.2">
      <c r="A224">
        <v>2.6200000000000003E-4</v>
      </c>
      <c r="B224">
        <v>3.3202000000000002E-2</v>
      </c>
      <c r="C224">
        <v>0.46571299999999999</v>
      </c>
      <c r="D224">
        <v>0.29335</v>
      </c>
      <c r="E224">
        <v>0.10438699999999999</v>
      </c>
      <c r="F224">
        <v>4.7308000000000003E-2</v>
      </c>
      <c r="G224">
        <v>2.3758000000000001E-2</v>
      </c>
      <c r="H224">
        <v>1.3610000000000001E-2</v>
      </c>
      <c r="I224">
        <v>7.4029999999999999E-3</v>
      </c>
      <c r="J224">
        <v>4.2989999999999999E-3</v>
      </c>
      <c r="K224">
        <v>3.4529999999999999E-3</v>
      </c>
      <c r="L224">
        <v>2.1150000000000001E-3</v>
      </c>
      <c r="M224">
        <v>6.9899999999999997E-4</v>
      </c>
      <c r="N224">
        <v>2.9E-4</v>
      </c>
      <c r="O224">
        <v>1.5200000000000001E-4</v>
      </c>
    </row>
    <row r="225" spans="1:15" x14ac:dyDescent="0.2">
      <c r="A225">
        <v>2.3700000000000001E-3</v>
      </c>
      <c r="B225">
        <v>1.2649000000000001E-2</v>
      </c>
      <c r="C225">
        <v>8.0549999999999997E-2</v>
      </c>
      <c r="D225">
        <v>0.58499100000000004</v>
      </c>
      <c r="E225">
        <v>0.21074300000000001</v>
      </c>
      <c r="F225">
        <v>5.1754000000000001E-2</v>
      </c>
      <c r="G225">
        <v>1.7953E-2</v>
      </c>
      <c r="H225">
        <v>1.7972999999999999E-2</v>
      </c>
      <c r="I225">
        <v>1.0743000000000001E-2</v>
      </c>
      <c r="J225">
        <v>4.5310000000000003E-3</v>
      </c>
      <c r="K225">
        <v>2.7039999999999998E-3</v>
      </c>
      <c r="L225">
        <v>1.5870000000000001E-3</v>
      </c>
      <c r="M225">
        <v>9.2800000000000001E-4</v>
      </c>
      <c r="N225">
        <v>3.4400000000000001E-4</v>
      </c>
      <c r="O225">
        <v>1.8000000000000001E-4</v>
      </c>
    </row>
    <row r="226" spans="1:15" x14ac:dyDescent="0.2">
      <c r="A226">
        <v>2.9060000000000002E-3</v>
      </c>
      <c r="B226">
        <v>6.7964999999999998E-2</v>
      </c>
      <c r="C226">
        <v>9.0430999999999997E-2</v>
      </c>
      <c r="D226">
        <v>0.17937800000000001</v>
      </c>
      <c r="E226">
        <v>0.46820899999999999</v>
      </c>
      <c r="F226">
        <v>0.12509300000000001</v>
      </c>
      <c r="G226">
        <v>2.3737999999999999E-2</v>
      </c>
      <c r="H226">
        <v>1.4167000000000001E-2</v>
      </c>
      <c r="I226">
        <v>1.1353E-2</v>
      </c>
      <c r="J226">
        <v>6.3619999999999996E-3</v>
      </c>
      <c r="K226">
        <v>4.3559999999999996E-3</v>
      </c>
      <c r="L226">
        <v>2.8080000000000002E-3</v>
      </c>
      <c r="M226">
        <v>2.0170000000000001E-3</v>
      </c>
      <c r="N226">
        <v>9.9700000000000006E-4</v>
      </c>
      <c r="O226">
        <v>2.1800000000000001E-4</v>
      </c>
    </row>
    <row r="227" spans="1:15" x14ac:dyDescent="0.2">
      <c r="A227">
        <v>1.0820000000000001E-3</v>
      </c>
      <c r="B227">
        <v>2.3623000000000002E-2</v>
      </c>
      <c r="C227">
        <v>4.5693999999999999E-2</v>
      </c>
      <c r="D227">
        <v>0.22206999999999999</v>
      </c>
      <c r="E227">
        <v>0.25354900000000002</v>
      </c>
      <c r="F227">
        <v>0.33724700000000002</v>
      </c>
      <c r="G227">
        <v>6.9013000000000005E-2</v>
      </c>
      <c r="H227">
        <v>1.8339999999999999E-2</v>
      </c>
      <c r="I227">
        <v>1.2938E-2</v>
      </c>
      <c r="J227">
        <v>8.0669999999999995E-3</v>
      </c>
      <c r="K227">
        <v>3.6600000000000001E-3</v>
      </c>
      <c r="L227">
        <v>1.299E-3</v>
      </c>
      <c r="M227">
        <v>1.5100000000000001E-3</v>
      </c>
      <c r="N227">
        <v>8.61E-4</v>
      </c>
      <c r="O227">
        <v>1.0460000000000001E-3</v>
      </c>
    </row>
    <row r="228" spans="1:15" x14ac:dyDescent="0.2">
      <c r="A228">
        <v>1.377E-3</v>
      </c>
      <c r="B228">
        <v>2.8742E-2</v>
      </c>
      <c r="C228">
        <v>0.198541</v>
      </c>
      <c r="D228">
        <v>6.3409999999999994E-2</v>
      </c>
      <c r="E228">
        <v>0.190469</v>
      </c>
      <c r="F228">
        <v>0.16742599999999999</v>
      </c>
      <c r="G228">
        <v>0.23080999999999999</v>
      </c>
      <c r="H228">
        <v>5.8574000000000001E-2</v>
      </c>
      <c r="I228">
        <v>1.9047999999999999E-2</v>
      </c>
      <c r="J228">
        <v>1.3448999999999999E-2</v>
      </c>
      <c r="K228">
        <v>1.2929E-2</v>
      </c>
      <c r="L228">
        <v>5.5529999999999998E-3</v>
      </c>
      <c r="M228">
        <v>4.9090000000000002E-3</v>
      </c>
      <c r="N228">
        <v>2.088E-3</v>
      </c>
      <c r="O228">
        <v>2.6749999999999999E-3</v>
      </c>
    </row>
    <row r="229" spans="1:15" x14ac:dyDescent="0.2">
      <c r="A229">
        <v>1.5139999999999999E-3</v>
      </c>
      <c r="B229">
        <v>4.2153999999999997E-2</v>
      </c>
      <c r="C229">
        <v>4.5221999999999998E-2</v>
      </c>
      <c r="D229">
        <v>0.36684699999999998</v>
      </c>
      <c r="E229">
        <v>0.10492600000000001</v>
      </c>
      <c r="F229">
        <v>0.18529300000000001</v>
      </c>
      <c r="G229">
        <v>0.108734</v>
      </c>
      <c r="H229">
        <v>0.105004</v>
      </c>
      <c r="I229">
        <v>2.9249000000000001E-2</v>
      </c>
      <c r="J229">
        <v>7.4400000000000004E-3</v>
      </c>
      <c r="K229">
        <v>1.637E-3</v>
      </c>
      <c r="L229">
        <v>1.2639999999999999E-3</v>
      </c>
      <c r="M229">
        <v>1.3200000000000001E-4</v>
      </c>
      <c r="N229">
        <v>5.8299999999999997E-4</v>
      </c>
      <c r="O229">
        <v>0</v>
      </c>
    </row>
    <row r="230" spans="1:15" x14ac:dyDescent="0.2">
      <c r="A230">
        <v>0</v>
      </c>
      <c r="B230">
        <v>1.4352999999999999E-2</v>
      </c>
      <c r="C230">
        <v>8.0902000000000002E-2</v>
      </c>
      <c r="D230">
        <v>5.6279000000000003E-2</v>
      </c>
      <c r="E230">
        <v>0.29985800000000001</v>
      </c>
      <c r="F230">
        <v>0.100715</v>
      </c>
      <c r="G230">
        <v>8.8820999999999997E-2</v>
      </c>
      <c r="H230">
        <v>6.5741999999999995E-2</v>
      </c>
      <c r="I230">
        <v>0.179309</v>
      </c>
      <c r="J230">
        <v>3.9206999999999999E-2</v>
      </c>
      <c r="K230">
        <v>2.8063999999999999E-2</v>
      </c>
      <c r="L230">
        <v>1.5557E-2</v>
      </c>
      <c r="M230">
        <v>2.0974E-2</v>
      </c>
      <c r="N230">
        <v>4.4209999999999996E-3</v>
      </c>
      <c r="O230">
        <v>5.7990000000000003E-3</v>
      </c>
    </row>
    <row r="231" spans="1:15" x14ac:dyDescent="0.2">
      <c r="A231">
        <v>0</v>
      </c>
      <c r="B231">
        <v>4.8669999999999998E-3</v>
      </c>
      <c r="C231">
        <v>0.20707800000000001</v>
      </c>
      <c r="D231">
        <v>0.19230800000000001</v>
      </c>
      <c r="E231">
        <v>0.115004</v>
      </c>
      <c r="F231">
        <v>0.24830199999999999</v>
      </c>
      <c r="G231">
        <v>0.10252699999999999</v>
      </c>
      <c r="H231">
        <v>4.7865999999999999E-2</v>
      </c>
      <c r="I231">
        <v>1.7871999999999999E-2</v>
      </c>
      <c r="J231">
        <v>4.4149000000000001E-2</v>
      </c>
      <c r="K231">
        <v>8.3239999999999998E-3</v>
      </c>
      <c r="L231">
        <v>4.6579999999999998E-3</v>
      </c>
      <c r="M231">
        <v>1.7149999999999999E-3</v>
      </c>
      <c r="N231">
        <v>2.506E-3</v>
      </c>
      <c r="O231">
        <v>2.8249999999999998E-3</v>
      </c>
    </row>
    <row r="232" spans="1:15" x14ac:dyDescent="0.2">
      <c r="A232">
        <v>0</v>
      </c>
      <c r="B232">
        <v>2.6710000000000002E-3</v>
      </c>
      <c r="C232">
        <v>3.0904000000000001E-2</v>
      </c>
      <c r="D232">
        <v>8.3527000000000004E-2</v>
      </c>
      <c r="E232">
        <v>0.25288300000000002</v>
      </c>
      <c r="F232">
        <v>9.3473000000000001E-2</v>
      </c>
      <c r="G232">
        <v>0.32077600000000001</v>
      </c>
      <c r="H232">
        <v>5.3997000000000003E-2</v>
      </c>
      <c r="I232">
        <v>5.8166000000000002E-2</v>
      </c>
      <c r="J232">
        <v>1.8176000000000001E-2</v>
      </c>
      <c r="K232">
        <v>7.2330000000000005E-2</v>
      </c>
      <c r="L232">
        <v>6.1019999999999998E-3</v>
      </c>
      <c r="M232">
        <v>2.235E-3</v>
      </c>
      <c r="N232">
        <v>1.436E-3</v>
      </c>
      <c r="O232">
        <v>3.3249999999999998E-3</v>
      </c>
    </row>
    <row r="233" spans="1:15" x14ac:dyDescent="0.2">
      <c r="A233">
        <v>7.5199999999999996E-4</v>
      </c>
      <c r="B233">
        <v>1.8901000000000001E-2</v>
      </c>
      <c r="C233">
        <v>3.2625000000000001E-2</v>
      </c>
      <c r="D233">
        <v>0.12570799999999999</v>
      </c>
      <c r="E233">
        <v>0.114964</v>
      </c>
      <c r="F233">
        <v>0.27363300000000002</v>
      </c>
      <c r="G233">
        <v>7.4005000000000001E-2</v>
      </c>
      <c r="H233">
        <v>0.21101500000000001</v>
      </c>
      <c r="I233">
        <v>3.7631999999999999E-2</v>
      </c>
      <c r="J233">
        <v>5.8368000000000003E-2</v>
      </c>
      <c r="K233">
        <v>5.1780000000000003E-3</v>
      </c>
      <c r="L233">
        <v>3.4402000000000002E-2</v>
      </c>
      <c r="M233">
        <v>4.8650000000000004E-3</v>
      </c>
      <c r="N233">
        <v>2.6770000000000001E-3</v>
      </c>
      <c r="O233">
        <v>5.2750000000000002E-3</v>
      </c>
    </row>
    <row r="234" spans="1:15" x14ac:dyDescent="0.2">
      <c r="A234">
        <v>961.94710410000005</v>
      </c>
      <c r="B234">
        <v>111618.5583</v>
      </c>
      <c r="C234">
        <v>43471.399100000002</v>
      </c>
      <c r="D234">
        <v>85059.543600000005</v>
      </c>
      <c r="E234">
        <v>156089.07440000001</v>
      </c>
      <c r="F234">
        <v>184518.81200000001</v>
      </c>
      <c r="G234">
        <v>500529.27500000002</v>
      </c>
      <c r="H234">
        <v>76163.120999999999</v>
      </c>
      <c r="I234">
        <v>289237.82199999999</v>
      </c>
      <c r="J234">
        <v>27988.148690000002</v>
      </c>
      <c r="K234">
        <v>139517.94029999999</v>
      </c>
      <c r="L234">
        <v>18327.78327</v>
      </c>
      <c r="M234">
        <v>93622.850900000005</v>
      </c>
      <c r="N234">
        <v>23296.670409999999</v>
      </c>
      <c r="O234">
        <v>53556.361199999999</v>
      </c>
    </row>
    <row r="235" spans="1:15" x14ac:dyDescent="0.2">
      <c r="A235">
        <v>1099.8528100000001</v>
      </c>
      <c r="B235">
        <v>84584.792600000001</v>
      </c>
      <c r="C235">
        <v>675091.478</v>
      </c>
      <c r="D235">
        <v>129937.86960000001</v>
      </c>
      <c r="E235">
        <v>79511.266300000003</v>
      </c>
      <c r="F235">
        <v>108563.2291</v>
      </c>
      <c r="G235">
        <v>133627.89309999999</v>
      </c>
      <c r="H235">
        <v>253377.19810000001</v>
      </c>
      <c r="I235">
        <v>102188.1272</v>
      </c>
      <c r="J235">
        <v>146854.71609999999</v>
      </c>
      <c r="K235">
        <v>57897.071000000004</v>
      </c>
      <c r="L235">
        <v>46297.903910000001</v>
      </c>
      <c r="M235">
        <v>13422.353450000001</v>
      </c>
      <c r="N235">
        <v>43780.926809999997</v>
      </c>
      <c r="O235">
        <v>34448.307800000002</v>
      </c>
    </row>
    <row r="236" spans="1:15" x14ac:dyDescent="0.2">
      <c r="A236">
        <v>66.021388200000004</v>
      </c>
      <c r="B236">
        <v>7418.8565280000003</v>
      </c>
      <c r="C236">
        <v>260252.80900000001</v>
      </c>
      <c r="D236">
        <v>1145526.398</v>
      </c>
      <c r="E236">
        <v>102874.0672</v>
      </c>
      <c r="F236">
        <v>66096.329400000002</v>
      </c>
      <c r="G236">
        <v>66302.082899999994</v>
      </c>
      <c r="H236">
        <v>56410.945399999997</v>
      </c>
      <c r="I236">
        <v>86091.787400000001</v>
      </c>
      <c r="J236">
        <v>21139.141370000001</v>
      </c>
      <c r="K236">
        <v>32649.831989999999</v>
      </c>
      <c r="L236">
        <v>12345.750019999999</v>
      </c>
      <c r="M236">
        <v>13456.07907</v>
      </c>
      <c r="N236">
        <v>6755.0585250000004</v>
      </c>
      <c r="O236">
        <v>16098.71205</v>
      </c>
    </row>
    <row r="237" spans="1:15" x14ac:dyDescent="0.2">
      <c r="A237">
        <v>747.89365199999997</v>
      </c>
      <c r="B237">
        <v>30153.403849999999</v>
      </c>
      <c r="C237">
        <v>55091.1247</v>
      </c>
      <c r="D237">
        <v>360794.58899999998</v>
      </c>
      <c r="E237">
        <v>1058595.0819999999</v>
      </c>
      <c r="F237">
        <v>175519.21410000001</v>
      </c>
      <c r="G237">
        <v>53476.9997</v>
      </c>
      <c r="H237">
        <v>19085.661759999999</v>
      </c>
      <c r="I237">
        <v>13127.18167</v>
      </c>
      <c r="J237">
        <v>20142.310270000002</v>
      </c>
      <c r="K237">
        <v>9706.2983039999999</v>
      </c>
      <c r="L237">
        <v>9372.0143599999992</v>
      </c>
      <c r="M237">
        <v>7547.7257399999999</v>
      </c>
      <c r="N237">
        <v>3961.0423129999999</v>
      </c>
      <c r="O237">
        <v>8288.7951560000001</v>
      </c>
    </row>
    <row r="238" spans="1:15" x14ac:dyDescent="0.2">
      <c r="A238">
        <v>0</v>
      </c>
      <c r="B238">
        <v>513.91798630000005</v>
      </c>
      <c r="C238">
        <v>72826.367299999998</v>
      </c>
      <c r="D238">
        <v>146636.33410000001</v>
      </c>
      <c r="E238">
        <v>395071.27</v>
      </c>
      <c r="F238">
        <v>760344.15300000005</v>
      </c>
      <c r="G238">
        <v>136140.41959999999</v>
      </c>
      <c r="H238">
        <v>34543.434150000001</v>
      </c>
      <c r="I238">
        <v>12260.48587</v>
      </c>
      <c r="J238">
        <v>7493.5222819999999</v>
      </c>
      <c r="K238">
        <v>17459.875169999999</v>
      </c>
      <c r="L238">
        <v>4998.4062080000003</v>
      </c>
      <c r="M238">
        <v>5807.4557649999997</v>
      </c>
      <c r="N238">
        <v>1655.5817790000001</v>
      </c>
      <c r="O238">
        <v>8911.1975519999996</v>
      </c>
    </row>
    <row r="239" spans="1:15" x14ac:dyDescent="0.2">
      <c r="A239">
        <v>0</v>
      </c>
      <c r="B239">
        <v>21638.913349999999</v>
      </c>
      <c r="C239">
        <v>48029.72262</v>
      </c>
      <c r="D239">
        <v>71707.218699999998</v>
      </c>
      <c r="E239">
        <v>160814.47039999999</v>
      </c>
      <c r="F239">
        <v>361545.239</v>
      </c>
      <c r="G239">
        <v>481247.19900000002</v>
      </c>
      <c r="H239">
        <v>184452.50200000001</v>
      </c>
      <c r="I239">
        <v>33603.529580000002</v>
      </c>
      <c r="J239">
        <v>13434.92023</v>
      </c>
      <c r="K239">
        <v>7939.7256159999997</v>
      </c>
      <c r="L239">
        <v>8805.0083340000001</v>
      </c>
      <c r="M239">
        <v>4330.5731219999998</v>
      </c>
      <c r="N239">
        <v>5829.1313630000004</v>
      </c>
      <c r="O239">
        <v>5298.5962280000003</v>
      </c>
    </row>
    <row r="240" spans="1:15" x14ac:dyDescent="0.2">
      <c r="A240">
        <v>1028.378637</v>
      </c>
      <c r="B240">
        <v>77611.102650000001</v>
      </c>
      <c r="C240">
        <v>40288.130230000002</v>
      </c>
      <c r="D240">
        <v>118864.6792</v>
      </c>
      <c r="E240">
        <v>454667.39500000002</v>
      </c>
      <c r="F240">
        <v>288671.07299999997</v>
      </c>
      <c r="G240">
        <v>256121.26699999999</v>
      </c>
      <c r="H240">
        <v>198356.58590000001</v>
      </c>
      <c r="I240">
        <v>63955.623070000001</v>
      </c>
      <c r="J240">
        <v>13321.498020000001</v>
      </c>
      <c r="K240">
        <v>5963.8749779999998</v>
      </c>
      <c r="L240">
        <v>4641.4892879999998</v>
      </c>
      <c r="M240">
        <v>2891.3032389999998</v>
      </c>
      <c r="N240">
        <v>4776.4236689999998</v>
      </c>
      <c r="O240">
        <v>9107.841289</v>
      </c>
    </row>
    <row r="241" spans="1:15" x14ac:dyDescent="0.2">
      <c r="A241">
        <v>287.80919599999999</v>
      </c>
      <c r="B241">
        <v>41976.380340000003</v>
      </c>
      <c r="C241">
        <v>84446.906900000002</v>
      </c>
      <c r="D241">
        <v>70424.204700000002</v>
      </c>
      <c r="E241">
        <v>153198.98730000001</v>
      </c>
      <c r="F241">
        <v>702101.39500000002</v>
      </c>
      <c r="G241">
        <v>199368.85699999999</v>
      </c>
      <c r="H241">
        <v>131594.4706</v>
      </c>
      <c r="I241">
        <v>110635.23119999999</v>
      </c>
      <c r="J241">
        <v>27766.080720000002</v>
      </c>
      <c r="K241">
        <v>6138.8368549999996</v>
      </c>
      <c r="L241">
        <v>5559.045803</v>
      </c>
      <c r="M241">
        <v>2551.8536650000001</v>
      </c>
      <c r="N241">
        <v>2499.155694</v>
      </c>
      <c r="O241">
        <v>4480.1357799999996</v>
      </c>
    </row>
    <row r="242" spans="1:15" x14ac:dyDescent="0.2">
      <c r="A242">
        <v>232.15520699999999</v>
      </c>
      <c r="B242">
        <v>10335.74813</v>
      </c>
      <c r="C242">
        <v>298418.049</v>
      </c>
      <c r="D242">
        <v>224808.46900000001</v>
      </c>
      <c r="E242">
        <v>102933.66559999999</v>
      </c>
      <c r="F242">
        <v>156862.69</v>
      </c>
      <c r="G242">
        <v>469265.25599999999</v>
      </c>
      <c r="H242">
        <v>130865.90889999999</v>
      </c>
      <c r="I242">
        <v>56445.650800000003</v>
      </c>
      <c r="J242">
        <v>33147.415399999998</v>
      </c>
      <c r="K242">
        <v>3956.6371600000002</v>
      </c>
      <c r="L242">
        <v>2181.584773</v>
      </c>
      <c r="M242">
        <v>855.98967370000003</v>
      </c>
      <c r="N242">
        <v>476.99982299999999</v>
      </c>
      <c r="O242">
        <v>2059.4016409999999</v>
      </c>
    </row>
    <row r="243" spans="1:15" x14ac:dyDescent="0.2">
      <c r="A243">
        <v>0</v>
      </c>
      <c r="B243">
        <v>16059.72731</v>
      </c>
      <c r="C243">
        <v>82361.482999999993</v>
      </c>
      <c r="D243">
        <v>428073.34700000001</v>
      </c>
      <c r="E243">
        <v>346165.68400000001</v>
      </c>
      <c r="F243">
        <v>106576.03230000001</v>
      </c>
      <c r="G243">
        <v>168216.73</v>
      </c>
      <c r="H243">
        <v>357357.42099999997</v>
      </c>
      <c r="I243">
        <v>84828.163499999995</v>
      </c>
      <c r="J243">
        <v>29693.388200000001</v>
      </c>
      <c r="K243">
        <v>22021.642319999999</v>
      </c>
      <c r="L243">
        <v>5240.3648839999996</v>
      </c>
      <c r="M243">
        <v>1416.733401</v>
      </c>
      <c r="N243">
        <v>608.05761199999995</v>
      </c>
      <c r="O243">
        <v>951.98711400000002</v>
      </c>
    </row>
    <row r="244" spans="1:15" x14ac:dyDescent="0.2">
      <c r="A244">
        <v>0</v>
      </c>
      <c r="B244">
        <v>3210.1916299999998</v>
      </c>
      <c r="C244">
        <v>42739.398399999998</v>
      </c>
      <c r="D244">
        <v>154340.122</v>
      </c>
      <c r="E244">
        <v>580465.44499999995</v>
      </c>
      <c r="F244">
        <v>414635.21500000003</v>
      </c>
      <c r="G244">
        <v>137048.818</v>
      </c>
      <c r="H244">
        <v>128873.5441</v>
      </c>
      <c r="I244">
        <v>157072.027</v>
      </c>
      <c r="J244">
        <v>57797.8681</v>
      </c>
      <c r="K244">
        <v>33609.301599999999</v>
      </c>
      <c r="L244">
        <v>16189.65813</v>
      </c>
      <c r="M244">
        <v>5480.3057319999998</v>
      </c>
      <c r="N244">
        <v>3088.136074</v>
      </c>
      <c r="O244">
        <v>1946.5224310000001</v>
      </c>
    </row>
    <row r="245" spans="1:15" x14ac:dyDescent="0.2">
      <c r="A245">
        <v>772.23282900000004</v>
      </c>
      <c r="B245">
        <v>46996.577899999997</v>
      </c>
      <c r="C245">
        <v>107938.3769</v>
      </c>
      <c r="D245">
        <v>217604.15</v>
      </c>
      <c r="E245">
        <v>287265.33299999998</v>
      </c>
      <c r="F245">
        <v>605725.76800000004</v>
      </c>
      <c r="G245">
        <v>267687.16100000002</v>
      </c>
      <c r="H245">
        <v>98365.051300000006</v>
      </c>
      <c r="I245">
        <v>85798.665900000007</v>
      </c>
      <c r="J245">
        <v>93829.629799999995</v>
      </c>
      <c r="K245">
        <v>34573.591399999998</v>
      </c>
      <c r="L245">
        <v>14387.52471</v>
      </c>
      <c r="M245">
        <v>11031.351699999999</v>
      </c>
      <c r="N245">
        <v>2952.5591209999998</v>
      </c>
      <c r="O245">
        <v>1813.278131</v>
      </c>
    </row>
    <row r="246" spans="1:15" x14ac:dyDescent="0.2">
      <c r="A246">
        <v>0</v>
      </c>
      <c r="B246">
        <v>14520.26993</v>
      </c>
      <c r="C246">
        <v>411355.62300000002</v>
      </c>
      <c r="D246">
        <v>323798.48599999998</v>
      </c>
      <c r="E246">
        <v>360044.66800000001</v>
      </c>
      <c r="F246">
        <v>301172.73300000001</v>
      </c>
      <c r="G246">
        <v>337260.16</v>
      </c>
      <c r="H246">
        <v>158394.55600000001</v>
      </c>
      <c r="I246">
        <v>49369.911200000002</v>
      </c>
      <c r="J246">
        <v>39240.136599999998</v>
      </c>
      <c r="K246">
        <v>35673.871099999997</v>
      </c>
      <c r="L246">
        <v>22912.768029999999</v>
      </c>
      <c r="M246">
        <v>6612.3774100000001</v>
      </c>
      <c r="N246">
        <v>3641.3360929999999</v>
      </c>
      <c r="O246">
        <v>3181.6738180000002</v>
      </c>
    </row>
    <row r="247" spans="1:15" x14ac:dyDescent="0.2">
      <c r="A247">
        <v>0</v>
      </c>
      <c r="B247">
        <v>538.06971580000004</v>
      </c>
      <c r="C247">
        <v>89511.1924</v>
      </c>
      <c r="D247">
        <v>830288.54</v>
      </c>
      <c r="E247">
        <v>480166.755</v>
      </c>
      <c r="F247">
        <v>236578.17199999999</v>
      </c>
      <c r="G247">
        <v>169111.33900000001</v>
      </c>
      <c r="H247">
        <v>156124.49</v>
      </c>
      <c r="I247">
        <v>64895.669900000001</v>
      </c>
      <c r="J247">
        <v>16101.51259</v>
      </c>
      <c r="K247">
        <v>17042.816200000001</v>
      </c>
      <c r="L247">
        <v>25246.428820000001</v>
      </c>
      <c r="M247">
        <v>9437.9576350000007</v>
      </c>
      <c r="N247">
        <v>5912.1913610000001</v>
      </c>
      <c r="O247">
        <v>6865.4856749999999</v>
      </c>
    </row>
    <row r="248" spans="1:15" x14ac:dyDescent="0.2">
      <c r="A248">
        <v>0</v>
      </c>
      <c r="B248">
        <v>4790.9620050000003</v>
      </c>
      <c r="C248">
        <v>52097.869400000003</v>
      </c>
      <c r="D248">
        <v>392459.527</v>
      </c>
      <c r="E248">
        <v>862931.97</v>
      </c>
      <c r="F248">
        <v>484147.50300000003</v>
      </c>
      <c r="G248">
        <v>159304.57279999999</v>
      </c>
      <c r="H248">
        <v>68014.676500000001</v>
      </c>
      <c r="I248">
        <v>66555.640799999994</v>
      </c>
      <c r="J248">
        <v>30070.457200000001</v>
      </c>
      <c r="K248">
        <v>9988.0773399999998</v>
      </c>
      <c r="L248">
        <v>9133.0954079999992</v>
      </c>
      <c r="M248">
        <v>3190.5438210000002</v>
      </c>
      <c r="N248">
        <v>2480.0766239999998</v>
      </c>
      <c r="O248">
        <v>3404.1279720000002</v>
      </c>
    </row>
    <row r="249" spans="1:15" x14ac:dyDescent="0.2">
      <c r="A249">
        <v>0</v>
      </c>
      <c r="B249">
        <v>9883.5303100000001</v>
      </c>
      <c r="C249">
        <v>84090.577099999995</v>
      </c>
      <c r="D249">
        <v>295468.19400000002</v>
      </c>
      <c r="E249">
        <v>619009.89800000004</v>
      </c>
      <c r="F249">
        <v>597021.13399999996</v>
      </c>
      <c r="G249">
        <v>278308.99099999998</v>
      </c>
      <c r="H249">
        <v>107234.2268</v>
      </c>
      <c r="I249">
        <v>47969.024599999997</v>
      </c>
      <c r="J249">
        <v>38327.597500000003</v>
      </c>
      <c r="K249">
        <v>17682.172040000001</v>
      </c>
      <c r="L249">
        <v>8232.8895979999998</v>
      </c>
      <c r="M249">
        <v>8302.7885420000002</v>
      </c>
      <c r="N249">
        <v>5315.3554050000002</v>
      </c>
      <c r="O249">
        <v>7209.4224190000004</v>
      </c>
    </row>
    <row r="250" spans="1:15" x14ac:dyDescent="0.2">
      <c r="A250">
        <v>1657.65417</v>
      </c>
      <c r="B250">
        <v>15719.0141</v>
      </c>
      <c r="C250">
        <v>59123.715900000003</v>
      </c>
      <c r="D250">
        <v>139024.80110000001</v>
      </c>
      <c r="E250">
        <v>389022.24900000001</v>
      </c>
      <c r="F250">
        <v>511477.44400000002</v>
      </c>
      <c r="G250">
        <v>300480.92200000002</v>
      </c>
      <c r="H250">
        <v>136947.23809999999</v>
      </c>
      <c r="I250">
        <v>47559.076399999998</v>
      </c>
      <c r="J250">
        <v>27484.3406</v>
      </c>
      <c r="K250">
        <v>21847.872240000001</v>
      </c>
      <c r="L250">
        <v>8909.3995900000009</v>
      </c>
      <c r="M250">
        <v>6524.109195</v>
      </c>
      <c r="N250">
        <v>3401.786779</v>
      </c>
      <c r="O250">
        <v>10780.54722</v>
      </c>
    </row>
    <row r="251" spans="1:15" x14ac:dyDescent="0.2">
      <c r="A251">
        <v>0</v>
      </c>
      <c r="B251">
        <v>25164.477999999999</v>
      </c>
      <c r="C251">
        <v>58760.848400000003</v>
      </c>
      <c r="D251">
        <v>79141.547900000005</v>
      </c>
      <c r="E251">
        <v>146859.69099999999</v>
      </c>
      <c r="F251">
        <v>309364.39799999999</v>
      </c>
      <c r="G251">
        <v>242047.10399999999</v>
      </c>
      <c r="H251">
        <v>148584.826</v>
      </c>
      <c r="I251">
        <v>84191.663199999995</v>
      </c>
      <c r="J251">
        <v>22155.4401</v>
      </c>
      <c r="K251">
        <v>17548.43217</v>
      </c>
      <c r="L251">
        <v>14420.776809999999</v>
      </c>
      <c r="M251">
        <v>8624.3413600000003</v>
      </c>
      <c r="N251">
        <v>2766.660316</v>
      </c>
      <c r="O251">
        <v>12641.796560000001</v>
      </c>
    </row>
    <row r="252" spans="1:15" x14ac:dyDescent="0.2">
      <c r="A252">
        <v>0</v>
      </c>
      <c r="B252">
        <v>1314.4983950000001</v>
      </c>
      <c r="C252">
        <v>175347.64300000001</v>
      </c>
      <c r="D252">
        <v>200379.20800000001</v>
      </c>
      <c r="E252">
        <v>82471.420299999998</v>
      </c>
      <c r="F252">
        <v>114329.8441</v>
      </c>
      <c r="G252">
        <v>124190.56540000001</v>
      </c>
      <c r="H252">
        <v>104217.1651</v>
      </c>
      <c r="I252">
        <v>66572.547600000005</v>
      </c>
      <c r="J252">
        <v>40175.6947</v>
      </c>
      <c r="K252">
        <v>23511.255980000002</v>
      </c>
      <c r="L252">
        <v>7608.2133670000003</v>
      </c>
      <c r="M252">
        <v>7458.6743379999998</v>
      </c>
      <c r="N252">
        <v>2706.7472480000001</v>
      </c>
      <c r="O252">
        <v>8720.9530290000002</v>
      </c>
    </row>
    <row r="253" spans="1:15" x14ac:dyDescent="0.2">
      <c r="A253">
        <v>1078.509421</v>
      </c>
      <c r="B253">
        <v>26428.943070000001</v>
      </c>
      <c r="C253">
        <v>31817.169440000001</v>
      </c>
      <c r="D253">
        <v>558813.99699999997</v>
      </c>
      <c r="E253">
        <v>220263.01500000001</v>
      </c>
      <c r="F253">
        <v>54684.167399999998</v>
      </c>
      <c r="G253">
        <v>42964.398099999999</v>
      </c>
      <c r="H253">
        <v>57622.763400000003</v>
      </c>
      <c r="I253">
        <v>51727.3776</v>
      </c>
      <c r="J253">
        <v>31791.267500000002</v>
      </c>
      <c r="K253">
        <v>15948.921770000001</v>
      </c>
      <c r="L253">
        <v>8623.5509600000005</v>
      </c>
      <c r="M253">
        <v>5953.9270770000003</v>
      </c>
      <c r="N253">
        <v>4370.8710620000002</v>
      </c>
      <c r="O253">
        <v>5098.7530500000003</v>
      </c>
    </row>
    <row r="254" spans="1:15" x14ac:dyDescent="0.2">
      <c r="A254">
        <v>381.19999799999999</v>
      </c>
      <c r="B254">
        <v>10338.56984</v>
      </c>
      <c r="C254">
        <v>193133.85</v>
      </c>
      <c r="D254">
        <v>115252.44010000001</v>
      </c>
      <c r="E254">
        <v>808358.777</v>
      </c>
      <c r="F254">
        <v>284415.935</v>
      </c>
      <c r="G254">
        <v>63501.076999999997</v>
      </c>
      <c r="H254">
        <v>37475.159399999997</v>
      </c>
      <c r="I254">
        <v>38456.908100000001</v>
      </c>
      <c r="J254">
        <v>41370.624799999998</v>
      </c>
      <c r="K254">
        <v>25778.84287</v>
      </c>
      <c r="L254">
        <v>12452.66697</v>
      </c>
      <c r="M254">
        <v>1756.4840529999999</v>
      </c>
      <c r="N254">
        <v>3971.5638720000002</v>
      </c>
      <c r="O254">
        <v>4324.0444310000003</v>
      </c>
    </row>
    <row r="255" spans="1:15" x14ac:dyDescent="0.2">
      <c r="A255">
        <v>0</v>
      </c>
      <c r="B255">
        <v>22243.438539999999</v>
      </c>
      <c r="C255">
        <v>116627.6266</v>
      </c>
      <c r="D255">
        <v>945755.45700000005</v>
      </c>
      <c r="E255">
        <v>172612.98499999999</v>
      </c>
      <c r="F255">
        <v>432128.28</v>
      </c>
      <c r="G255">
        <v>141412.3792</v>
      </c>
      <c r="H255">
        <v>36643.327499999999</v>
      </c>
      <c r="I255">
        <v>17413.948</v>
      </c>
      <c r="J255">
        <v>14589.02865</v>
      </c>
      <c r="K255">
        <v>15902.95306</v>
      </c>
      <c r="L255">
        <v>13475.815350000001</v>
      </c>
      <c r="M255">
        <v>7399.7497789999998</v>
      </c>
      <c r="N255">
        <v>6135.5083759999998</v>
      </c>
      <c r="O255">
        <v>3327.688666</v>
      </c>
    </row>
    <row r="256" spans="1:15" x14ac:dyDescent="0.2">
      <c r="A256">
        <v>1842.4785870000001</v>
      </c>
      <c r="B256">
        <v>970.48942390000002</v>
      </c>
      <c r="C256">
        <v>63881.217400000001</v>
      </c>
      <c r="D256">
        <v>342052.79599999997</v>
      </c>
      <c r="E256">
        <v>954909.875</v>
      </c>
      <c r="F256">
        <v>194237.78400000001</v>
      </c>
      <c r="G256">
        <v>156382.97560000001</v>
      </c>
      <c r="H256">
        <v>69902.266300000003</v>
      </c>
      <c r="I256">
        <v>20657.132000000001</v>
      </c>
      <c r="J256">
        <v>12736.765149999999</v>
      </c>
      <c r="K256">
        <v>12742.32294</v>
      </c>
      <c r="L256">
        <v>10838.97387</v>
      </c>
      <c r="M256">
        <v>7823.574912</v>
      </c>
      <c r="N256">
        <v>4800.2520629999999</v>
      </c>
      <c r="O256">
        <v>5698.6998530000001</v>
      </c>
    </row>
    <row r="257" spans="1:42" x14ac:dyDescent="0.2">
      <c r="A257">
        <v>0</v>
      </c>
      <c r="B257">
        <v>39180.936199999996</v>
      </c>
      <c r="C257">
        <v>30999.533189999998</v>
      </c>
      <c r="D257">
        <v>167608.98699999999</v>
      </c>
      <c r="E257">
        <v>398894.45699999999</v>
      </c>
      <c r="F257">
        <v>751005.35600000003</v>
      </c>
      <c r="G257">
        <v>210017.011</v>
      </c>
      <c r="H257">
        <v>86143.988299999997</v>
      </c>
      <c r="I257">
        <v>29801.576160000001</v>
      </c>
      <c r="J257">
        <v>8956.8910149999992</v>
      </c>
      <c r="K257">
        <v>4485.6741910000001</v>
      </c>
      <c r="L257">
        <v>4520.358029</v>
      </c>
      <c r="M257">
        <v>4560.2836559999996</v>
      </c>
      <c r="N257">
        <v>2761.2836950000001</v>
      </c>
      <c r="O257">
        <v>6012.5002059999997</v>
      </c>
    </row>
    <row r="258" spans="1:42" x14ac:dyDescent="0.2">
      <c r="A258">
        <v>0</v>
      </c>
      <c r="B258">
        <v>15454.39927</v>
      </c>
      <c r="C258">
        <v>631809.13800000004</v>
      </c>
      <c r="D258">
        <v>196205.94</v>
      </c>
      <c r="E258">
        <v>228346.75599999999</v>
      </c>
      <c r="F258">
        <v>383903.09899999999</v>
      </c>
      <c r="G258">
        <v>509629.35600000003</v>
      </c>
      <c r="H258">
        <v>88726.285499999998</v>
      </c>
      <c r="I258">
        <v>42087.676200000002</v>
      </c>
      <c r="J258">
        <v>17634.069459999999</v>
      </c>
      <c r="K258">
        <v>2932.7011349999998</v>
      </c>
      <c r="L258">
        <v>2051.743903</v>
      </c>
      <c r="M258">
        <v>3091.3256660000002</v>
      </c>
      <c r="N258">
        <v>2654.0513299999998</v>
      </c>
      <c r="O258">
        <v>1221.5093019999999</v>
      </c>
    </row>
    <row r="259" spans="1:42" x14ac:dyDescent="0.2">
      <c r="A259">
        <v>0</v>
      </c>
      <c r="B259">
        <v>496.85529200000002</v>
      </c>
      <c r="C259">
        <v>90468.336299999995</v>
      </c>
      <c r="D259">
        <v>1388906.1</v>
      </c>
      <c r="E259">
        <v>159722.94200000001</v>
      </c>
      <c r="F259">
        <v>174318.598</v>
      </c>
      <c r="G259">
        <v>174612.39679999999</v>
      </c>
      <c r="H259">
        <v>224449.67499999999</v>
      </c>
      <c r="I259">
        <v>34043.506260000002</v>
      </c>
      <c r="J259">
        <v>13807.988380000001</v>
      </c>
      <c r="K259">
        <v>7987.4265649999998</v>
      </c>
      <c r="L259">
        <v>484.69008600000001</v>
      </c>
      <c r="M259">
        <v>1174.228081</v>
      </c>
      <c r="N259">
        <v>668.30107859999998</v>
      </c>
      <c r="O259">
        <v>995.063356</v>
      </c>
    </row>
    <row r="260" spans="1:42" x14ac:dyDescent="0.2">
      <c r="A260">
        <v>0</v>
      </c>
      <c r="B260">
        <v>2173.7189239999998</v>
      </c>
      <c r="C260">
        <v>28139.108039999999</v>
      </c>
      <c r="D260">
        <v>548520.04200000002</v>
      </c>
      <c r="E260">
        <v>898129.728</v>
      </c>
      <c r="F260">
        <v>215279.24299999999</v>
      </c>
      <c r="G260">
        <v>147414.22289999999</v>
      </c>
      <c r="H260">
        <v>122007.0972</v>
      </c>
      <c r="I260">
        <v>97153.289499999999</v>
      </c>
      <c r="J260">
        <v>21734.654210000001</v>
      </c>
      <c r="K260">
        <v>7206.2112889999999</v>
      </c>
      <c r="L260">
        <v>5597.7045429999998</v>
      </c>
      <c r="M260">
        <v>492.993606</v>
      </c>
      <c r="N260">
        <v>244.6313749</v>
      </c>
      <c r="O260">
        <v>126.21987470000001</v>
      </c>
    </row>
    <row r="261" spans="1:42" x14ac:dyDescent="0.2">
      <c r="A261">
        <v>0</v>
      </c>
      <c r="B261">
        <v>1295.751859</v>
      </c>
      <c r="C261">
        <v>13787.32186</v>
      </c>
      <c r="D261">
        <v>114904.2087</v>
      </c>
      <c r="E261">
        <v>1214886.49</v>
      </c>
      <c r="F261">
        <v>506060.29300000001</v>
      </c>
      <c r="G261">
        <v>104698.82249999999</v>
      </c>
      <c r="H261">
        <v>81901.005900000004</v>
      </c>
      <c r="I261">
        <v>60563.126100000001</v>
      </c>
      <c r="J261">
        <v>25866.9133</v>
      </c>
      <c r="K261">
        <v>4266.2881539999998</v>
      </c>
      <c r="L261">
        <v>1096.7691139999999</v>
      </c>
      <c r="M261">
        <v>362.7143026</v>
      </c>
      <c r="N261">
        <v>635.478927</v>
      </c>
      <c r="O261">
        <v>495.00330400000001</v>
      </c>
    </row>
    <row r="262" spans="1:42" x14ac:dyDescent="0.2">
      <c r="A262">
        <v>693.62497699999994</v>
      </c>
      <c r="B262">
        <v>10887.45269</v>
      </c>
      <c r="C262">
        <v>12297.513360000001</v>
      </c>
      <c r="D262">
        <v>18344.931860000001</v>
      </c>
      <c r="E262">
        <v>157441.76800000001</v>
      </c>
      <c r="F262">
        <v>915850.174</v>
      </c>
      <c r="G262">
        <v>422035.3</v>
      </c>
      <c r="H262">
        <v>93086.930800000002</v>
      </c>
      <c r="I262">
        <v>52090.31</v>
      </c>
      <c r="J262">
        <v>52936.330499999996</v>
      </c>
      <c r="K262">
        <v>10048.64867</v>
      </c>
      <c r="L262">
        <v>2904.0748079999998</v>
      </c>
      <c r="M262">
        <v>842.06770600000004</v>
      </c>
      <c r="N262">
        <v>0</v>
      </c>
      <c r="O262">
        <v>0</v>
      </c>
    </row>
    <row r="263" spans="1:42" x14ac:dyDescent="0.2">
      <c r="A263">
        <v>3728.8726080000001</v>
      </c>
      <c r="B263">
        <v>245895.18299999999</v>
      </c>
      <c r="C263">
        <v>85609.421400000007</v>
      </c>
      <c r="D263">
        <v>99166.550900000002</v>
      </c>
      <c r="E263">
        <v>134148.42540000001</v>
      </c>
      <c r="F263">
        <v>548488.01800000004</v>
      </c>
      <c r="G263">
        <v>598282.245</v>
      </c>
      <c r="H263">
        <v>126607.57520000001</v>
      </c>
      <c r="I263">
        <v>53007.337899999999</v>
      </c>
      <c r="J263">
        <v>37834.4061</v>
      </c>
      <c r="K263">
        <v>27031.319230000001</v>
      </c>
      <c r="L263">
        <v>6894.1412019999998</v>
      </c>
      <c r="M263">
        <v>1734.7607869999999</v>
      </c>
      <c r="N263">
        <v>1168.1563120000001</v>
      </c>
      <c r="O263">
        <v>0</v>
      </c>
    </row>
    <row r="264" spans="1:42" x14ac:dyDescent="0.2">
      <c r="A264">
        <v>0</v>
      </c>
      <c r="B264">
        <v>111342.1894</v>
      </c>
      <c r="C264">
        <v>1295656.83</v>
      </c>
      <c r="D264">
        <v>144027.05869999999</v>
      </c>
      <c r="E264">
        <v>109954.85890000001</v>
      </c>
      <c r="F264">
        <v>107116.4918</v>
      </c>
      <c r="G264">
        <v>309318.57199999999</v>
      </c>
      <c r="H264">
        <v>295756.43400000001</v>
      </c>
      <c r="I264">
        <v>72064.777900000001</v>
      </c>
      <c r="J264">
        <v>26519.324199999999</v>
      </c>
      <c r="K264">
        <v>16136.35852</v>
      </c>
      <c r="L264">
        <v>8500.6318699999993</v>
      </c>
      <c r="M264">
        <v>2049.838765</v>
      </c>
      <c r="N264">
        <v>0</v>
      </c>
      <c r="O264">
        <v>420.166248</v>
      </c>
    </row>
    <row r="265" spans="1:42" x14ac:dyDescent="0.2">
      <c r="A265">
        <v>0.01</v>
      </c>
      <c r="B265">
        <v>64577.11</v>
      </c>
      <c r="C265">
        <v>174731.01</v>
      </c>
      <c r="D265">
        <v>1037390.01</v>
      </c>
      <c r="E265">
        <v>182123.01</v>
      </c>
      <c r="F265">
        <v>70819.509999999995</v>
      </c>
      <c r="G265">
        <v>80117.41</v>
      </c>
      <c r="H265">
        <v>139143.01</v>
      </c>
      <c r="I265">
        <v>80714.509999999995</v>
      </c>
      <c r="J265">
        <v>16663.509999999998</v>
      </c>
      <c r="K265">
        <v>13435.91</v>
      </c>
      <c r="L265">
        <v>4746.88</v>
      </c>
      <c r="M265">
        <v>6774.16</v>
      </c>
      <c r="N265">
        <v>1007.36</v>
      </c>
      <c r="O265">
        <v>0.01</v>
      </c>
    </row>
    <row r="266" spans="1:42" x14ac:dyDescent="0.2">
      <c r="A266" t="s">
        <v>40</v>
      </c>
    </row>
    <row r="267" spans="1:42" x14ac:dyDescent="0.2">
      <c r="A267">
        <v>3871.904477</v>
      </c>
      <c r="B267">
        <v>8929.3341540000001</v>
      </c>
      <c r="C267">
        <v>6594.1675720000003</v>
      </c>
      <c r="D267">
        <v>7522.2486980000003</v>
      </c>
      <c r="E267">
        <v>7242.3209550000001</v>
      </c>
      <c r="F267">
        <v>7597.5412299999998</v>
      </c>
      <c r="G267">
        <v>11808.27692</v>
      </c>
      <c r="H267">
        <v>9944.2501759999996</v>
      </c>
      <c r="I267">
        <v>11590.623009999999</v>
      </c>
      <c r="J267">
        <v>7139.7777729999998</v>
      </c>
      <c r="K267">
        <v>6657.6552890000003</v>
      </c>
      <c r="L267">
        <v>7860.1484499999997</v>
      </c>
      <c r="M267">
        <v>7106.7375830000001</v>
      </c>
      <c r="N267">
        <v>6614.4071279999998</v>
      </c>
      <c r="O267">
        <v>3953.0217600000001</v>
      </c>
      <c r="P267">
        <v>4381.2921919999999</v>
      </c>
      <c r="Q267">
        <v>3426.3155529999999</v>
      </c>
      <c r="R267">
        <v>5620.7462530000003</v>
      </c>
      <c r="S267">
        <v>7251.1350510000002</v>
      </c>
      <c r="T267">
        <v>6079.5443320000004</v>
      </c>
      <c r="U267">
        <v>6755.6137339999996</v>
      </c>
      <c r="V267">
        <v>11270.3264</v>
      </c>
      <c r="W267">
        <v>5492.3074409999999</v>
      </c>
      <c r="X267">
        <v>6986.2244229999997</v>
      </c>
      <c r="Y267">
        <v>4193.3875740000003</v>
      </c>
      <c r="Z267">
        <v>6782.9094230000001</v>
      </c>
      <c r="AA267">
        <v>4294.7133260000001</v>
      </c>
      <c r="AB267">
        <v>2825.2227990000001</v>
      </c>
      <c r="AC267">
        <v>5286.5691399999996</v>
      </c>
      <c r="AD267">
        <v>4509.6844000000001</v>
      </c>
      <c r="AE267">
        <v>5158.5530239999998</v>
      </c>
      <c r="AF267">
        <v>6739.9445459999997</v>
      </c>
      <c r="AG267">
        <v>11648.294980000001</v>
      </c>
      <c r="AH267">
        <v>11235.4591</v>
      </c>
      <c r="AI267">
        <v>8282.2794570000005</v>
      </c>
      <c r="AJ267">
        <v>8873.8631349999996</v>
      </c>
      <c r="AK267">
        <v>4258.42616</v>
      </c>
      <c r="AL267">
        <v>9288.1509970000006</v>
      </c>
      <c r="AN267">
        <v>4885.5285180000001</v>
      </c>
      <c r="AO267">
        <v>6531.9713940000001</v>
      </c>
      <c r="AP267">
        <v>4934.2583990000003</v>
      </c>
    </row>
    <row r="268" spans="1:42" x14ac:dyDescent="0.2">
      <c r="A268" t="s">
        <v>41</v>
      </c>
    </row>
    <row r="269" spans="1:42" x14ac:dyDescent="0.2">
      <c r="A269">
        <v>281.2854433</v>
      </c>
      <c r="B269">
        <v>576.03447670000003</v>
      </c>
      <c r="C269">
        <v>440.6705111</v>
      </c>
      <c r="D269">
        <v>561.62123980000001</v>
      </c>
      <c r="E269">
        <v>526.88960020000002</v>
      </c>
      <c r="F269">
        <v>598.32479750000005</v>
      </c>
      <c r="G269">
        <v>967.75349889999995</v>
      </c>
      <c r="H269">
        <v>697.50193290000004</v>
      </c>
      <c r="I269">
        <v>992.30636890000005</v>
      </c>
      <c r="J269">
        <v>488.28493989999998</v>
      </c>
      <c r="K269">
        <v>460.6396383</v>
      </c>
      <c r="L269">
        <v>500.85733970000001</v>
      </c>
      <c r="M269">
        <v>465.63274460000002</v>
      </c>
      <c r="N269">
        <v>549.97319579999998</v>
      </c>
      <c r="O269">
        <v>241.86039260000001</v>
      </c>
      <c r="P269">
        <v>276.84758770000002</v>
      </c>
      <c r="Q269">
        <v>209.9265513</v>
      </c>
      <c r="R269">
        <v>402.75890520000002</v>
      </c>
      <c r="S269">
        <v>511.17329810000001</v>
      </c>
      <c r="T269">
        <v>399.9318442</v>
      </c>
      <c r="U269">
        <v>394.63508380000002</v>
      </c>
      <c r="V269">
        <v>773.69427010000004</v>
      </c>
      <c r="W269">
        <v>346.73101789999998</v>
      </c>
      <c r="X269">
        <v>466.10329309999997</v>
      </c>
      <c r="Y269">
        <v>272.03006570000002</v>
      </c>
      <c r="Z269">
        <v>543.5798489</v>
      </c>
      <c r="AA269">
        <v>335.69229339999998</v>
      </c>
      <c r="AB269">
        <v>228.8819111</v>
      </c>
      <c r="AC269">
        <v>413.21640250000002</v>
      </c>
      <c r="AD269">
        <v>321.0099573</v>
      </c>
      <c r="AE269">
        <v>334.31797080000001</v>
      </c>
      <c r="AF269">
        <v>437.49758800000001</v>
      </c>
      <c r="AG269">
        <v>654.67417950000004</v>
      </c>
      <c r="AH269">
        <v>673.13987650000001</v>
      </c>
      <c r="AI269">
        <v>575.63213040000005</v>
      </c>
      <c r="AJ269">
        <v>452.64694789999999</v>
      </c>
      <c r="AK269">
        <v>289.3315882</v>
      </c>
      <c r="AL269">
        <v>466.43171460000002</v>
      </c>
      <c r="AN269">
        <v>261.25909669999999</v>
      </c>
      <c r="AO269">
        <v>383.48338410000002</v>
      </c>
      <c r="AP269">
        <v>283.03397849999999</v>
      </c>
    </row>
    <row r="270" spans="1:42" x14ac:dyDescent="0.2">
      <c r="A270" t="s">
        <v>42</v>
      </c>
    </row>
    <row r="271" spans="1:42" x14ac:dyDescent="0.2">
      <c r="A271">
        <v>3.2286703E-2</v>
      </c>
      <c r="B271">
        <v>7.7214954000000002E-2</v>
      </c>
      <c r="C271">
        <v>0.18103193200000001</v>
      </c>
      <c r="D271">
        <v>0.34010262000000002</v>
      </c>
      <c r="E271">
        <v>0.41128483900000001</v>
      </c>
      <c r="F271">
        <v>0.77748969300000004</v>
      </c>
      <c r="G271">
        <v>1.0506309599999999</v>
      </c>
      <c r="H271">
        <v>1.187602281</v>
      </c>
      <c r="I271">
        <v>1.4012950550000001</v>
      </c>
      <c r="J271">
        <v>1.5667160520000001</v>
      </c>
      <c r="K271">
        <v>2.23454972</v>
      </c>
      <c r="L271">
        <v>1.990128678</v>
      </c>
      <c r="M271">
        <v>1.9035665799999999</v>
      </c>
      <c r="N271">
        <v>1.5238584340000001</v>
      </c>
      <c r="O271">
        <v>2.945983171</v>
      </c>
    </row>
    <row r="272" spans="1:42" x14ac:dyDescent="0.2">
      <c r="A272">
        <v>2.1108749999999999E-2</v>
      </c>
      <c r="B272">
        <v>0.100921491</v>
      </c>
      <c r="C272">
        <v>0.20923130000000001</v>
      </c>
      <c r="D272">
        <v>0.34220842800000001</v>
      </c>
      <c r="E272">
        <v>0.53621437599999999</v>
      </c>
      <c r="F272">
        <v>0.77379859500000003</v>
      </c>
      <c r="G272">
        <v>1.015548417</v>
      </c>
      <c r="H272">
        <v>1.452548113</v>
      </c>
      <c r="I272">
        <v>1.405551166</v>
      </c>
      <c r="J272">
        <v>1.6671732690000001</v>
      </c>
      <c r="K272">
        <v>1.528755165</v>
      </c>
      <c r="L272">
        <v>1.5770533659999999</v>
      </c>
      <c r="M272">
        <v>2.0133235549999999</v>
      </c>
      <c r="N272">
        <v>2.1267916229999999</v>
      </c>
      <c r="O272">
        <v>1.834381147</v>
      </c>
    </row>
    <row r="273" spans="1:15" x14ac:dyDescent="0.2">
      <c r="A273">
        <v>1.7048204000000001E-2</v>
      </c>
      <c r="B273">
        <v>8.4425263E-2</v>
      </c>
      <c r="C273">
        <v>0.21526967599999999</v>
      </c>
      <c r="D273">
        <v>0.31423352100000002</v>
      </c>
      <c r="E273">
        <v>0.432480015</v>
      </c>
      <c r="F273">
        <v>0.60264321399999998</v>
      </c>
      <c r="G273">
        <v>0.92566163899999998</v>
      </c>
      <c r="H273">
        <v>1.3131408570000001</v>
      </c>
      <c r="I273">
        <v>1.268111301</v>
      </c>
      <c r="J273">
        <v>1.473242298</v>
      </c>
      <c r="K273">
        <v>1.9851482330000001</v>
      </c>
      <c r="L273">
        <v>1.6876237670000001</v>
      </c>
      <c r="M273">
        <v>1.904738606</v>
      </c>
      <c r="N273">
        <v>1.4261415150000001</v>
      </c>
      <c r="O273">
        <v>2.122131762</v>
      </c>
    </row>
    <row r="274" spans="1:15" x14ac:dyDescent="0.2">
      <c r="A274">
        <v>3.0844021999999999E-2</v>
      </c>
      <c r="B274">
        <v>9.3488997000000004E-2</v>
      </c>
      <c r="C274">
        <v>0.228603904</v>
      </c>
      <c r="D274">
        <v>0.36848113100000002</v>
      </c>
      <c r="E274">
        <v>0.48096566899999998</v>
      </c>
      <c r="F274">
        <v>0.71501386600000005</v>
      </c>
      <c r="G274">
        <v>0.90988342300000002</v>
      </c>
      <c r="H274">
        <v>1.212701019</v>
      </c>
      <c r="I274">
        <v>1.7231016269999999</v>
      </c>
      <c r="J274">
        <v>1.4363393739999999</v>
      </c>
      <c r="K274">
        <v>1.5322553210000001</v>
      </c>
      <c r="L274">
        <v>1.7765022020000001</v>
      </c>
      <c r="M274">
        <v>2.0375845090000002</v>
      </c>
      <c r="N274">
        <v>1.652322718</v>
      </c>
      <c r="O274">
        <v>2.6342226819999999</v>
      </c>
    </row>
    <row r="275" spans="1:15" x14ac:dyDescent="0.2">
      <c r="A275">
        <v>1.8656264999999998E-2</v>
      </c>
      <c r="B275">
        <v>7.3458129999999996E-2</v>
      </c>
      <c r="C275">
        <v>0.16896971399999999</v>
      </c>
      <c r="D275">
        <v>0.30957298300000002</v>
      </c>
      <c r="E275">
        <v>0.41369771100000002</v>
      </c>
      <c r="F275">
        <v>0.60761329799999997</v>
      </c>
      <c r="G275">
        <v>0.76675731700000005</v>
      </c>
      <c r="H275">
        <v>1.0175312329999999</v>
      </c>
      <c r="I275">
        <v>1.304327767</v>
      </c>
      <c r="J275">
        <v>1.649841492</v>
      </c>
      <c r="K275">
        <v>1.2761068710000001</v>
      </c>
      <c r="L275">
        <v>1.3808903939999999</v>
      </c>
      <c r="M275">
        <v>1.982826288</v>
      </c>
      <c r="N275">
        <v>2.2334339660000002</v>
      </c>
      <c r="O275">
        <v>2.2229140539999999</v>
      </c>
    </row>
    <row r="276" spans="1:15" x14ac:dyDescent="0.2">
      <c r="A276">
        <v>2.3125666999999999E-2</v>
      </c>
      <c r="B276">
        <v>0.122610028</v>
      </c>
      <c r="C276">
        <v>0.25318748800000002</v>
      </c>
      <c r="D276">
        <v>0.33175917399999999</v>
      </c>
      <c r="E276">
        <v>0.42218243</v>
      </c>
      <c r="F276">
        <v>0.54680538099999998</v>
      </c>
      <c r="G276">
        <v>0.71804074399999995</v>
      </c>
      <c r="H276">
        <v>0.84868521900000005</v>
      </c>
      <c r="I276">
        <v>1.008413862</v>
      </c>
      <c r="J276">
        <v>1.2613882670000001</v>
      </c>
      <c r="K276">
        <v>1.5808356400000001</v>
      </c>
      <c r="L276">
        <v>1.6121645760000001</v>
      </c>
      <c r="M276">
        <v>2.2016039969999999</v>
      </c>
      <c r="N276">
        <v>2.0448361589999999</v>
      </c>
      <c r="O276">
        <v>2.394966792</v>
      </c>
    </row>
    <row r="277" spans="1:15" x14ac:dyDescent="0.2">
      <c r="A277">
        <v>1.8912169999999999E-2</v>
      </c>
      <c r="B277">
        <v>0.13274810100000001</v>
      </c>
      <c r="C277">
        <v>0.28094568800000003</v>
      </c>
      <c r="D277">
        <v>0.33049287999999999</v>
      </c>
      <c r="E277">
        <v>0.44571828699999999</v>
      </c>
      <c r="F277">
        <v>0.49396457300000002</v>
      </c>
      <c r="G277">
        <v>0.58981625699999995</v>
      </c>
      <c r="H277">
        <v>0.81436595000000001</v>
      </c>
      <c r="I277">
        <v>0.90801413399999997</v>
      </c>
      <c r="J277">
        <v>1.0398447900000001</v>
      </c>
      <c r="K277">
        <v>1.229934396</v>
      </c>
      <c r="L277">
        <v>1.2846932799999999</v>
      </c>
      <c r="M277">
        <v>1.5707471909999999</v>
      </c>
      <c r="N277">
        <v>0.68644337200000005</v>
      </c>
      <c r="O277">
        <v>1.7403349800000001</v>
      </c>
    </row>
    <row r="278" spans="1:15" x14ac:dyDescent="0.2">
      <c r="A278">
        <v>2.2386493E-2</v>
      </c>
      <c r="B278">
        <v>8.2373276999999995E-2</v>
      </c>
      <c r="C278">
        <v>0.168913654</v>
      </c>
      <c r="D278">
        <v>0.27703803999999999</v>
      </c>
      <c r="E278">
        <v>0.37097138800000001</v>
      </c>
      <c r="F278">
        <v>0.54912817400000002</v>
      </c>
      <c r="G278">
        <v>0.66191136800000006</v>
      </c>
      <c r="H278">
        <v>0.83681209599999995</v>
      </c>
      <c r="I278">
        <v>1.027490598</v>
      </c>
      <c r="J278">
        <v>1.000038881</v>
      </c>
      <c r="K278">
        <v>1.1154219729999999</v>
      </c>
      <c r="L278">
        <v>1.0136249100000001</v>
      </c>
      <c r="M278">
        <v>1.260065223</v>
      </c>
      <c r="N278">
        <v>1.1438297070000001</v>
      </c>
      <c r="O278">
        <v>1.1027600019999999</v>
      </c>
    </row>
    <row r="279" spans="1:15" x14ac:dyDescent="0.2">
      <c r="A279">
        <v>2.9263454000000001E-2</v>
      </c>
      <c r="B279">
        <v>9.7315623000000004E-2</v>
      </c>
      <c r="C279">
        <v>0.18739761299999999</v>
      </c>
      <c r="D279">
        <v>0.35586519100000003</v>
      </c>
      <c r="E279">
        <v>0.478474491</v>
      </c>
      <c r="F279">
        <v>0.54480594000000004</v>
      </c>
      <c r="G279">
        <v>0.61430278900000002</v>
      </c>
      <c r="H279">
        <v>0.734885118</v>
      </c>
      <c r="I279">
        <v>1.029256003</v>
      </c>
      <c r="J279">
        <v>0.97933910000000002</v>
      </c>
      <c r="K279">
        <v>1.023303002</v>
      </c>
      <c r="L279">
        <v>1.1878753019999999</v>
      </c>
      <c r="M279">
        <v>0.85459446999999999</v>
      </c>
      <c r="N279">
        <v>1.3901048519999999</v>
      </c>
      <c r="O279">
        <v>1.714437854</v>
      </c>
    </row>
    <row r="280" spans="1:15" x14ac:dyDescent="0.2">
      <c r="A280">
        <v>3.0101684E-2</v>
      </c>
      <c r="B280">
        <v>0.14480546699999999</v>
      </c>
      <c r="C280">
        <v>0.20061715699999999</v>
      </c>
      <c r="D280">
        <v>0.33301475600000002</v>
      </c>
      <c r="E280">
        <v>0.56541911899999997</v>
      </c>
      <c r="F280">
        <v>0.65002939199999998</v>
      </c>
      <c r="G280">
        <v>0.77653318599999999</v>
      </c>
      <c r="H280">
        <v>0.85562181699999995</v>
      </c>
      <c r="I280">
        <v>1.015924976</v>
      </c>
      <c r="J280">
        <v>1.1045741200000001</v>
      </c>
      <c r="K280">
        <v>1.287470965</v>
      </c>
      <c r="L280">
        <v>1.3700906589999999</v>
      </c>
      <c r="M280">
        <v>1.3471478139999999</v>
      </c>
      <c r="N280">
        <v>1.7327523810000001</v>
      </c>
      <c r="O280">
        <v>1.6913244569999999</v>
      </c>
    </row>
    <row r="281" spans="1:15" x14ac:dyDescent="0.2">
      <c r="A281">
        <v>2.9676149999999998E-2</v>
      </c>
      <c r="B281">
        <v>0.13416637100000001</v>
      </c>
      <c r="C281">
        <v>0.25485292500000001</v>
      </c>
      <c r="D281">
        <v>0.39970840699999999</v>
      </c>
      <c r="E281">
        <v>0.46390461799999999</v>
      </c>
      <c r="F281">
        <v>0.57007129199999995</v>
      </c>
      <c r="G281">
        <v>0.75609739499999995</v>
      </c>
      <c r="H281">
        <v>0.77065753599999998</v>
      </c>
      <c r="I281">
        <v>0.928946363</v>
      </c>
      <c r="J281">
        <v>1.00788587</v>
      </c>
      <c r="K281">
        <v>1.137849621</v>
      </c>
      <c r="L281">
        <v>1.520173177</v>
      </c>
      <c r="M281">
        <v>1.53897789</v>
      </c>
      <c r="N281">
        <v>1.4263936500000001</v>
      </c>
      <c r="O281">
        <v>1.562767824</v>
      </c>
    </row>
    <row r="282" spans="1:15" x14ac:dyDescent="0.2">
      <c r="A282">
        <v>1.5796679000000001E-2</v>
      </c>
      <c r="B282">
        <v>9.7503761999999994E-2</v>
      </c>
      <c r="C282">
        <v>0.249518569</v>
      </c>
      <c r="D282">
        <v>0.40869557400000001</v>
      </c>
      <c r="E282">
        <v>0.46436543299999999</v>
      </c>
      <c r="F282">
        <v>0.54804578800000003</v>
      </c>
      <c r="G282">
        <v>0.66187566499999995</v>
      </c>
      <c r="H282">
        <v>0.78319755800000002</v>
      </c>
      <c r="I282">
        <v>0.98684097900000001</v>
      </c>
      <c r="J282">
        <v>0.99909588699999996</v>
      </c>
      <c r="K282">
        <v>1.1486615769999999</v>
      </c>
      <c r="L282">
        <v>1.285484262</v>
      </c>
      <c r="M282">
        <v>1.508884801</v>
      </c>
      <c r="N282">
        <v>1.5764802179999999</v>
      </c>
      <c r="O282">
        <v>1.908970144</v>
      </c>
    </row>
    <row r="283" spans="1:15" x14ac:dyDescent="0.2">
      <c r="A283">
        <v>2.4661379000000001E-2</v>
      </c>
      <c r="B283">
        <v>0.116858323</v>
      </c>
      <c r="C283">
        <v>0.21179557800000001</v>
      </c>
      <c r="D283">
        <v>0.40095072300000001</v>
      </c>
      <c r="E283">
        <v>0.53619961900000002</v>
      </c>
      <c r="F283">
        <v>0.67201635800000004</v>
      </c>
      <c r="G283">
        <v>0.64823049300000002</v>
      </c>
      <c r="H283">
        <v>1.0462996609999999</v>
      </c>
      <c r="I283">
        <v>1.165820979</v>
      </c>
      <c r="J283">
        <v>1.1066307479999999</v>
      </c>
      <c r="K283">
        <v>1.2193476029999999</v>
      </c>
      <c r="L283">
        <v>1.2405318160000001</v>
      </c>
      <c r="M283">
        <v>1.36720357</v>
      </c>
      <c r="N283">
        <v>1.4361636849999999</v>
      </c>
      <c r="O283">
        <v>1.450570554</v>
      </c>
    </row>
    <row r="284" spans="1:15" x14ac:dyDescent="0.2">
      <c r="A284">
        <v>1.8422328000000002E-2</v>
      </c>
      <c r="B284">
        <v>0.105172554</v>
      </c>
      <c r="C284">
        <v>0.16852999499999999</v>
      </c>
      <c r="D284">
        <v>0.36255678899999999</v>
      </c>
      <c r="E284">
        <v>0.47813992799999999</v>
      </c>
      <c r="F284">
        <v>0.64849401100000004</v>
      </c>
      <c r="G284">
        <v>0.62374616800000005</v>
      </c>
      <c r="H284">
        <v>0.785125976</v>
      </c>
      <c r="I284">
        <v>0.91089412199999997</v>
      </c>
      <c r="J284">
        <v>1.2809407340000001</v>
      </c>
      <c r="K284">
        <v>1.222214956</v>
      </c>
      <c r="L284">
        <v>1.254044881</v>
      </c>
      <c r="M284">
        <v>1.3994223619999999</v>
      </c>
      <c r="N284">
        <v>1.421749006</v>
      </c>
      <c r="O284">
        <v>1.7401137390000001</v>
      </c>
    </row>
    <row r="285" spans="1:15" x14ac:dyDescent="0.2">
      <c r="A285">
        <v>2.1485246999999999E-2</v>
      </c>
      <c r="B285">
        <v>0.11152000400000001</v>
      </c>
      <c r="C285">
        <v>0.151066851</v>
      </c>
      <c r="D285">
        <v>0.299701567</v>
      </c>
      <c r="E285">
        <v>0.486575594</v>
      </c>
      <c r="F285">
        <v>0.58318524800000004</v>
      </c>
      <c r="G285">
        <v>0.75778959800000001</v>
      </c>
      <c r="H285">
        <v>0.81982461699999998</v>
      </c>
      <c r="I285">
        <v>0.97935775000000003</v>
      </c>
      <c r="J285">
        <v>1.0234104289999999</v>
      </c>
      <c r="K285">
        <v>1.3500874119999999</v>
      </c>
      <c r="L285">
        <v>1.4614376579999999</v>
      </c>
      <c r="M285">
        <v>1.4874857100000001</v>
      </c>
      <c r="N285">
        <v>1.6392994009999999</v>
      </c>
      <c r="O285">
        <v>1.9638529520000001</v>
      </c>
    </row>
    <row r="286" spans="1:15" x14ac:dyDescent="0.2">
      <c r="A286">
        <v>1.7011447999999998E-2</v>
      </c>
      <c r="B286">
        <v>9.4814576999999997E-2</v>
      </c>
      <c r="C286">
        <v>0.188844234</v>
      </c>
      <c r="D286">
        <v>0.27687830600000002</v>
      </c>
      <c r="E286">
        <v>0.38169377999999998</v>
      </c>
      <c r="F286">
        <v>0.53046663999999999</v>
      </c>
      <c r="G286">
        <v>0.67351890199999997</v>
      </c>
      <c r="H286">
        <v>0.77602323100000004</v>
      </c>
      <c r="I286">
        <v>0.99649675299999996</v>
      </c>
      <c r="J286">
        <v>0.96586040900000003</v>
      </c>
      <c r="K286">
        <v>1.211314835</v>
      </c>
      <c r="L286">
        <v>1.464772406</v>
      </c>
      <c r="M286">
        <v>1.089919461</v>
      </c>
      <c r="N286">
        <v>1.566396192</v>
      </c>
      <c r="O286">
        <v>1.9510381429999999</v>
      </c>
    </row>
    <row r="287" spans="1:15" x14ac:dyDescent="0.2">
      <c r="A287">
        <v>1.5850179999999998E-2</v>
      </c>
      <c r="B287">
        <v>8.0853964E-2</v>
      </c>
      <c r="C287">
        <v>0.21280206099999999</v>
      </c>
      <c r="D287">
        <v>0.33230155700000003</v>
      </c>
      <c r="E287">
        <v>0.44603194299999999</v>
      </c>
      <c r="F287">
        <v>0.51924055899999999</v>
      </c>
      <c r="G287">
        <v>0.81108305199999997</v>
      </c>
      <c r="H287">
        <v>0.88703274300000001</v>
      </c>
      <c r="I287">
        <v>1.07765657</v>
      </c>
      <c r="J287">
        <v>1.2926444960000001</v>
      </c>
      <c r="K287">
        <v>1.591887888</v>
      </c>
      <c r="L287">
        <v>1.4145694710000001</v>
      </c>
      <c r="M287">
        <v>1.515567814</v>
      </c>
      <c r="N287">
        <v>1.6691694189999999</v>
      </c>
      <c r="O287">
        <v>1.905073716</v>
      </c>
    </row>
    <row r="288" spans="1:15" x14ac:dyDescent="0.2">
      <c r="A288">
        <v>2.0449710999999999E-2</v>
      </c>
      <c r="B288">
        <v>9.6846528000000001E-2</v>
      </c>
      <c r="C288">
        <v>0.216293028</v>
      </c>
      <c r="D288">
        <v>0.350850404</v>
      </c>
      <c r="E288">
        <v>0.39225030900000002</v>
      </c>
      <c r="F288">
        <v>0.52630554699999998</v>
      </c>
      <c r="G288">
        <v>0.61573794299999995</v>
      </c>
      <c r="H288">
        <v>0.88169694499999995</v>
      </c>
      <c r="I288">
        <v>1.037549389</v>
      </c>
      <c r="J288">
        <v>1.0082558930000001</v>
      </c>
      <c r="K288">
        <v>1.2785960590000001</v>
      </c>
      <c r="L288">
        <v>1.1322098709999999</v>
      </c>
      <c r="M288">
        <v>1.6660601370000001</v>
      </c>
      <c r="N288">
        <v>1.7598172569999999</v>
      </c>
      <c r="O288">
        <v>2.1923082740000002</v>
      </c>
    </row>
    <row r="289" spans="1:15" x14ac:dyDescent="0.2">
      <c r="A289">
        <v>1.7420564999999999E-2</v>
      </c>
      <c r="B289">
        <v>8.4771320999999997E-2</v>
      </c>
      <c r="C289">
        <v>0.219144845</v>
      </c>
      <c r="D289">
        <v>0.39812393800000001</v>
      </c>
      <c r="E289">
        <v>0.47004399299999999</v>
      </c>
      <c r="F289">
        <v>0.52096739700000005</v>
      </c>
      <c r="G289">
        <v>0.72216313200000004</v>
      </c>
      <c r="H289">
        <v>0.75936875299999995</v>
      </c>
      <c r="I289">
        <v>0.92492548799999996</v>
      </c>
      <c r="J289">
        <v>1.034916247</v>
      </c>
      <c r="K289">
        <v>1.2359527450000001</v>
      </c>
      <c r="L289">
        <v>1.3381222429999999</v>
      </c>
      <c r="M289">
        <v>1.7817451070000001</v>
      </c>
      <c r="N289">
        <v>1.6255716840000001</v>
      </c>
      <c r="O289">
        <v>2.0478868540000001</v>
      </c>
    </row>
    <row r="290" spans="1:15" x14ac:dyDescent="0.2">
      <c r="A290">
        <v>2.1595336E-2</v>
      </c>
      <c r="B290">
        <v>9.2340419000000007E-2</v>
      </c>
      <c r="C290">
        <v>0.20141721400000001</v>
      </c>
      <c r="D290">
        <v>0.35550478499999999</v>
      </c>
      <c r="E290">
        <v>0.61672729599999998</v>
      </c>
      <c r="F290">
        <v>0.72943720499999998</v>
      </c>
      <c r="G290">
        <v>0.74993722299999999</v>
      </c>
      <c r="H290">
        <v>1.0004190820000001</v>
      </c>
      <c r="I290">
        <v>0.98182621000000003</v>
      </c>
      <c r="J290">
        <v>1.0308609900000001</v>
      </c>
      <c r="K290">
        <v>1.277821082</v>
      </c>
      <c r="L290">
        <v>1.419050428</v>
      </c>
      <c r="M290">
        <v>1.4735612769999999</v>
      </c>
      <c r="N290">
        <v>1.7655735779999999</v>
      </c>
      <c r="O290">
        <v>1.5391166590000001</v>
      </c>
    </row>
    <row r="291" spans="1:15" x14ac:dyDescent="0.2">
      <c r="A291">
        <v>2.5414566999999999E-2</v>
      </c>
      <c r="B291">
        <v>0.107211208</v>
      </c>
      <c r="C291">
        <v>0.26862268099999997</v>
      </c>
      <c r="D291">
        <v>0.402463022</v>
      </c>
      <c r="E291">
        <v>0.54386073099999999</v>
      </c>
      <c r="F291">
        <v>0.68497981299999999</v>
      </c>
      <c r="G291">
        <v>0.71280008299999997</v>
      </c>
      <c r="H291">
        <v>0.90426225800000004</v>
      </c>
      <c r="I291">
        <v>1.006334625</v>
      </c>
      <c r="J291">
        <v>1.0534455</v>
      </c>
      <c r="K291">
        <v>1.0097364440000001</v>
      </c>
      <c r="L291">
        <v>1.139010868</v>
      </c>
      <c r="M291">
        <v>1.474134337</v>
      </c>
      <c r="N291">
        <v>1.409576041</v>
      </c>
      <c r="O291">
        <v>2.108250833</v>
      </c>
    </row>
    <row r="292" spans="1:15" x14ac:dyDescent="0.2">
      <c r="A292">
        <v>3.1641526000000003E-2</v>
      </c>
      <c r="B292">
        <v>0.109468265</v>
      </c>
      <c r="C292">
        <v>0.34165010000000001</v>
      </c>
      <c r="D292">
        <v>0.41899407100000002</v>
      </c>
      <c r="E292">
        <v>0.64775101099999999</v>
      </c>
      <c r="F292">
        <v>0.709831565</v>
      </c>
      <c r="G292">
        <v>0.88640871099999996</v>
      </c>
      <c r="H292">
        <v>0.86874908500000003</v>
      </c>
      <c r="I292">
        <v>1.123543497</v>
      </c>
      <c r="J292">
        <v>1.2394238019999999</v>
      </c>
      <c r="K292">
        <v>1.268921352</v>
      </c>
      <c r="L292">
        <v>1.2846374949999999</v>
      </c>
      <c r="M292">
        <v>1.368588846</v>
      </c>
      <c r="N292">
        <v>1.7473205549999999</v>
      </c>
      <c r="O292">
        <v>1.780308386</v>
      </c>
    </row>
    <row r="293" spans="1:15" x14ac:dyDescent="0.2">
      <c r="A293">
        <v>3.4893860999999998E-2</v>
      </c>
      <c r="B293">
        <v>0.20228417500000001</v>
      </c>
      <c r="C293">
        <v>0.28382298</v>
      </c>
      <c r="D293">
        <v>0.515738276</v>
      </c>
      <c r="E293">
        <v>0.59500734600000005</v>
      </c>
      <c r="F293">
        <v>0.74977221500000002</v>
      </c>
      <c r="G293">
        <v>0.894926789</v>
      </c>
      <c r="H293">
        <v>0.93152991500000004</v>
      </c>
      <c r="I293">
        <v>1.1192201690000001</v>
      </c>
      <c r="J293">
        <v>1.0268399020000001</v>
      </c>
      <c r="K293">
        <v>1.278626643</v>
      </c>
      <c r="L293">
        <v>1.55157466</v>
      </c>
      <c r="M293">
        <v>1.5370601209999999</v>
      </c>
      <c r="N293">
        <v>2.3751729319999999</v>
      </c>
      <c r="O293">
        <v>1.7120054339999999</v>
      </c>
    </row>
    <row r="294" spans="1:15" x14ac:dyDescent="0.2">
      <c r="A294">
        <v>3.3687977000000001E-2</v>
      </c>
      <c r="B294">
        <v>0.112223371</v>
      </c>
      <c r="C294">
        <v>0.23066996000000001</v>
      </c>
      <c r="D294">
        <v>0.39415755600000002</v>
      </c>
      <c r="E294">
        <v>0.53936341200000004</v>
      </c>
      <c r="F294">
        <v>0.69834407499999995</v>
      </c>
      <c r="G294">
        <v>0.85853915800000002</v>
      </c>
      <c r="H294">
        <v>0.93055157499999996</v>
      </c>
      <c r="I294">
        <v>0.99254571800000002</v>
      </c>
      <c r="J294">
        <v>1.222539252</v>
      </c>
      <c r="K294">
        <v>1.383085522</v>
      </c>
      <c r="L294">
        <v>1.2291173950000001</v>
      </c>
      <c r="M294">
        <v>1.4006916009999999</v>
      </c>
      <c r="N294">
        <v>1.50443394</v>
      </c>
      <c r="O294">
        <v>1.6816574550000001</v>
      </c>
    </row>
    <row r="295" spans="1:15" x14ac:dyDescent="0.2">
      <c r="A295">
        <v>9.684458E-3</v>
      </c>
      <c r="B295">
        <v>8.6595626999999994E-2</v>
      </c>
      <c r="C295">
        <v>0.178795544</v>
      </c>
      <c r="D295">
        <v>0.45732725499999999</v>
      </c>
      <c r="E295">
        <v>0.60450921700000004</v>
      </c>
      <c r="F295">
        <v>0.67908782899999998</v>
      </c>
      <c r="G295">
        <v>0.78869011200000005</v>
      </c>
      <c r="H295">
        <v>0.86578217700000004</v>
      </c>
      <c r="I295">
        <v>1.057634269</v>
      </c>
      <c r="J295">
        <v>1.1711017029999999</v>
      </c>
      <c r="K295">
        <v>1.2787145660000001</v>
      </c>
      <c r="L295">
        <v>1.3363329930000001</v>
      </c>
      <c r="M295">
        <v>1.6686460350000001</v>
      </c>
      <c r="N295">
        <v>1.5188866889999999</v>
      </c>
      <c r="O295">
        <v>1.703814084</v>
      </c>
    </row>
    <row r="296" spans="1:15" x14ac:dyDescent="0.2">
      <c r="A296">
        <v>1.5099107000000001E-2</v>
      </c>
      <c r="B296">
        <v>9.9963123000000001E-2</v>
      </c>
      <c r="C296">
        <v>0.29449491500000002</v>
      </c>
      <c r="D296">
        <v>0.49299258800000001</v>
      </c>
      <c r="E296">
        <v>0.63747397500000003</v>
      </c>
      <c r="F296">
        <v>0.80954321799999995</v>
      </c>
      <c r="G296">
        <v>0.92833197000000001</v>
      </c>
      <c r="H296">
        <v>1.0595451090000001</v>
      </c>
      <c r="I296">
        <v>1.001947951</v>
      </c>
      <c r="J296">
        <v>1.3145017029999999</v>
      </c>
      <c r="K296">
        <v>1.3087060109999999</v>
      </c>
      <c r="L296">
        <v>1.268206704</v>
      </c>
      <c r="M296">
        <v>1.416606464</v>
      </c>
      <c r="N296">
        <v>1.367229721</v>
      </c>
      <c r="O296">
        <v>1.385353482</v>
      </c>
    </row>
    <row r="297" spans="1:15" x14ac:dyDescent="0.2">
      <c r="A297">
        <v>1.8576931000000001E-2</v>
      </c>
      <c r="B297">
        <v>5.9191821999999998E-2</v>
      </c>
      <c r="C297">
        <v>0.21983689000000001</v>
      </c>
      <c r="D297">
        <v>0.49112640299999999</v>
      </c>
      <c r="E297">
        <v>0.60091382199999999</v>
      </c>
      <c r="F297">
        <v>0.73042094800000001</v>
      </c>
      <c r="G297">
        <v>0.85730375400000003</v>
      </c>
      <c r="H297">
        <v>0.94602090999999999</v>
      </c>
      <c r="I297">
        <v>0.98745456899999995</v>
      </c>
      <c r="J297">
        <v>1.1535658799999999</v>
      </c>
      <c r="K297">
        <v>1.6395215620000001</v>
      </c>
      <c r="L297">
        <v>1.3723847069999999</v>
      </c>
      <c r="M297">
        <v>1.708225154</v>
      </c>
      <c r="N297">
        <v>1.5395053059999999</v>
      </c>
      <c r="O297">
        <v>1.6819426310000001</v>
      </c>
    </row>
    <row r="298" spans="1:15" x14ac:dyDescent="0.2">
      <c r="A298">
        <v>1.9493021999999999E-2</v>
      </c>
      <c r="B298">
        <v>7.0277159000000006E-2</v>
      </c>
      <c r="C298">
        <v>0.24136892600000001</v>
      </c>
      <c r="D298">
        <v>0.508742323</v>
      </c>
      <c r="E298">
        <v>0.68820102299999997</v>
      </c>
      <c r="F298">
        <v>0.81473383399999999</v>
      </c>
      <c r="G298">
        <v>1.0096718280000001</v>
      </c>
      <c r="H298">
        <v>1.067612671</v>
      </c>
      <c r="I298">
        <v>1.120889469</v>
      </c>
      <c r="J298">
        <v>1.3589986350000001</v>
      </c>
      <c r="K298">
        <v>1.449253661</v>
      </c>
      <c r="L298">
        <v>1.7689646910000001</v>
      </c>
      <c r="M298">
        <v>1.7666796499999999</v>
      </c>
      <c r="N298">
        <v>2.0491757509999999</v>
      </c>
      <c r="O298">
        <v>2.4859800729999999</v>
      </c>
    </row>
    <row r="299" spans="1:15" x14ac:dyDescent="0.2">
      <c r="A299">
        <v>2.2667518000000001E-2</v>
      </c>
      <c r="B299">
        <v>6.9353018000000002E-2</v>
      </c>
      <c r="C299">
        <v>0.244198637</v>
      </c>
      <c r="D299">
        <v>0.49573577200000002</v>
      </c>
      <c r="E299">
        <v>0.65744794699999998</v>
      </c>
      <c r="F299">
        <v>0.804058249</v>
      </c>
      <c r="G299">
        <v>1.09667581</v>
      </c>
      <c r="H299">
        <v>1.1397719989999999</v>
      </c>
      <c r="I299">
        <v>1.2597968690000001</v>
      </c>
      <c r="J299">
        <v>1.37646921</v>
      </c>
      <c r="K299">
        <v>1.1904527659999999</v>
      </c>
      <c r="L299">
        <v>1.3893020679999999</v>
      </c>
      <c r="M299">
        <v>1.62876289</v>
      </c>
      <c r="N299">
        <v>2.1606264340000001</v>
      </c>
      <c r="O299">
        <v>2.2212080670000001</v>
      </c>
    </row>
    <row r="300" spans="1:15" x14ac:dyDescent="0.2">
      <c r="A300">
        <v>1.8447313E-2</v>
      </c>
      <c r="B300">
        <v>8.1244716999999994E-2</v>
      </c>
      <c r="C300">
        <v>0.216207593</v>
      </c>
      <c r="D300">
        <v>0.51073933199999999</v>
      </c>
      <c r="E300">
        <v>0.65330639899999998</v>
      </c>
      <c r="F300">
        <v>0.78546271700000003</v>
      </c>
      <c r="G300">
        <v>0.90699279799999999</v>
      </c>
      <c r="H300">
        <v>1.0661712800000001</v>
      </c>
      <c r="I300">
        <v>1.1589078269999999</v>
      </c>
      <c r="J300">
        <v>1.2455917510000001</v>
      </c>
      <c r="K300">
        <v>1.358049866</v>
      </c>
      <c r="L300">
        <v>1.4192158290000001</v>
      </c>
      <c r="M300">
        <v>1.364557266</v>
      </c>
      <c r="N300">
        <v>1.496288037</v>
      </c>
      <c r="O300">
        <v>2.0158825980000001</v>
      </c>
    </row>
    <row r="301" spans="1:15" x14ac:dyDescent="0.2">
      <c r="A301">
        <v>1.7112088000000001E-2</v>
      </c>
      <c r="B301">
        <v>7.5935575000000005E-2</v>
      </c>
      <c r="C301">
        <v>0.28486993599999999</v>
      </c>
      <c r="D301">
        <v>0.409726058</v>
      </c>
      <c r="E301">
        <v>0.59167022199999997</v>
      </c>
      <c r="F301">
        <v>0.73827006799999995</v>
      </c>
      <c r="G301">
        <v>0.86517915599999995</v>
      </c>
      <c r="H301">
        <v>1.0083830300000001</v>
      </c>
      <c r="I301">
        <v>1.353602245</v>
      </c>
      <c r="J301">
        <v>1.2034331220000001</v>
      </c>
      <c r="K301">
        <v>1.340426967</v>
      </c>
      <c r="L301">
        <v>1.4243649030000001</v>
      </c>
      <c r="M301">
        <v>1.4996272319999999</v>
      </c>
      <c r="N301">
        <v>1.7109097609999999</v>
      </c>
      <c r="O301">
        <v>1.9809272229999999</v>
      </c>
    </row>
    <row r="302" spans="1:15" x14ac:dyDescent="0.2">
      <c r="A302">
        <v>2.0464732999999999E-2</v>
      </c>
      <c r="B302">
        <v>6.6533423999999994E-2</v>
      </c>
      <c r="C302">
        <v>0.22758485000000001</v>
      </c>
      <c r="D302">
        <v>0.51628940700000003</v>
      </c>
      <c r="E302">
        <v>0.57709029300000003</v>
      </c>
      <c r="F302">
        <v>0.72065388799999996</v>
      </c>
      <c r="G302">
        <v>0.97343170400000001</v>
      </c>
      <c r="H302">
        <v>1.172608503</v>
      </c>
      <c r="I302">
        <v>1.265149426</v>
      </c>
      <c r="J302">
        <v>1.4608533939999999</v>
      </c>
      <c r="K302">
        <v>1.513264588</v>
      </c>
      <c r="L302">
        <v>1.40364226</v>
      </c>
      <c r="M302">
        <v>1.7170717310000001</v>
      </c>
      <c r="N302">
        <v>1.8219655850000001</v>
      </c>
      <c r="O302">
        <v>1.9651281309999999</v>
      </c>
    </row>
    <row r="303" spans="1:15" x14ac:dyDescent="0.2">
      <c r="A303">
        <v>1.8601337999999999E-2</v>
      </c>
      <c r="B303">
        <v>0.112635311</v>
      </c>
      <c r="C303">
        <v>0.39270571500000001</v>
      </c>
      <c r="D303">
        <v>0.44526364000000002</v>
      </c>
      <c r="E303">
        <v>0.56732052099999997</v>
      </c>
      <c r="F303">
        <v>0.69324266899999998</v>
      </c>
      <c r="G303">
        <v>0.736620622</v>
      </c>
      <c r="H303">
        <v>0.97780711499999995</v>
      </c>
      <c r="I303">
        <v>1.1357337679999999</v>
      </c>
      <c r="J303">
        <v>1.335616095</v>
      </c>
      <c r="K303">
        <v>1.53386216</v>
      </c>
      <c r="L303">
        <v>1.483801887</v>
      </c>
      <c r="M303">
        <v>1.6376740540000001</v>
      </c>
      <c r="N303">
        <v>1.638323983</v>
      </c>
      <c r="O303">
        <v>2.0123992639999999</v>
      </c>
    </row>
    <row r="304" spans="1:15" x14ac:dyDescent="0.2">
      <c r="A304">
        <v>1.9863993999999999E-2</v>
      </c>
      <c r="B304">
        <v>9.0521102000000006E-2</v>
      </c>
      <c r="C304">
        <v>0.34692281600000002</v>
      </c>
      <c r="D304">
        <v>0.44218350000000001</v>
      </c>
      <c r="E304">
        <v>0.56648077299999999</v>
      </c>
      <c r="F304">
        <v>0.67539739600000004</v>
      </c>
      <c r="G304">
        <v>0.74183470100000004</v>
      </c>
      <c r="H304">
        <v>0.86418370899999997</v>
      </c>
      <c r="I304">
        <v>1.0637380080000001</v>
      </c>
      <c r="J304">
        <v>1.270077838</v>
      </c>
      <c r="K304">
        <v>1.5451939560000001</v>
      </c>
      <c r="L304">
        <v>1.4549897839999999</v>
      </c>
      <c r="M304">
        <v>1.44556212</v>
      </c>
      <c r="N304">
        <v>1.481606303</v>
      </c>
      <c r="O304">
        <v>1.595835914</v>
      </c>
    </row>
    <row r="305" spans="1:41" x14ac:dyDescent="0.2">
      <c r="A305">
        <v>2.1832755999999998E-2</v>
      </c>
      <c r="B305">
        <v>9.0403607999999996E-2</v>
      </c>
      <c r="C305">
        <v>0.278174174</v>
      </c>
      <c r="D305">
        <v>0.52399604300000002</v>
      </c>
      <c r="E305">
        <v>0.57384359900000004</v>
      </c>
      <c r="F305">
        <v>0.68766421700000002</v>
      </c>
      <c r="G305">
        <v>0.76449712700000005</v>
      </c>
      <c r="H305">
        <v>0.794738061</v>
      </c>
      <c r="I305">
        <v>0.88347306299999995</v>
      </c>
      <c r="J305">
        <v>0.91882444600000002</v>
      </c>
      <c r="K305">
        <v>1.1934595960000001</v>
      </c>
      <c r="L305">
        <v>1.846486896</v>
      </c>
      <c r="M305">
        <v>1.2435641209999999</v>
      </c>
      <c r="N305">
        <v>1.2283603249999999</v>
      </c>
      <c r="O305">
        <v>1.39272851</v>
      </c>
    </row>
    <row r="306" spans="1:41" x14ac:dyDescent="0.2">
      <c r="A306">
        <v>2.6187031999999999E-2</v>
      </c>
      <c r="B306">
        <v>9.6255671000000001E-2</v>
      </c>
      <c r="C306">
        <v>0.24168071899999999</v>
      </c>
      <c r="D306">
        <v>0.488023818</v>
      </c>
      <c r="E306">
        <v>0.62145012600000005</v>
      </c>
      <c r="F306">
        <v>0.64930780200000004</v>
      </c>
      <c r="G306">
        <v>0.73966623499999995</v>
      </c>
      <c r="H306">
        <v>0.78247270899999999</v>
      </c>
      <c r="I306">
        <v>0.88883602500000003</v>
      </c>
      <c r="J306">
        <v>0.92283076600000002</v>
      </c>
      <c r="K306">
        <v>0.99785922100000002</v>
      </c>
      <c r="L306">
        <v>1.012585791</v>
      </c>
      <c r="M306">
        <v>1.323337132</v>
      </c>
      <c r="N306">
        <v>1.02</v>
      </c>
      <c r="O306">
        <v>1.813203635</v>
      </c>
    </row>
    <row r="307" spans="1:41" x14ac:dyDescent="0.2">
      <c r="A307">
        <v>2.3780954999999999E-2</v>
      </c>
      <c r="B307">
        <v>0.10137905799999999</v>
      </c>
      <c r="C307">
        <v>0.20951737400000001</v>
      </c>
      <c r="D307">
        <v>0.44154918700000001</v>
      </c>
      <c r="E307">
        <v>0.57545548700000004</v>
      </c>
      <c r="F307">
        <v>0.66468271199999995</v>
      </c>
      <c r="G307">
        <v>0.75621935200000001</v>
      </c>
      <c r="H307">
        <v>0.75022213199999999</v>
      </c>
      <c r="I307">
        <v>0.84531409300000004</v>
      </c>
      <c r="J307">
        <v>0.88573799200000003</v>
      </c>
      <c r="K307">
        <v>0.72225717199999995</v>
      </c>
      <c r="L307">
        <v>0.83824616799999996</v>
      </c>
      <c r="M307">
        <v>0.876</v>
      </c>
      <c r="N307">
        <v>1.073925018</v>
      </c>
      <c r="O307">
        <v>0.96364492199999996</v>
      </c>
    </row>
    <row r="308" spans="1:41" x14ac:dyDescent="0.2">
      <c r="A308">
        <v>2.6255385999999999E-2</v>
      </c>
      <c r="B308">
        <v>0.111565442</v>
      </c>
      <c r="C308">
        <v>0.29226666800000001</v>
      </c>
      <c r="D308">
        <v>0.50546188599999997</v>
      </c>
      <c r="E308">
        <v>0.64191511300000004</v>
      </c>
      <c r="F308">
        <v>0.71473881399999994</v>
      </c>
      <c r="G308">
        <v>0.82308406999999995</v>
      </c>
      <c r="H308">
        <v>0.89860353500000001</v>
      </c>
      <c r="I308">
        <v>0.90103970099999997</v>
      </c>
      <c r="J308">
        <v>0.98917618100000004</v>
      </c>
      <c r="K308">
        <v>0.98556159099999996</v>
      </c>
      <c r="L308">
        <v>1.0428742849999999</v>
      </c>
      <c r="M308">
        <v>1.0677530959999999</v>
      </c>
      <c r="N308">
        <v>1.1200000000000001</v>
      </c>
      <c r="O308">
        <v>1.3898590230000001</v>
      </c>
    </row>
    <row r="309" spans="1:41" x14ac:dyDescent="0.2">
      <c r="A309">
        <v>2.3258416000000001E-2</v>
      </c>
      <c r="B309">
        <v>0.14836861600000001</v>
      </c>
      <c r="C309">
        <v>0.27794052800000002</v>
      </c>
      <c r="D309">
        <v>0.439964085</v>
      </c>
      <c r="E309">
        <v>0.58972634199999996</v>
      </c>
      <c r="F309">
        <v>0.695618089</v>
      </c>
      <c r="G309">
        <v>0.77438806400000004</v>
      </c>
      <c r="H309">
        <v>0.85426286200000001</v>
      </c>
      <c r="I309">
        <v>0.95997725899999997</v>
      </c>
      <c r="J309">
        <v>1.2331409760000001</v>
      </c>
      <c r="K309">
        <v>1.0225454199999999</v>
      </c>
      <c r="L309">
        <v>1.3499637579999999</v>
      </c>
      <c r="M309">
        <v>1.306771594</v>
      </c>
      <c r="N309">
        <v>0.92733974500000005</v>
      </c>
      <c r="O309">
        <v>1.3889025269999999</v>
      </c>
    </row>
    <row r="310" spans="1:41" x14ac:dyDescent="0.2">
      <c r="A310">
        <v>2.0477267E-2</v>
      </c>
      <c r="B310">
        <v>0.10411545899999999</v>
      </c>
      <c r="C310">
        <v>0.34738621200000003</v>
      </c>
      <c r="D310">
        <v>0.45208589599999999</v>
      </c>
      <c r="E310">
        <v>0.58267960600000002</v>
      </c>
      <c r="F310">
        <v>0.66819550900000002</v>
      </c>
      <c r="G310">
        <v>0.76391930100000005</v>
      </c>
      <c r="H310">
        <v>0.85268602900000001</v>
      </c>
      <c r="I310">
        <v>0.94489415600000004</v>
      </c>
      <c r="J310">
        <v>0.97167024999999996</v>
      </c>
      <c r="K310">
        <v>1.12161811</v>
      </c>
      <c r="L310">
        <v>1.4737532680000001</v>
      </c>
      <c r="M310">
        <v>1.2416626660000001</v>
      </c>
      <c r="N310">
        <v>0.89533596800000004</v>
      </c>
      <c r="O310">
        <v>1.247468824</v>
      </c>
    </row>
    <row r="311" spans="1:41" x14ac:dyDescent="0.2">
      <c r="A311" t="s">
        <v>43</v>
      </c>
    </row>
    <row r="312" spans="1:41" x14ac:dyDescent="0.2">
      <c r="A312" t="s">
        <v>44</v>
      </c>
    </row>
    <row r="313" spans="1:41" x14ac:dyDescent="0.2">
      <c r="A313">
        <v>14111.940350000001</v>
      </c>
      <c r="B313">
        <v>19731.2952</v>
      </c>
      <c r="C313">
        <v>10431.39111</v>
      </c>
      <c r="D313">
        <v>20832.387460000002</v>
      </c>
      <c r="E313">
        <v>12635.743549999999</v>
      </c>
      <c r="F313">
        <v>13298.68267</v>
      </c>
      <c r="G313">
        <v>20210.466990000001</v>
      </c>
      <c r="H313">
        <v>16808.33596</v>
      </c>
      <c r="I313">
        <v>18105.832689999999</v>
      </c>
      <c r="J313">
        <v>11671.254790000001</v>
      </c>
      <c r="K313">
        <v>9824.1674419999999</v>
      </c>
      <c r="L313">
        <v>12167.968580000001</v>
      </c>
      <c r="M313">
        <v>11754.658079999999</v>
      </c>
      <c r="N313">
        <v>15651.38747</v>
      </c>
      <c r="O313">
        <v>7164.9852899999996</v>
      </c>
      <c r="P313">
        <v>10373.70565</v>
      </c>
      <c r="Q313">
        <v>6805.9690179999998</v>
      </c>
      <c r="R313">
        <v>10275.00627</v>
      </c>
      <c r="S313">
        <v>12070.3436</v>
      </c>
      <c r="T313">
        <v>9976.7433700000001</v>
      </c>
      <c r="U313">
        <v>10154.81855</v>
      </c>
      <c r="V313">
        <v>16085.179169999999</v>
      </c>
      <c r="W313">
        <v>7150.1939650000004</v>
      </c>
      <c r="X313">
        <v>9735.1952170000004</v>
      </c>
      <c r="Y313">
        <v>5934.8320560000002</v>
      </c>
      <c r="Z313">
        <v>9716.3641380000008</v>
      </c>
      <c r="AA313">
        <v>5164.8823629999997</v>
      </c>
      <c r="AB313">
        <v>4448.4994040000001</v>
      </c>
      <c r="AC313">
        <v>7544.3564939999997</v>
      </c>
      <c r="AD313">
        <v>6110.9039359999997</v>
      </c>
      <c r="AE313">
        <v>8504.1197800000009</v>
      </c>
      <c r="AF313">
        <v>10289.762129999999</v>
      </c>
      <c r="AG313">
        <v>16288.73573</v>
      </c>
      <c r="AH313">
        <v>14753.103139999999</v>
      </c>
      <c r="AI313">
        <v>11394.55092</v>
      </c>
      <c r="AJ313">
        <v>10916.31234</v>
      </c>
      <c r="AK313">
        <v>7885.1962380000004</v>
      </c>
      <c r="AL313">
        <v>12014.715819999999</v>
      </c>
      <c r="AM313">
        <v>12000</v>
      </c>
      <c r="AN313">
        <v>12000</v>
      </c>
      <c r="AO313">
        <v>12000</v>
      </c>
    </row>
    <row r="314" spans="1:41" x14ac:dyDescent="0.2">
      <c r="A314" t="s">
        <v>45</v>
      </c>
    </row>
    <row r="315" spans="1:41" x14ac:dyDescent="0.2">
      <c r="A315">
        <v>8.1920888999999997E-2</v>
      </c>
      <c r="B315">
        <v>0.206726833</v>
      </c>
      <c r="C315">
        <v>0.23976330300000001</v>
      </c>
      <c r="D315">
        <v>0.32573582200000001</v>
      </c>
      <c r="E315">
        <v>0.110309958</v>
      </c>
      <c r="F315">
        <v>1.4714513E-2</v>
      </c>
      <c r="G315">
        <v>9.4980410000000005E-3</v>
      </c>
      <c r="H315">
        <v>4.5524559999999999E-3</v>
      </c>
      <c r="I315">
        <v>2.8189589999999998E-3</v>
      </c>
      <c r="J315">
        <v>1.7739450000000001E-3</v>
      </c>
      <c r="K315">
        <v>1.091685E-3</v>
      </c>
      <c r="L315">
        <v>6.46029E-4</v>
      </c>
      <c r="M315">
        <v>2.41041E-4</v>
      </c>
      <c r="N315">
        <v>1.0408699999999999E-4</v>
      </c>
      <c r="O315">
        <v>1.02438E-4</v>
      </c>
    </row>
    <row r="316" spans="1:41" x14ac:dyDescent="0.2">
      <c r="A316">
        <v>0.17332684900000001</v>
      </c>
      <c r="B316">
        <v>4.1012805999999999E-2</v>
      </c>
      <c r="C316">
        <v>0.11224693299999999</v>
      </c>
      <c r="D316">
        <v>0.17485024900000001</v>
      </c>
      <c r="E316">
        <v>0.35881293600000003</v>
      </c>
      <c r="F316">
        <v>0.103470295</v>
      </c>
      <c r="G316">
        <v>1.7558203000000001E-2</v>
      </c>
      <c r="H316">
        <v>7.9438229999999992E-3</v>
      </c>
      <c r="I316">
        <v>3.6325860000000001E-3</v>
      </c>
      <c r="J316">
        <v>3.2620180000000002E-3</v>
      </c>
      <c r="K316">
        <v>2.3239910000000001E-3</v>
      </c>
      <c r="L316">
        <v>8.4102600000000003E-4</v>
      </c>
      <c r="M316">
        <v>3.10086E-4</v>
      </c>
      <c r="N316">
        <v>2.77805E-4</v>
      </c>
      <c r="O316">
        <v>1.3039400000000001E-4</v>
      </c>
    </row>
    <row r="317" spans="1:41" x14ac:dyDescent="0.2">
      <c r="A317">
        <v>3.7249552999999998E-2</v>
      </c>
      <c r="B317">
        <v>3.0642689000000001E-2</v>
      </c>
      <c r="C317">
        <v>6.2393392999999998E-2</v>
      </c>
      <c r="D317">
        <v>0.17167296900000001</v>
      </c>
      <c r="E317">
        <v>0.190622605</v>
      </c>
      <c r="F317">
        <v>0.40721299399999999</v>
      </c>
      <c r="G317">
        <v>7.2103390000000003E-2</v>
      </c>
      <c r="H317">
        <v>1.5450553000000001E-2</v>
      </c>
      <c r="I317">
        <v>7.0381990000000002E-3</v>
      </c>
      <c r="J317">
        <v>2.3579769999999998E-3</v>
      </c>
      <c r="K317">
        <v>1.609896E-3</v>
      </c>
      <c r="L317">
        <v>6.0475299999999997E-4</v>
      </c>
      <c r="M317">
        <v>3.6373500000000001E-4</v>
      </c>
      <c r="N317">
        <v>4.5403000000000002E-4</v>
      </c>
      <c r="O317">
        <v>2.2326299999999999E-4</v>
      </c>
    </row>
    <row r="318" spans="1:41" x14ac:dyDescent="0.2">
      <c r="A318">
        <v>0.23757529499999999</v>
      </c>
      <c r="B318">
        <v>3.8376612999999997E-2</v>
      </c>
      <c r="C318">
        <v>0.18901003</v>
      </c>
      <c r="D318">
        <v>6.6531013E-2</v>
      </c>
      <c r="E318">
        <v>0.218562121</v>
      </c>
      <c r="F318">
        <v>0.13447323</v>
      </c>
      <c r="G318">
        <v>8.8878533999999995E-2</v>
      </c>
      <c r="H318">
        <v>1.6907218000000002E-2</v>
      </c>
      <c r="I318">
        <v>4.1257450000000001E-3</v>
      </c>
      <c r="J318">
        <v>3.4898569999999999E-3</v>
      </c>
      <c r="K318">
        <v>1.2161679999999999E-3</v>
      </c>
      <c r="L318">
        <v>3.8133900000000002E-4</v>
      </c>
      <c r="M318">
        <v>4.0690399999999998E-4</v>
      </c>
      <c r="N318" s="1">
        <v>3.4E-5</v>
      </c>
      <c r="O318" s="1">
        <v>3.1900000000000003E-5</v>
      </c>
    </row>
    <row r="319" spans="1:41" x14ac:dyDescent="0.2">
      <c r="A319">
        <v>0.17413915499999999</v>
      </c>
      <c r="B319">
        <v>5.7934645999999999E-2</v>
      </c>
      <c r="C319">
        <v>4.6777561000000002E-2</v>
      </c>
      <c r="D319">
        <v>0.19711801700000001</v>
      </c>
      <c r="E319">
        <v>0.100689137</v>
      </c>
      <c r="F319">
        <v>0.15206275399999999</v>
      </c>
      <c r="G319">
        <v>0.12623857499999999</v>
      </c>
      <c r="H319">
        <v>0.105264646</v>
      </c>
      <c r="I319">
        <v>3.1339394E-2</v>
      </c>
      <c r="J319">
        <v>4.8454279999999997E-3</v>
      </c>
      <c r="K319">
        <v>2.1762280000000001E-3</v>
      </c>
      <c r="L319">
        <v>9.6144100000000005E-4</v>
      </c>
      <c r="M319" s="1">
        <v>8.81E-5</v>
      </c>
      <c r="N319">
        <v>2.6876800000000001E-4</v>
      </c>
      <c r="O319" s="1">
        <v>9.6199999999999994E-5</v>
      </c>
    </row>
    <row r="320" spans="1:41" x14ac:dyDescent="0.2">
      <c r="A320">
        <v>3.4842994000000002E-2</v>
      </c>
      <c r="B320">
        <v>4.8880621999999999E-2</v>
      </c>
      <c r="C320">
        <v>8.3027677999999994E-2</v>
      </c>
      <c r="D320">
        <v>6.5267296000000002E-2</v>
      </c>
      <c r="E320">
        <v>0.393380116</v>
      </c>
      <c r="F320">
        <v>0.103095226</v>
      </c>
      <c r="G320">
        <v>9.4191051999999997E-2</v>
      </c>
      <c r="H320">
        <v>3.6608567000000002E-2</v>
      </c>
      <c r="I320">
        <v>0.11426175600000001</v>
      </c>
      <c r="J320">
        <v>1.8019716000000002E-2</v>
      </c>
      <c r="K320">
        <v>5.5216379999999997E-3</v>
      </c>
      <c r="L320">
        <v>2.100219E-3</v>
      </c>
      <c r="M320">
        <v>4.16201E-4</v>
      </c>
      <c r="N320">
        <v>2.04642E-4</v>
      </c>
      <c r="O320">
        <v>1.82277E-4</v>
      </c>
    </row>
    <row r="321" spans="1:15" x14ac:dyDescent="0.2">
      <c r="A321">
        <v>6.6992635999999994E-2</v>
      </c>
      <c r="B321">
        <v>3.3294213000000003E-2</v>
      </c>
      <c r="C321">
        <v>0.103990554</v>
      </c>
      <c r="D321">
        <v>0.20362962600000001</v>
      </c>
      <c r="E321">
        <v>8.7679365999999995E-2</v>
      </c>
      <c r="F321">
        <v>0.27058337799999999</v>
      </c>
      <c r="G321">
        <v>7.2437764000000002E-2</v>
      </c>
      <c r="H321">
        <v>5.1286937999999997E-2</v>
      </c>
      <c r="I321">
        <v>2.8478202000000001E-2</v>
      </c>
      <c r="J321">
        <v>6.8599632999999993E-2</v>
      </c>
      <c r="K321">
        <v>6.6139730000000004E-3</v>
      </c>
      <c r="L321">
        <v>3.8894390000000002E-3</v>
      </c>
      <c r="M321">
        <v>8.6547499999999999E-4</v>
      </c>
      <c r="N321">
        <v>1.044505E-3</v>
      </c>
      <c r="O321">
        <v>6.1429900000000001E-4</v>
      </c>
    </row>
    <row r="322" spans="1:15" x14ac:dyDescent="0.2">
      <c r="A322">
        <v>4.3446341999999999E-2</v>
      </c>
      <c r="B322">
        <v>2.6198613999999999E-2</v>
      </c>
      <c r="C322">
        <v>4.6165447999999998E-2</v>
      </c>
      <c r="D322">
        <v>0.14650671800000001</v>
      </c>
      <c r="E322">
        <v>0.32475329400000003</v>
      </c>
      <c r="F322">
        <v>6.1208890000000002E-2</v>
      </c>
      <c r="G322">
        <v>0.215912205</v>
      </c>
      <c r="H322">
        <v>3.0331391999999999E-2</v>
      </c>
      <c r="I322">
        <v>3.3576803000000002E-2</v>
      </c>
      <c r="J322">
        <v>1.2558603999999999E-2</v>
      </c>
      <c r="K322">
        <v>3.9354338000000003E-2</v>
      </c>
      <c r="L322">
        <v>6.7271570000000001E-3</v>
      </c>
      <c r="M322">
        <v>6.0125259999999998E-3</v>
      </c>
      <c r="N322">
        <v>2.8113470000000001E-3</v>
      </c>
      <c r="O322">
        <v>4.4363220000000004E-3</v>
      </c>
    </row>
    <row r="323" spans="1:15" x14ac:dyDescent="0.2">
      <c r="A323">
        <v>0.101805796</v>
      </c>
      <c r="B323">
        <v>1.2643835000000001E-2</v>
      </c>
      <c r="C323">
        <v>5.0539080000000002E-3</v>
      </c>
      <c r="D323">
        <v>5.2051069999999998E-2</v>
      </c>
      <c r="E323">
        <v>0.11751400100000001</v>
      </c>
      <c r="F323">
        <v>0.38075299699999998</v>
      </c>
      <c r="G323">
        <v>7.0039261000000005E-2</v>
      </c>
      <c r="H323">
        <v>0.16619507</v>
      </c>
      <c r="I323">
        <v>1.5729933000000001E-2</v>
      </c>
      <c r="J323">
        <v>2.7048578E-2</v>
      </c>
      <c r="K323">
        <v>4.1004980000000002E-3</v>
      </c>
      <c r="L323">
        <v>3.8110272000000001E-2</v>
      </c>
      <c r="M323">
        <v>3.2772930000000001E-3</v>
      </c>
      <c r="N323">
        <v>2.388636E-3</v>
      </c>
      <c r="O323">
        <v>3.2888520000000001E-3</v>
      </c>
    </row>
    <row r="324" spans="1:15" x14ac:dyDescent="0.2">
      <c r="A324">
        <v>0.245856147</v>
      </c>
      <c r="B324">
        <v>7.0188348999999997E-2</v>
      </c>
      <c r="C324">
        <v>2.7210497E-2</v>
      </c>
      <c r="D324">
        <v>1.0587835E-2</v>
      </c>
      <c r="E324">
        <v>7.4902539000000004E-2</v>
      </c>
      <c r="F324">
        <v>6.4159996999999996E-2</v>
      </c>
      <c r="G324">
        <v>0.19171697200000001</v>
      </c>
      <c r="H324">
        <v>6.6784756000000001E-2</v>
      </c>
      <c r="I324">
        <v>0.12900046600000001</v>
      </c>
      <c r="J324">
        <v>3.2568346999999997E-2</v>
      </c>
      <c r="K324">
        <v>4.3493300999999998E-2</v>
      </c>
      <c r="L324">
        <v>8.9145790000000006E-3</v>
      </c>
      <c r="M324">
        <v>2.6141358999999999E-2</v>
      </c>
      <c r="N324">
        <v>3.9702870000000003E-3</v>
      </c>
      <c r="O324">
        <v>4.5045720000000001E-3</v>
      </c>
    </row>
    <row r="325" spans="1:15" x14ac:dyDescent="0.2">
      <c r="A325">
        <v>0.14419416299999999</v>
      </c>
      <c r="B325">
        <v>4.0309795000000002E-2</v>
      </c>
      <c r="C325">
        <v>0.26814553400000002</v>
      </c>
      <c r="D325">
        <v>4.0199652000000002E-2</v>
      </c>
      <c r="E325">
        <v>4.8392715000000003E-2</v>
      </c>
      <c r="F325">
        <v>7.8424233999999995E-2</v>
      </c>
      <c r="G325">
        <v>6.9817395000000004E-2</v>
      </c>
      <c r="H325">
        <v>9.7344580999999999E-2</v>
      </c>
      <c r="I325">
        <v>4.1861464000000001E-2</v>
      </c>
      <c r="J325">
        <v>7.7394203999999994E-2</v>
      </c>
      <c r="K325">
        <v>2.6650126999999999E-2</v>
      </c>
      <c r="L325">
        <v>3.3126465000000001E-2</v>
      </c>
      <c r="M325">
        <v>1.4121687000000001E-2</v>
      </c>
      <c r="N325">
        <v>1.1118743E-2</v>
      </c>
      <c r="O325">
        <v>8.8992410000000004E-3</v>
      </c>
    </row>
    <row r="326" spans="1:15" x14ac:dyDescent="0.2">
      <c r="A326">
        <v>0.18728034299999999</v>
      </c>
      <c r="B326">
        <v>3.0832541000000002E-2</v>
      </c>
      <c r="C326">
        <v>8.0034036000000003E-2</v>
      </c>
      <c r="D326">
        <v>0.35652408600000002</v>
      </c>
      <c r="E326">
        <v>7.4238752000000005E-2</v>
      </c>
      <c r="F326">
        <v>5.6409592000000001E-2</v>
      </c>
      <c r="G326">
        <v>2.8178091999999998E-2</v>
      </c>
      <c r="H326">
        <v>3.6938646999999998E-2</v>
      </c>
      <c r="I326">
        <v>4.6808299999999997E-2</v>
      </c>
      <c r="J326">
        <v>2.8575369999999999E-2</v>
      </c>
      <c r="K326">
        <v>2.4722869000000001E-2</v>
      </c>
      <c r="L326">
        <v>1.7922185E-2</v>
      </c>
      <c r="M326">
        <v>1.4291289E-2</v>
      </c>
      <c r="N326">
        <v>7.7983549999999999E-3</v>
      </c>
      <c r="O326">
        <v>9.445541E-3</v>
      </c>
    </row>
    <row r="327" spans="1:15" x14ac:dyDescent="0.2">
      <c r="A327">
        <v>0.117206375</v>
      </c>
      <c r="B327">
        <v>5.2053591000000003E-2</v>
      </c>
      <c r="C327">
        <v>3.8274515000000002E-2</v>
      </c>
      <c r="D327">
        <v>0.149088995</v>
      </c>
      <c r="E327">
        <v>0.43432395400000001</v>
      </c>
      <c r="F327">
        <v>7.0595210000000005E-2</v>
      </c>
      <c r="G327">
        <v>1.6934033000000001E-2</v>
      </c>
      <c r="H327">
        <v>1.3045612999999999E-2</v>
      </c>
      <c r="I327">
        <v>1.4104129999999999E-2</v>
      </c>
      <c r="J327">
        <v>2.6053031000000001E-2</v>
      </c>
      <c r="K327">
        <v>1.5890672000000002E-2</v>
      </c>
      <c r="L327">
        <v>2.1970606E-2</v>
      </c>
      <c r="M327">
        <v>8.3951949999999994E-3</v>
      </c>
      <c r="N327">
        <v>8.2140730000000006E-3</v>
      </c>
      <c r="O327">
        <v>1.3850008E-2</v>
      </c>
    </row>
    <row r="328" spans="1:15" x14ac:dyDescent="0.2">
      <c r="A328">
        <v>0.102397375</v>
      </c>
      <c r="B328">
        <v>1.3726324E-2</v>
      </c>
      <c r="C328">
        <v>3.0164546E-2</v>
      </c>
      <c r="D328">
        <v>0.126603838</v>
      </c>
      <c r="E328">
        <v>0.18502305099999999</v>
      </c>
      <c r="F328">
        <v>0.32331361600000003</v>
      </c>
      <c r="G328">
        <v>0.118517598</v>
      </c>
      <c r="H328">
        <v>2.5628024999999999E-2</v>
      </c>
      <c r="I328">
        <v>1.4889405E-2</v>
      </c>
      <c r="J328">
        <v>9.3611690000000008E-3</v>
      </c>
      <c r="K328">
        <v>1.7218424E-2</v>
      </c>
      <c r="L328">
        <v>6.9681129999999997E-3</v>
      </c>
      <c r="M328">
        <v>1.2770106E-2</v>
      </c>
      <c r="N328">
        <v>5.1924270000000003E-3</v>
      </c>
      <c r="O328">
        <v>8.2259819999999997E-3</v>
      </c>
    </row>
    <row r="329" spans="1:15" x14ac:dyDescent="0.2">
      <c r="A329">
        <v>0.24301233799999999</v>
      </c>
      <c r="B329">
        <v>5.3421238000000003E-2</v>
      </c>
      <c r="C329">
        <v>2.4906623999999999E-2</v>
      </c>
      <c r="D329">
        <v>5.0941477999999998E-2</v>
      </c>
      <c r="E329">
        <v>0.14132287800000001</v>
      </c>
      <c r="F329">
        <v>0.187607101</v>
      </c>
      <c r="G329">
        <v>0.160379208</v>
      </c>
      <c r="H329">
        <v>5.2875900000000003E-2</v>
      </c>
      <c r="I329">
        <v>1.2792388E-2</v>
      </c>
      <c r="J329">
        <v>1.3834535E-2</v>
      </c>
      <c r="K329">
        <v>9.2514090000000004E-3</v>
      </c>
      <c r="L329">
        <v>1.7672101999999999E-2</v>
      </c>
      <c r="M329">
        <v>5.9381740000000001E-3</v>
      </c>
      <c r="N329">
        <v>1.0638013E-2</v>
      </c>
      <c r="O329">
        <v>1.5406614000000001E-2</v>
      </c>
    </row>
    <row r="330" spans="1:15" x14ac:dyDescent="0.2">
      <c r="A330">
        <v>0.225081013</v>
      </c>
      <c r="B330">
        <v>3.9203111999999998E-2</v>
      </c>
      <c r="C330">
        <v>2.1378240999999999E-2</v>
      </c>
      <c r="D330">
        <v>2.6080293000000001E-2</v>
      </c>
      <c r="E330">
        <v>0.29832926999999998</v>
      </c>
      <c r="F330">
        <v>0.13656275900000001</v>
      </c>
      <c r="G330">
        <v>8.0164295999999996E-2</v>
      </c>
      <c r="H330">
        <v>0.103065066</v>
      </c>
      <c r="I330">
        <v>1.7791372E-2</v>
      </c>
      <c r="J330">
        <v>8.9475240000000001E-3</v>
      </c>
      <c r="K330">
        <v>6.5021999999999996E-3</v>
      </c>
      <c r="L330">
        <v>6.9715300000000001E-3</v>
      </c>
      <c r="M330">
        <v>1.1877574E-2</v>
      </c>
      <c r="N330">
        <v>3.8029299999999999E-3</v>
      </c>
      <c r="O330">
        <v>1.4242819E-2</v>
      </c>
    </row>
    <row r="331" spans="1:15" x14ac:dyDescent="0.2">
      <c r="A331">
        <v>0.11253561500000001</v>
      </c>
      <c r="B331">
        <v>8.9113495000000001E-2</v>
      </c>
      <c r="C331">
        <v>4.8064889999999999E-2</v>
      </c>
      <c r="D331">
        <v>3.4510564000000001E-2</v>
      </c>
      <c r="E331">
        <v>7.2030779000000003E-2</v>
      </c>
      <c r="F331">
        <v>0.395746131</v>
      </c>
      <c r="G331">
        <v>0.101441716</v>
      </c>
      <c r="H331">
        <v>6.1432525000000002E-2</v>
      </c>
      <c r="I331">
        <v>4.6664074999999999E-2</v>
      </c>
      <c r="J331">
        <v>1.1997186999999999E-2</v>
      </c>
      <c r="K331">
        <v>5.2906869999999996E-3</v>
      </c>
      <c r="L331">
        <v>1.8150379999999999E-3</v>
      </c>
      <c r="M331">
        <v>4.1365630000000002E-3</v>
      </c>
      <c r="N331">
        <v>4.4480630000000004E-3</v>
      </c>
      <c r="O331">
        <v>1.0772672E-2</v>
      </c>
    </row>
    <row r="332" spans="1:15" x14ac:dyDescent="0.2">
      <c r="A332">
        <v>8.7405698000000004E-2</v>
      </c>
      <c r="B332">
        <v>9.8265063E-2</v>
      </c>
      <c r="C332">
        <v>0.114449013</v>
      </c>
      <c r="D332">
        <v>0.10908001000000001</v>
      </c>
      <c r="E332">
        <v>6.0488039E-2</v>
      </c>
      <c r="F332">
        <v>0.111322301</v>
      </c>
      <c r="G332">
        <v>0.26057210600000003</v>
      </c>
      <c r="H332">
        <v>6.6818660000000002E-2</v>
      </c>
      <c r="I332">
        <v>3.1784566E-2</v>
      </c>
      <c r="J332">
        <v>2.9356212999999999E-2</v>
      </c>
      <c r="K332">
        <v>1.0980962E-2</v>
      </c>
      <c r="L332">
        <v>4.6540080000000003E-3</v>
      </c>
      <c r="M332">
        <v>1.896879E-3</v>
      </c>
      <c r="N332">
        <v>2.8060849999999998E-3</v>
      </c>
      <c r="O332">
        <v>1.0120399E-2</v>
      </c>
    </row>
    <row r="333" spans="1:15" x14ac:dyDescent="0.2">
      <c r="A333">
        <v>7.6231276000000001E-2</v>
      </c>
      <c r="B333">
        <v>2.7352463E-2</v>
      </c>
      <c r="C333">
        <v>5.0551032000000003E-2</v>
      </c>
      <c r="D333">
        <v>0.15699624500000001</v>
      </c>
      <c r="E333">
        <v>0.157608153</v>
      </c>
      <c r="F333">
        <v>8.7379044000000003E-2</v>
      </c>
      <c r="G333">
        <v>6.9518146000000003E-2</v>
      </c>
      <c r="H333">
        <v>0.21111363599999999</v>
      </c>
      <c r="I333">
        <v>7.9884616000000006E-2</v>
      </c>
      <c r="J333">
        <v>4.1654530000000002E-2</v>
      </c>
      <c r="K333">
        <v>1.7853424999999999E-2</v>
      </c>
      <c r="L333">
        <v>1.1427376E-2</v>
      </c>
      <c r="M333">
        <v>3.5809629999999999E-3</v>
      </c>
      <c r="N333">
        <v>1.621957E-3</v>
      </c>
      <c r="O333">
        <v>7.2271380000000001E-3</v>
      </c>
    </row>
    <row r="334" spans="1:15" x14ac:dyDescent="0.2">
      <c r="A334">
        <v>0.17460004700000001</v>
      </c>
      <c r="B334">
        <v>0.10741996600000001</v>
      </c>
      <c r="C334">
        <v>6.3755813999999994E-2</v>
      </c>
      <c r="D334">
        <v>6.1564261000000002E-2</v>
      </c>
      <c r="E334">
        <v>0.14823069799999999</v>
      </c>
      <c r="F334">
        <v>0.145513912</v>
      </c>
      <c r="G334">
        <v>6.0668463999999998E-2</v>
      </c>
      <c r="H334">
        <v>2.9479095E-2</v>
      </c>
      <c r="I334">
        <v>8.7423371999999999E-2</v>
      </c>
      <c r="J334">
        <v>6.2254525999999998E-2</v>
      </c>
      <c r="K334">
        <v>2.3702688999999999E-2</v>
      </c>
      <c r="L334">
        <v>1.8495279999999999E-2</v>
      </c>
      <c r="M334">
        <v>7.0920510000000003E-3</v>
      </c>
      <c r="N334">
        <v>2.5864030000000001E-3</v>
      </c>
      <c r="O334">
        <v>7.2134230000000001E-3</v>
      </c>
    </row>
    <row r="335" spans="1:15" x14ac:dyDescent="0.2">
      <c r="A335">
        <v>0.124929794</v>
      </c>
      <c r="B335">
        <v>3.6198130000000002E-2</v>
      </c>
      <c r="C335">
        <v>7.2855901000000001E-2</v>
      </c>
      <c r="D335">
        <v>0.113419624</v>
      </c>
      <c r="E335">
        <v>0.12530660199999999</v>
      </c>
      <c r="F335">
        <v>0.16247234499999999</v>
      </c>
      <c r="G335">
        <v>8.1114081000000005E-2</v>
      </c>
      <c r="H335">
        <v>3.9250762000000002E-2</v>
      </c>
      <c r="I335">
        <v>5.2549208E-2</v>
      </c>
      <c r="J335">
        <v>9.7973457E-2</v>
      </c>
      <c r="K335">
        <v>4.8863286999999998E-2</v>
      </c>
      <c r="L335">
        <v>2.2466633E-2</v>
      </c>
      <c r="M335">
        <v>1.3369761000000001E-2</v>
      </c>
      <c r="N335">
        <v>4.2212630000000003E-3</v>
      </c>
      <c r="O335">
        <v>5.0091509999999999E-3</v>
      </c>
    </row>
    <row r="336" spans="1:15" x14ac:dyDescent="0.2">
      <c r="A336">
        <v>3.9824858999999997E-2</v>
      </c>
      <c r="B336">
        <v>1.1550886E-2</v>
      </c>
      <c r="C336">
        <v>7.8737601000000004E-2</v>
      </c>
      <c r="D336">
        <v>0.127624931</v>
      </c>
      <c r="E336">
        <v>0.145902476</v>
      </c>
      <c r="F336">
        <v>0.12510975999999999</v>
      </c>
      <c r="G336">
        <v>0.15698953099999999</v>
      </c>
      <c r="H336">
        <v>8.1091395999999996E-2</v>
      </c>
      <c r="I336">
        <v>3.3856942000000001E-2</v>
      </c>
      <c r="J336">
        <v>4.4246349999999997E-2</v>
      </c>
      <c r="K336">
        <v>8.6152013E-2</v>
      </c>
      <c r="L336">
        <v>3.8974472000000003E-2</v>
      </c>
      <c r="M336">
        <v>1.6186861E-2</v>
      </c>
      <c r="N336">
        <v>6.6305629999999999E-3</v>
      </c>
      <c r="O336">
        <v>7.1213589999999998E-3</v>
      </c>
    </row>
    <row r="337" spans="1:15" x14ac:dyDescent="0.2">
      <c r="A337">
        <v>4.9490299000000001E-2</v>
      </c>
      <c r="B337">
        <v>3.3238902000000001E-2</v>
      </c>
      <c r="C337">
        <v>2.3743315000000001E-2</v>
      </c>
      <c r="D337">
        <v>0.20171104200000001</v>
      </c>
      <c r="E337">
        <v>0.19769046400000001</v>
      </c>
      <c r="F337">
        <v>0.14651272900000001</v>
      </c>
      <c r="G337">
        <v>8.1888961999999996E-2</v>
      </c>
      <c r="H337">
        <v>8.6614607999999996E-2</v>
      </c>
      <c r="I337">
        <v>4.2883325E-2</v>
      </c>
      <c r="J337">
        <v>2.7051966E-2</v>
      </c>
      <c r="K337">
        <v>2.7082723999999999E-2</v>
      </c>
      <c r="L337">
        <v>4.9638931999999997E-2</v>
      </c>
      <c r="M337">
        <v>2.2004261000000001E-2</v>
      </c>
      <c r="N337">
        <v>5.6769430000000003E-3</v>
      </c>
      <c r="O337">
        <v>4.7715270000000002E-3</v>
      </c>
    </row>
    <row r="338" spans="1:15" x14ac:dyDescent="0.2">
      <c r="A338">
        <v>3.8975037999999997E-2</v>
      </c>
      <c r="B338">
        <v>1.4384373000000001E-2</v>
      </c>
      <c r="C338">
        <v>2.3440968E-2</v>
      </c>
      <c r="D338">
        <v>0.113441896</v>
      </c>
      <c r="E338">
        <v>0.32273417500000001</v>
      </c>
      <c r="F338">
        <v>0.20500162499999999</v>
      </c>
      <c r="G338">
        <v>0.103817007</v>
      </c>
      <c r="H338">
        <v>4.7118491999999998E-2</v>
      </c>
      <c r="I338">
        <v>3.5826621000000003E-2</v>
      </c>
      <c r="J338">
        <v>2.6068529999999999E-2</v>
      </c>
      <c r="K338">
        <v>7.2609390000000001E-3</v>
      </c>
      <c r="L338">
        <v>1.515527E-2</v>
      </c>
      <c r="M338">
        <v>2.5073888999999999E-2</v>
      </c>
      <c r="N338">
        <v>1.0226776999999999E-2</v>
      </c>
      <c r="O338">
        <v>1.1474401E-2</v>
      </c>
    </row>
    <row r="339" spans="1:15" x14ac:dyDescent="0.2">
      <c r="A339">
        <v>0.118075139</v>
      </c>
      <c r="B339">
        <v>1.0916633E-2</v>
      </c>
      <c r="C339">
        <v>1.6489208000000002E-2</v>
      </c>
      <c r="D339">
        <v>7.5219224000000001E-2</v>
      </c>
      <c r="E339">
        <v>0.20233169000000001</v>
      </c>
      <c r="F339">
        <v>0.23813256599999999</v>
      </c>
      <c r="G339">
        <v>0.139939644</v>
      </c>
      <c r="H339">
        <v>6.3758460000000003E-2</v>
      </c>
      <c r="I339">
        <v>3.5388505000000001E-2</v>
      </c>
      <c r="J339">
        <v>2.9530587000000001E-2</v>
      </c>
      <c r="K339">
        <v>1.420389E-2</v>
      </c>
      <c r="L339">
        <v>8.8138049999999992E-3</v>
      </c>
      <c r="M339">
        <v>1.2641326E-2</v>
      </c>
      <c r="N339">
        <v>1.7029954E-2</v>
      </c>
      <c r="O339">
        <v>1.7529369E-2</v>
      </c>
    </row>
    <row r="340" spans="1:15" x14ac:dyDescent="0.2">
      <c r="A340">
        <v>0.21668347800000001</v>
      </c>
      <c r="B340">
        <v>5.3872620000000003E-3</v>
      </c>
      <c r="C340">
        <v>1.7557814000000001E-2</v>
      </c>
      <c r="D340">
        <v>5.5895129000000002E-2</v>
      </c>
      <c r="E340">
        <v>0.175186859</v>
      </c>
      <c r="F340">
        <v>0.19858188800000001</v>
      </c>
      <c r="G340">
        <v>0.13207925500000001</v>
      </c>
      <c r="H340">
        <v>9.2953937E-2</v>
      </c>
      <c r="I340">
        <v>3.6394317000000002E-2</v>
      </c>
      <c r="J340">
        <v>1.5619637E-2</v>
      </c>
      <c r="K340">
        <v>1.4503935000000001E-2</v>
      </c>
      <c r="L340">
        <v>1.2310098E-2</v>
      </c>
      <c r="M340">
        <v>5.6870059999999997E-3</v>
      </c>
      <c r="N340">
        <v>6.9183609999999996E-3</v>
      </c>
      <c r="O340">
        <v>1.4241022000000001E-2</v>
      </c>
    </row>
    <row r="341" spans="1:15" x14ac:dyDescent="0.2">
      <c r="A341">
        <v>8.0746565000000006E-2</v>
      </c>
      <c r="B341">
        <v>1.9739526E-2</v>
      </c>
      <c r="C341">
        <v>2.2003976000000001E-2</v>
      </c>
      <c r="D341">
        <v>4.2194678999999999E-2</v>
      </c>
      <c r="E341">
        <v>0.126705446</v>
      </c>
      <c r="F341">
        <v>0.24836575299999999</v>
      </c>
      <c r="G341">
        <v>0.180495396</v>
      </c>
      <c r="H341">
        <v>0.114914317</v>
      </c>
      <c r="I341">
        <v>6.8552795999999999E-2</v>
      </c>
      <c r="J341">
        <v>2.4880768000000001E-2</v>
      </c>
      <c r="K341">
        <v>2.0295661999999999E-2</v>
      </c>
      <c r="L341">
        <v>1.5279612999999999E-2</v>
      </c>
      <c r="M341">
        <v>6.9806449999999997E-3</v>
      </c>
      <c r="N341">
        <v>3.861958E-3</v>
      </c>
      <c r="O341">
        <v>2.4982902000000001E-2</v>
      </c>
    </row>
    <row r="342" spans="1:15" x14ac:dyDescent="0.2">
      <c r="A342">
        <v>0.17224086399999999</v>
      </c>
      <c r="B342">
        <v>4.3133528999999997E-2</v>
      </c>
      <c r="C342">
        <v>8.8470455000000003E-2</v>
      </c>
      <c r="D342">
        <v>9.9624239000000003E-2</v>
      </c>
      <c r="E342">
        <v>6.7728305000000003E-2</v>
      </c>
      <c r="F342">
        <v>0.10216721500000001</v>
      </c>
      <c r="G342">
        <v>0.144898945</v>
      </c>
      <c r="H342">
        <v>0.110139138</v>
      </c>
      <c r="I342">
        <v>7.8908303999999999E-2</v>
      </c>
      <c r="J342">
        <v>3.5878992999999998E-2</v>
      </c>
      <c r="K342">
        <v>2.2601990999999998E-2</v>
      </c>
      <c r="L342">
        <v>7.1497669999999996E-3</v>
      </c>
      <c r="M342">
        <v>7.1926439999999998E-3</v>
      </c>
      <c r="N342">
        <v>3.7098690000000002E-3</v>
      </c>
      <c r="O342">
        <v>1.6155743E-2</v>
      </c>
    </row>
    <row r="343" spans="1:15" x14ac:dyDescent="0.2">
      <c r="A343">
        <v>5.355621E-2</v>
      </c>
      <c r="B343">
        <v>1.5099437E-2</v>
      </c>
      <c r="C343">
        <v>3.4557971E-2</v>
      </c>
      <c r="D343">
        <v>0.45170262900000002</v>
      </c>
      <c r="E343">
        <v>0.18590980200000001</v>
      </c>
      <c r="F343">
        <v>5.2224534000000003E-2</v>
      </c>
      <c r="G343">
        <v>4.1752668E-2</v>
      </c>
      <c r="H343">
        <v>4.2752205000000001E-2</v>
      </c>
      <c r="I343">
        <v>4.2862307000000002E-2</v>
      </c>
      <c r="J343">
        <v>2.9370136000000002E-2</v>
      </c>
      <c r="K343">
        <v>2.500024E-2</v>
      </c>
      <c r="L343">
        <v>9.0925559999999999E-3</v>
      </c>
      <c r="M343">
        <v>5.4373820000000002E-3</v>
      </c>
      <c r="N343">
        <v>3.2154459999999998E-3</v>
      </c>
      <c r="O343">
        <v>7.466477E-3</v>
      </c>
    </row>
    <row r="344" spans="1:15" x14ac:dyDescent="0.2">
      <c r="A344">
        <v>0.187665526</v>
      </c>
      <c r="B344">
        <v>1.9830522E-2</v>
      </c>
      <c r="C344">
        <v>5.1655260000000001E-2</v>
      </c>
      <c r="D344">
        <v>6.2131040999999998E-2</v>
      </c>
      <c r="E344">
        <v>0.31180756300000001</v>
      </c>
      <c r="F344">
        <v>0.15049178199999999</v>
      </c>
      <c r="G344">
        <v>4.2490461E-2</v>
      </c>
      <c r="H344">
        <v>2.3177613999999999E-2</v>
      </c>
      <c r="I344">
        <v>3.5249154999999997E-2</v>
      </c>
      <c r="J344">
        <v>3.4768974000000001E-2</v>
      </c>
      <c r="K344">
        <v>2.963271E-2</v>
      </c>
      <c r="L344">
        <v>2.2756498999999999E-2</v>
      </c>
      <c r="M344">
        <v>9.9206669999999993E-3</v>
      </c>
      <c r="N344">
        <v>4.6813649999999998E-3</v>
      </c>
      <c r="O344">
        <v>1.3740862E-2</v>
      </c>
    </row>
    <row r="345" spans="1:15" x14ac:dyDescent="0.2">
      <c r="A345">
        <v>0.13041071200000001</v>
      </c>
      <c r="B345">
        <v>2.0933858999999999E-2</v>
      </c>
      <c r="C345">
        <v>4.9272407999999997E-2</v>
      </c>
      <c r="D345">
        <v>0.42447421099999999</v>
      </c>
      <c r="E345">
        <v>9.6748939000000006E-2</v>
      </c>
      <c r="F345">
        <v>0.144740339</v>
      </c>
      <c r="G345">
        <v>4.5956707999999999E-2</v>
      </c>
      <c r="H345">
        <v>1.7223512999999999E-2</v>
      </c>
      <c r="I345">
        <v>1.1499303000000001E-2</v>
      </c>
      <c r="J345">
        <v>1.578775E-2</v>
      </c>
      <c r="K345">
        <v>1.2698734999999999E-2</v>
      </c>
      <c r="L345">
        <v>1.0978739E-2</v>
      </c>
      <c r="M345">
        <v>9.4544920000000001E-3</v>
      </c>
      <c r="N345">
        <v>3.3909610000000001E-3</v>
      </c>
      <c r="O345">
        <v>6.4293299999999996E-3</v>
      </c>
    </row>
    <row r="346" spans="1:15" x14ac:dyDescent="0.2">
      <c r="A346">
        <v>0.113363821</v>
      </c>
      <c r="B346">
        <v>1.2071205999999999E-2</v>
      </c>
      <c r="C346">
        <v>2.4655917999999999E-2</v>
      </c>
      <c r="D346">
        <v>0.102686154</v>
      </c>
      <c r="E346">
        <v>0.49547940000000001</v>
      </c>
      <c r="F346">
        <v>0.11170608899999999</v>
      </c>
      <c r="G346">
        <v>6.8080186000000001E-2</v>
      </c>
      <c r="H346">
        <v>2.3811756999999999E-2</v>
      </c>
      <c r="I346">
        <v>8.0617850000000001E-3</v>
      </c>
      <c r="J346">
        <v>7.1996940000000004E-3</v>
      </c>
      <c r="K346">
        <v>9.450969E-3</v>
      </c>
      <c r="L346">
        <v>7.158223E-3</v>
      </c>
      <c r="M346">
        <v>6.8798649999999998E-3</v>
      </c>
      <c r="N346">
        <v>3.9302779999999997E-3</v>
      </c>
      <c r="O346">
        <v>5.4646549999999997E-3</v>
      </c>
    </row>
    <row r="347" spans="1:15" x14ac:dyDescent="0.2">
      <c r="A347">
        <v>0.12989334</v>
      </c>
      <c r="B347">
        <v>2.4988409999999999E-2</v>
      </c>
      <c r="C347">
        <v>1.4342295999999999E-2</v>
      </c>
      <c r="D347">
        <v>2.5395576E-2</v>
      </c>
      <c r="E347">
        <v>0.118132139</v>
      </c>
      <c r="F347">
        <v>0.39782526099999999</v>
      </c>
      <c r="G347">
        <v>0.196244316</v>
      </c>
      <c r="H347">
        <v>4.1170216000000003E-2</v>
      </c>
      <c r="I347">
        <v>2.2375874E-2</v>
      </c>
      <c r="J347">
        <v>8.0729679999999998E-3</v>
      </c>
      <c r="K347">
        <v>3.155691E-3</v>
      </c>
      <c r="L347">
        <v>4.5134720000000001E-3</v>
      </c>
      <c r="M347">
        <v>4.6809879999999996E-3</v>
      </c>
      <c r="N347">
        <v>2.3106530000000002E-3</v>
      </c>
      <c r="O347">
        <v>6.8988010000000004E-3</v>
      </c>
    </row>
    <row r="348" spans="1:15" x14ac:dyDescent="0.2">
      <c r="A348">
        <v>8.2825278000000002E-2</v>
      </c>
      <c r="B348">
        <v>5.2884863999999997E-2</v>
      </c>
      <c r="C348">
        <v>0.157748579</v>
      </c>
      <c r="D348">
        <v>4.2063729000000001E-2</v>
      </c>
      <c r="E348">
        <v>8.6113493999999999E-2</v>
      </c>
      <c r="F348">
        <v>0.15531520200000001</v>
      </c>
      <c r="G348">
        <v>0.29269402500000002</v>
      </c>
      <c r="H348">
        <v>8.6402445999999994E-2</v>
      </c>
      <c r="I348">
        <v>2.1831331999999998E-2</v>
      </c>
      <c r="J348">
        <v>1.0791313E-2</v>
      </c>
      <c r="K348">
        <v>1.5415019999999999E-3</v>
      </c>
      <c r="L348">
        <v>1.4703699999999999E-3</v>
      </c>
      <c r="M348">
        <v>2.7742219999999998E-3</v>
      </c>
      <c r="N348">
        <v>1.6967709999999999E-3</v>
      </c>
      <c r="O348">
        <v>3.846875E-3</v>
      </c>
    </row>
    <row r="349" spans="1:15" x14ac:dyDescent="0.2">
      <c r="A349">
        <v>5.5519331999999998E-2</v>
      </c>
      <c r="B349">
        <v>3.4607173999999997E-2</v>
      </c>
      <c r="C349">
        <v>5.0995118999999998E-2</v>
      </c>
      <c r="D349">
        <v>0.281542562</v>
      </c>
      <c r="E349">
        <v>0.118759195</v>
      </c>
      <c r="F349">
        <v>8.3888669999999999E-2</v>
      </c>
      <c r="G349">
        <v>0.123654033</v>
      </c>
      <c r="H349">
        <v>0.188205556</v>
      </c>
      <c r="I349">
        <v>3.7859586000000001E-2</v>
      </c>
      <c r="J349">
        <v>1.5484881000000001E-2</v>
      </c>
      <c r="K349">
        <v>5.5698040000000002E-3</v>
      </c>
      <c r="L349">
        <v>1.221258E-3</v>
      </c>
      <c r="M349">
        <v>1.2747279999999999E-3</v>
      </c>
      <c r="N349">
        <v>4.5699199999999998E-4</v>
      </c>
      <c r="O349">
        <v>9.6111000000000005E-4</v>
      </c>
    </row>
    <row r="350" spans="1:15" x14ac:dyDescent="0.2">
      <c r="A350">
        <v>5.6145379000000002E-2</v>
      </c>
      <c r="B350">
        <v>2.3066206999999998E-2</v>
      </c>
      <c r="C350">
        <v>3.9150292000000003E-2</v>
      </c>
      <c r="D350">
        <v>0.19043995499999999</v>
      </c>
      <c r="E350">
        <v>0.25116035199999998</v>
      </c>
      <c r="F350">
        <v>0.114705447</v>
      </c>
      <c r="G350">
        <v>8.8379718999999995E-2</v>
      </c>
      <c r="H350">
        <v>8.2888979000000002E-2</v>
      </c>
      <c r="I350">
        <v>0.10593836700000001</v>
      </c>
      <c r="J350">
        <v>3.0408147999999999E-2</v>
      </c>
      <c r="K350">
        <v>1.1678256E-2</v>
      </c>
      <c r="L350">
        <v>3.9197800000000003E-3</v>
      </c>
      <c r="M350">
        <v>5.9671599999999996E-4</v>
      </c>
      <c r="N350">
        <v>3.49842E-4</v>
      </c>
      <c r="O350">
        <v>1.1725590000000001E-3</v>
      </c>
    </row>
    <row r="351" spans="1:15" x14ac:dyDescent="0.2">
      <c r="A351">
        <v>0.14078016300000001</v>
      </c>
      <c r="B351">
        <v>5.8871881000000001E-2</v>
      </c>
      <c r="C351">
        <v>3.1462939000000002E-2</v>
      </c>
      <c r="D351">
        <v>4.5462745999999998E-2</v>
      </c>
      <c r="E351">
        <v>0.31197186999999998</v>
      </c>
      <c r="F351">
        <v>0.19173688899999999</v>
      </c>
      <c r="G351">
        <v>6.6527393000000004E-2</v>
      </c>
      <c r="H351">
        <v>4.8439707999999998E-2</v>
      </c>
      <c r="I351">
        <v>4.9796478999999998E-2</v>
      </c>
      <c r="J351">
        <v>4.0772338999999998E-2</v>
      </c>
      <c r="K351">
        <v>1.1429178E-2</v>
      </c>
      <c r="L351">
        <v>1.778033E-3</v>
      </c>
      <c r="M351">
        <v>2.2817900000000001E-4</v>
      </c>
      <c r="N351" s="1">
        <v>3.6999999999999998E-5</v>
      </c>
      <c r="O351">
        <v>7.05234E-4</v>
      </c>
    </row>
    <row r="352" spans="1:15" x14ac:dyDescent="0.2">
      <c r="A352">
        <v>0.161117808</v>
      </c>
      <c r="B352">
        <v>4.2879694000000003E-2</v>
      </c>
      <c r="C352">
        <v>3.5610004000000001E-2</v>
      </c>
      <c r="D352">
        <v>3.6910420999999999E-2</v>
      </c>
      <c r="E352">
        <v>0.10559197400000001</v>
      </c>
      <c r="F352">
        <v>0.37670505100000001</v>
      </c>
      <c r="G352">
        <v>0.150563842</v>
      </c>
      <c r="H352">
        <v>3.5816644000000002E-2</v>
      </c>
      <c r="I352">
        <v>2.5808090999999998E-2</v>
      </c>
      <c r="J352">
        <v>1.5278943999999999E-2</v>
      </c>
      <c r="K352">
        <v>8.0409360000000003E-3</v>
      </c>
      <c r="L352">
        <v>3.6495109999999998E-3</v>
      </c>
      <c r="M352">
        <v>1.4456810000000001E-3</v>
      </c>
      <c r="N352">
        <v>4.1444300000000002E-4</v>
      </c>
      <c r="O352">
        <v>1.6695600000000001E-4</v>
      </c>
    </row>
    <row r="353" spans="1:18" x14ac:dyDescent="0.2">
      <c r="A353">
        <v>0.110728675</v>
      </c>
      <c r="B353">
        <v>8.6385777999999996E-2</v>
      </c>
      <c r="C353">
        <v>0.21330675800000001</v>
      </c>
      <c r="D353">
        <v>8.1149930999999995E-2</v>
      </c>
      <c r="E353">
        <v>7.4056760999999999E-2</v>
      </c>
      <c r="F353">
        <v>5.3854180000000001E-2</v>
      </c>
      <c r="G353">
        <v>0.137442852</v>
      </c>
      <c r="H353">
        <v>0.15857923600000001</v>
      </c>
      <c r="I353">
        <v>4.1947302999999998E-2</v>
      </c>
      <c r="J353">
        <v>1.6265380999999999E-2</v>
      </c>
      <c r="K353">
        <v>1.3680444E-2</v>
      </c>
      <c r="L353">
        <v>8.8392239999999997E-3</v>
      </c>
      <c r="M353">
        <v>1.9310079999999999E-3</v>
      </c>
      <c r="N353">
        <v>1.362849E-3</v>
      </c>
      <c r="O353">
        <v>4.69619E-4</v>
      </c>
    </row>
    <row r="354" spans="1:18" x14ac:dyDescent="0.2">
      <c r="A354">
        <v>7.0491249000000006E-2</v>
      </c>
      <c r="B354">
        <v>3.0157033999999999E-2</v>
      </c>
      <c r="C354">
        <v>5.1322299000000002E-2</v>
      </c>
      <c r="D354">
        <v>0.34458620299999998</v>
      </c>
      <c r="E354">
        <v>0.16201391200000001</v>
      </c>
      <c r="F354">
        <v>6.3619352000000004E-2</v>
      </c>
      <c r="G354">
        <v>7.0520944000000002E-2</v>
      </c>
      <c r="H354">
        <v>9.2912303000000002E-2</v>
      </c>
      <c r="I354">
        <v>7.2619126000000006E-2</v>
      </c>
      <c r="J354">
        <v>2.2007377000000002E-2</v>
      </c>
      <c r="K354">
        <v>8.4734519999999994E-3</v>
      </c>
      <c r="L354">
        <v>7.0031729999999997E-3</v>
      </c>
      <c r="M354">
        <v>2.7997299999999998E-3</v>
      </c>
      <c r="N354">
        <v>1.299754E-3</v>
      </c>
      <c r="O354">
        <v>1.74093E-4</v>
      </c>
    </row>
    <row r="355" spans="1:18" x14ac:dyDescent="0.2">
      <c r="A355">
        <v>0.13541039799999999</v>
      </c>
      <c r="B355">
        <v>4.7096951999999997E-2</v>
      </c>
      <c r="C355">
        <v>4.2001411000000002E-2</v>
      </c>
      <c r="D355">
        <v>7.7045033999999998E-2</v>
      </c>
      <c r="E355">
        <v>0.32935088600000001</v>
      </c>
      <c r="F355">
        <v>9.5810203999999996E-2</v>
      </c>
      <c r="G355">
        <v>5.2922292000000003E-2</v>
      </c>
      <c r="H355">
        <v>5.2889738999999998E-2</v>
      </c>
      <c r="I355">
        <v>8.4103379000000006E-2</v>
      </c>
      <c r="J355">
        <v>5.9365696000000003E-2</v>
      </c>
      <c r="K355">
        <v>1.2721181E-2</v>
      </c>
      <c r="L355">
        <v>5.3015720000000001E-3</v>
      </c>
      <c r="M355">
        <v>3.256395E-3</v>
      </c>
      <c r="N355">
        <v>1.289896E-3</v>
      </c>
      <c r="O355">
        <v>1.4349650000000001E-3</v>
      </c>
    </row>
    <row r="356" spans="1:18" x14ac:dyDescent="0.2">
      <c r="A356" t="s">
        <v>46</v>
      </c>
    </row>
    <row r="357" spans="1:18" x14ac:dyDescent="0.2">
      <c r="A357">
        <v>1756.207762</v>
      </c>
      <c r="B357">
        <v>886.35983810000005</v>
      </c>
      <c r="C357">
        <v>956.99326880000001</v>
      </c>
      <c r="D357">
        <v>2135.987298</v>
      </c>
      <c r="E357">
        <v>965.49670400000002</v>
      </c>
      <c r="F357">
        <v>1466.768941</v>
      </c>
      <c r="G357">
        <v>1032.597546</v>
      </c>
      <c r="H357">
        <v>469.30041440000002</v>
      </c>
      <c r="I357">
        <v>666.37823470000001</v>
      </c>
      <c r="J357">
        <v>1459.2904129999999</v>
      </c>
      <c r="K357">
        <v>1033.5853959999999</v>
      </c>
      <c r="L357">
        <v>2461.3636550000001</v>
      </c>
      <c r="M357">
        <v>1650.0997709999999</v>
      </c>
      <c r="N357">
        <v>3236.3082220000001</v>
      </c>
      <c r="O357">
        <v>3054.0310439999998</v>
      </c>
      <c r="P357">
        <v>1500</v>
      </c>
      <c r="Q357">
        <v>4000</v>
      </c>
      <c r="R357">
        <v>4000</v>
      </c>
    </row>
    <row r="358" spans="1:18" x14ac:dyDescent="0.2">
      <c r="A358" t="s">
        <v>47</v>
      </c>
    </row>
    <row r="359" spans="1:18" x14ac:dyDescent="0.2">
      <c r="A359">
        <v>1140.0851399999999</v>
      </c>
      <c r="B359">
        <v>4969.0522559999999</v>
      </c>
      <c r="C359">
        <v>1424.4732690000001</v>
      </c>
      <c r="D359">
        <v>1818.5809260000001</v>
      </c>
      <c r="E359">
        <v>2251.768172</v>
      </c>
      <c r="F359">
        <v>389.1130852</v>
      </c>
      <c r="G359">
        <v>108.5917858</v>
      </c>
      <c r="H359">
        <v>95.88827757</v>
      </c>
      <c r="I359">
        <v>56.201938560000002</v>
      </c>
      <c r="J359">
        <v>67.125239690000001</v>
      </c>
      <c r="K359">
        <v>30.325586779999998</v>
      </c>
      <c r="L359">
        <v>51.13689729</v>
      </c>
      <c r="M359">
        <v>20.633513789999999</v>
      </c>
      <c r="N359">
        <v>17.628238899999999</v>
      </c>
      <c r="O359">
        <v>34.356061230000002</v>
      </c>
    </row>
    <row r="360" spans="1:18" x14ac:dyDescent="0.2">
      <c r="A360">
        <v>1800.2540550000001</v>
      </c>
      <c r="B360">
        <v>566.66512890000001</v>
      </c>
      <c r="C360">
        <v>552.1605677</v>
      </c>
      <c r="D360">
        <v>2741.05969</v>
      </c>
      <c r="E360">
        <v>914.96275760000003</v>
      </c>
      <c r="F360">
        <v>633.53149229999997</v>
      </c>
      <c r="G360">
        <v>585.04104989999996</v>
      </c>
      <c r="H360">
        <v>141.69026349999999</v>
      </c>
      <c r="I360">
        <v>38.61581297</v>
      </c>
      <c r="J360">
        <v>28.170044690000001</v>
      </c>
      <c r="K360">
        <v>22.42098893</v>
      </c>
      <c r="L360">
        <v>39.471901750000001</v>
      </c>
      <c r="M360">
        <v>13.931626980000001</v>
      </c>
      <c r="N360">
        <v>24.815192199999998</v>
      </c>
      <c r="O360">
        <v>35.758686900000001</v>
      </c>
    </row>
    <row r="361" spans="1:18" x14ac:dyDescent="0.2">
      <c r="A361">
        <v>13226.7894</v>
      </c>
      <c r="B361">
        <v>2881.0381910000001</v>
      </c>
      <c r="C361">
        <v>440.49410610000001</v>
      </c>
      <c r="D361">
        <v>535.64101100000005</v>
      </c>
      <c r="E361">
        <v>2330.3172880000002</v>
      </c>
      <c r="F361">
        <v>546.44430469999998</v>
      </c>
      <c r="G361">
        <v>313.01169629999998</v>
      </c>
      <c r="H361">
        <v>290.36236860000002</v>
      </c>
      <c r="I361">
        <v>75.110043140000002</v>
      </c>
      <c r="J361">
        <v>27.829137540000001</v>
      </c>
      <c r="K361">
        <v>30.8666707</v>
      </c>
      <c r="L361">
        <v>35.150965890000002</v>
      </c>
      <c r="M361">
        <v>38.921928800000003</v>
      </c>
      <c r="N361">
        <v>18.714737329999998</v>
      </c>
      <c r="O361">
        <v>68.921656049999996</v>
      </c>
    </row>
    <row r="362" spans="1:18" x14ac:dyDescent="0.2">
      <c r="A362">
        <v>607.20365200000003</v>
      </c>
      <c r="B362">
        <v>1779.9949570000001</v>
      </c>
      <c r="C362">
        <v>3717.060555</v>
      </c>
      <c r="D362">
        <v>1809.6749420000001</v>
      </c>
      <c r="E362">
        <v>651.86233589999995</v>
      </c>
      <c r="F362">
        <v>397.52067219999998</v>
      </c>
      <c r="G362">
        <v>1548.0324539999999</v>
      </c>
      <c r="H362">
        <v>526.25221790000001</v>
      </c>
      <c r="I362">
        <v>180.02083870000001</v>
      </c>
      <c r="J362">
        <v>141.64589910000001</v>
      </c>
      <c r="K362">
        <v>48.242948499999997</v>
      </c>
      <c r="L362">
        <v>20.49954722</v>
      </c>
      <c r="M362">
        <v>10.26681262</v>
      </c>
      <c r="N362">
        <v>7.7953667949999996</v>
      </c>
      <c r="O362">
        <v>20.08813323</v>
      </c>
    </row>
    <row r="363" spans="1:18" x14ac:dyDescent="0.2">
      <c r="A363">
        <v>460.36640310000001</v>
      </c>
      <c r="B363">
        <v>1322.0302790000001</v>
      </c>
      <c r="C363">
        <v>1230.0548590000001</v>
      </c>
      <c r="D363">
        <v>2588.0272890000001</v>
      </c>
      <c r="E363">
        <v>1011.827791</v>
      </c>
      <c r="F363">
        <v>326.61534289999997</v>
      </c>
      <c r="G363">
        <v>308.36422210000001</v>
      </c>
      <c r="H363">
        <v>949.55203489999997</v>
      </c>
      <c r="I363">
        <v>277.58517160000002</v>
      </c>
      <c r="J363">
        <v>134.09810970000001</v>
      </c>
      <c r="K363">
        <v>60.258588899999999</v>
      </c>
      <c r="L363">
        <v>35.599602249999997</v>
      </c>
      <c r="M363">
        <v>6.9873676480000002</v>
      </c>
      <c r="N363">
        <v>4.555128345</v>
      </c>
      <c r="O363">
        <v>10.210465579999999</v>
      </c>
    </row>
    <row r="364" spans="1:18" x14ac:dyDescent="0.2">
      <c r="A364">
        <v>796.39685029999998</v>
      </c>
      <c r="B364">
        <v>4943.941366</v>
      </c>
      <c r="C364">
        <v>3385.1004800000001</v>
      </c>
      <c r="D364">
        <v>1294.9325980000001</v>
      </c>
      <c r="E364">
        <v>660.61841949999996</v>
      </c>
      <c r="F364">
        <v>935.29347289999998</v>
      </c>
      <c r="G364">
        <v>538.44206770000005</v>
      </c>
      <c r="H364">
        <v>140.35786479999999</v>
      </c>
      <c r="I364">
        <v>162.4464571</v>
      </c>
      <c r="J364">
        <v>304.46125019999999</v>
      </c>
      <c r="K364">
        <v>103.61153</v>
      </c>
      <c r="L364">
        <v>45.372169960000001</v>
      </c>
      <c r="M364">
        <v>20.195607760000001</v>
      </c>
      <c r="N364">
        <v>12.17925292</v>
      </c>
      <c r="O364">
        <v>7.2811632319999999</v>
      </c>
    </row>
    <row r="365" spans="1:18" x14ac:dyDescent="0.2">
      <c r="A365">
        <v>83.054497420000004</v>
      </c>
      <c r="B365">
        <v>313.46852799999999</v>
      </c>
      <c r="C365">
        <v>1216.887645</v>
      </c>
      <c r="D365">
        <v>3122.587708</v>
      </c>
      <c r="E365">
        <v>1634.3134190000001</v>
      </c>
      <c r="F365">
        <v>567.11590469999999</v>
      </c>
      <c r="G365">
        <v>287.70947890000002</v>
      </c>
      <c r="H365">
        <v>282.71122029999998</v>
      </c>
      <c r="I365">
        <v>120.9099574</v>
      </c>
      <c r="J365">
        <v>68.490474460000001</v>
      </c>
      <c r="K365">
        <v>58.851892059999997</v>
      </c>
      <c r="L365">
        <v>77.005276300000006</v>
      </c>
      <c r="M365">
        <v>37.421352769999999</v>
      </c>
      <c r="N365">
        <v>12.53381701</v>
      </c>
      <c r="O365">
        <v>10.630835129999999</v>
      </c>
    </row>
    <row r="366" spans="1:18" x14ac:dyDescent="0.2">
      <c r="A366">
        <v>524.71095969999999</v>
      </c>
      <c r="B366">
        <v>216.99598520000001</v>
      </c>
      <c r="C366">
        <v>291.2456803</v>
      </c>
      <c r="D366">
        <v>654.09685420000005</v>
      </c>
      <c r="E366">
        <v>783.37609299999997</v>
      </c>
      <c r="F366">
        <v>658.55630099999996</v>
      </c>
      <c r="G366">
        <v>390.20024899999999</v>
      </c>
      <c r="H366">
        <v>144.88895460000001</v>
      </c>
      <c r="I366">
        <v>74.79552563</v>
      </c>
      <c r="J366">
        <v>58.553903579999997</v>
      </c>
      <c r="K366">
        <v>32.824918349999997</v>
      </c>
      <c r="L366">
        <v>21.719213159999999</v>
      </c>
      <c r="M366">
        <v>16.492805369999999</v>
      </c>
      <c r="N366">
        <v>19.794140970000001</v>
      </c>
      <c r="O366">
        <v>22.04510144</v>
      </c>
    </row>
    <row r="367" spans="1:18" x14ac:dyDescent="0.2">
      <c r="A367">
        <v>5775.2941449999998</v>
      </c>
      <c r="B367">
        <v>1040.5871460000001</v>
      </c>
      <c r="C367">
        <v>345.09752650000001</v>
      </c>
      <c r="D367">
        <v>477.80343290000002</v>
      </c>
      <c r="E367">
        <v>793.68820619999997</v>
      </c>
      <c r="F367">
        <v>729.4436647</v>
      </c>
      <c r="G367">
        <v>406.88807780000002</v>
      </c>
      <c r="H367">
        <v>240.79008139999999</v>
      </c>
      <c r="I367">
        <v>97.686941759999996</v>
      </c>
      <c r="J367">
        <v>39.261616619999998</v>
      </c>
      <c r="K367">
        <v>37.240400149999999</v>
      </c>
      <c r="L367">
        <v>18.81644455</v>
      </c>
      <c r="M367">
        <v>9.1721203960000004</v>
      </c>
      <c r="N367">
        <v>9.5783720559999992</v>
      </c>
      <c r="O367">
        <v>21.021197659999999</v>
      </c>
    </row>
    <row r="368" spans="1:18" x14ac:dyDescent="0.2">
      <c r="A368">
        <v>70.869874030000005</v>
      </c>
      <c r="B368">
        <v>2914.7813299999998</v>
      </c>
      <c r="C368">
        <v>1046.982702</v>
      </c>
      <c r="D368">
        <v>166.03642120000001</v>
      </c>
      <c r="E368">
        <v>160.8390551</v>
      </c>
      <c r="F368">
        <v>287.56999400000001</v>
      </c>
      <c r="G368">
        <v>234.90743119999999</v>
      </c>
      <c r="H368">
        <v>136.08854969999999</v>
      </c>
      <c r="I368">
        <v>101.8481235</v>
      </c>
      <c r="J368">
        <v>31.995840619999999</v>
      </c>
      <c r="K368">
        <v>30.135659059999998</v>
      </c>
      <c r="L368">
        <v>19.00020739</v>
      </c>
      <c r="M368">
        <v>10.87302568</v>
      </c>
      <c r="N368">
        <v>5.6228518940000001</v>
      </c>
      <c r="O368">
        <v>22.471211220000001</v>
      </c>
    </row>
    <row r="369" spans="1:18" x14ac:dyDescent="0.2">
      <c r="A369">
        <v>5196.7862720000003</v>
      </c>
      <c r="B369">
        <v>815.82891099999995</v>
      </c>
      <c r="C369">
        <v>1734.132089</v>
      </c>
      <c r="D369">
        <v>281.2670693</v>
      </c>
      <c r="E369">
        <v>76.694509479999994</v>
      </c>
      <c r="F369">
        <v>94.104663790000004</v>
      </c>
      <c r="G369">
        <v>128.87727380000001</v>
      </c>
      <c r="H369">
        <v>110.7631581</v>
      </c>
      <c r="I369">
        <v>76.720420290000007</v>
      </c>
      <c r="J369">
        <v>44.225916609999999</v>
      </c>
      <c r="K369">
        <v>25.174215019999998</v>
      </c>
      <c r="L369">
        <v>11.28920278</v>
      </c>
      <c r="M369">
        <v>10.05579329</v>
      </c>
      <c r="N369">
        <v>5.5001058839999999</v>
      </c>
      <c r="O369">
        <v>18.189537139999999</v>
      </c>
    </row>
    <row r="370" spans="1:18" x14ac:dyDescent="0.2">
      <c r="A370">
        <v>2567.932041</v>
      </c>
      <c r="B370">
        <v>6404.1275569999998</v>
      </c>
      <c r="C370">
        <v>983.55517599999996</v>
      </c>
      <c r="D370">
        <v>2294.894996</v>
      </c>
      <c r="E370">
        <v>445.87511439999997</v>
      </c>
      <c r="F370">
        <v>73.082948389999999</v>
      </c>
      <c r="G370">
        <v>33.246447269999997</v>
      </c>
      <c r="H370">
        <v>36.887298229999999</v>
      </c>
      <c r="I370">
        <v>37.752843140000003</v>
      </c>
      <c r="J370">
        <v>28.93219886</v>
      </c>
      <c r="K370">
        <v>25.956083540000002</v>
      </c>
      <c r="L370">
        <v>13.14394723</v>
      </c>
      <c r="M370">
        <v>8.0262054999999997</v>
      </c>
      <c r="N370">
        <v>4.8905865229999996</v>
      </c>
      <c r="O370">
        <v>9.7714417440000005</v>
      </c>
    </row>
    <row r="371" spans="1:18" x14ac:dyDescent="0.2">
      <c r="A371">
        <v>177.3461428</v>
      </c>
      <c r="B371">
        <v>1988.6601330000001</v>
      </c>
      <c r="C371">
        <v>1692.89158</v>
      </c>
      <c r="D371">
        <v>2710.228204</v>
      </c>
      <c r="E371">
        <v>279.68625370000001</v>
      </c>
      <c r="F371">
        <v>366.66840280000002</v>
      </c>
      <c r="G371">
        <v>113.14035490000001</v>
      </c>
      <c r="H371">
        <v>35.687332980000001</v>
      </c>
      <c r="I371">
        <v>24.894591999999999</v>
      </c>
      <c r="J371">
        <v>28.74222129</v>
      </c>
      <c r="K371">
        <v>25.056611</v>
      </c>
      <c r="L371">
        <v>17.894431229999999</v>
      </c>
      <c r="M371">
        <v>16.169349969999999</v>
      </c>
      <c r="N371">
        <v>5.0759217850000002</v>
      </c>
      <c r="O371">
        <v>9.9051977440000005</v>
      </c>
    </row>
    <row r="372" spans="1:18" x14ac:dyDescent="0.2">
      <c r="A372">
        <v>4750.826376</v>
      </c>
      <c r="B372">
        <v>8655.1263670000008</v>
      </c>
      <c r="C372">
        <v>969.46123390000002</v>
      </c>
      <c r="D372">
        <v>1161.049534</v>
      </c>
      <c r="E372">
        <v>1118.694291</v>
      </c>
      <c r="F372">
        <v>1769.616489</v>
      </c>
      <c r="G372">
        <v>740.11967319999997</v>
      </c>
      <c r="H372">
        <v>170.14623449999999</v>
      </c>
      <c r="I372">
        <v>78.810030260000005</v>
      </c>
      <c r="J372">
        <v>31.519963990000001</v>
      </c>
      <c r="K372">
        <v>12.57992471</v>
      </c>
      <c r="L372">
        <v>13.86996375</v>
      </c>
      <c r="M372">
        <v>14.05970784</v>
      </c>
      <c r="N372">
        <v>7.7035707990000004</v>
      </c>
      <c r="O372">
        <v>19.07043007</v>
      </c>
    </row>
    <row r="373" spans="1:18" x14ac:dyDescent="0.2">
      <c r="A373">
        <v>173.75231439999999</v>
      </c>
      <c r="B373">
        <v>1037.867561</v>
      </c>
      <c r="C373">
        <v>4496.0586929999999</v>
      </c>
      <c r="D373">
        <v>4476.3974740000003</v>
      </c>
      <c r="E373">
        <v>715.46514920000004</v>
      </c>
      <c r="F373">
        <v>348.09875110000002</v>
      </c>
      <c r="G373">
        <v>392.19569949999999</v>
      </c>
      <c r="H373">
        <v>420.28668090000002</v>
      </c>
      <c r="I373">
        <v>95.667050090000004</v>
      </c>
      <c r="J373">
        <v>30.74347277</v>
      </c>
      <c r="K373">
        <v>17.982651109999999</v>
      </c>
      <c r="L373">
        <v>5.8435077839999998</v>
      </c>
      <c r="M373">
        <v>3.5520013060000002</v>
      </c>
      <c r="N373">
        <v>2.24751704</v>
      </c>
      <c r="O373">
        <v>3.4661237800000002</v>
      </c>
    </row>
    <row r="374" spans="1:18" x14ac:dyDescent="0.2">
      <c r="A374">
        <v>449.9560697</v>
      </c>
      <c r="B374">
        <v>516.60935610000001</v>
      </c>
      <c r="C374">
        <v>248.6421369</v>
      </c>
      <c r="D374">
        <v>621.18175280000003</v>
      </c>
      <c r="E374">
        <v>2267.541471</v>
      </c>
      <c r="F374">
        <v>944.10345310000002</v>
      </c>
      <c r="G374">
        <v>198.37848009999999</v>
      </c>
      <c r="H374">
        <v>111.75346140000001</v>
      </c>
      <c r="I374">
        <v>107.3072124</v>
      </c>
      <c r="J374">
        <v>74.910888819999997</v>
      </c>
      <c r="K374">
        <v>19.72410485</v>
      </c>
      <c r="L374">
        <v>5.5064802530000003</v>
      </c>
      <c r="M374">
        <v>2.8538340980000001</v>
      </c>
      <c r="N374">
        <v>0</v>
      </c>
      <c r="O374">
        <v>1.379630275</v>
      </c>
    </row>
    <row r="375" spans="1:18" x14ac:dyDescent="0.2">
      <c r="A375">
        <v>350</v>
      </c>
      <c r="B375">
        <v>1180</v>
      </c>
      <c r="C375">
        <v>4550</v>
      </c>
      <c r="D375">
        <v>4440</v>
      </c>
      <c r="E375">
        <v>1190</v>
      </c>
      <c r="F375">
        <v>490</v>
      </c>
      <c r="G375">
        <v>560</v>
      </c>
      <c r="H375">
        <v>650</v>
      </c>
      <c r="I375">
        <v>130</v>
      </c>
      <c r="J375">
        <v>60</v>
      </c>
      <c r="K375">
        <v>30</v>
      </c>
      <c r="L375">
        <v>10</v>
      </c>
      <c r="M375">
        <v>10</v>
      </c>
      <c r="N375">
        <v>0</v>
      </c>
      <c r="O375">
        <v>10</v>
      </c>
    </row>
    <row r="376" spans="1:18" x14ac:dyDescent="0.2">
      <c r="A376">
        <v>141.55993710000001</v>
      </c>
      <c r="B376">
        <v>332.3180686</v>
      </c>
      <c r="C376">
        <v>975.2239558</v>
      </c>
      <c r="D376">
        <v>6577.7283360000001</v>
      </c>
      <c r="E376">
        <v>819.42248919999997</v>
      </c>
      <c r="F376">
        <v>211.0354178</v>
      </c>
      <c r="G376">
        <v>132.9748998</v>
      </c>
      <c r="H376">
        <v>239.12243620000001</v>
      </c>
      <c r="I376">
        <v>166.25072309999999</v>
      </c>
      <c r="J376">
        <v>33.859152139999999</v>
      </c>
      <c r="K376">
        <v>16.726261139999998</v>
      </c>
      <c r="L376">
        <v>17.897776409999999</v>
      </c>
      <c r="M376">
        <v>6.5767711320000002</v>
      </c>
      <c r="N376">
        <v>2.1390213710000001</v>
      </c>
      <c r="O376">
        <v>1.566526045</v>
      </c>
    </row>
    <row r="377" spans="1:18" x14ac:dyDescent="0.2">
      <c r="A377" t="s">
        <v>48</v>
      </c>
    </row>
    <row r="378" spans="1:18" x14ac:dyDescent="0.2">
      <c r="A378">
        <v>3628.9292999999998</v>
      </c>
      <c r="B378">
        <v>2944.77187</v>
      </c>
      <c r="C378">
        <v>3590.8405400000001</v>
      </c>
      <c r="D378">
        <v>4141.37057</v>
      </c>
      <c r="E378">
        <v>3625.86364</v>
      </c>
      <c r="F378">
        <v>4305.86229</v>
      </c>
      <c r="G378">
        <v>4009.9370399999998</v>
      </c>
      <c r="H378">
        <v>1872.8632700000001</v>
      </c>
      <c r="I378">
        <v>2277.944</v>
      </c>
      <c r="J378">
        <v>1405.59025</v>
      </c>
      <c r="K378">
        <v>1324.7813699999999</v>
      </c>
      <c r="L378">
        <v>2642.6749</v>
      </c>
      <c r="M378">
        <v>2295.9518499999999</v>
      </c>
      <c r="N378">
        <v>4729.8277200000002</v>
      </c>
      <c r="O378">
        <v>4828.7934800000003</v>
      </c>
      <c r="P378">
        <v>2499.4010600000001</v>
      </c>
      <c r="Q378">
        <v>3617</v>
      </c>
      <c r="R378">
        <v>3834.0425100000002</v>
      </c>
    </row>
    <row r="379" spans="1:18" x14ac:dyDescent="0.2">
      <c r="A379" t="s">
        <v>49</v>
      </c>
    </row>
    <row r="380" spans="1:18" x14ac:dyDescent="0.2">
      <c r="A380">
        <v>685.88779999999997</v>
      </c>
      <c r="B380">
        <v>437.87997999999999</v>
      </c>
      <c r="C380">
        <v>485.94997999999998</v>
      </c>
      <c r="D380">
        <v>846.42433000000005</v>
      </c>
      <c r="E380">
        <v>466.54349000000002</v>
      </c>
      <c r="F380">
        <v>535.67926999999997</v>
      </c>
      <c r="G380">
        <v>579.13679999999999</v>
      </c>
      <c r="H380">
        <v>293.23714999999999</v>
      </c>
      <c r="I380">
        <v>399.67315000000002</v>
      </c>
      <c r="J380">
        <v>365.98969</v>
      </c>
      <c r="K380">
        <v>425.21071999999998</v>
      </c>
      <c r="L380">
        <v>661.55564000000004</v>
      </c>
      <c r="M380">
        <v>365.48014000000001</v>
      </c>
      <c r="N380">
        <v>761.94960000000003</v>
      </c>
      <c r="O380">
        <v>422.06108999999998</v>
      </c>
      <c r="P380">
        <v>460.77933000000002</v>
      </c>
      <c r="Q380">
        <v>1625.43092</v>
      </c>
      <c r="R380">
        <v>1228.11095</v>
      </c>
    </row>
    <row r="381" spans="1:18" x14ac:dyDescent="0.2">
      <c r="A381" t="s">
        <v>50</v>
      </c>
    </row>
    <row r="382" spans="1:18" x14ac:dyDescent="0.2">
      <c r="A382">
        <v>2.8098301999999999E-2</v>
      </c>
      <c r="B382">
        <v>8.8950365000000003E-2</v>
      </c>
      <c r="C382">
        <v>0.23383385100000001</v>
      </c>
      <c r="D382">
        <v>0.38728862400000003</v>
      </c>
      <c r="E382">
        <v>0.56223516200000001</v>
      </c>
      <c r="F382">
        <v>0.63220144</v>
      </c>
      <c r="G382">
        <v>0.70435157900000001</v>
      </c>
      <c r="H382">
        <v>0.848887748</v>
      </c>
      <c r="I382">
        <v>0.96902235599999997</v>
      </c>
      <c r="J382">
        <v>1.1383616519999999</v>
      </c>
      <c r="K382">
        <v>1.2318210599999999</v>
      </c>
      <c r="L382">
        <v>1.4452066619999999</v>
      </c>
      <c r="M382">
        <v>1.403855796</v>
      </c>
      <c r="N382">
        <v>1.3566260560000001</v>
      </c>
      <c r="O382">
        <v>1.8225866049999999</v>
      </c>
    </row>
    <row r="383" spans="1:18" x14ac:dyDescent="0.2">
      <c r="A383">
        <v>3.7773965999999999E-2</v>
      </c>
      <c r="B383">
        <v>7.9180711000000001E-2</v>
      </c>
      <c r="C383">
        <v>0.228031394</v>
      </c>
      <c r="D383">
        <v>0.33085802600000003</v>
      </c>
      <c r="E383">
        <v>0.48248502199999999</v>
      </c>
      <c r="F383">
        <v>0.67108446499999996</v>
      </c>
      <c r="G383">
        <v>0.82861438300000001</v>
      </c>
      <c r="H383">
        <v>0.85391744400000003</v>
      </c>
      <c r="I383">
        <v>0.97196752099999995</v>
      </c>
      <c r="J383">
        <v>1.046543204</v>
      </c>
      <c r="K383">
        <v>1.211815358</v>
      </c>
      <c r="L383">
        <v>1.406491996</v>
      </c>
      <c r="M383">
        <v>1.1713102390000001</v>
      </c>
      <c r="N383">
        <v>1.470779469</v>
      </c>
      <c r="O383">
        <v>1.5958965300000001</v>
      </c>
    </row>
    <row r="384" spans="1:18" x14ac:dyDescent="0.2">
      <c r="A384">
        <v>3.3802090999999999E-2</v>
      </c>
      <c r="B384">
        <v>0.134739627</v>
      </c>
      <c r="C384">
        <v>0.25756815599999999</v>
      </c>
      <c r="D384">
        <v>0.38417733300000001</v>
      </c>
      <c r="E384">
        <v>0.479309027</v>
      </c>
      <c r="F384">
        <v>0.61145219299999998</v>
      </c>
      <c r="G384">
        <v>0.785806012</v>
      </c>
      <c r="H384">
        <v>0.97908672699999999</v>
      </c>
      <c r="I384">
        <v>1.045964863</v>
      </c>
      <c r="J384">
        <v>1.1455787909999999</v>
      </c>
      <c r="K384">
        <v>1.2395724539999999</v>
      </c>
      <c r="L384">
        <v>1.7150218610000001</v>
      </c>
      <c r="M384">
        <v>2.033758674</v>
      </c>
      <c r="N384">
        <v>1.6727860459999999</v>
      </c>
      <c r="O384">
        <v>1.423109296</v>
      </c>
    </row>
    <row r="385" spans="1:15" x14ac:dyDescent="0.2">
      <c r="A385">
        <v>2.9428196E-2</v>
      </c>
      <c r="B385">
        <v>9.8627188000000005E-2</v>
      </c>
      <c r="C385">
        <v>0.23558357999999999</v>
      </c>
      <c r="D385">
        <v>0.38024560800000001</v>
      </c>
      <c r="E385">
        <v>0.466445375</v>
      </c>
      <c r="F385">
        <v>0.59992930700000002</v>
      </c>
      <c r="G385">
        <v>0.64284738399999997</v>
      </c>
      <c r="H385">
        <v>0.69693298599999998</v>
      </c>
      <c r="I385">
        <v>0.80857328500000003</v>
      </c>
      <c r="J385">
        <v>0.93479224100000002</v>
      </c>
      <c r="K385">
        <v>0.98371624300000005</v>
      </c>
      <c r="L385">
        <v>1.1100902319999999</v>
      </c>
      <c r="M385">
        <v>0.89625691500000004</v>
      </c>
      <c r="N385">
        <v>1.6190419739999999</v>
      </c>
      <c r="O385">
        <v>1.2896664550000001</v>
      </c>
    </row>
    <row r="386" spans="1:15" x14ac:dyDescent="0.2">
      <c r="A386">
        <v>3.1532787E-2</v>
      </c>
      <c r="B386">
        <v>0.113172734</v>
      </c>
      <c r="C386">
        <v>0.24018762299999999</v>
      </c>
      <c r="D386">
        <v>0.39289284899999999</v>
      </c>
      <c r="E386">
        <v>0.54301159700000001</v>
      </c>
      <c r="F386">
        <v>0.63974694700000001</v>
      </c>
      <c r="G386">
        <v>0.71219186199999995</v>
      </c>
      <c r="H386">
        <v>0.74585136799999996</v>
      </c>
      <c r="I386">
        <v>0.78238122899999996</v>
      </c>
      <c r="J386">
        <v>0.90146914700000003</v>
      </c>
      <c r="K386">
        <v>1.0948500249999999</v>
      </c>
      <c r="L386">
        <v>0.92357504999999995</v>
      </c>
      <c r="M386">
        <v>1.072474776</v>
      </c>
      <c r="N386">
        <v>1.892101509</v>
      </c>
      <c r="O386">
        <v>1.416936706</v>
      </c>
    </row>
    <row r="387" spans="1:15" x14ac:dyDescent="0.2">
      <c r="A387">
        <v>3.3327848E-2</v>
      </c>
      <c r="B387">
        <v>0.133008776</v>
      </c>
      <c r="C387">
        <v>0.25604884</v>
      </c>
      <c r="D387">
        <v>0.39670786000000002</v>
      </c>
      <c r="E387">
        <v>0.56382238500000004</v>
      </c>
      <c r="F387">
        <v>0.67988364700000004</v>
      </c>
      <c r="G387">
        <v>0.80502076199999995</v>
      </c>
      <c r="H387">
        <v>0.93651840099999994</v>
      </c>
      <c r="I387">
        <v>1.006467236</v>
      </c>
      <c r="J387">
        <v>1.0344345909999999</v>
      </c>
      <c r="K387">
        <v>1.142940509</v>
      </c>
      <c r="L387">
        <v>1.0969760900000001</v>
      </c>
      <c r="M387">
        <v>1.5081782880000001</v>
      </c>
      <c r="N387">
        <v>1.440500871</v>
      </c>
      <c r="O387">
        <v>1.309022423</v>
      </c>
    </row>
    <row r="388" spans="1:15" x14ac:dyDescent="0.2">
      <c r="A388">
        <v>2.3417064000000001E-2</v>
      </c>
      <c r="B388">
        <v>0.115008316</v>
      </c>
      <c r="C388">
        <v>0.27688895600000002</v>
      </c>
      <c r="D388">
        <v>0.459929374</v>
      </c>
      <c r="E388">
        <v>0.56925742599999996</v>
      </c>
      <c r="F388">
        <v>0.69299112299999999</v>
      </c>
      <c r="G388">
        <v>0.76798241</v>
      </c>
      <c r="H388">
        <v>0.85736804499999997</v>
      </c>
      <c r="I388">
        <v>0.913345976</v>
      </c>
      <c r="J388">
        <v>0.98701144799999996</v>
      </c>
      <c r="K388">
        <v>1.022179787</v>
      </c>
      <c r="L388">
        <v>1.104971366</v>
      </c>
      <c r="M388">
        <v>1.048272624</v>
      </c>
      <c r="N388">
        <v>1.070253326</v>
      </c>
      <c r="O388">
        <v>1.3495686819999999</v>
      </c>
    </row>
    <row r="389" spans="1:15" x14ac:dyDescent="0.2">
      <c r="A389">
        <v>1.9380752000000001E-2</v>
      </c>
      <c r="B389">
        <v>0.10145982200000001</v>
      </c>
      <c r="C389">
        <v>0.24414475499999999</v>
      </c>
      <c r="D389">
        <v>0.37814567100000002</v>
      </c>
      <c r="E389">
        <v>0.52699222899999998</v>
      </c>
      <c r="F389">
        <v>0.65206661499999996</v>
      </c>
      <c r="G389">
        <v>0.76360385099999994</v>
      </c>
      <c r="H389">
        <v>0.84666801899999999</v>
      </c>
      <c r="I389">
        <v>0.93351983299999997</v>
      </c>
      <c r="J389">
        <v>0.97143749400000001</v>
      </c>
      <c r="K389">
        <v>1.0011509190000001</v>
      </c>
      <c r="L389">
        <v>1.1495346909999999</v>
      </c>
      <c r="M389">
        <v>1.2116872009999999</v>
      </c>
      <c r="N389">
        <v>1.281049807</v>
      </c>
      <c r="O389">
        <v>1.179917849</v>
      </c>
    </row>
    <row r="390" spans="1:15" x14ac:dyDescent="0.2">
      <c r="A390">
        <v>1.8495648999999999E-2</v>
      </c>
      <c r="B390">
        <v>8.7193363999999995E-2</v>
      </c>
      <c r="C390">
        <v>0.279247415</v>
      </c>
      <c r="D390">
        <v>0.43718783300000003</v>
      </c>
      <c r="E390">
        <v>0.58248880300000005</v>
      </c>
      <c r="F390">
        <v>0.68663239899999995</v>
      </c>
      <c r="G390">
        <v>0.78823631599999999</v>
      </c>
      <c r="H390">
        <v>0.87099972599999997</v>
      </c>
      <c r="I390">
        <v>0.970100191</v>
      </c>
      <c r="J390">
        <v>1.1027085160000001</v>
      </c>
      <c r="K390">
        <v>1.1056714510000001</v>
      </c>
      <c r="L390">
        <v>1.2369484479999999</v>
      </c>
      <c r="M390">
        <v>1.2354868450000001</v>
      </c>
      <c r="N390">
        <v>1.749460306</v>
      </c>
      <c r="O390">
        <v>1.230626606</v>
      </c>
    </row>
    <row r="391" spans="1:15" x14ac:dyDescent="0.2">
      <c r="A391">
        <v>2.2553568E-2</v>
      </c>
      <c r="B391">
        <v>8.3533376000000006E-2</v>
      </c>
      <c r="C391">
        <v>0.21397105999999999</v>
      </c>
      <c r="D391">
        <v>0.40660791499999999</v>
      </c>
      <c r="E391">
        <v>0.57580060799999999</v>
      </c>
      <c r="F391">
        <v>0.68906324200000002</v>
      </c>
      <c r="G391">
        <v>0.80522349299999996</v>
      </c>
      <c r="H391">
        <v>0.98197084899999998</v>
      </c>
      <c r="I391">
        <v>0.96832022399999995</v>
      </c>
      <c r="J391">
        <v>1.262557586</v>
      </c>
      <c r="K391">
        <v>1.2472124309999999</v>
      </c>
      <c r="L391">
        <v>1.2466489679999999</v>
      </c>
      <c r="M391">
        <v>1.389705798</v>
      </c>
      <c r="N391">
        <v>1.6380326970000001</v>
      </c>
      <c r="O391">
        <v>1.2469683009999999</v>
      </c>
    </row>
    <row r="392" spans="1:15" x14ac:dyDescent="0.2">
      <c r="A392">
        <v>2.0319990999999999E-2</v>
      </c>
      <c r="B392">
        <v>0.10850145999999999</v>
      </c>
      <c r="C392">
        <v>0.24195861900000001</v>
      </c>
      <c r="D392">
        <v>0.41645069600000001</v>
      </c>
      <c r="E392">
        <v>0.64661924500000001</v>
      </c>
      <c r="F392">
        <v>0.78533266300000004</v>
      </c>
      <c r="G392">
        <v>0.95014345300000003</v>
      </c>
      <c r="H392">
        <v>1.0306215750000001</v>
      </c>
      <c r="I392">
        <v>1.0640246280000001</v>
      </c>
      <c r="J392">
        <v>1.3283554529999999</v>
      </c>
      <c r="K392">
        <v>1.326541881</v>
      </c>
      <c r="L392">
        <v>1.5470371329999999</v>
      </c>
      <c r="M392">
        <v>1.5565858539999999</v>
      </c>
      <c r="N392">
        <v>1.5368162080000001</v>
      </c>
      <c r="O392">
        <v>1.7437159609999999</v>
      </c>
    </row>
    <row r="393" spans="1:15" x14ac:dyDescent="0.2">
      <c r="A393">
        <v>3.1689083999999999E-2</v>
      </c>
      <c r="B393">
        <v>0.11734314799999999</v>
      </c>
      <c r="C393">
        <v>0.221257593</v>
      </c>
      <c r="D393">
        <v>0.44114833799999997</v>
      </c>
      <c r="E393">
        <v>0.56523318099999997</v>
      </c>
      <c r="F393">
        <v>0.72191307000000005</v>
      </c>
      <c r="G393">
        <v>0.93679943799999998</v>
      </c>
      <c r="H393">
        <v>1.3365648569999999</v>
      </c>
      <c r="I393">
        <v>1.574484153</v>
      </c>
      <c r="J393">
        <v>1.6224372220000001</v>
      </c>
      <c r="K393">
        <v>1.692529159</v>
      </c>
      <c r="L393">
        <v>1.895356839</v>
      </c>
      <c r="M393">
        <v>1.9269976470000001</v>
      </c>
      <c r="N393">
        <v>1.9414515240000001</v>
      </c>
      <c r="O393">
        <v>1.96177442</v>
      </c>
    </row>
    <row r="394" spans="1:15" x14ac:dyDescent="0.2">
      <c r="A394">
        <v>2.7062065E-2</v>
      </c>
      <c r="B394">
        <v>9.5919641999999999E-2</v>
      </c>
      <c r="C394">
        <v>0.196687891</v>
      </c>
      <c r="D394">
        <v>0.37567857900000001</v>
      </c>
      <c r="E394">
        <v>0.53248356900000005</v>
      </c>
      <c r="F394">
        <v>0.68980872500000001</v>
      </c>
      <c r="G394">
        <v>0.83813980099999996</v>
      </c>
      <c r="H394">
        <v>0.92838321599999996</v>
      </c>
      <c r="I394">
        <v>1.269596435</v>
      </c>
      <c r="J394">
        <v>1.2671114489999999</v>
      </c>
      <c r="K394">
        <v>1.3283080629999999</v>
      </c>
      <c r="L394">
        <v>1.3877407589999999</v>
      </c>
      <c r="M394">
        <v>1.461337291</v>
      </c>
      <c r="N394">
        <v>1.764743441</v>
      </c>
      <c r="O394">
        <v>1.757660864</v>
      </c>
    </row>
    <row r="395" spans="1:15" x14ac:dyDescent="0.2">
      <c r="A395">
        <v>2.5225422000000001E-2</v>
      </c>
      <c r="B395">
        <v>0.13456103799999999</v>
      </c>
      <c r="C395">
        <v>0.22362502000000001</v>
      </c>
      <c r="D395">
        <v>0.39429725100000002</v>
      </c>
      <c r="E395">
        <v>0.54727595100000004</v>
      </c>
      <c r="F395">
        <v>0.69453373399999996</v>
      </c>
      <c r="G395">
        <v>0.76282845600000004</v>
      </c>
      <c r="H395">
        <v>0.99709786499999997</v>
      </c>
      <c r="I395">
        <v>1.142014088</v>
      </c>
      <c r="J395">
        <v>1.2663642900000001</v>
      </c>
      <c r="K395">
        <v>1.4441065390000001</v>
      </c>
      <c r="L395">
        <v>1.7110011249999999</v>
      </c>
      <c r="M395">
        <v>1.9030163040000001</v>
      </c>
      <c r="N395">
        <v>1.7945568460000001</v>
      </c>
      <c r="O395">
        <v>1.7766869240000001</v>
      </c>
    </row>
    <row r="396" spans="1:15" x14ac:dyDescent="0.2">
      <c r="A396">
        <v>3.3300215000000001E-2</v>
      </c>
      <c r="B396">
        <v>0.109915022</v>
      </c>
      <c r="C396">
        <v>0.26589982299999998</v>
      </c>
      <c r="D396">
        <v>0.48098001200000001</v>
      </c>
      <c r="E396">
        <v>0.53885808499999999</v>
      </c>
      <c r="F396">
        <v>0.63233835000000005</v>
      </c>
      <c r="G396">
        <v>0.69664412799999997</v>
      </c>
      <c r="H396">
        <v>0.78559349499999998</v>
      </c>
      <c r="I396">
        <v>0.84670904400000002</v>
      </c>
      <c r="J396">
        <v>0.96047921300000005</v>
      </c>
      <c r="K396">
        <v>1.166773547</v>
      </c>
      <c r="L396">
        <v>1.3694739359999999</v>
      </c>
      <c r="M396">
        <v>1.6232018939999999</v>
      </c>
      <c r="N396">
        <v>1.6847912089999999</v>
      </c>
      <c r="O396">
        <v>1.738218</v>
      </c>
    </row>
    <row r="397" spans="1:15" x14ac:dyDescent="0.2">
      <c r="A397">
        <v>2.9279013E-2</v>
      </c>
      <c r="B397">
        <v>0.113887513</v>
      </c>
      <c r="C397">
        <v>0.25112267500000002</v>
      </c>
      <c r="D397">
        <v>0.40643369000000001</v>
      </c>
      <c r="E397">
        <v>0.51202235500000004</v>
      </c>
      <c r="F397">
        <v>0.59579568500000002</v>
      </c>
      <c r="G397">
        <v>0.67860015600000001</v>
      </c>
      <c r="H397">
        <v>0.72186286099999997</v>
      </c>
      <c r="I397">
        <v>0.81782518000000004</v>
      </c>
      <c r="J397">
        <v>0.874899121</v>
      </c>
      <c r="K397">
        <v>0.97760769599999997</v>
      </c>
      <c r="L397">
        <v>1.044707584</v>
      </c>
      <c r="M397">
        <v>1.1519333899999999</v>
      </c>
      <c r="N397">
        <v>1.389053393</v>
      </c>
      <c r="O397">
        <v>1.6261733949999999</v>
      </c>
    </row>
    <row r="398" spans="1:15" x14ac:dyDescent="0.2">
      <c r="A398">
        <v>2.9279013E-2</v>
      </c>
      <c r="B398">
        <v>0.113887513</v>
      </c>
      <c r="C398">
        <v>0.25112267500000002</v>
      </c>
      <c r="D398">
        <v>0.40643369000000001</v>
      </c>
      <c r="E398">
        <v>0.51202235500000004</v>
      </c>
      <c r="F398">
        <v>0.59579568500000002</v>
      </c>
      <c r="G398">
        <v>0.67860015600000001</v>
      </c>
      <c r="H398">
        <v>0.72186286099999997</v>
      </c>
      <c r="I398">
        <v>0.81782518000000004</v>
      </c>
      <c r="J398">
        <v>0.874899121</v>
      </c>
      <c r="K398">
        <v>0.97760769599999997</v>
      </c>
      <c r="L398">
        <v>1.044707584</v>
      </c>
      <c r="M398">
        <v>1.1519333899999999</v>
      </c>
      <c r="N398">
        <v>1.389053393</v>
      </c>
      <c r="O398">
        <v>1.6261733949999999</v>
      </c>
    </row>
    <row r="399" spans="1:15" x14ac:dyDescent="0.2">
      <c r="A399">
        <v>2.2340125999999998E-2</v>
      </c>
      <c r="B399">
        <v>0.16307050200000001</v>
      </c>
      <c r="C399">
        <v>0.28087430200000002</v>
      </c>
      <c r="D399">
        <v>0.37731543899999997</v>
      </c>
      <c r="E399">
        <v>0.47539210599999998</v>
      </c>
      <c r="F399">
        <v>0.56840108600000006</v>
      </c>
      <c r="G399">
        <v>0.73328093900000002</v>
      </c>
      <c r="H399">
        <v>0.80313542400000004</v>
      </c>
      <c r="I399">
        <v>0.84026475199999995</v>
      </c>
      <c r="J399">
        <v>0.95574643400000003</v>
      </c>
      <c r="K399">
        <v>1.077189269</v>
      </c>
      <c r="L399">
        <v>0.99408522200000005</v>
      </c>
      <c r="M399">
        <v>1.21649973</v>
      </c>
      <c r="N399">
        <v>1.350697939</v>
      </c>
      <c r="O399">
        <v>1.969390269</v>
      </c>
    </row>
    <row r="400" spans="1:15" x14ac:dyDescent="0.2">
      <c r="A400" t="s">
        <v>51</v>
      </c>
    </row>
    <row r="401" spans="1:40" x14ac:dyDescent="0.2">
      <c r="A401">
        <v>0.80156997399999996</v>
      </c>
      <c r="B401">
        <v>1.3087779260000001</v>
      </c>
      <c r="C401">
        <v>0.88700000000000001</v>
      </c>
      <c r="D401">
        <v>0.96299999999999997</v>
      </c>
      <c r="E401">
        <v>0.66069537300000003</v>
      </c>
      <c r="F401">
        <v>1.363870605</v>
      </c>
      <c r="G401">
        <v>0.93734663900000004</v>
      </c>
      <c r="H401">
        <v>1.263771226</v>
      </c>
      <c r="I401">
        <v>1.0361090150000001</v>
      </c>
      <c r="J401">
        <v>1.218350075</v>
      </c>
      <c r="K401">
        <v>0.770514845</v>
      </c>
      <c r="L401">
        <v>1.31695717</v>
      </c>
      <c r="M401">
        <v>0.565789349</v>
      </c>
      <c r="N401">
        <v>0.64625486399999998</v>
      </c>
      <c r="O401">
        <v>1.4475777780000001</v>
      </c>
      <c r="P401">
        <v>1.095249208</v>
      </c>
      <c r="Q401">
        <v>1.4759994009999999</v>
      </c>
      <c r="R401">
        <v>0.14905569799999999</v>
      </c>
      <c r="S401">
        <v>0.87097416800000005</v>
      </c>
      <c r="T401">
        <v>1.0491986369999999</v>
      </c>
      <c r="U401">
        <v>1.431904869</v>
      </c>
      <c r="V401">
        <v>1.629112326</v>
      </c>
      <c r="W401">
        <v>1.4675960459999999</v>
      </c>
      <c r="X401">
        <v>1.4998822730000001</v>
      </c>
      <c r="Y401">
        <v>0.65158360800000004</v>
      </c>
      <c r="Z401">
        <v>0.64470445300000001</v>
      </c>
      <c r="AA401">
        <v>0.407246675</v>
      </c>
      <c r="AB401">
        <v>0.43967159300000003</v>
      </c>
      <c r="AC401">
        <v>0.43967159300000003</v>
      </c>
      <c r="AD401">
        <v>0.43967159300000003</v>
      </c>
      <c r="AE401">
        <v>0.43967159300000003</v>
      </c>
      <c r="AF401">
        <v>0.43967159300000003</v>
      </c>
      <c r="AG401">
        <v>0.43967159300000003</v>
      </c>
      <c r="AH401">
        <v>0.43967159300000003</v>
      </c>
      <c r="AI401">
        <v>0.4</v>
      </c>
      <c r="AJ401">
        <v>0.4</v>
      </c>
      <c r="AK401">
        <v>0.4</v>
      </c>
      <c r="AL401">
        <v>0.4</v>
      </c>
      <c r="AM401">
        <v>0.4</v>
      </c>
      <c r="AN401" t="s">
        <v>52</v>
      </c>
    </row>
    <row r="402" spans="1:40" x14ac:dyDescent="0.2">
      <c r="A402" t="s">
        <v>53</v>
      </c>
    </row>
    <row r="403" spans="1:40" x14ac:dyDescent="0.2">
      <c r="A403">
        <v>1</v>
      </c>
    </row>
    <row r="404" spans="1:40" x14ac:dyDescent="0.2">
      <c r="A404" t="s">
        <v>54</v>
      </c>
    </row>
    <row r="405" spans="1:40" x14ac:dyDescent="0.2">
      <c r="A405">
        <v>0.99399999999999999</v>
      </c>
      <c r="B405">
        <v>5.7600000000000004E-3</v>
      </c>
      <c r="C405" s="1">
        <v>1.7199999999999999E-14</v>
      </c>
      <c r="D405">
        <v>0</v>
      </c>
      <c r="E405">
        <v>0</v>
      </c>
      <c r="F405">
        <v>0</v>
      </c>
      <c r="G405">
        <v>0</v>
      </c>
      <c r="H405">
        <v>0</v>
      </c>
      <c r="I405">
        <v>0</v>
      </c>
      <c r="J405">
        <v>0</v>
      </c>
      <c r="K405">
        <v>0</v>
      </c>
      <c r="L405">
        <v>0</v>
      </c>
      <c r="M405">
        <v>0</v>
      </c>
      <c r="N405">
        <v>0</v>
      </c>
      <c r="O405">
        <v>0</v>
      </c>
    </row>
    <row r="406" spans="1:40" x14ac:dyDescent="0.2">
      <c r="A406">
        <v>1.7600000000000001E-2</v>
      </c>
      <c r="B406">
        <v>0.96499999999999997</v>
      </c>
      <c r="C406">
        <v>1.7600000000000001E-2</v>
      </c>
      <c r="D406" s="1">
        <v>1.3200000000000001E-10</v>
      </c>
      <c r="E406">
        <v>0</v>
      </c>
      <c r="F406">
        <v>0</v>
      </c>
      <c r="G406">
        <v>0</v>
      </c>
      <c r="H406">
        <v>0</v>
      </c>
      <c r="I406">
        <v>0</v>
      </c>
      <c r="J406">
        <v>0</v>
      </c>
      <c r="K406">
        <v>0</v>
      </c>
      <c r="L406">
        <v>0</v>
      </c>
      <c r="M406">
        <v>0</v>
      </c>
      <c r="N406">
        <v>0</v>
      </c>
      <c r="O406">
        <v>0</v>
      </c>
    </row>
    <row r="407" spans="1:40" x14ac:dyDescent="0.2">
      <c r="A407" s="1">
        <v>3.0199999999999999E-8</v>
      </c>
      <c r="B407">
        <v>3.5499999999999997E-2</v>
      </c>
      <c r="C407">
        <v>0.92900000000000005</v>
      </c>
      <c r="D407">
        <v>3.5499999999999997E-2</v>
      </c>
      <c r="E407" s="1">
        <v>3.0199999999999999E-8</v>
      </c>
      <c r="F407">
        <v>0</v>
      </c>
      <c r="G407">
        <v>0</v>
      </c>
      <c r="H407">
        <v>0</v>
      </c>
      <c r="I407">
        <v>0</v>
      </c>
      <c r="J407">
        <v>0</v>
      </c>
      <c r="K407">
        <v>0</v>
      </c>
      <c r="L407">
        <v>0</v>
      </c>
      <c r="M407">
        <v>0</v>
      </c>
      <c r="N407">
        <v>0</v>
      </c>
      <c r="O407">
        <v>0</v>
      </c>
    </row>
    <row r="408" spans="1:40" x14ac:dyDescent="0.2">
      <c r="A408" s="1">
        <v>1.3799999999999999E-15</v>
      </c>
      <c r="B408">
        <v>1.06E-6</v>
      </c>
      <c r="C408">
        <v>5.7000000000000002E-2</v>
      </c>
      <c r="D408">
        <v>0.88600000000000001</v>
      </c>
      <c r="E408">
        <v>5.7015090999999997E-2</v>
      </c>
      <c r="F408">
        <v>1.06E-6</v>
      </c>
      <c r="G408">
        <v>0</v>
      </c>
      <c r="H408">
        <v>0</v>
      </c>
      <c r="I408">
        <v>0</v>
      </c>
      <c r="J408">
        <v>0</v>
      </c>
      <c r="K408">
        <v>0</v>
      </c>
      <c r="L408">
        <v>0</v>
      </c>
      <c r="M408">
        <v>0</v>
      </c>
      <c r="N408">
        <v>0</v>
      </c>
      <c r="O408">
        <v>0</v>
      </c>
    </row>
    <row r="409" spans="1:40" x14ac:dyDescent="0.2">
      <c r="A409" s="1">
        <v>3.9999999999999998E-23</v>
      </c>
      <c r="B409" s="1">
        <v>1.0700000000000001E-12</v>
      </c>
      <c r="C409">
        <v>1.2500000000000001E-5</v>
      </c>
      <c r="D409">
        <v>0.08</v>
      </c>
      <c r="E409">
        <v>0.84</v>
      </c>
      <c r="F409">
        <v>8.0011094000000005E-2</v>
      </c>
      <c r="G409">
        <v>1.2500000000000001E-5</v>
      </c>
      <c r="H409" s="1">
        <v>1.0700000000000001E-12</v>
      </c>
      <c r="I409">
        <v>0</v>
      </c>
      <c r="J409">
        <v>0</v>
      </c>
      <c r="K409">
        <v>0</v>
      </c>
      <c r="L409">
        <v>0</v>
      </c>
      <c r="M409">
        <v>0</v>
      </c>
      <c r="N409">
        <v>0</v>
      </c>
      <c r="O409">
        <v>0</v>
      </c>
    </row>
    <row r="410" spans="1:40" x14ac:dyDescent="0.2">
      <c r="A410" s="1">
        <v>2.5999999999999999E-30</v>
      </c>
      <c r="B410" s="1">
        <v>4.3000000000000002E-19</v>
      </c>
      <c r="C410" s="1">
        <v>1.28E-10</v>
      </c>
      <c r="D410">
        <v>7.4200000000000001E-5</v>
      </c>
      <c r="E410">
        <v>0.10299999999999999</v>
      </c>
      <c r="F410">
        <v>0.79400000000000004</v>
      </c>
      <c r="G410">
        <v>0.102942042</v>
      </c>
      <c r="H410">
        <v>7.4200000000000001E-5</v>
      </c>
      <c r="I410" s="1">
        <v>1.28E-10</v>
      </c>
      <c r="J410">
        <v>0</v>
      </c>
      <c r="K410">
        <v>0</v>
      </c>
      <c r="L410">
        <v>0</v>
      </c>
      <c r="M410">
        <v>0</v>
      </c>
      <c r="N410">
        <v>0</v>
      </c>
      <c r="O410">
        <v>0</v>
      </c>
    </row>
    <row r="411" spans="1:40" x14ac:dyDescent="0.2">
      <c r="A411" s="1">
        <v>5.8400000000000001E-37</v>
      </c>
      <c r="B411" s="1">
        <v>2.1499999999999999E-25</v>
      </c>
      <c r="C411" s="1">
        <v>4.2099999999999999E-16</v>
      </c>
      <c r="D411" s="1">
        <v>4.4999999999999998E-9</v>
      </c>
      <c r="E411">
        <v>2.81E-4</v>
      </c>
      <c r="F411">
        <v>0.125</v>
      </c>
      <c r="G411">
        <v>0.75</v>
      </c>
      <c r="H411">
        <v>0.124855101</v>
      </c>
      <c r="I411">
        <v>2.81265E-4</v>
      </c>
      <c r="J411" s="1">
        <v>4.4999999999999998E-9</v>
      </c>
      <c r="K411">
        <v>0</v>
      </c>
      <c r="L411">
        <v>0</v>
      </c>
      <c r="M411">
        <v>0</v>
      </c>
      <c r="N411">
        <v>0</v>
      </c>
      <c r="O411">
        <v>0</v>
      </c>
    </row>
    <row r="412" spans="1:40" x14ac:dyDescent="0.2">
      <c r="A412" s="1">
        <v>4.98E-43</v>
      </c>
      <c r="B412" s="1">
        <v>2.2199999999999998E-31</v>
      </c>
      <c r="C412" s="1">
        <v>1.21E-21</v>
      </c>
      <c r="D412" s="1">
        <v>8.0499999999999998E-14</v>
      </c>
      <c r="E412" s="1">
        <v>6.8299999999999996E-8</v>
      </c>
      <c r="F412">
        <v>7.8399999999999997E-4</v>
      </c>
      <c r="G412">
        <v>0.14499999999999999</v>
      </c>
      <c r="H412">
        <v>0.70799999999999996</v>
      </c>
      <c r="I412">
        <v>0.145168358</v>
      </c>
      <c r="J412">
        <v>7.8375799999999996E-4</v>
      </c>
      <c r="K412" s="1">
        <v>6.8299999999999996E-8</v>
      </c>
      <c r="L412" s="1">
        <v>8.0499999999999998E-14</v>
      </c>
      <c r="M412">
        <v>0</v>
      </c>
      <c r="N412">
        <v>0</v>
      </c>
      <c r="O412">
        <v>0</v>
      </c>
    </row>
    <row r="413" spans="1:40" x14ac:dyDescent="0.2">
      <c r="A413" s="1">
        <v>1.5299999999999999E-48</v>
      </c>
      <c r="B413" s="1">
        <v>5.7200000000000001E-37</v>
      </c>
      <c r="C413" s="1">
        <v>4.9599999999999999E-27</v>
      </c>
      <c r="D413" s="1">
        <v>1.01E-18</v>
      </c>
      <c r="E413" s="1">
        <v>4.8599999999999999E-12</v>
      </c>
      <c r="F413">
        <v>5.7299999999999996E-7</v>
      </c>
      <c r="G413">
        <v>1.7600000000000001E-3</v>
      </c>
      <c r="H413">
        <v>0.16400000000000001</v>
      </c>
      <c r="I413">
        <v>0.66900000000000004</v>
      </c>
      <c r="J413">
        <v>0.163535451</v>
      </c>
      <c r="K413">
        <v>1.7562719999999999E-3</v>
      </c>
      <c r="L413">
        <v>5.7299999999999996E-7</v>
      </c>
      <c r="M413" s="1">
        <v>4.8599999999999999E-12</v>
      </c>
      <c r="N413">
        <v>0</v>
      </c>
      <c r="O413">
        <v>0</v>
      </c>
    </row>
    <row r="414" spans="1:40" x14ac:dyDescent="0.2">
      <c r="A414" s="1">
        <v>1.5300000000000001E-53</v>
      </c>
      <c r="B414" s="1">
        <v>3.8400000000000003E-42</v>
      </c>
      <c r="C414" s="1">
        <v>3.7300000000000001E-32</v>
      </c>
      <c r="D414" s="1">
        <v>1.4199999999999999E-23</v>
      </c>
      <c r="E414" s="1">
        <v>2.1199999999999999E-16</v>
      </c>
      <c r="F414" s="1">
        <v>1.27E-10</v>
      </c>
      <c r="G414">
        <v>3.1300000000000001E-6</v>
      </c>
      <c r="H414">
        <v>3.3600000000000001E-3</v>
      </c>
      <c r="I414">
        <v>0.18</v>
      </c>
      <c r="J414">
        <v>0.63400000000000001</v>
      </c>
      <c r="K414">
        <v>0.179774235</v>
      </c>
      <c r="L414">
        <v>3.3563550000000001E-3</v>
      </c>
      <c r="M414">
        <v>3.1300000000000001E-6</v>
      </c>
      <c r="N414" s="1">
        <v>1.27E-10</v>
      </c>
      <c r="O414">
        <v>0</v>
      </c>
    </row>
    <row r="415" spans="1:40" x14ac:dyDescent="0.2">
      <c r="A415" s="1">
        <v>4.4499999999999998E-58</v>
      </c>
      <c r="B415" s="1">
        <v>6.5200000000000004E-47</v>
      </c>
      <c r="C415" s="1">
        <v>5.6400000000000002E-37</v>
      </c>
      <c r="D415" s="1">
        <v>2.8799999999999998E-28</v>
      </c>
      <c r="E415" s="1">
        <v>8.7800000000000005E-21</v>
      </c>
      <c r="F415" s="1">
        <v>1.6000000000000001E-14</v>
      </c>
      <c r="G415" s="1">
        <v>1.7800000000000001E-9</v>
      </c>
      <c r="H415">
        <v>1.24E-5</v>
      </c>
      <c r="I415">
        <v>5.6899999999999997E-3</v>
      </c>
      <c r="J415">
        <v>0.19400000000000001</v>
      </c>
      <c r="K415">
        <v>0.60093454000000002</v>
      </c>
      <c r="L415">
        <v>0.19382756100000001</v>
      </c>
      <c r="M415">
        <v>5.6927599999999998E-3</v>
      </c>
      <c r="N415">
        <v>1.24E-5</v>
      </c>
      <c r="O415" s="1">
        <v>1.7800000000000001E-9</v>
      </c>
    </row>
    <row r="416" spans="1:40" x14ac:dyDescent="0.2">
      <c r="A416" s="1">
        <v>3.3199999999999998E-62</v>
      </c>
      <c r="B416" s="1">
        <v>2.6499999999999999E-51</v>
      </c>
      <c r="C416" s="1">
        <v>1.75E-41</v>
      </c>
      <c r="D416" s="1">
        <v>9.6399999999999999E-33</v>
      </c>
      <c r="E416" s="1">
        <v>4.4300000000000003E-25</v>
      </c>
      <c r="F416" s="1">
        <v>1.71E-18</v>
      </c>
      <c r="G416" s="1">
        <v>5.5700000000000005E-13</v>
      </c>
      <c r="H416" s="1">
        <v>1.5600000000000001E-8</v>
      </c>
      <c r="I416">
        <v>3.8600000000000003E-5</v>
      </c>
      <c r="J416">
        <v>8.8100000000000001E-3</v>
      </c>
      <c r="K416">
        <v>0.20599999999999999</v>
      </c>
      <c r="L416">
        <v>0.57083187300000005</v>
      </c>
      <c r="M416">
        <v>0.205734376</v>
      </c>
      <c r="N416">
        <v>8.8111119999999994E-3</v>
      </c>
      <c r="O416">
        <v>3.8600000000000003E-5</v>
      </c>
    </row>
    <row r="417" spans="1:50" x14ac:dyDescent="0.2">
      <c r="A417" s="1">
        <v>5.7299999999999998E-66</v>
      </c>
      <c r="B417" s="1">
        <v>2.39E-55</v>
      </c>
      <c r="C417" s="1">
        <v>1.1E-45</v>
      </c>
      <c r="D417" s="1">
        <v>5.5699999999999996E-37</v>
      </c>
      <c r="E417" s="1">
        <v>3.13E-29</v>
      </c>
      <c r="F417" s="1">
        <v>1.95E-22</v>
      </c>
      <c r="G417" s="1">
        <v>1.3599999999999999E-16</v>
      </c>
      <c r="H417" s="1">
        <v>1.0599999999999999E-11</v>
      </c>
      <c r="I417">
        <v>9.5000000000000004E-8</v>
      </c>
      <c r="J417">
        <v>9.9300000000000001E-5</v>
      </c>
      <c r="K417">
        <v>1.2699999999999999E-2</v>
      </c>
      <c r="L417">
        <v>0.215603453</v>
      </c>
      <c r="M417">
        <v>0.54320473700000005</v>
      </c>
      <c r="N417">
        <v>0.215603453</v>
      </c>
      <c r="O417">
        <v>1.2794178E-2</v>
      </c>
    </row>
    <row r="418" spans="1:50" x14ac:dyDescent="0.2">
      <c r="A418" s="1">
        <v>2.08E-69</v>
      </c>
      <c r="B418" s="1">
        <v>4.4700000000000001E-59</v>
      </c>
      <c r="C418" s="1">
        <v>1.3400000000000001E-49</v>
      </c>
      <c r="D418" s="1">
        <v>5.6499999999999999E-41</v>
      </c>
      <c r="E418" s="1">
        <v>3.3300000000000002E-33</v>
      </c>
      <c r="F418" s="1">
        <v>2.7600000000000002E-26</v>
      </c>
      <c r="G418" s="1">
        <v>3.2199999999999998E-20</v>
      </c>
      <c r="H418" s="1">
        <v>5.34E-15</v>
      </c>
      <c r="I418" s="1">
        <v>1.26E-10</v>
      </c>
      <c r="J418">
        <v>4.3300000000000003E-7</v>
      </c>
      <c r="K418">
        <v>2.2000000000000001E-4</v>
      </c>
      <c r="L418">
        <v>1.7275672999999998E-2</v>
      </c>
      <c r="M418">
        <v>0.22358935199999999</v>
      </c>
      <c r="N418">
        <v>0.51782865899999997</v>
      </c>
      <c r="O418">
        <v>0.24108567</v>
      </c>
    </row>
    <row r="419" spans="1:50" x14ac:dyDescent="0.2">
      <c r="A419" s="1">
        <v>1.46E-72</v>
      </c>
      <c r="B419" s="1">
        <v>1.6199999999999999E-62</v>
      </c>
      <c r="C419" s="1">
        <v>3.0699999999999999E-53</v>
      </c>
      <c r="D419" s="1">
        <v>9.9400000000000004E-45</v>
      </c>
      <c r="E419" s="1">
        <v>5.5200000000000002E-37</v>
      </c>
      <c r="F419" s="1">
        <v>5.26E-30</v>
      </c>
      <c r="G419" s="1">
        <v>8.6300000000000002E-24</v>
      </c>
      <c r="H419" s="1">
        <v>2.4400000000000001E-18</v>
      </c>
      <c r="I419" s="1">
        <v>1.1999999999999999E-13</v>
      </c>
      <c r="J419" s="1">
        <v>1.03E-9</v>
      </c>
      <c r="K419">
        <v>1.57E-6</v>
      </c>
      <c r="L419">
        <v>4.33888E-4</v>
      </c>
      <c r="M419">
        <v>2.2448549000000002E-2</v>
      </c>
      <c r="N419">
        <v>0.229871987</v>
      </c>
      <c r="O419">
        <v>0.74724400199999996</v>
      </c>
    </row>
    <row r="420" spans="1:50" x14ac:dyDescent="0.2">
      <c r="A420" t="s">
        <v>55</v>
      </c>
    </row>
    <row r="421" spans="1:50" x14ac:dyDescent="0.2">
      <c r="A421">
        <v>50</v>
      </c>
    </row>
    <row r="422" spans="1:50" x14ac:dyDescent="0.2">
      <c r="A422" t="s">
        <v>56</v>
      </c>
    </row>
    <row r="423" spans="1:50" x14ac:dyDescent="0.2">
      <c r="A423">
        <v>356.30169999999998</v>
      </c>
      <c r="B423">
        <v>191.3244</v>
      </c>
      <c r="C423">
        <v>175.99860000000001</v>
      </c>
      <c r="D423">
        <v>272.32119999999998</v>
      </c>
      <c r="E423">
        <v>300.42899999999997</v>
      </c>
      <c r="F423">
        <v>379.95339999999999</v>
      </c>
      <c r="G423">
        <v>1060.6808000000001</v>
      </c>
      <c r="H423">
        <v>1871.7529999999999</v>
      </c>
      <c r="I423">
        <v>3406.3110000000001</v>
      </c>
      <c r="J423">
        <v>8008.7790000000005</v>
      </c>
      <c r="K423">
        <v>14866.69</v>
      </c>
      <c r="L423">
        <v>28191.33</v>
      </c>
      <c r="M423">
        <v>47829.85</v>
      </c>
      <c r="N423">
        <v>75761.34</v>
      </c>
      <c r="O423">
        <v>118991.21</v>
      </c>
      <c r="P423">
        <v>160278.74</v>
      </c>
      <c r="Q423">
        <v>187798.99</v>
      </c>
      <c r="R423">
        <v>195005.81</v>
      </c>
      <c r="S423">
        <v>161925.57</v>
      </c>
      <c r="T423">
        <v>120952.47</v>
      </c>
      <c r="U423">
        <v>81832.509999999995</v>
      </c>
      <c r="V423">
        <v>58525.5</v>
      </c>
      <c r="W423">
        <v>48529.8</v>
      </c>
      <c r="X423">
        <v>53112.68</v>
      </c>
      <c r="Y423">
        <v>63932.6</v>
      </c>
      <c r="Z423">
        <v>85089.87</v>
      </c>
      <c r="AA423">
        <v>99836.23</v>
      </c>
      <c r="AB423">
        <v>108665.82</v>
      </c>
      <c r="AC423">
        <v>106007.88</v>
      </c>
      <c r="AD423">
        <v>95931.45</v>
      </c>
      <c r="AE423">
        <v>84187.29</v>
      </c>
      <c r="AF423">
        <v>68509.41</v>
      </c>
      <c r="AG423">
        <v>54431.39</v>
      </c>
      <c r="AH423">
        <v>41751.01</v>
      </c>
      <c r="AI423">
        <v>29627.829000000002</v>
      </c>
      <c r="AJ423">
        <v>23569.507000000001</v>
      </c>
      <c r="AK423">
        <v>16344.513000000001</v>
      </c>
      <c r="AL423">
        <v>12779.3747</v>
      </c>
      <c r="AM423">
        <v>8947.8269</v>
      </c>
      <c r="AN423">
        <v>6733.8239000000003</v>
      </c>
      <c r="AO423">
        <v>5031.3190000000004</v>
      </c>
      <c r="AP423">
        <v>3361.0409</v>
      </c>
      <c r="AQ423">
        <v>2788.0421000000001</v>
      </c>
      <c r="AR423">
        <v>1906.3801000000001</v>
      </c>
      <c r="AS423">
        <v>1438.2577000000001</v>
      </c>
      <c r="AT423">
        <v>870.67470000000003</v>
      </c>
      <c r="AU423">
        <v>733.15530000000001</v>
      </c>
      <c r="AV423">
        <v>561.25170000000003</v>
      </c>
      <c r="AW423">
        <v>392.63940000000002</v>
      </c>
      <c r="AX423">
        <v>298.4975</v>
      </c>
    </row>
    <row r="424" spans="1:50" x14ac:dyDescent="0.2">
      <c r="A424" t="s">
        <v>57</v>
      </c>
    </row>
    <row r="425" spans="1:50" x14ac:dyDescent="0.2">
      <c r="A425">
        <v>1</v>
      </c>
      <c r="B425">
        <v>0</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row>
    <row r="426" spans="1:50" x14ac:dyDescent="0.2">
      <c r="A426">
        <v>0.99</v>
      </c>
      <c r="B426">
        <v>9.4900000000000002E-3</v>
      </c>
      <c r="C426">
        <v>2.2200000000000001E-5</v>
      </c>
      <c r="D426">
        <v>2.2200000000000001E-5</v>
      </c>
      <c r="E426">
        <v>3.4400000000000001E-7</v>
      </c>
      <c r="F426" s="1">
        <v>8.8900000000000005E-9</v>
      </c>
      <c r="G426" s="1">
        <v>6.4199999999999995E-10</v>
      </c>
      <c r="H426" s="1">
        <v>3.83E-11</v>
      </c>
      <c r="I426" s="1">
        <v>1.8899999999999998E-12</v>
      </c>
      <c r="J426" s="1">
        <v>7.6700000000000004E-14</v>
      </c>
      <c r="K426" s="1">
        <v>2.55E-15</v>
      </c>
      <c r="L426" s="1">
        <v>1.11E-16</v>
      </c>
      <c r="M426">
        <v>0</v>
      </c>
      <c r="N426">
        <v>0</v>
      </c>
      <c r="O426">
        <v>0</v>
      </c>
      <c r="P426">
        <v>0</v>
      </c>
      <c r="Q426">
        <v>0</v>
      </c>
      <c r="R426">
        <v>0</v>
      </c>
      <c r="S426">
        <v>0</v>
      </c>
      <c r="T426">
        <v>0</v>
      </c>
      <c r="U426">
        <v>0</v>
      </c>
      <c r="V426">
        <v>0</v>
      </c>
      <c r="W426">
        <v>0</v>
      </c>
      <c r="X426">
        <v>0</v>
      </c>
      <c r="Y426">
        <v>0</v>
      </c>
    </row>
    <row r="427" spans="1:50" x14ac:dyDescent="0.2">
      <c r="A427">
        <v>0.18</v>
      </c>
      <c r="B427">
        <v>0.23400000000000001</v>
      </c>
      <c r="C427">
        <v>0.27100000000000002</v>
      </c>
      <c r="D427">
        <v>0.19600000000000001</v>
      </c>
      <c r="E427">
        <v>7.46E-2</v>
      </c>
      <c r="F427">
        <v>2.41E-2</v>
      </c>
      <c r="G427">
        <v>1.1827654E-2</v>
      </c>
      <c r="H427">
        <v>5.1483179999999998E-3</v>
      </c>
      <c r="I427">
        <v>1.985807E-3</v>
      </c>
      <c r="J427">
        <v>6.7874700000000005E-4</v>
      </c>
      <c r="K427">
        <v>2.0557600000000001E-4</v>
      </c>
      <c r="L427">
        <v>5.52E-5</v>
      </c>
      <c r="M427">
        <v>1.31E-5</v>
      </c>
      <c r="N427">
        <v>2.7599999999999998E-6</v>
      </c>
      <c r="O427">
        <v>5.1600000000000001E-7</v>
      </c>
      <c r="P427" s="1">
        <v>9.4500000000000006E-8</v>
      </c>
      <c r="Q427" s="1">
        <v>5.14E-9</v>
      </c>
      <c r="R427" s="1">
        <v>6.6399999999999998E-11</v>
      </c>
      <c r="S427" s="1">
        <v>5.3199999999999995E-13</v>
      </c>
      <c r="T427" s="1">
        <v>2.6599999999999998E-15</v>
      </c>
      <c r="U427">
        <v>0</v>
      </c>
      <c r="V427">
        <v>0</v>
      </c>
      <c r="W427">
        <v>0</v>
      </c>
      <c r="X427">
        <v>0</v>
      </c>
      <c r="Y427">
        <v>0</v>
      </c>
    </row>
    <row r="428" spans="1:50" x14ac:dyDescent="0.2">
      <c r="A428">
        <v>1.66E-3</v>
      </c>
      <c r="B428">
        <v>9.1299999999999992E-3</v>
      </c>
      <c r="C428">
        <v>3.7699999999999997E-2</v>
      </c>
      <c r="D428">
        <v>0.105</v>
      </c>
      <c r="E428">
        <v>0.14000000000000001</v>
      </c>
      <c r="F428">
        <v>0.11799999999999999</v>
      </c>
      <c r="G428">
        <v>0.127</v>
      </c>
      <c r="H428">
        <v>0.123</v>
      </c>
      <c r="I428">
        <v>0.108</v>
      </c>
      <c r="J428">
        <v>8.5342971000000004E-2</v>
      </c>
      <c r="K428">
        <v>6.1163852999999997E-2</v>
      </c>
      <c r="L428">
        <v>3.9625368000000001E-2</v>
      </c>
      <c r="M428">
        <v>2.3206067E-2</v>
      </c>
      <c r="N428">
        <v>1.2285068E-2</v>
      </c>
      <c r="O428">
        <v>5.8789389999999997E-3</v>
      </c>
      <c r="P428">
        <v>3.1615749999999998E-3</v>
      </c>
      <c r="Q428">
        <v>7.99915E-4</v>
      </c>
      <c r="R428">
        <v>7.7899999999999996E-5</v>
      </c>
      <c r="S428">
        <v>5.1000000000000003E-6</v>
      </c>
      <c r="T428">
        <v>2.2399999999999999E-7</v>
      </c>
      <c r="U428" s="1">
        <v>6.6100000000000001E-9</v>
      </c>
      <c r="V428" s="1">
        <v>1.3100000000000001E-10</v>
      </c>
      <c r="W428" s="1">
        <v>1.7300000000000001E-12</v>
      </c>
      <c r="X428" s="1">
        <v>1.5299999999999999E-14</v>
      </c>
      <c r="Y428">
        <v>0</v>
      </c>
    </row>
    <row r="429" spans="1:50" x14ac:dyDescent="0.2">
      <c r="A429">
        <v>2.2299999999999998E-6</v>
      </c>
      <c r="B429">
        <v>3.4499999999999998E-5</v>
      </c>
      <c r="C429">
        <v>3.8200000000000002E-4</v>
      </c>
      <c r="D429">
        <v>2.8900000000000002E-3</v>
      </c>
      <c r="E429">
        <v>9.0100000000000006E-3</v>
      </c>
      <c r="F429">
        <v>1.4200000000000001E-2</v>
      </c>
      <c r="G429">
        <v>2.58E-2</v>
      </c>
      <c r="H429">
        <v>4.2700000000000002E-2</v>
      </c>
      <c r="I429">
        <v>6.4100000000000004E-2</v>
      </c>
      <c r="J429">
        <v>8.7300000000000003E-2</v>
      </c>
      <c r="K429">
        <v>0.107985505</v>
      </c>
      <c r="L429">
        <v>0.121217889</v>
      </c>
      <c r="M429">
        <v>0.123525185</v>
      </c>
      <c r="N429">
        <v>0.114269917</v>
      </c>
      <c r="O429">
        <v>9.5961196999999998E-2</v>
      </c>
      <c r="P429">
        <v>0.101110882</v>
      </c>
      <c r="Q429">
        <v>6.4927078999999999E-2</v>
      </c>
      <c r="R429">
        <v>1.9725952000000001E-2</v>
      </c>
      <c r="S429">
        <v>4.1035680000000001E-3</v>
      </c>
      <c r="T429">
        <v>5.8414899999999995E-4</v>
      </c>
      <c r="U429">
        <v>5.6900000000000001E-5</v>
      </c>
      <c r="V429">
        <v>3.7799999999999998E-6</v>
      </c>
      <c r="W429">
        <v>1.72E-7</v>
      </c>
      <c r="X429" s="1">
        <v>5.3199999999999998E-9</v>
      </c>
      <c r="Y429" s="1">
        <v>1.1399999999999999E-10</v>
      </c>
    </row>
    <row r="430" spans="1:50" x14ac:dyDescent="0.2">
      <c r="A430" s="1">
        <v>2.7100000000000001E-8</v>
      </c>
      <c r="B430">
        <v>5.2200000000000004E-7</v>
      </c>
      <c r="C430">
        <v>7.6499999999999996E-6</v>
      </c>
      <c r="D430">
        <v>8.2000000000000001E-5</v>
      </c>
      <c r="E430">
        <v>3.57E-4</v>
      </c>
      <c r="F430">
        <v>7.36E-4</v>
      </c>
      <c r="G430">
        <v>1.72E-3</v>
      </c>
      <c r="H430">
        <v>3.7299999999999998E-3</v>
      </c>
      <c r="I430">
        <v>7.4700000000000001E-3</v>
      </c>
      <c r="J430">
        <v>1.38E-2</v>
      </c>
      <c r="K430">
        <v>2.3599999999999999E-2</v>
      </c>
      <c r="L430">
        <v>3.7274810999999998E-2</v>
      </c>
      <c r="M430">
        <v>5.4378942999999999E-2</v>
      </c>
      <c r="N430">
        <v>7.3305192000000005E-2</v>
      </c>
      <c r="O430">
        <v>9.1312009999999999E-2</v>
      </c>
      <c r="P430">
        <v>0.160683414</v>
      </c>
      <c r="Q430">
        <v>0.21765195200000001</v>
      </c>
      <c r="R430">
        <v>0.16675665200000001</v>
      </c>
      <c r="S430">
        <v>9.3721299999999994E-2</v>
      </c>
      <c r="T430">
        <v>3.8633431000000003E-2</v>
      </c>
      <c r="U430">
        <v>1.1677831E-2</v>
      </c>
      <c r="V430">
        <v>2.5876879999999999E-3</v>
      </c>
      <c r="W430">
        <v>4.2021099999999998E-4</v>
      </c>
      <c r="X430">
        <v>5.0000000000000002E-5</v>
      </c>
      <c r="Y430">
        <v>4.6500000000000004E-6</v>
      </c>
    </row>
    <row r="431" spans="1:50" x14ac:dyDescent="0.2">
      <c r="A431" s="1">
        <v>8.2800000000000004E-10</v>
      </c>
      <c r="B431" s="1">
        <v>1.7500000000000001E-8</v>
      </c>
      <c r="C431">
        <v>2.9200000000000002E-7</v>
      </c>
      <c r="D431">
        <v>3.7299999999999999E-6</v>
      </c>
      <c r="E431">
        <v>1.9300000000000002E-5</v>
      </c>
      <c r="F431">
        <v>4.5899999999999998E-5</v>
      </c>
      <c r="G431">
        <v>1.2300000000000001E-4</v>
      </c>
      <c r="H431">
        <v>3.1E-4</v>
      </c>
      <c r="I431">
        <v>7.2800000000000002E-4</v>
      </c>
      <c r="J431">
        <v>1.6000000000000001E-3</v>
      </c>
      <c r="K431">
        <v>3.2699999999999999E-3</v>
      </c>
      <c r="L431">
        <v>6.2700000000000004E-3</v>
      </c>
      <c r="M431">
        <v>1.122592E-2</v>
      </c>
      <c r="N431">
        <v>1.8785278999999998E-2</v>
      </c>
      <c r="O431">
        <v>2.9377785E-2</v>
      </c>
      <c r="P431">
        <v>7.0216606000000001E-2</v>
      </c>
      <c r="Q431">
        <v>0.14928418600000001</v>
      </c>
      <c r="R431">
        <v>0.19759977500000001</v>
      </c>
      <c r="S431">
        <v>0.20043524800000001</v>
      </c>
      <c r="T431">
        <v>0.15580370900000001</v>
      </c>
      <c r="U431">
        <v>9.2806707000000002E-2</v>
      </c>
      <c r="V431">
        <v>4.2358646999999999E-2</v>
      </c>
      <c r="W431">
        <v>1.4811937000000001E-2</v>
      </c>
      <c r="X431">
        <v>3.9675190000000001E-3</v>
      </c>
      <c r="Y431">
        <v>9.5866199999999999E-4</v>
      </c>
    </row>
    <row r="432" spans="1:50" x14ac:dyDescent="0.2">
      <c r="A432" s="1">
        <v>5.2999999999999998E-11</v>
      </c>
      <c r="B432" s="1">
        <v>1.1599999999999999E-9</v>
      </c>
      <c r="C432" s="1">
        <v>2.0599999999999999E-8</v>
      </c>
      <c r="D432">
        <v>2.8799999999999998E-7</v>
      </c>
      <c r="E432">
        <v>1.64E-6</v>
      </c>
      <c r="F432">
        <v>4.2400000000000001E-6</v>
      </c>
      <c r="G432">
        <v>1.2300000000000001E-5</v>
      </c>
      <c r="H432">
        <v>3.3800000000000002E-5</v>
      </c>
      <c r="I432">
        <v>8.7100000000000003E-5</v>
      </c>
      <c r="J432">
        <v>2.12E-4</v>
      </c>
      <c r="K432">
        <v>4.8500000000000003E-4</v>
      </c>
      <c r="L432">
        <v>1.0399999999999999E-3</v>
      </c>
      <c r="M432">
        <v>2.1199999999999999E-3</v>
      </c>
      <c r="N432">
        <v>4.0525709999999996E-3</v>
      </c>
      <c r="O432">
        <v>7.2959449999999999E-3</v>
      </c>
      <c r="P432">
        <v>2.1165228000000001E-2</v>
      </c>
      <c r="Q432">
        <v>6.0018578000000003E-2</v>
      </c>
      <c r="R432">
        <v>0.112301599</v>
      </c>
      <c r="S432">
        <v>0.16588472900000001</v>
      </c>
      <c r="T432">
        <v>0.193449022</v>
      </c>
      <c r="U432">
        <v>0.17810416500000001</v>
      </c>
      <c r="V432">
        <v>0.12945679500000001</v>
      </c>
      <c r="W432">
        <v>7.4285303999999996E-2</v>
      </c>
      <c r="X432">
        <v>3.3649677000000003E-2</v>
      </c>
      <c r="Y432">
        <v>1.6336399000000001E-2</v>
      </c>
    </row>
    <row r="433" spans="1:25" x14ac:dyDescent="0.2">
      <c r="A433" s="1">
        <v>1.1100000000000001E-11</v>
      </c>
      <c r="B433" s="1">
        <v>2.24E-10</v>
      </c>
      <c r="C433" s="1">
        <v>3.8099999999999999E-9</v>
      </c>
      <c r="D433" s="1">
        <v>5.2399999999999999E-8</v>
      </c>
      <c r="E433">
        <v>2.9900000000000002E-7</v>
      </c>
      <c r="F433">
        <v>7.8199999999999999E-7</v>
      </c>
      <c r="G433">
        <v>2.3199999999999998E-6</v>
      </c>
      <c r="H433">
        <v>6.5300000000000002E-6</v>
      </c>
      <c r="I433">
        <v>1.7399999999999999E-5</v>
      </c>
      <c r="J433">
        <v>4.3999999999999999E-5</v>
      </c>
      <c r="K433">
        <v>1.06E-4</v>
      </c>
      <c r="L433">
        <v>2.4000000000000001E-4</v>
      </c>
      <c r="M433">
        <v>5.1699999999999999E-4</v>
      </c>
      <c r="N433">
        <v>1.058055E-3</v>
      </c>
      <c r="O433">
        <v>2.0514980000000001E-3</v>
      </c>
      <c r="P433">
        <v>6.6261050000000002E-3</v>
      </c>
      <c r="Q433">
        <v>2.2217206E-2</v>
      </c>
      <c r="R433">
        <v>5.1214137999999999E-2</v>
      </c>
      <c r="S433">
        <v>9.5720020000000003E-2</v>
      </c>
      <c r="T433">
        <v>0.145060566</v>
      </c>
      <c r="U433">
        <v>0.17825592800000001</v>
      </c>
      <c r="V433">
        <v>0.177620793</v>
      </c>
      <c r="W433">
        <v>0.14351546900000001</v>
      </c>
      <c r="X433">
        <v>9.4026716999999996E-2</v>
      </c>
      <c r="Y433">
        <v>8.1699130999999994E-2</v>
      </c>
    </row>
    <row r="434" spans="1:25" x14ac:dyDescent="0.2">
      <c r="A434" s="1">
        <v>1.41E-11</v>
      </c>
      <c r="B434" s="1">
        <v>2.1999999999999999E-10</v>
      </c>
      <c r="C434" s="1">
        <v>3.0300000000000001E-9</v>
      </c>
      <c r="D434" s="1">
        <v>3.4900000000000001E-8</v>
      </c>
      <c r="E434">
        <v>1.7599999999999999E-7</v>
      </c>
      <c r="F434">
        <v>4.27E-7</v>
      </c>
      <c r="G434">
        <v>1.1999999999999999E-6</v>
      </c>
      <c r="H434">
        <v>3.1999999999999999E-6</v>
      </c>
      <c r="I434">
        <v>8.1899999999999995E-6</v>
      </c>
      <c r="J434">
        <v>2.0000000000000002E-5</v>
      </c>
      <c r="K434">
        <v>4.6699999999999997E-5</v>
      </c>
      <c r="L434">
        <v>1.0399999999999999E-4</v>
      </c>
      <c r="M434">
        <v>2.22E-4</v>
      </c>
      <c r="N434">
        <v>4.529E-4</v>
      </c>
      <c r="O434">
        <v>8.8199000000000003E-4</v>
      </c>
      <c r="P434">
        <v>2.8999360000000001E-3</v>
      </c>
      <c r="Q434">
        <v>1.0186588E-2</v>
      </c>
      <c r="R434">
        <v>2.5417433999999999E-2</v>
      </c>
      <c r="S434">
        <v>5.2999644999999998E-2</v>
      </c>
      <c r="T434">
        <v>9.2356586000000004E-2</v>
      </c>
      <c r="U434">
        <v>0.13450183900000001</v>
      </c>
      <c r="V434">
        <v>0.16370506700000001</v>
      </c>
      <c r="W434">
        <v>0.16652285</v>
      </c>
      <c r="X434">
        <v>0.14156755500000001</v>
      </c>
      <c r="Y434">
        <v>0.20810120200000001</v>
      </c>
    </row>
    <row r="435" spans="1:25" x14ac:dyDescent="0.2">
      <c r="A435" s="1">
        <v>2.4299999999999999E-11</v>
      </c>
      <c r="B435" s="1">
        <v>3.0199999999999999E-10</v>
      </c>
      <c r="C435" s="1">
        <v>3.4299999999999999E-9</v>
      </c>
      <c r="D435" s="1">
        <v>3.33E-8</v>
      </c>
      <c r="E435">
        <v>1.49E-7</v>
      </c>
      <c r="F435">
        <v>3.34E-7</v>
      </c>
      <c r="G435">
        <v>8.8100000000000001E-7</v>
      </c>
      <c r="H435">
        <v>2.2299999999999998E-6</v>
      </c>
      <c r="I435">
        <v>5.4299999999999997E-6</v>
      </c>
      <c r="J435">
        <v>1.27E-5</v>
      </c>
      <c r="K435">
        <v>2.8600000000000001E-5</v>
      </c>
      <c r="L435">
        <v>6.1799999999999998E-5</v>
      </c>
      <c r="M435">
        <v>1.2799999999999999E-4</v>
      </c>
      <c r="N435">
        <v>2.5700000000000001E-4</v>
      </c>
      <c r="O435">
        <v>4.9299999999999995E-4</v>
      </c>
      <c r="P435">
        <v>1.6072390000000001E-3</v>
      </c>
      <c r="Q435">
        <v>5.6727959999999999E-3</v>
      </c>
      <c r="R435">
        <v>1.4542307000000001E-2</v>
      </c>
      <c r="S435">
        <v>3.1884033999999999E-2</v>
      </c>
      <c r="T435">
        <v>5.9789887E-2</v>
      </c>
      <c r="U435">
        <v>9.5897088000000005E-2</v>
      </c>
      <c r="V435">
        <v>0.131556698</v>
      </c>
      <c r="W435">
        <v>0.15436714100000001</v>
      </c>
      <c r="X435">
        <v>0.154929241</v>
      </c>
      <c r="Y435">
        <v>0.348763235</v>
      </c>
    </row>
    <row r="436" spans="1:25" x14ac:dyDescent="0.2">
      <c r="A436" s="1">
        <v>5.09E-11</v>
      </c>
      <c r="B436" s="1">
        <v>5.1199999999999999E-10</v>
      </c>
      <c r="C436" s="1">
        <v>4.8699999999999999E-9</v>
      </c>
      <c r="D436" s="1">
        <v>4.0299999999999997E-8</v>
      </c>
      <c r="E436">
        <v>1.61E-7</v>
      </c>
      <c r="F436">
        <v>3.3500000000000002E-7</v>
      </c>
      <c r="G436">
        <v>8.3099999999999996E-7</v>
      </c>
      <c r="H436">
        <v>1.99E-6</v>
      </c>
      <c r="I436">
        <v>4.6E-6</v>
      </c>
      <c r="J436">
        <v>1.03E-5</v>
      </c>
      <c r="K436">
        <v>2.2200000000000001E-5</v>
      </c>
      <c r="L436">
        <v>4.6300000000000001E-5</v>
      </c>
      <c r="M436">
        <v>9.31E-5</v>
      </c>
      <c r="N436">
        <v>1.8100000000000001E-4</v>
      </c>
      <c r="O436">
        <v>3.4000000000000002E-4</v>
      </c>
      <c r="P436">
        <v>1.0831390000000001E-3</v>
      </c>
      <c r="Q436">
        <v>3.7533850000000001E-3</v>
      </c>
      <c r="R436">
        <v>9.5939839999999998E-3</v>
      </c>
      <c r="S436">
        <v>2.1360052000000001E-2</v>
      </c>
      <c r="T436">
        <v>4.1422900999999998E-2</v>
      </c>
      <c r="U436">
        <v>6.9971294000000003E-2</v>
      </c>
      <c r="V436">
        <v>0.102954544</v>
      </c>
      <c r="W436">
        <v>0.131953561</v>
      </c>
      <c r="X436">
        <v>0.14731572600000001</v>
      </c>
      <c r="Y436">
        <v>0.46989056299999998</v>
      </c>
    </row>
    <row r="437" spans="1:25" x14ac:dyDescent="0.2">
      <c r="A437" s="1">
        <v>1.1800000000000001E-10</v>
      </c>
      <c r="B437" s="1">
        <v>9.8199999999999992E-10</v>
      </c>
      <c r="C437" s="1">
        <v>7.9500000000000001E-9</v>
      </c>
      <c r="D437" s="1">
        <v>5.69E-8</v>
      </c>
      <c r="E437">
        <v>2.04E-7</v>
      </c>
      <c r="F437">
        <v>3.96E-7</v>
      </c>
      <c r="G437">
        <v>9.2800000000000005E-7</v>
      </c>
      <c r="H437">
        <v>2.1100000000000001E-6</v>
      </c>
      <c r="I437">
        <v>4.6399999999999996E-6</v>
      </c>
      <c r="J437">
        <v>9.9000000000000001E-6</v>
      </c>
      <c r="K437">
        <v>2.05E-5</v>
      </c>
      <c r="L437">
        <v>4.1100000000000003E-5</v>
      </c>
      <c r="M437">
        <v>7.9800000000000002E-5</v>
      </c>
      <c r="N437">
        <v>1.4999999999999999E-4</v>
      </c>
      <c r="O437">
        <v>2.7500000000000002E-4</v>
      </c>
      <c r="P437">
        <v>8.5008000000000002E-4</v>
      </c>
      <c r="Q437">
        <v>2.856071E-3</v>
      </c>
      <c r="R437">
        <v>7.1557239999999996E-3</v>
      </c>
      <c r="S437">
        <v>1.5846849999999999E-2</v>
      </c>
      <c r="T437">
        <v>3.1020045999999999E-2</v>
      </c>
      <c r="U437">
        <v>5.3673089E-2</v>
      </c>
      <c r="V437">
        <v>8.2089790999999995E-2</v>
      </c>
      <c r="W437">
        <v>0.110979571</v>
      </c>
      <c r="X437">
        <v>0.132623461</v>
      </c>
      <c r="Y437">
        <v>0.56232035800000002</v>
      </c>
    </row>
    <row r="438" spans="1:25" x14ac:dyDescent="0.2">
      <c r="A438" s="1">
        <v>2.8899999999999998E-10</v>
      </c>
      <c r="B438" s="1">
        <v>2.0099999999999999E-9</v>
      </c>
      <c r="C438" s="1">
        <v>1.4100000000000001E-8</v>
      </c>
      <c r="D438" s="1">
        <v>8.8500000000000005E-8</v>
      </c>
      <c r="E438">
        <v>2.8799999999999998E-7</v>
      </c>
      <c r="F438">
        <v>5.2200000000000004E-7</v>
      </c>
      <c r="G438">
        <v>1.1599999999999999E-6</v>
      </c>
      <c r="H438">
        <v>2.5000000000000002E-6</v>
      </c>
      <c r="I438">
        <v>5.2599999999999996E-6</v>
      </c>
      <c r="J438">
        <v>1.0699999999999999E-5</v>
      </c>
      <c r="K438">
        <v>2.1299999999999999E-5</v>
      </c>
      <c r="L438">
        <v>4.1100000000000003E-5</v>
      </c>
      <c r="M438">
        <v>7.7200000000000006E-5</v>
      </c>
      <c r="N438">
        <v>1.4100000000000001E-4</v>
      </c>
      <c r="O438">
        <v>2.5000000000000001E-4</v>
      </c>
      <c r="P438">
        <v>7.4830800000000005E-4</v>
      </c>
      <c r="Q438">
        <v>2.4220539999999999E-3</v>
      </c>
      <c r="R438">
        <v>5.8915759999999999E-3</v>
      </c>
      <c r="S438">
        <v>1.2820811E-2</v>
      </c>
      <c r="T438">
        <v>2.4959709E-2</v>
      </c>
      <c r="U438">
        <v>4.3471721999999997E-2</v>
      </c>
      <c r="V438">
        <v>6.7736108000000003E-2</v>
      </c>
      <c r="W438">
        <v>9.4423906000000002E-2</v>
      </c>
      <c r="X438">
        <v>0.11775888599999999</v>
      </c>
      <c r="Y438">
        <v>0.62921567300000003</v>
      </c>
    </row>
    <row r="439" spans="1:25" x14ac:dyDescent="0.2">
      <c r="A439" s="1">
        <v>2.3600000000000001E-10</v>
      </c>
      <c r="B439" s="1">
        <v>1.3600000000000001E-9</v>
      </c>
      <c r="C439" s="1">
        <v>8.2800000000000004E-9</v>
      </c>
      <c r="D439" s="1">
        <v>4.58E-8</v>
      </c>
      <c r="E439">
        <v>1.36E-7</v>
      </c>
      <c r="F439">
        <v>2.34E-7</v>
      </c>
      <c r="G439">
        <v>4.9699999999999996E-7</v>
      </c>
      <c r="H439">
        <v>1.0300000000000001E-6</v>
      </c>
      <c r="I439">
        <v>2.0899999999999999E-6</v>
      </c>
      <c r="J439">
        <v>4.1500000000000001E-6</v>
      </c>
      <c r="K439">
        <v>8.0199999999999994E-6</v>
      </c>
      <c r="L439">
        <v>1.52E-5</v>
      </c>
      <c r="M439">
        <v>2.8E-5</v>
      </c>
      <c r="N439">
        <v>5.0500000000000001E-5</v>
      </c>
      <c r="O439">
        <v>8.8900000000000006E-5</v>
      </c>
      <c r="P439">
        <v>2.6535799999999999E-4</v>
      </c>
      <c r="Q439">
        <v>8.6649100000000005E-4</v>
      </c>
      <c r="R439">
        <v>2.1640240000000001E-3</v>
      </c>
      <c r="S439">
        <v>4.9218930000000001E-3</v>
      </c>
      <c r="T439">
        <v>1.0194751E-2</v>
      </c>
      <c r="U439">
        <v>1.9230809000000001E-2</v>
      </c>
      <c r="V439">
        <v>3.3036712000000003E-2</v>
      </c>
      <c r="W439">
        <v>5.1686364999999998E-2</v>
      </c>
      <c r="X439">
        <v>7.3643837000000004E-2</v>
      </c>
      <c r="Y439">
        <v>0.80379094399999995</v>
      </c>
    </row>
    <row r="440" spans="1:25" x14ac:dyDescent="0.2">
      <c r="A440" t="s">
        <v>58</v>
      </c>
    </row>
    <row r="441" spans="1:25" x14ac:dyDescent="0.2">
      <c r="A441">
        <v>1234567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poll_iss_ag (1)</vt:lpstr>
      <vt:lpstr>pm_25.dat</vt:lpstr>
      <vt:lpstr>Tables</vt:lpstr>
      <vt:lpstr>bsaiatf_data_2024</vt:lpstr>
      <vt:lpstr>CEATTLE</vt:lpstr>
      <vt:lpstr>bts_wt_age biom table</vt:lpstr>
      <vt:lpstr>intro.dat</vt:lpstr>
      <vt:lpstr>pm_24.dat </vt:lpstr>
      <vt:lpstr>Sheet9</vt:lpstr>
      <vt:lpstr>AVO24</vt:lpstr>
      <vt:lpstr>urmy pm_24db</vt:lpstr>
      <vt:lpstr>Pcod</vt:lpstr>
      <vt:lpstr>bts age</vt:lpstr>
      <vt:lpstr>wt24.rep</vt:lpstr>
      <vt:lpstr>ssbwt24.rep</vt:lpstr>
      <vt:lpstr>pm_23.8.dat</vt:lpstr>
      <vt:lpstr>intro.dat!M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Ianelli</dc:creator>
  <cp:lastModifiedBy>James Ianelli</cp:lastModifiedBy>
  <dcterms:created xsi:type="dcterms:W3CDTF">2024-10-18T18:23:56Z</dcterms:created>
  <dcterms:modified xsi:type="dcterms:W3CDTF">2026-02-23T23:26:35Z</dcterms:modified>
</cp:coreProperties>
</file>